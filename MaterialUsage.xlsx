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nnectqutedu.sharepoint.com/teams/FOE_TM_EngineeringPrecinct/Shared Documents/General/03. Laboratories Workshops and Spaces/1. O Block/OP3 Blueprint Maker Space/MaterialsUsage/"/>
    </mc:Choice>
  </mc:AlternateContent>
  <xr:revisionPtr revIDLastSave="41" documentId="13_ncr:1_{DE1518DF-ECB4-4B30-BE22-C3F7F46B41EB}" xr6:coauthVersionLast="47" xr6:coauthVersionMax="47" xr10:uidLastSave="{DF9BC16F-CBCC-4A47-90A5-26D6DC7EF35C}"/>
  <bookViews>
    <workbookView xWindow="-120" yWindow="-120" windowWidth="29040" windowHeight="15720" tabRatio="808" xr2:uid="{00000000-000D-0000-FFFF-FFFF00000000}"/>
  </bookViews>
  <sheets>
    <sheet name="SCAN" sheetId="1" r:id="rId1"/>
    <sheet name="LaunchPad Markbook" sheetId="10" r:id="rId2"/>
    <sheet name="Group List A" sheetId="7" r:id="rId3"/>
    <sheet name="Group List B" sheetId="8" r:id="rId4"/>
    <sheet name="Summary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00" i="1" l="1" a="1"/>
  <c r="Q1200" i="1" s="1"/>
  <c r="K1200" i="1" a="1"/>
  <c r="K1200" i="1" s="1"/>
  <c r="I1200" i="1" s="1"/>
  <c r="Q1199" i="1"/>
  <c r="Q1199" i="1" a="1"/>
  <c r="K1199" i="1" a="1"/>
  <c r="K1199" i="1" s="1"/>
  <c r="H1199" i="1" s="1"/>
  <c r="Q1198" i="1"/>
  <c r="Q1198" i="1" a="1"/>
  <c r="K1198" i="1" a="1"/>
  <c r="K1198" i="1" s="1"/>
  <c r="J1198" i="1" s="1"/>
  <c r="Q1197" i="1" a="1"/>
  <c r="Q1197" i="1" s="1"/>
  <c r="K1197" i="1" a="1"/>
  <c r="K1197" i="1" s="1"/>
  <c r="J1197" i="1" s="1"/>
  <c r="Q1196" i="1"/>
  <c r="Q1196" i="1" a="1"/>
  <c r="K1196" i="1" a="1"/>
  <c r="K1196" i="1" s="1"/>
  <c r="J1196" i="1" s="1"/>
  <c r="Q1195" i="1"/>
  <c r="Q1195" i="1" a="1"/>
  <c r="K1195" i="1" a="1"/>
  <c r="K1195" i="1" s="1"/>
  <c r="Q1194" i="1"/>
  <c r="Q1194" i="1" a="1"/>
  <c r="K1194" i="1" a="1"/>
  <c r="K1194" i="1" s="1"/>
  <c r="Q1193" i="1"/>
  <c r="Q1193" i="1" a="1"/>
  <c r="K1193" i="1" a="1"/>
  <c r="K1193" i="1" s="1"/>
  <c r="Q1192" i="1" a="1"/>
  <c r="Q1192" i="1" s="1"/>
  <c r="K1192" i="1" a="1"/>
  <c r="K1192" i="1" s="1"/>
  <c r="I1192" i="1" s="1"/>
  <c r="Q1191" i="1" a="1"/>
  <c r="Q1191" i="1" s="1"/>
  <c r="K1191" i="1" a="1"/>
  <c r="K1191" i="1" s="1"/>
  <c r="H1191" i="1" s="1"/>
  <c r="Q1190" i="1"/>
  <c r="Q1190" i="1" a="1"/>
  <c r="K1190" i="1" a="1"/>
  <c r="K1190" i="1" s="1"/>
  <c r="J1190" i="1" s="1"/>
  <c r="Q1189" i="1" a="1"/>
  <c r="Q1189" i="1" s="1"/>
  <c r="K1189" i="1" a="1"/>
  <c r="K1189" i="1" s="1"/>
  <c r="Q1188" i="1"/>
  <c r="Q1188" i="1" a="1"/>
  <c r="K1188" i="1" a="1"/>
  <c r="K1188" i="1" s="1"/>
  <c r="J1188" i="1" s="1"/>
  <c r="Q1187" i="1"/>
  <c r="Q1187" i="1" a="1"/>
  <c r="K1187" i="1" a="1"/>
  <c r="K1187" i="1" s="1"/>
  <c r="Q1186" i="1"/>
  <c r="Q1186" i="1" a="1"/>
  <c r="K1186" i="1" a="1"/>
  <c r="K1186" i="1" s="1"/>
  <c r="Q1185" i="1"/>
  <c r="Q1185" i="1" a="1"/>
  <c r="K1185" i="1" a="1"/>
  <c r="K1185" i="1" s="1"/>
  <c r="J1185" i="1" s="1"/>
  <c r="Q1184" i="1" a="1"/>
  <c r="Q1184" i="1" s="1"/>
  <c r="K1184" i="1" a="1"/>
  <c r="K1184" i="1" s="1"/>
  <c r="I1184" i="1" s="1"/>
  <c r="Q1183" i="1" a="1"/>
  <c r="Q1183" i="1" s="1"/>
  <c r="K1183" i="1" a="1"/>
  <c r="K1183" i="1" s="1"/>
  <c r="Q1182" i="1"/>
  <c r="Q1182" i="1" a="1"/>
  <c r="K1182" i="1" a="1"/>
  <c r="K1182" i="1" s="1"/>
  <c r="J1182" i="1" s="1"/>
  <c r="Q1181" i="1" a="1"/>
  <c r="Q1181" i="1" s="1"/>
  <c r="K1181" i="1" a="1"/>
  <c r="K1181" i="1" s="1"/>
  <c r="J1181" i="1" s="1"/>
  <c r="Q1180" i="1"/>
  <c r="Q1180" i="1" a="1"/>
  <c r="K1180" i="1" a="1"/>
  <c r="K1180" i="1" s="1"/>
  <c r="J1180" i="1" s="1"/>
  <c r="Q1179" i="1"/>
  <c r="Q1179" i="1" a="1"/>
  <c r="K1179" i="1" a="1"/>
  <c r="K1179" i="1" s="1"/>
  <c r="Q1178" i="1"/>
  <c r="Q1178" i="1" a="1"/>
  <c r="K1178" i="1" a="1"/>
  <c r="K1178" i="1" s="1"/>
  <c r="Q1177" i="1"/>
  <c r="Q1177" i="1" a="1"/>
  <c r="K1177" i="1" a="1"/>
  <c r="K1177" i="1" s="1"/>
  <c r="J1177" i="1" s="1"/>
  <c r="Q1176" i="1" a="1"/>
  <c r="Q1176" i="1" s="1"/>
  <c r="K1176" i="1"/>
  <c r="I1176" i="1" s="1"/>
  <c r="K1176" i="1" a="1"/>
  <c r="Q1175" i="1" a="1"/>
  <c r="Q1175" i="1" s="1"/>
  <c r="K1175" i="1" a="1"/>
  <c r="K1175" i="1" s="1"/>
  <c r="H1175" i="1" s="1"/>
  <c r="Q1174" i="1"/>
  <c r="Q1174" i="1" a="1"/>
  <c r="K1174" i="1" a="1"/>
  <c r="K1174" i="1" s="1"/>
  <c r="J1174" i="1" s="1"/>
  <c r="Q1173" i="1" a="1"/>
  <c r="Q1173" i="1" s="1"/>
  <c r="K1173" i="1"/>
  <c r="K1173" i="1" a="1"/>
  <c r="Q1172" i="1"/>
  <c r="Q1172" i="1" a="1"/>
  <c r="K1172" i="1" a="1"/>
  <c r="K1172" i="1" s="1"/>
  <c r="J1172" i="1" s="1"/>
  <c r="Q1171" i="1"/>
  <c r="Q1171" i="1" a="1"/>
  <c r="K1171" i="1"/>
  <c r="K1171" i="1" a="1"/>
  <c r="Q1170" i="1"/>
  <c r="Q1170" i="1" a="1"/>
  <c r="K1170" i="1" a="1"/>
  <c r="K1170" i="1" s="1"/>
  <c r="Q1169" i="1"/>
  <c r="Q1169" i="1" a="1"/>
  <c r="K1169" i="1" a="1"/>
  <c r="K1169" i="1" s="1"/>
  <c r="J1169" i="1"/>
  <c r="Q1168" i="1" a="1"/>
  <c r="Q1168" i="1" s="1"/>
  <c r="K1168" i="1" a="1"/>
  <c r="K1168" i="1" s="1"/>
  <c r="Q1167" i="1" a="1"/>
  <c r="Q1167" i="1" s="1"/>
  <c r="K1167" i="1" a="1"/>
  <c r="K1167" i="1" s="1"/>
  <c r="H1167" i="1" s="1"/>
  <c r="Q1166" i="1"/>
  <c r="Q1166" i="1" a="1"/>
  <c r="K1166" i="1" a="1"/>
  <c r="K1166" i="1" s="1"/>
  <c r="J1166" i="1" s="1"/>
  <c r="Q1165" i="1" a="1"/>
  <c r="Q1165" i="1" s="1"/>
  <c r="K1165" i="1" a="1"/>
  <c r="K1165" i="1" s="1"/>
  <c r="J1165" i="1" s="1"/>
  <c r="Q1164" i="1"/>
  <c r="Q1164" i="1" a="1"/>
  <c r="K1164" i="1" a="1"/>
  <c r="K1164" i="1" s="1"/>
  <c r="J1164" i="1" s="1"/>
  <c r="Q1163" i="1"/>
  <c r="Q1163" i="1" a="1"/>
  <c r="K1163" i="1" a="1"/>
  <c r="K1163" i="1" s="1"/>
  <c r="Q1162" i="1"/>
  <c r="Q1162" i="1" a="1"/>
  <c r="K1162" i="1" a="1"/>
  <c r="K1162" i="1" s="1"/>
  <c r="Q1161" i="1"/>
  <c r="Q1161" i="1" a="1"/>
  <c r="K1161" i="1" a="1"/>
  <c r="K1161" i="1" s="1"/>
  <c r="J1161" i="1" s="1"/>
  <c r="Q1160" i="1" a="1"/>
  <c r="Q1160" i="1" s="1"/>
  <c r="K1160" i="1" a="1"/>
  <c r="K1160" i="1" s="1"/>
  <c r="Q1159" i="1" a="1"/>
  <c r="Q1159" i="1" s="1"/>
  <c r="K1159" i="1" a="1"/>
  <c r="K1159" i="1" s="1"/>
  <c r="Q1158" i="1"/>
  <c r="Q1158" i="1" a="1"/>
  <c r="K1158" i="1" a="1"/>
  <c r="K1158" i="1" s="1"/>
  <c r="J1158" i="1" s="1"/>
  <c r="Q1157" i="1" a="1"/>
  <c r="Q1157" i="1" s="1"/>
  <c r="K1157" i="1" a="1"/>
  <c r="K1157" i="1" s="1"/>
  <c r="J1157" i="1" s="1"/>
  <c r="Q1156" i="1"/>
  <c r="Q1156" i="1" a="1"/>
  <c r="K1156" i="1" a="1"/>
  <c r="K1156" i="1" s="1"/>
  <c r="Q1155" i="1"/>
  <c r="Q1155" i="1" a="1"/>
  <c r="K1155" i="1" a="1"/>
  <c r="K1155" i="1" s="1"/>
  <c r="Q1154" i="1"/>
  <c r="Q1154" i="1" a="1"/>
  <c r="K1154" i="1" a="1"/>
  <c r="K1154" i="1" s="1"/>
  <c r="J1154" i="1" s="1"/>
  <c r="Q1153" i="1"/>
  <c r="Q1153" i="1" a="1"/>
  <c r="K1153" i="1" a="1"/>
  <c r="K1153" i="1" s="1"/>
  <c r="Q1152" i="1" a="1"/>
  <c r="Q1152" i="1" s="1"/>
  <c r="K1152" i="1" a="1"/>
  <c r="K1152" i="1" s="1"/>
  <c r="Q1151" i="1" a="1"/>
  <c r="Q1151" i="1" s="1"/>
  <c r="K1151" i="1" a="1"/>
  <c r="K1151" i="1" s="1"/>
  <c r="Q1150" i="1"/>
  <c r="Q1150" i="1" a="1"/>
  <c r="K1150" i="1"/>
  <c r="J1150" i="1" s="1"/>
  <c r="K1150" i="1" a="1"/>
  <c r="Q1149" i="1" a="1"/>
  <c r="Q1149" i="1" s="1"/>
  <c r="K1149" i="1" a="1"/>
  <c r="K1149" i="1" s="1"/>
  <c r="Q1148" i="1"/>
  <c r="Q1148" i="1" a="1"/>
  <c r="K1148" i="1" a="1"/>
  <c r="K1148" i="1" s="1"/>
  <c r="Q1147" i="1"/>
  <c r="Q1147" i="1" a="1"/>
  <c r="K1147" i="1" a="1"/>
  <c r="K1147" i="1" s="1"/>
  <c r="Q1146" i="1"/>
  <c r="Q1146" i="1" a="1"/>
  <c r="K1146" i="1" a="1"/>
  <c r="K1146" i="1" s="1"/>
  <c r="Q1145" i="1" a="1"/>
  <c r="Q1145" i="1" s="1"/>
  <c r="K1145" i="1" a="1"/>
  <c r="K1145" i="1" s="1"/>
  <c r="Q1144" i="1"/>
  <c r="Q1144" i="1" a="1"/>
  <c r="K1144" i="1" a="1"/>
  <c r="K1144" i="1" s="1"/>
  <c r="Q1143" i="1" a="1"/>
  <c r="Q1143" i="1" s="1"/>
  <c r="K1143" i="1" a="1"/>
  <c r="K1143" i="1" s="1"/>
  <c r="H1143" i="1" s="1"/>
  <c r="Q1142" i="1"/>
  <c r="Q1142" i="1" a="1"/>
  <c r="K1142" i="1" a="1"/>
  <c r="K1142" i="1" s="1"/>
  <c r="Q1141" i="1"/>
  <c r="Q1141" i="1" a="1"/>
  <c r="K1141" i="1"/>
  <c r="K1141" i="1" a="1"/>
  <c r="Q1140" i="1"/>
  <c r="Q1140" i="1" a="1"/>
  <c r="K1140" i="1" a="1"/>
  <c r="K1140" i="1" s="1"/>
  <c r="I1140" i="1" s="1"/>
  <c r="Q1139" i="1" a="1"/>
  <c r="Q1139" i="1" s="1"/>
  <c r="K1139" i="1" a="1"/>
  <c r="K1139" i="1" s="1"/>
  <c r="H1139" i="1" s="1"/>
  <c r="Q1138" i="1" a="1"/>
  <c r="Q1138" i="1" s="1"/>
  <c r="K1138" i="1" a="1"/>
  <c r="K1138" i="1" s="1"/>
  <c r="Q1137" i="1" a="1"/>
  <c r="Q1137" i="1" s="1"/>
  <c r="K1137" i="1" a="1"/>
  <c r="K1137" i="1" s="1"/>
  <c r="Q1136" i="1"/>
  <c r="Q1136" i="1" a="1"/>
  <c r="K1136" i="1" a="1"/>
  <c r="K1136" i="1" s="1"/>
  <c r="J1136" i="1" s="1"/>
  <c r="Q1135" i="1" a="1"/>
  <c r="Q1135" i="1" s="1"/>
  <c r="K1135" i="1" a="1"/>
  <c r="K1135" i="1" s="1"/>
  <c r="I1135" i="1" s="1"/>
  <c r="Q1134" i="1" a="1"/>
  <c r="Q1134" i="1" s="1"/>
  <c r="K1134" i="1" a="1"/>
  <c r="K1134" i="1" s="1"/>
  <c r="I1134" i="1" s="1"/>
  <c r="Q1133" i="1"/>
  <c r="Q1133" i="1" a="1"/>
  <c r="K1133" i="1" a="1"/>
  <c r="K1133" i="1" s="1"/>
  <c r="Q1132" i="1" a="1"/>
  <c r="Q1132" i="1" s="1"/>
  <c r="K1132" i="1" a="1"/>
  <c r="K1132" i="1" s="1"/>
  <c r="Q1131" i="1"/>
  <c r="Q1131" i="1" a="1"/>
  <c r="K1131" i="1" a="1"/>
  <c r="K1131" i="1" s="1"/>
  <c r="Q1130" i="1"/>
  <c r="Q1130" i="1" a="1"/>
  <c r="K1130" i="1" a="1"/>
  <c r="K1130" i="1" s="1"/>
  <c r="Q1129" i="1" a="1"/>
  <c r="Q1129" i="1" s="1"/>
  <c r="K1129" i="1" a="1"/>
  <c r="K1129" i="1" s="1"/>
  <c r="Q1128" i="1"/>
  <c r="Q1128" i="1" a="1"/>
  <c r="K1128" i="1" a="1"/>
  <c r="K1128" i="1" s="1"/>
  <c r="J1128" i="1"/>
  <c r="Q1127" i="1" a="1"/>
  <c r="Q1127" i="1" s="1"/>
  <c r="K1127" i="1" a="1"/>
  <c r="K1127" i="1" s="1"/>
  <c r="Q1126" i="1" a="1"/>
  <c r="Q1126" i="1" s="1"/>
  <c r="K1126" i="1" a="1"/>
  <c r="K1126" i="1" s="1"/>
  <c r="I1126" i="1" s="1"/>
  <c r="Q1125" i="1"/>
  <c r="Q1125" i="1" a="1"/>
  <c r="K1125" i="1" a="1"/>
  <c r="K1125" i="1" s="1"/>
  <c r="Q1124" i="1" a="1"/>
  <c r="Q1124" i="1" s="1"/>
  <c r="K1124" i="1" a="1"/>
  <c r="K1124" i="1" s="1"/>
  <c r="Q1123" i="1"/>
  <c r="Q1123" i="1" a="1"/>
  <c r="K1123" i="1" a="1"/>
  <c r="K1123" i="1" s="1"/>
  <c r="Q1122" i="1" a="1"/>
  <c r="Q1122" i="1" s="1"/>
  <c r="K1122" i="1" a="1"/>
  <c r="K1122" i="1" s="1"/>
  <c r="Q1121" i="1" a="1"/>
  <c r="Q1121" i="1" s="1"/>
  <c r="K1121" i="1" a="1"/>
  <c r="K1121" i="1" s="1"/>
  <c r="Q1120" i="1"/>
  <c r="Q1120" i="1" a="1"/>
  <c r="K1120" i="1" a="1"/>
  <c r="K1120" i="1" s="1"/>
  <c r="J1120" i="1"/>
  <c r="Q1119" i="1" a="1"/>
  <c r="Q1119" i="1" s="1"/>
  <c r="K1119" i="1" a="1"/>
  <c r="K1119" i="1" s="1"/>
  <c r="Q1118" i="1" a="1"/>
  <c r="Q1118" i="1" s="1"/>
  <c r="K1118" i="1" a="1"/>
  <c r="K1118" i="1" s="1"/>
  <c r="H1118" i="1" s="1"/>
  <c r="Q1117" i="1"/>
  <c r="Q1117" i="1" a="1"/>
  <c r="K1117" i="1"/>
  <c r="J1117" i="1" s="1"/>
  <c r="K1117" i="1" a="1"/>
  <c r="Q1116" i="1" a="1"/>
  <c r="Q1116" i="1" s="1"/>
  <c r="K1116" i="1" a="1"/>
  <c r="K1116" i="1" s="1"/>
  <c r="Q1115" i="1"/>
  <c r="Q1115" i="1" a="1"/>
  <c r="K1115" i="1" a="1"/>
  <c r="K1115" i="1" s="1"/>
  <c r="Q1114" i="1" a="1"/>
  <c r="Q1114" i="1" s="1"/>
  <c r="K1114" i="1" a="1"/>
  <c r="K1114" i="1" s="1"/>
  <c r="Q1113" i="1" a="1"/>
  <c r="Q1113" i="1" s="1"/>
  <c r="K1113" i="1" a="1"/>
  <c r="K1113" i="1" s="1"/>
  <c r="Q1112" i="1"/>
  <c r="Q1112" i="1" a="1"/>
  <c r="K1112" i="1" a="1"/>
  <c r="K1112" i="1" s="1"/>
  <c r="J1112" i="1" s="1"/>
  <c r="Q1111" i="1"/>
  <c r="Q1111" i="1" a="1"/>
  <c r="K1111" i="1" a="1"/>
  <c r="K1111" i="1" s="1"/>
  <c r="Q1110" i="1" a="1"/>
  <c r="Q1110" i="1" s="1"/>
  <c r="K1110" i="1" a="1"/>
  <c r="K1110" i="1" s="1"/>
  <c r="H1110" i="1" s="1"/>
  <c r="Q1109" i="1"/>
  <c r="Q1109" i="1" a="1"/>
  <c r="K1109" i="1"/>
  <c r="H1109" i="1" s="1"/>
  <c r="K1109" i="1" a="1"/>
  <c r="Q1108" i="1" a="1"/>
  <c r="Q1108" i="1" s="1"/>
  <c r="K1108" i="1" a="1"/>
  <c r="K1108" i="1" s="1"/>
  <c r="Q1107" i="1"/>
  <c r="Q1107" i="1" a="1"/>
  <c r="K1107" i="1" a="1"/>
  <c r="K1107" i="1" s="1"/>
  <c r="Q1106" i="1" a="1"/>
  <c r="Q1106" i="1" s="1"/>
  <c r="K1106" i="1" a="1"/>
  <c r="K1106" i="1" s="1"/>
  <c r="Q1105" i="1" a="1"/>
  <c r="Q1105" i="1" s="1"/>
  <c r="K1105" i="1" a="1"/>
  <c r="K1105" i="1" s="1"/>
  <c r="Q1104" i="1"/>
  <c r="Q1104" i="1" a="1"/>
  <c r="K1104" i="1" a="1"/>
  <c r="K1104" i="1" s="1"/>
  <c r="J1104" i="1" s="1"/>
  <c r="Q1103" i="1"/>
  <c r="Q1103" i="1" a="1"/>
  <c r="K1103" i="1" a="1"/>
  <c r="K1103" i="1" s="1"/>
  <c r="Q1102" i="1" a="1"/>
  <c r="Q1102" i="1" s="1"/>
  <c r="K1102" i="1" a="1"/>
  <c r="K1102" i="1" s="1"/>
  <c r="H1102" i="1" s="1"/>
  <c r="Q1101" i="1"/>
  <c r="Q1101" i="1" a="1"/>
  <c r="K1101" i="1" a="1"/>
  <c r="K1101" i="1" s="1"/>
  <c r="H1101" i="1" s="1"/>
  <c r="Q1100" i="1" a="1"/>
  <c r="Q1100" i="1" s="1"/>
  <c r="K1100" i="1" a="1"/>
  <c r="K1100" i="1" s="1"/>
  <c r="J1100" i="1"/>
  <c r="Q1099" i="1" a="1"/>
  <c r="Q1099" i="1" s="1"/>
  <c r="K1099" i="1" a="1"/>
  <c r="K1099" i="1" s="1"/>
  <c r="Q1098" i="1"/>
  <c r="Q1098" i="1" a="1"/>
  <c r="K1098" i="1" a="1"/>
  <c r="K1098" i="1" s="1"/>
  <c r="I1098" i="1" s="1"/>
  <c r="Q1097" i="1" a="1"/>
  <c r="Q1097" i="1" s="1"/>
  <c r="K1097" i="1" a="1"/>
  <c r="K1097" i="1" s="1"/>
  <c r="Q1096" i="1"/>
  <c r="Q1096" i="1" a="1"/>
  <c r="K1096" i="1" a="1"/>
  <c r="K1096" i="1" s="1"/>
  <c r="I1096" i="1" s="1"/>
  <c r="Q1095" i="1"/>
  <c r="Q1095" i="1" a="1"/>
  <c r="K1095" i="1" a="1"/>
  <c r="K1095" i="1" s="1"/>
  <c r="Q1094" i="1"/>
  <c r="Q1094" i="1" a="1"/>
  <c r="K1094" i="1" a="1"/>
  <c r="K1094" i="1" s="1"/>
  <c r="Q1093" i="1" a="1"/>
  <c r="Q1093" i="1" s="1"/>
  <c r="K1093" i="1" a="1"/>
  <c r="K1093" i="1" s="1"/>
  <c r="J1093" i="1" s="1"/>
  <c r="Q1092" i="1" a="1"/>
  <c r="Q1092" i="1" s="1"/>
  <c r="K1092" i="1" a="1"/>
  <c r="K1092" i="1" s="1"/>
  <c r="I1092" i="1" s="1"/>
  <c r="Q1091" i="1" a="1"/>
  <c r="Q1091" i="1" s="1"/>
  <c r="K1091" i="1" a="1"/>
  <c r="K1091" i="1" s="1"/>
  <c r="H1091" i="1" s="1"/>
  <c r="Q1090" i="1"/>
  <c r="Q1090" i="1" a="1"/>
  <c r="K1090" i="1" a="1"/>
  <c r="K1090" i="1" s="1"/>
  <c r="Q1089" i="1" a="1"/>
  <c r="Q1089" i="1" s="1"/>
  <c r="K1089" i="1" a="1"/>
  <c r="K1089" i="1" s="1"/>
  <c r="Q1088" i="1"/>
  <c r="Q1088" i="1" a="1"/>
  <c r="K1088" i="1" a="1"/>
  <c r="K1088" i="1" s="1"/>
  <c r="J1088" i="1" s="1"/>
  <c r="Q1087" i="1" a="1"/>
  <c r="Q1087" i="1" s="1"/>
  <c r="K1087" i="1" a="1"/>
  <c r="K1087" i="1" s="1"/>
  <c r="I1087" i="1" s="1"/>
  <c r="Q1086" i="1" a="1"/>
  <c r="Q1086" i="1" s="1"/>
  <c r="K1086" i="1" a="1"/>
  <c r="K1086" i="1" s="1"/>
  <c r="H1086" i="1" s="1"/>
  <c r="Q1085" i="1"/>
  <c r="Q1085" i="1" a="1"/>
  <c r="K1085" i="1" a="1"/>
  <c r="K1085" i="1" s="1"/>
  <c r="J1085" i="1" s="1"/>
  <c r="Q1084" i="1" a="1"/>
  <c r="Q1084" i="1" s="1"/>
  <c r="K1084" i="1" a="1"/>
  <c r="K1084" i="1" s="1"/>
  <c r="I1084" i="1" s="1"/>
  <c r="Q1083" i="1" a="1"/>
  <c r="Q1083" i="1" s="1"/>
  <c r="K1083" i="1" a="1"/>
  <c r="K1083" i="1" s="1"/>
  <c r="H1083" i="1" s="1"/>
  <c r="Q1082" i="1"/>
  <c r="Q1082" i="1" a="1"/>
  <c r="K1082" i="1" a="1"/>
  <c r="K1082" i="1" s="1"/>
  <c r="Q1081" i="1" a="1"/>
  <c r="Q1081" i="1" s="1"/>
  <c r="K1081" i="1" a="1"/>
  <c r="K1081" i="1" s="1"/>
  <c r="I1081" i="1" s="1"/>
  <c r="Q1080" i="1"/>
  <c r="Q1080" i="1" a="1"/>
  <c r="K1080" i="1" a="1"/>
  <c r="K1080" i="1" s="1"/>
  <c r="J1080" i="1" s="1"/>
  <c r="Q1079" i="1" a="1"/>
  <c r="Q1079" i="1" s="1"/>
  <c r="K1079" i="1" a="1"/>
  <c r="K1079" i="1" s="1"/>
  <c r="I1079" i="1" s="1"/>
  <c r="Q1078" i="1" a="1"/>
  <c r="Q1078" i="1" s="1"/>
  <c r="K1078" i="1" a="1"/>
  <c r="K1078" i="1" s="1"/>
  <c r="H1078" i="1" s="1"/>
  <c r="Q1077" i="1"/>
  <c r="Q1077" i="1" a="1"/>
  <c r="K1077" i="1" a="1"/>
  <c r="K1077" i="1" s="1"/>
  <c r="Q1076" i="1"/>
  <c r="Q1076" i="1" a="1"/>
  <c r="K1076" i="1" a="1"/>
  <c r="K1076" i="1" s="1"/>
  <c r="Q1075" i="1"/>
  <c r="Q1075" i="1" a="1"/>
  <c r="K1075" i="1" a="1"/>
  <c r="K1075" i="1" s="1"/>
  <c r="J1075" i="1" s="1"/>
  <c r="Q1074" i="1" a="1"/>
  <c r="Q1074" i="1" s="1"/>
  <c r="K1074" i="1" a="1"/>
  <c r="K1074" i="1" s="1"/>
  <c r="Q1073" i="1" a="1"/>
  <c r="Q1073" i="1" s="1"/>
  <c r="K1073" i="1" a="1"/>
  <c r="K1073" i="1" s="1"/>
  <c r="Q1072" i="1"/>
  <c r="Q1072" i="1" a="1"/>
  <c r="K1072" i="1" a="1"/>
  <c r="K1072" i="1" s="1"/>
  <c r="J1072" i="1" s="1"/>
  <c r="Q1071" i="1" a="1"/>
  <c r="Q1071" i="1" s="1"/>
  <c r="K1071" i="1" a="1"/>
  <c r="K1071" i="1" s="1"/>
  <c r="Q1070" i="1" a="1"/>
  <c r="Q1070" i="1" s="1"/>
  <c r="K1070" i="1" a="1"/>
  <c r="K1070" i="1" s="1"/>
  <c r="Q1069" i="1"/>
  <c r="Q1069" i="1" a="1"/>
  <c r="K1069" i="1" a="1"/>
  <c r="K1069" i="1" s="1"/>
  <c r="I1069" i="1" s="1"/>
  <c r="Q1068" i="1" a="1"/>
  <c r="Q1068" i="1" s="1"/>
  <c r="K1068" i="1" a="1"/>
  <c r="K1068" i="1" s="1"/>
  <c r="Q1067" i="1" a="1"/>
  <c r="Q1067" i="1" s="1"/>
  <c r="K1067" i="1" a="1"/>
  <c r="K1067" i="1" s="1"/>
  <c r="Q1066" i="1" a="1"/>
  <c r="Q1066" i="1" s="1"/>
  <c r="K1066" i="1" a="1"/>
  <c r="K1066" i="1" s="1"/>
  <c r="Q1065" i="1" a="1"/>
  <c r="Q1065" i="1" s="1"/>
  <c r="K1065" i="1" a="1"/>
  <c r="K1065" i="1" s="1"/>
  <c r="Q1064" i="1"/>
  <c r="Q1064" i="1" a="1"/>
  <c r="K1064" i="1" a="1"/>
  <c r="K1064" i="1" s="1"/>
  <c r="I1064" i="1" s="1"/>
  <c r="Q1063" i="1"/>
  <c r="Q1063" i="1" a="1"/>
  <c r="K1063" i="1" a="1"/>
  <c r="K1063" i="1" s="1"/>
  <c r="Q1062" i="1" a="1"/>
  <c r="Q1062" i="1" s="1"/>
  <c r="K1062" i="1" a="1"/>
  <c r="K1062" i="1" s="1"/>
  <c r="Q1061" i="1" a="1"/>
  <c r="Q1061" i="1" s="1"/>
  <c r="K1061" i="1" a="1"/>
  <c r="K1061" i="1" s="1"/>
  <c r="Q1060" i="1" a="1"/>
  <c r="Q1060" i="1" s="1"/>
  <c r="K1060" i="1" a="1"/>
  <c r="K1060" i="1" s="1"/>
  <c r="Q1059" i="1" a="1"/>
  <c r="Q1059" i="1" s="1"/>
  <c r="K1059" i="1" a="1"/>
  <c r="K1059" i="1" s="1"/>
  <c r="Q1058" i="1"/>
  <c r="Q1058" i="1" a="1"/>
  <c r="K1058" i="1" a="1"/>
  <c r="K1058" i="1" s="1"/>
  <c r="Q1057" i="1" a="1"/>
  <c r="Q1057" i="1" s="1"/>
  <c r="K1057" i="1" a="1"/>
  <c r="K1057" i="1" s="1"/>
  <c r="Q1056" i="1"/>
  <c r="Q1056" i="1" a="1"/>
  <c r="K1056" i="1" a="1"/>
  <c r="K1056" i="1" s="1"/>
  <c r="Q1055" i="1"/>
  <c r="Q1055" i="1" a="1"/>
  <c r="K1055" i="1" a="1"/>
  <c r="K1055" i="1" s="1"/>
  <c r="Q1054" i="1" a="1"/>
  <c r="Q1054" i="1" s="1"/>
  <c r="K1054" i="1" a="1"/>
  <c r="K1054" i="1" s="1"/>
  <c r="I1054" i="1" s="1"/>
  <c r="Q1053" i="1" a="1"/>
  <c r="Q1053" i="1" s="1"/>
  <c r="K1053" i="1" a="1"/>
  <c r="K1053" i="1" s="1"/>
  <c r="Q1052" i="1" a="1"/>
  <c r="Q1052" i="1" s="1"/>
  <c r="K1052" i="1" a="1"/>
  <c r="K1052" i="1" s="1"/>
  <c r="Q1051" i="1"/>
  <c r="Q1051" i="1" a="1"/>
  <c r="K1051" i="1" a="1"/>
  <c r="K1051" i="1" s="1"/>
  <c r="Q1050" i="1" a="1"/>
  <c r="Q1050" i="1" s="1"/>
  <c r="K1050" i="1" a="1"/>
  <c r="K1050" i="1" s="1"/>
  <c r="Q1049" i="1" a="1"/>
  <c r="Q1049" i="1" s="1"/>
  <c r="K1049" i="1" a="1"/>
  <c r="K1049" i="1" s="1"/>
  <c r="Q1048" i="1"/>
  <c r="Q1048" i="1" a="1"/>
  <c r="K1048" i="1" a="1"/>
  <c r="K1048" i="1" s="1"/>
  <c r="Q1047" i="1"/>
  <c r="Q1047" i="1" a="1"/>
  <c r="K1047" i="1" a="1"/>
  <c r="K1047" i="1" s="1"/>
  <c r="J1047" i="1" s="1"/>
  <c r="Q1046" i="1" a="1"/>
  <c r="Q1046" i="1" s="1"/>
  <c r="K1046" i="1" a="1"/>
  <c r="K1046" i="1" s="1"/>
  <c r="Q1045" i="1" a="1"/>
  <c r="Q1045" i="1" s="1"/>
  <c r="K1045" i="1" a="1"/>
  <c r="K1045" i="1" s="1"/>
  <c r="Q1044" i="1" a="1"/>
  <c r="Q1044" i="1" s="1"/>
  <c r="K1044" i="1" a="1"/>
  <c r="K1044" i="1" s="1"/>
  <c r="Q1043" i="1"/>
  <c r="Q1043" i="1" a="1"/>
  <c r="K1043" i="1" a="1"/>
  <c r="K1043" i="1" s="1"/>
  <c r="Q1042" i="1" a="1"/>
  <c r="Q1042" i="1" s="1"/>
  <c r="K1042" i="1" a="1"/>
  <c r="K1042" i="1" s="1"/>
  <c r="Q1041" i="1" a="1"/>
  <c r="Q1041" i="1" s="1"/>
  <c r="K1041" i="1" a="1"/>
  <c r="K1041" i="1" s="1"/>
  <c r="Q1040" i="1"/>
  <c r="Q1040" i="1" a="1"/>
  <c r="K1040" i="1" a="1"/>
  <c r="K1040" i="1" s="1"/>
  <c r="Q1039" i="1" a="1"/>
  <c r="Q1039" i="1" s="1"/>
  <c r="K1039" i="1" a="1"/>
  <c r="K1039" i="1" s="1"/>
  <c r="Q1038" i="1"/>
  <c r="Q1038" i="1" a="1"/>
  <c r="K1038" i="1" a="1"/>
  <c r="K1038" i="1" s="1"/>
  <c r="Q1037" i="1"/>
  <c r="Q1037" i="1" a="1"/>
  <c r="K1037" i="1" a="1"/>
  <c r="K1037" i="1" s="1"/>
  <c r="Q1036" i="1" a="1"/>
  <c r="Q1036" i="1" s="1"/>
  <c r="K1036" i="1" a="1"/>
  <c r="K1036" i="1" s="1"/>
  <c r="I1036" i="1" s="1"/>
  <c r="Q1035" i="1"/>
  <c r="Q1035" i="1" a="1"/>
  <c r="K1035" i="1" a="1"/>
  <c r="K1035" i="1" s="1"/>
  <c r="I1035" i="1" s="1"/>
  <c r="Q1034" i="1" a="1"/>
  <c r="Q1034" i="1" s="1"/>
  <c r="K1034" i="1" a="1"/>
  <c r="K1034" i="1" s="1"/>
  <c r="Q1033" i="1" a="1"/>
  <c r="Q1033" i="1" s="1"/>
  <c r="K1033" i="1" a="1"/>
  <c r="K1033" i="1" s="1"/>
  <c r="H1033" i="1" s="1"/>
  <c r="Q1032" i="1"/>
  <c r="Q1032" i="1" a="1"/>
  <c r="K1032" i="1" a="1"/>
  <c r="K1032" i="1" s="1"/>
  <c r="J1032" i="1" s="1"/>
  <c r="Q1031" i="1" a="1"/>
  <c r="Q1031" i="1" s="1"/>
  <c r="K1031" i="1" a="1"/>
  <c r="K1031" i="1" s="1"/>
  <c r="Q1030" i="1" a="1"/>
  <c r="Q1030" i="1" s="1"/>
  <c r="K1030" i="1" a="1"/>
  <c r="K1030" i="1" s="1"/>
  <c r="I1030" i="1" s="1"/>
  <c r="Q1029" i="1" a="1"/>
  <c r="Q1029" i="1" s="1"/>
  <c r="K1029" i="1" a="1"/>
  <c r="K1029" i="1" s="1"/>
  <c r="Q1028" i="1" a="1"/>
  <c r="Q1028" i="1" s="1"/>
  <c r="K1028" i="1" a="1"/>
  <c r="K1028" i="1" s="1"/>
  <c r="Q1027" i="1"/>
  <c r="Q1027" i="1" a="1"/>
  <c r="K1027" i="1" a="1"/>
  <c r="K1027" i="1" s="1"/>
  <c r="Q1026" i="1" a="1"/>
  <c r="Q1026" i="1" s="1"/>
  <c r="K1026" i="1" a="1"/>
  <c r="K1026" i="1" s="1"/>
  <c r="Q1025" i="1" a="1"/>
  <c r="Q1025" i="1" s="1"/>
  <c r="K1025" i="1" a="1"/>
  <c r="K1025" i="1" s="1"/>
  <c r="Q1024" i="1"/>
  <c r="Q1024" i="1" a="1"/>
  <c r="K1024" i="1" a="1"/>
  <c r="K1024" i="1" s="1"/>
  <c r="Q1023" i="1" a="1"/>
  <c r="Q1023" i="1" s="1"/>
  <c r="K1023" i="1" a="1"/>
  <c r="K1023" i="1" s="1"/>
  <c r="Q1022" i="1" a="1"/>
  <c r="Q1022" i="1" s="1"/>
  <c r="K1022" i="1" a="1"/>
  <c r="K1022" i="1" s="1"/>
  <c r="Q1021" i="1"/>
  <c r="Q1021" i="1" a="1"/>
  <c r="K1021" i="1" a="1"/>
  <c r="K1021" i="1" s="1"/>
  <c r="Q1020" i="1" a="1"/>
  <c r="Q1020" i="1" s="1"/>
  <c r="K1020" i="1" a="1"/>
  <c r="K1020" i="1" s="1"/>
  <c r="H1020" i="1" s="1"/>
  <c r="Q1019" i="1" a="1"/>
  <c r="Q1019" i="1" s="1"/>
  <c r="K1019" i="1" a="1"/>
  <c r="K1019" i="1" s="1"/>
  <c r="H1019" i="1" s="1"/>
  <c r="Q1018" i="1"/>
  <c r="Q1018" i="1" a="1"/>
  <c r="K1018" i="1" a="1"/>
  <c r="K1018" i="1" s="1"/>
  <c r="Q1017" i="1"/>
  <c r="Q1017" i="1" a="1"/>
  <c r="K1017" i="1" a="1"/>
  <c r="K1017" i="1" s="1"/>
  <c r="Q1016" i="1"/>
  <c r="Q1016" i="1" a="1"/>
  <c r="K1016" i="1" a="1"/>
  <c r="K1016" i="1" s="1"/>
  <c r="Q1015" i="1" a="1"/>
  <c r="Q1015" i="1" s="1"/>
  <c r="K1015" i="1"/>
  <c r="K1015" i="1" a="1"/>
  <c r="Q1014" i="1" a="1"/>
  <c r="Q1014" i="1" s="1"/>
  <c r="K1014" i="1" a="1"/>
  <c r="K1014" i="1" s="1"/>
  <c r="Q1013" i="1"/>
  <c r="Q1013" i="1" a="1"/>
  <c r="K1013" i="1" a="1"/>
  <c r="K1013" i="1" s="1"/>
  <c r="Q1012" i="1" a="1"/>
  <c r="Q1012" i="1" s="1"/>
  <c r="K1012" i="1" a="1"/>
  <c r="K1012" i="1" s="1"/>
  <c r="I1012" i="1" s="1"/>
  <c r="Q1011" i="1" a="1"/>
  <c r="Q1011" i="1" s="1"/>
  <c r="K1011" i="1" a="1"/>
  <c r="K1011" i="1" s="1"/>
  <c r="H1011" i="1" s="1"/>
  <c r="Q1010" i="1" a="1"/>
  <c r="Q1010" i="1" s="1"/>
  <c r="K1010" i="1" a="1"/>
  <c r="K1010" i="1" s="1"/>
  <c r="Q1009" i="1"/>
  <c r="Q1009" i="1" a="1"/>
  <c r="K1009" i="1" a="1"/>
  <c r="K1009" i="1" s="1"/>
  <c r="Q1008" i="1"/>
  <c r="Q1008" i="1" a="1"/>
  <c r="K1008" i="1" a="1"/>
  <c r="K1008" i="1" s="1"/>
  <c r="Q1007" i="1" a="1"/>
  <c r="Q1007" i="1" s="1"/>
  <c r="K1007" i="1" a="1"/>
  <c r="K1007" i="1" s="1"/>
  <c r="Q1006" i="1" a="1"/>
  <c r="Q1006" i="1" s="1"/>
  <c r="K1006" i="1" a="1"/>
  <c r="K1006" i="1" s="1"/>
  <c r="Q1005" i="1"/>
  <c r="Q1005" i="1" a="1"/>
  <c r="K1005" i="1" a="1"/>
  <c r="K1005" i="1" s="1"/>
  <c r="Q1004" i="1" a="1"/>
  <c r="Q1004" i="1" s="1"/>
  <c r="K1004" i="1" a="1"/>
  <c r="K1004" i="1" s="1"/>
  <c r="Q1003" i="1" a="1"/>
  <c r="Q1003" i="1" s="1"/>
  <c r="K1003" i="1"/>
  <c r="H1003" i="1" s="1"/>
  <c r="K1003" i="1" a="1"/>
  <c r="Q1002" i="1"/>
  <c r="Q1002" i="1" a="1"/>
  <c r="K1002" i="1" a="1"/>
  <c r="K1002" i="1" s="1"/>
  <c r="H1002" i="1" s="1"/>
  <c r="Q1001" i="1"/>
  <c r="Q1001" i="1" a="1"/>
  <c r="K1001" i="1" a="1"/>
  <c r="K1001" i="1" s="1"/>
  <c r="Q1000" i="1"/>
  <c r="Q1000" i="1" a="1"/>
  <c r="K1000" i="1" a="1"/>
  <c r="K1000" i="1" s="1"/>
  <c r="J1000" i="1" s="1"/>
  <c r="Q999" i="1" a="1"/>
  <c r="Q999" i="1" s="1"/>
  <c r="K999" i="1" a="1"/>
  <c r="K999" i="1" s="1"/>
  <c r="Q998" i="1" a="1"/>
  <c r="Q998" i="1" s="1"/>
  <c r="K998" i="1" a="1"/>
  <c r="K998" i="1" s="1"/>
  <c r="Q997" i="1"/>
  <c r="Q997" i="1" a="1"/>
  <c r="K997" i="1" a="1"/>
  <c r="K997" i="1" s="1"/>
  <c r="Q996" i="1"/>
  <c r="Q996" i="1" a="1"/>
  <c r="K996" i="1" a="1"/>
  <c r="K996" i="1" s="1"/>
  <c r="Q995" i="1" a="1"/>
  <c r="Q995" i="1" s="1"/>
  <c r="K995" i="1" a="1"/>
  <c r="K995" i="1" s="1"/>
  <c r="Q994" i="1"/>
  <c r="Q994" i="1" a="1"/>
  <c r="K994" i="1" a="1"/>
  <c r="K994" i="1" s="1"/>
  <c r="H994" i="1" s="1"/>
  <c r="Q993" i="1"/>
  <c r="Q993" i="1" a="1"/>
  <c r="K993" i="1" a="1"/>
  <c r="K993" i="1" s="1"/>
  <c r="Q992" i="1"/>
  <c r="Q992" i="1" a="1"/>
  <c r="K992" i="1" a="1"/>
  <c r="K992" i="1" s="1"/>
  <c r="J992" i="1" s="1"/>
  <c r="Q991" i="1" a="1"/>
  <c r="Q991" i="1" s="1"/>
  <c r="K991" i="1" a="1"/>
  <c r="K991" i="1" s="1"/>
  <c r="J991" i="1" s="1"/>
  <c r="Q990" i="1" a="1"/>
  <c r="Q990" i="1" s="1"/>
  <c r="K990" i="1" a="1"/>
  <c r="K990" i="1" s="1"/>
  <c r="Q989" i="1"/>
  <c r="Q989" i="1" a="1"/>
  <c r="K989" i="1" a="1"/>
  <c r="K989" i="1" s="1"/>
  <c r="Q988" i="1"/>
  <c r="Q988" i="1" a="1"/>
  <c r="K988" i="1" a="1"/>
  <c r="K988" i="1" s="1"/>
  <c r="H988" i="1" s="1"/>
  <c r="Q987" i="1" a="1"/>
  <c r="Q987" i="1" s="1"/>
  <c r="K987" i="1" a="1"/>
  <c r="K987" i="1" s="1"/>
  <c r="J987" i="1" s="1"/>
  <c r="Q986" i="1"/>
  <c r="Q986" i="1" a="1"/>
  <c r="K986" i="1" a="1"/>
  <c r="K986" i="1" s="1"/>
  <c r="Q985" i="1"/>
  <c r="Q985" i="1" a="1"/>
  <c r="K985" i="1" a="1"/>
  <c r="K985" i="1" s="1"/>
  <c r="Q984" i="1" a="1"/>
  <c r="Q984" i="1" s="1"/>
  <c r="K984" i="1" a="1"/>
  <c r="K984" i="1" s="1"/>
  <c r="Q983" i="1"/>
  <c r="Q983" i="1" a="1"/>
  <c r="K983" i="1" a="1"/>
  <c r="K983" i="1" s="1"/>
  <c r="H983" i="1" s="1"/>
  <c r="Q982" i="1" a="1"/>
  <c r="Q982" i="1" s="1"/>
  <c r="K982" i="1" a="1"/>
  <c r="K982" i="1" s="1"/>
  <c r="Q981" i="1"/>
  <c r="Q981" i="1" a="1"/>
  <c r="K981" i="1" a="1"/>
  <c r="K981" i="1" s="1"/>
  <c r="J981" i="1" s="1"/>
  <c r="Q980" i="1" a="1"/>
  <c r="Q980" i="1" s="1"/>
  <c r="K980" i="1" a="1"/>
  <c r="K980" i="1" s="1"/>
  <c r="Q979" i="1"/>
  <c r="Q979" i="1" a="1"/>
  <c r="K979" i="1" a="1"/>
  <c r="K979" i="1" s="1"/>
  <c r="Q978" i="1" a="1"/>
  <c r="Q978" i="1" s="1"/>
  <c r="K978" i="1" a="1"/>
  <c r="K978" i="1" s="1"/>
  <c r="Q977" i="1"/>
  <c r="Q977" i="1" a="1"/>
  <c r="K977" i="1" a="1"/>
  <c r="K977" i="1" s="1"/>
  <c r="Q976" i="1" a="1"/>
  <c r="Q976" i="1" s="1"/>
  <c r="K976" i="1" a="1"/>
  <c r="K976" i="1" s="1"/>
  <c r="Q975" i="1"/>
  <c r="Q975" i="1" a="1"/>
  <c r="K975" i="1" a="1"/>
  <c r="K975" i="1" s="1"/>
  <c r="Q974" i="1" a="1"/>
  <c r="Q974" i="1" s="1"/>
  <c r="K974" i="1" a="1"/>
  <c r="K974" i="1" s="1"/>
  <c r="Q973" i="1"/>
  <c r="Q973" i="1" a="1"/>
  <c r="K973" i="1" a="1"/>
  <c r="K973" i="1" s="1"/>
  <c r="J973" i="1" s="1"/>
  <c r="Q972" i="1" a="1"/>
  <c r="Q972" i="1" s="1"/>
  <c r="K972" i="1" a="1"/>
  <c r="K972" i="1" s="1"/>
  <c r="Q971" i="1"/>
  <c r="Q971" i="1" a="1"/>
  <c r="K971" i="1" a="1"/>
  <c r="K971" i="1" s="1"/>
  <c r="Q970" i="1" a="1"/>
  <c r="Q970" i="1" s="1"/>
  <c r="K970" i="1" a="1"/>
  <c r="K970" i="1" s="1"/>
  <c r="Q969" i="1"/>
  <c r="Q969" i="1" a="1"/>
  <c r="K969" i="1" a="1"/>
  <c r="K969" i="1" s="1"/>
  <c r="J969" i="1" s="1"/>
  <c r="Q968" i="1" a="1"/>
  <c r="Q968" i="1" s="1"/>
  <c r="K968" i="1" a="1"/>
  <c r="K968" i="1" s="1"/>
  <c r="Q967" i="1"/>
  <c r="Q967" i="1" a="1"/>
  <c r="K967" i="1" a="1"/>
  <c r="K967" i="1" s="1"/>
  <c r="H967" i="1" s="1"/>
  <c r="Q966" i="1" a="1"/>
  <c r="Q966" i="1" s="1"/>
  <c r="K966" i="1" a="1"/>
  <c r="K966" i="1" s="1"/>
  <c r="Q965" i="1"/>
  <c r="Q965" i="1" a="1"/>
  <c r="K965" i="1" a="1"/>
  <c r="K965" i="1" s="1"/>
  <c r="J965" i="1" s="1"/>
  <c r="Q964" i="1" a="1"/>
  <c r="Q964" i="1" s="1"/>
  <c r="K964" i="1" a="1"/>
  <c r="K964" i="1" s="1"/>
  <c r="Q963" i="1"/>
  <c r="Q963" i="1" a="1"/>
  <c r="K963" i="1" a="1"/>
  <c r="K963" i="1" s="1"/>
  <c r="Q962" i="1" a="1"/>
  <c r="Q962" i="1" s="1"/>
  <c r="K962" i="1" a="1"/>
  <c r="K962" i="1" s="1"/>
  <c r="Q961" i="1"/>
  <c r="Q961" i="1" a="1"/>
  <c r="K961" i="1" a="1"/>
  <c r="K961" i="1" s="1"/>
  <c r="J961" i="1" s="1"/>
  <c r="Q960" i="1" a="1"/>
  <c r="Q960" i="1" s="1"/>
  <c r="K960" i="1" a="1"/>
  <c r="K960" i="1" s="1"/>
  <c r="I960" i="1" s="1"/>
  <c r="Q959" i="1"/>
  <c r="Q959" i="1" a="1"/>
  <c r="K959" i="1" a="1"/>
  <c r="K959" i="1" s="1"/>
  <c r="Q958" i="1" a="1"/>
  <c r="Q958" i="1" s="1"/>
  <c r="K958" i="1" a="1"/>
  <c r="K958" i="1" s="1"/>
  <c r="Q957" i="1"/>
  <c r="Q957" i="1" a="1"/>
  <c r="K957" i="1" a="1"/>
  <c r="K957" i="1" s="1"/>
  <c r="Q956" i="1" a="1"/>
  <c r="Q956" i="1" s="1"/>
  <c r="K956" i="1" a="1"/>
  <c r="K956" i="1" s="1"/>
  <c r="Q955" i="1"/>
  <c r="Q955" i="1" a="1"/>
  <c r="K955" i="1" a="1"/>
  <c r="K955" i="1" s="1"/>
  <c r="Q954" i="1" a="1"/>
  <c r="Q954" i="1" s="1"/>
  <c r="K954" i="1" a="1"/>
  <c r="K954" i="1" s="1"/>
  <c r="Q953" i="1"/>
  <c r="Q953" i="1" a="1"/>
  <c r="K953" i="1" a="1"/>
  <c r="K953" i="1" s="1"/>
  <c r="Q952" i="1" a="1"/>
  <c r="Q952" i="1" s="1"/>
  <c r="K952" i="1" a="1"/>
  <c r="K952" i="1" s="1"/>
  <c r="Q951" i="1"/>
  <c r="Q951" i="1" a="1"/>
  <c r="K951" i="1" a="1"/>
  <c r="K951" i="1" s="1"/>
  <c r="Q950" i="1" a="1"/>
  <c r="Q950" i="1" s="1"/>
  <c r="K950" i="1" a="1"/>
  <c r="K950" i="1" s="1"/>
  <c r="Q949" i="1"/>
  <c r="Q949" i="1" a="1"/>
  <c r="K949" i="1" a="1"/>
  <c r="K949" i="1" s="1"/>
  <c r="H949" i="1" s="1"/>
  <c r="Q948" i="1" a="1"/>
  <c r="Q948" i="1" s="1"/>
  <c r="K948" i="1" a="1"/>
  <c r="K948" i="1" s="1"/>
  <c r="Q947" i="1"/>
  <c r="Q947" i="1" a="1"/>
  <c r="K947" i="1" a="1"/>
  <c r="K947" i="1" s="1"/>
  <c r="Q946" i="1" a="1"/>
  <c r="Q946" i="1" s="1"/>
  <c r="K946" i="1" a="1"/>
  <c r="K946" i="1" s="1"/>
  <c r="I946" i="1" s="1"/>
  <c r="Q945" i="1"/>
  <c r="Q945" i="1" a="1"/>
  <c r="K945" i="1" a="1"/>
  <c r="K945" i="1" s="1"/>
  <c r="Q944" i="1" a="1"/>
  <c r="Q944" i="1" s="1"/>
  <c r="K944" i="1" a="1"/>
  <c r="K944" i="1" s="1"/>
  <c r="Q943" i="1"/>
  <c r="Q943" i="1" a="1"/>
  <c r="K943" i="1" a="1"/>
  <c r="K943" i="1" s="1"/>
  <c r="Q942" i="1"/>
  <c r="Q942" i="1" a="1"/>
  <c r="K942" i="1" a="1"/>
  <c r="K942" i="1" s="1"/>
  <c r="Q941" i="1" a="1"/>
  <c r="Q941" i="1" s="1"/>
  <c r="K941" i="1" a="1"/>
  <c r="K941" i="1" s="1"/>
  <c r="Q940" i="1" a="1"/>
  <c r="Q940" i="1" s="1"/>
  <c r="K940" i="1" a="1"/>
  <c r="K940" i="1" s="1"/>
  <c r="Q939" i="1"/>
  <c r="Q939" i="1" a="1"/>
  <c r="K939" i="1" a="1"/>
  <c r="K939" i="1" s="1"/>
  <c r="Q938" i="1" a="1"/>
  <c r="Q938" i="1" s="1"/>
  <c r="K938" i="1" a="1"/>
  <c r="K938" i="1" s="1"/>
  <c r="I938" i="1" s="1"/>
  <c r="Q937" i="1" a="1"/>
  <c r="Q937" i="1" s="1"/>
  <c r="K937" i="1" a="1"/>
  <c r="K937" i="1" s="1"/>
  <c r="Q936" i="1"/>
  <c r="Q936" i="1" a="1"/>
  <c r="K936" i="1" a="1"/>
  <c r="K936" i="1" s="1"/>
  <c r="Q935" i="1" a="1"/>
  <c r="Q935" i="1" s="1"/>
  <c r="K935" i="1" a="1"/>
  <c r="K935" i="1" s="1"/>
  <c r="J935" i="1" s="1"/>
  <c r="Q934" i="1"/>
  <c r="Q934" i="1" a="1"/>
  <c r="K934" i="1" a="1"/>
  <c r="K934" i="1" s="1"/>
  <c r="Q933" i="1"/>
  <c r="Q933" i="1" a="1"/>
  <c r="K933" i="1" a="1"/>
  <c r="K933" i="1" s="1"/>
  <c r="Q932" i="1" a="1"/>
  <c r="Q932" i="1" s="1"/>
  <c r="K932" i="1" a="1"/>
  <c r="K932" i="1" s="1"/>
  <c r="Q931" i="1"/>
  <c r="Q931" i="1" a="1"/>
  <c r="K931" i="1" a="1"/>
  <c r="K931" i="1" s="1"/>
  <c r="J931" i="1" s="1"/>
  <c r="Q930" i="1" a="1"/>
  <c r="Q930" i="1" s="1"/>
  <c r="K930" i="1" a="1"/>
  <c r="K930" i="1" s="1"/>
  <c r="I930" i="1" s="1"/>
  <c r="Q929" i="1" a="1"/>
  <c r="Q929" i="1" s="1"/>
  <c r="K929" i="1" a="1"/>
  <c r="K929" i="1" s="1"/>
  <c r="H929" i="1" s="1"/>
  <c r="Q928" i="1"/>
  <c r="Q928" i="1" a="1"/>
  <c r="K928" i="1" a="1"/>
  <c r="K928" i="1" s="1"/>
  <c r="Q927" i="1" a="1"/>
  <c r="Q927" i="1" s="1"/>
  <c r="K927" i="1" a="1"/>
  <c r="K927" i="1" s="1"/>
  <c r="Q926" i="1"/>
  <c r="Q926" i="1" a="1"/>
  <c r="K926" i="1" a="1"/>
  <c r="K926" i="1" s="1"/>
  <c r="Q925" i="1"/>
  <c r="Q925" i="1" a="1"/>
  <c r="K925" i="1" a="1"/>
  <c r="K925" i="1" s="1"/>
  <c r="Q924" i="1" a="1"/>
  <c r="Q924" i="1" s="1"/>
  <c r="K924" i="1" a="1"/>
  <c r="K924" i="1" s="1"/>
  <c r="Q923" i="1"/>
  <c r="Q923" i="1" a="1"/>
  <c r="K923" i="1" a="1"/>
  <c r="K923" i="1" s="1"/>
  <c r="J923" i="1" s="1"/>
  <c r="Q922" i="1" a="1"/>
  <c r="Q922" i="1" s="1"/>
  <c r="K922" i="1" a="1"/>
  <c r="K922" i="1" s="1"/>
  <c r="Q921" i="1" a="1"/>
  <c r="Q921" i="1" s="1"/>
  <c r="K921" i="1" a="1"/>
  <c r="K921" i="1" s="1"/>
  <c r="H921" i="1"/>
  <c r="Q920" i="1"/>
  <c r="Q920" i="1" a="1"/>
  <c r="K920" i="1" a="1"/>
  <c r="K920" i="1" s="1"/>
  <c r="Q919" i="1" a="1"/>
  <c r="Q919" i="1" s="1"/>
  <c r="K919" i="1" a="1"/>
  <c r="K919" i="1" s="1"/>
  <c r="J919" i="1" s="1"/>
  <c r="Q918" i="1"/>
  <c r="Q918" i="1" a="1"/>
  <c r="K918" i="1" a="1"/>
  <c r="K918" i="1" s="1"/>
  <c r="Q917" i="1"/>
  <c r="Q917" i="1" a="1"/>
  <c r="K917" i="1" a="1"/>
  <c r="K917" i="1" s="1"/>
  <c r="Q916" i="1" a="1"/>
  <c r="Q916" i="1" s="1"/>
  <c r="K916" i="1" a="1"/>
  <c r="K916" i="1" s="1"/>
  <c r="Q915" i="1"/>
  <c r="Q915" i="1" a="1"/>
  <c r="K915" i="1" a="1"/>
  <c r="K915" i="1" s="1"/>
  <c r="J915" i="1" s="1"/>
  <c r="Q914" i="1" a="1"/>
  <c r="Q914" i="1" s="1"/>
  <c r="K914" i="1" a="1"/>
  <c r="K914" i="1" s="1"/>
  <c r="Q913" i="1" a="1"/>
  <c r="Q913" i="1" s="1"/>
  <c r="K913" i="1" a="1"/>
  <c r="K913" i="1" s="1"/>
  <c r="H913" i="1" s="1"/>
  <c r="Q912" i="1"/>
  <c r="Q912" i="1" a="1"/>
  <c r="K912" i="1" a="1"/>
  <c r="K912" i="1" s="1"/>
  <c r="Q911" i="1" a="1"/>
  <c r="Q911" i="1" s="1"/>
  <c r="K911" i="1" a="1"/>
  <c r="K911" i="1" s="1"/>
  <c r="J911" i="1" s="1"/>
  <c r="Q910" i="1"/>
  <c r="Q910" i="1" a="1"/>
  <c r="K910" i="1" a="1"/>
  <c r="K910" i="1" s="1"/>
  <c r="Q909" i="1"/>
  <c r="Q909" i="1" a="1"/>
  <c r="K909" i="1" a="1"/>
  <c r="K909" i="1" s="1"/>
  <c r="Q908" i="1" a="1"/>
  <c r="Q908" i="1" s="1"/>
  <c r="K908" i="1" a="1"/>
  <c r="K908" i="1" s="1"/>
  <c r="Q907" i="1"/>
  <c r="Q907" i="1" a="1"/>
  <c r="K907" i="1" a="1"/>
  <c r="K907" i="1" s="1"/>
  <c r="Q906" i="1" a="1"/>
  <c r="Q906" i="1" s="1"/>
  <c r="K906" i="1" a="1"/>
  <c r="K906" i="1" s="1"/>
  <c r="I906" i="1" s="1"/>
  <c r="Q905" i="1" a="1"/>
  <c r="Q905" i="1" s="1"/>
  <c r="K905" i="1" a="1"/>
  <c r="K905" i="1" s="1"/>
  <c r="Q904" i="1"/>
  <c r="Q904" i="1" a="1"/>
  <c r="K904" i="1" a="1"/>
  <c r="K904" i="1" s="1"/>
  <c r="Q903" i="1" a="1"/>
  <c r="Q903" i="1" s="1"/>
  <c r="K903" i="1" a="1"/>
  <c r="K903" i="1" s="1"/>
  <c r="J903" i="1" s="1"/>
  <c r="Q902" i="1"/>
  <c r="Q902" i="1" a="1"/>
  <c r="K902" i="1" a="1"/>
  <c r="K902" i="1" s="1"/>
  <c r="Q901" i="1"/>
  <c r="Q901" i="1" a="1"/>
  <c r="K901" i="1" a="1"/>
  <c r="K901" i="1" s="1"/>
  <c r="Q900" i="1" a="1"/>
  <c r="Q900" i="1" s="1"/>
  <c r="K900" i="1" a="1"/>
  <c r="K900" i="1" s="1"/>
  <c r="Q899" i="1"/>
  <c r="Q899" i="1" a="1"/>
  <c r="K899" i="1" a="1"/>
  <c r="K899" i="1" s="1"/>
  <c r="J899" i="1" s="1"/>
  <c r="Q898" i="1" a="1"/>
  <c r="Q898" i="1" s="1"/>
  <c r="K898" i="1" a="1"/>
  <c r="K898" i="1" s="1"/>
  <c r="I898" i="1" s="1"/>
  <c r="Q897" i="1" a="1"/>
  <c r="Q897" i="1" s="1"/>
  <c r="K897" i="1" a="1"/>
  <c r="K897" i="1" s="1"/>
  <c r="H897" i="1" s="1"/>
  <c r="Q896" i="1"/>
  <c r="Q896" i="1" a="1"/>
  <c r="K896" i="1" a="1"/>
  <c r="K896" i="1" s="1"/>
  <c r="J896" i="1" s="1"/>
  <c r="Q895" i="1" a="1"/>
  <c r="Q895" i="1" s="1"/>
  <c r="K895" i="1" a="1"/>
  <c r="K895" i="1" s="1"/>
  <c r="Q894" i="1"/>
  <c r="Q894" i="1" a="1"/>
  <c r="K894" i="1" a="1"/>
  <c r="K894" i="1" s="1"/>
  <c r="Q893" i="1"/>
  <c r="Q893" i="1" a="1"/>
  <c r="K893" i="1" a="1"/>
  <c r="K893" i="1" s="1"/>
  <c r="J893" i="1" s="1"/>
  <c r="Q892" i="1" a="1"/>
  <c r="Q892" i="1" s="1"/>
  <c r="K892" i="1" a="1"/>
  <c r="K892" i="1" s="1"/>
  <c r="I892" i="1" s="1"/>
  <c r="Q891" i="1"/>
  <c r="Q891" i="1" a="1"/>
  <c r="K891" i="1" a="1"/>
  <c r="K891" i="1" s="1"/>
  <c r="Q890" i="1" a="1"/>
  <c r="Q890" i="1" s="1"/>
  <c r="K890" i="1" a="1"/>
  <c r="K890" i="1" s="1"/>
  <c r="I890" i="1" s="1"/>
  <c r="Q889" i="1" a="1"/>
  <c r="Q889" i="1" s="1"/>
  <c r="K889" i="1" a="1"/>
  <c r="K889" i="1" s="1"/>
  <c r="H889" i="1" s="1"/>
  <c r="Q888" i="1"/>
  <c r="Q888" i="1" a="1"/>
  <c r="K888" i="1" a="1"/>
  <c r="K888" i="1" s="1"/>
  <c r="Q887" i="1" a="1"/>
  <c r="Q887" i="1" s="1"/>
  <c r="K887" i="1" a="1"/>
  <c r="K887" i="1" s="1"/>
  <c r="Q886" i="1"/>
  <c r="Q886" i="1" a="1"/>
  <c r="K886" i="1" a="1"/>
  <c r="K886" i="1" s="1"/>
  <c r="Q885" i="1"/>
  <c r="Q885" i="1" a="1"/>
  <c r="K885" i="1" a="1"/>
  <c r="K885" i="1" s="1"/>
  <c r="J885" i="1" s="1"/>
  <c r="Q884" i="1" a="1"/>
  <c r="Q884" i="1" s="1"/>
  <c r="K884" i="1" a="1"/>
  <c r="K884" i="1" s="1"/>
  <c r="I884" i="1" s="1"/>
  <c r="Q883" i="1"/>
  <c r="Q883" i="1" a="1"/>
  <c r="K883" i="1" a="1"/>
  <c r="K883" i="1" s="1"/>
  <c r="J883" i="1" s="1"/>
  <c r="Q882" i="1" a="1"/>
  <c r="Q882" i="1" s="1"/>
  <c r="K882" i="1" a="1"/>
  <c r="K882" i="1" s="1"/>
  <c r="I882" i="1" s="1"/>
  <c r="Q881" i="1" a="1"/>
  <c r="Q881" i="1" s="1"/>
  <c r="K881" i="1" a="1"/>
  <c r="K881" i="1" s="1"/>
  <c r="I881" i="1" s="1"/>
  <c r="Q880" i="1"/>
  <c r="Q880" i="1" a="1"/>
  <c r="K880" i="1" a="1"/>
  <c r="K880" i="1" s="1"/>
  <c r="Q879" i="1" a="1"/>
  <c r="Q879" i="1" s="1"/>
  <c r="K879" i="1" a="1"/>
  <c r="K879" i="1" s="1"/>
  <c r="Q878" i="1"/>
  <c r="Q878" i="1" a="1"/>
  <c r="K878" i="1" a="1"/>
  <c r="K878" i="1" s="1"/>
  <c r="H878" i="1" s="1"/>
  <c r="Q877" i="1"/>
  <c r="Q877" i="1" a="1"/>
  <c r="K877" i="1" a="1"/>
  <c r="K877" i="1" s="1"/>
  <c r="Q876" i="1"/>
  <c r="Q876" i="1" a="1"/>
  <c r="K876" i="1" a="1"/>
  <c r="K876" i="1" s="1"/>
  <c r="Q875" i="1" a="1"/>
  <c r="Q875" i="1" s="1"/>
  <c r="K875" i="1" a="1"/>
  <c r="K875" i="1" s="1"/>
  <c r="Q874" i="1" a="1"/>
  <c r="Q874" i="1" s="1"/>
  <c r="K874" i="1" a="1"/>
  <c r="K874" i="1" s="1"/>
  <c r="Q873" i="1" a="1"/>
  <c r="Q873" i="1" s="1"/>
  <c r="K873" i="1" a="1"/>
  <c r="K873" i="1" s="1"/>
  <c r="J873" i="1" s="1"/>
  <c r="Q872" i="1"/>
  <c r="Q872" i="1" a="1"/>
  <c r="K872" i="1" a="1"/>
  <c r="K872" i="1" s="1"/>
  <c r="Q871" i="1" a="1"/>
  <c r="Q871" i="1" s="1"/>
  <c r="K871" i="1" a="1"/>
  <c r="K871" i="1" s="1"/>
  <c r="H871" i="1" s="1"/>
  <c r="Q870" i="1"/>
  <c r="Q870" i="1" a="1"/>
  <c r="K870" i="1" a="1"/>
  <c r="K870" i="1" s="1"/>
  <c r="Q869" i="1"/>
  <c r="Q869" i="1" a="1"/>
  <c r="K869" i="1" a="1"/>
  <c r="K869" i="1" s="1"/>
  <c r="J869" i="1" s="1"/>
  <c r="Q868" i="1" a="1"/>
  <c r="Q868" i="1" s="1"/>
  <c r="K868" i="1" a="1"/>
  <c r="K868" i="1" s="1"/>
  <c r="Q867" i="1" a="1"/>
  <c r="Q867" i="1" s="1"/>
  <c r="K867" i="1" a="1"/>
  <c r="K867" i="1" s="1"/>
  <c r="J867" i="1" s="1"/>
  <c r="Q866" i="1"/>
  <c r="Q866" i="1" a="1"/>
  <c r="K866" i="1" a="1"/>
  <c r="K866" i="1" s="1"/>
  <c r="I866" i="1" s="1"/>
  <c r="Q865" i="1"/>
  <c r="Q865" i="1" a="1"/>
  <c r="K865" i="1" a="1"/>
  <c r="K865" i="1" s="1"/>
  <c r="J865" i="1" s="1"/>
  <c r="Q864" i="1" a="1"/>
  <c r="Q864" i="1" s="1"/>
  <c r="K864" i="1" a="1"/>
  <c r="K864" i="1" s="1"/>
  <c r="Q863" i="1" a="1"/>
  <c r="Q863" i="1" s="1"/>
  <c r="K863" i="1" a="1"/>
  <c r="K863" i="1" s="1"/>
  <c r="Q862" i="1"/>
  <c r="Q862" i="1" a="1"/>
  <c r="K862" i="1" a="1"/>
  <c r="K862" i="1" s="1"/>
  <c r="I862" i="1" s="1"/>
  <c r="Q861" i="1"/>
  <c r="Q861" i="1" a="1"/>
  <c r="K861" i="1" a="1"/>
  <c r="K861" i="1" s="1"/>
  <c r="Q860" i="1" a="1"/>
  <c r="Q860" i="1" s="1"/>
  <c r="K860" i="1" a="1"/>
  <c r="K860" i="1" s="1"/>
  <c r="Q859" i="1" a="1"/>
  <c r="Q859" i="1" s="1"/>
  <c r="K859" i="1" a="1"/>
  <c r="K859" i="1" s="1"/>
  <c r="Q858" i="1" a="1"/>
  <c r="Q858" i="1" s="1"/>
  <c r="K858" i="1" a="1"/>
  <c r="K858" i="1" s="1"/>
  <c r="Q857" i="1"/>
  <c r="Q857" i="1" a="1"/>
  <c r="K857" i="1" a="1"/>
  <c r="K857" i="1" s="1"/>
  <c r="Q856" i="1"/>
  <c r="Q856" i="1" a="1"/>
  <c r="K856" i="1" a="1"/>
  <c r="K856" i="1" s="1"/>
  <c r="J856" i="1" s="1"/>
  <c r="Q855" i="1" a="1"/>
  <c r="Q855" i="1" s="1"/>
  <c r="K855" i="1" a="1"/>
  <c r="K855" i="1" s="1"/>
  <c r="Q854" i="1"/>
  <c r="Q854" i="1" a="1"/>
  <c r="K854" i="1" a="1"/>
  <c r="K854" i="1" s="1"/>
  <c r="H854" i="1" s="1"/>
  <c r="Q853" i="1"/>
  <c r="Q853" i="1" a="1"/>
  <c r="K853" i="1" a="1"/>
  <c r="K853" i="1" s="1"/>
  <c r="Q852" i="1" a="1"/>
  <c r="Q852" i="1" s="1"/>
  <c r="K852" i="1" a="1"/>
  <c r="K852" i="1" s="1"/>
  <c r="Q851" i="1" a="1"/>
  <c r="Q851" i="1" s="1"/>
  <c r="K851" i="1" a="1"/>
  <c r="K851" i="1" s="1"/>
  <c r="Q850" i="1" a="1"/>
  <c r="Q850" i="1" s="1"/>
  <c r="K850" i="1" a="1"/>
  <c r="K850" i="1" s="1"/>
  <c r="Q849" i="1"/>
  <c r="Q849" i="1" a="1"/>
  <c r="K849" i="1" a="1"/>
  <c r="K849" i="1" s="1"/>
  <c r="Q848" i="1"/>
  <c r="Q848" i="1" a="1"/>
  <c r="K848" i="1" a="1"/>
  <c r="K848" i="1" s="1"/>
  <c r="Q847" i="1" a="1"/>
  <c r="Q847" i="1" s="1"/>
  <c r="K847" i="1" a="1"/>
  <c r="K847" i="1" s="1"/>
  <c r="Q846" i="1"/>
  <c r="Q846" i="1" a="1"/>
  <c r="K846" i="1" a="1"/>
  <c r="K846" i="1" s="1"/>
  <c r="H846" i="1"/>
  <c r="Q845" i="1"/>
  <c r="Q845" i="1" a="1"/>
  <c r="K845" i="1" a="1"/>
  <c r="K845" i="1" s="1"/>
  <c r="Q844" i="1" a="1"/>
  <c r="Q844" i="1" s="1"/>
  <c r="K844" i="1" a="1"/>
  <c r="K844" i="1" s="1"/>
  <c r="Q843" i="1" a="1"/>
  <c r="Q843" i="1" s="1"/>
  <c r="K843" i="1" a="1"/>
  <c r="K843" i="1" s="1"/>
  <c r="Q842" i="1" a="1"/>
  <c r="Q842" i="1" s="1"/>
  <c r="K842" i="1" a="1"/>
  <c r="K842" i="1" s="1"/>
  <c r="Q841" i="1"/>
  <c r="Q841" i="1" a="1"/>
  <c r="K841" i="1" a="1"/>
  <c r="K841" i="1" s="1"/>
  <c r="Q840" i="1"/>
  <c r="Q840" i="1" a="1"/>
  <c r="K840" i="1" a="1"/>
  <c r="K840" i="1" s="1"/>
  <c r="Q839" i="1" a="1"/>
  <c r="Q839" i="1" s="1"/>
  <c r="K839" i="1" a="1"/>
  <c r="K839" i="1" s="1"/>
  <c r="I839" i="1" s="1"/>
  <c r="Q838" i="1"/>
  <c r="Q838" i="1" a="1"/>
  <c r="K838" i="1" a="1"/>
  <c r="K838" i="1" s="1"/>
  <c r="H838" i="1" s="1"/>
  <c r="Q837" i="1"/>
  <c r="Q837" i="1" a="1"/>
  <c r="K837" i="1" a="1"/>
  <c r="K837" i="1" s="1"/>
  <c r="Q836" i="1" a="1"/>
  <c r="Q836" i="1" s="1"/>
  <c r="K836" i="1" a="1"/>
  <c r="K836" i="1" s="1"/>
  <c r="Q835" i="1" a="1"/>
  <c r="Q835" i="1" s="1"/>
  <c r="K835" i="1" a="1"/>
  <c r="K835" i="1" s="1"/>
  <c r="Q834" i="1" a="1"/>
  <c r="Q834" i="1" s="1"/>
  <c r="K834" i="1" a="1"/>
  <c r="K834" i="1" s="1"/>
  <c r="Q833" i="1"/>
  <c r="Q833" i="1" a="1"/>
  <c r="K833" i="1" a="1"/>
  <c r="K833" i="1" s="1"/>
  <c r="Q832" i="1"/>
  <c r="Q832" i="1" a="1"/>
  <c r="K832" i="1" a="1"/>
  <c r="K832" i="1" s="1"/>
  <c r="H832" i="1" s="1"/>
  <c r="Q831" i="1" a="1"/>
  <c r="Q831" i="1" s="1"/>
  <c r="K831" i="1" a="1"/>
  <c r="K831" i="1" s="1"/>
  <c r="Q830" i="1"/>
  <c r="Q830" i="1" a="1"/>
  <c r="K830" i="1" a="1"/>
  <c r="K830" i="1" s="1"/>
  <c r="H830" i="1" s="1"/>
  <c r="Q829" i="1"/>
  <c r="Q829" i="1" a="1"/>
  <c r="K829" i="1" a="1"/>
  <c r="K829" i="1" s="1"/>
  <c r="Q828" i="1"/>
  <c r="Q828" i="1" a="1"/>
  <c r="K828" i="1" a="1"/>
  <c r="K828" i="1" s="1"/>
  <c r="Q827" i="1" a="1"/>
  <c r="Q827" i="1" s="1"/>
  <c r="K827" i="1" a="1"/>
  <c r="K827" i="1" s="1"/>
  <c r="J827" i="1" s="1"/>
  <c r="Q826" i="1" a="1"/>
  <c r="Q826" i="1" s="1"/>
  <c r="K826" i="1" a="1"/>
  <c r="K826" i="1" s="1"/>
  <c r="Q825" i="1"/>
  <c r="Q825" i="1" a="1"/>
  <c r="K825" i="1" a="1"/>
  <c r="K825" i="1" s="1"/>
  <c r="Q824" i="1"/>
  <c r="Q824" i="1" a="1"/>
  <c r="K824" i="1" a="1"/>
  <c r="K824" i="1" s="1"/>
  <c r="H824" i="1" s="1"/>
  <c r="Q823" i="1" a="1"/>
  <c r="Q823" i="1" s="1"/>
  <c r="K823" i="1" a="1"/>
  <c r="K823" i="1" s="1"/>
  <c r="Q822" i="1"/>
  <c r="Q822" i="1" a="1"/>
  <c r="K822" i="1" a="1"/>
  <c r="K822" i="1" s="1"/>
  <c r="H822" i="1" s="1"/>
  <c r="Q821" i="1"/>
  <c r="Q821" i="1" a="1"/>
  <c r="K821" i="1" a="1"/>
  <c r="K821" i="1" s="1"/>
  <c r="Q820" i="1"/>
  <c r="Q820" i="1" a="1"/>
  <c r="K820" i="1" a="1"/>
  <c r="K820" i="1" s="1"/>
  <c r="Q819" i="1" a="1"/>
  <c r="Q819" i="1" s="1"/>
  <c r="K819" i="1"/>
  <c r="K819" i="1" a="1"/>
  <c r="Q818" i="1" a="1"/>
  <c r="Q818" i="1" s="1"/>
  <c r="K818" i="1" a="1"/>
  <c r="K818" i="1" s="1"/>
  <c r="Q817" i="1"/>
  <c r="Q817" i="1" a="1"/>
  <c r="K817" i="1" a="1"/>
  <c r="K817" i="1" s="1"/>
  <c r="Q816" i="1"/>
  <c r="Q816" i="1" a="1"/>
  <c r="K816" i="1" a="1"/>
  <c r="K816" i="1" s="1"/>
  <c r="Q815" i="1" a="1"/>
  <c r="Q815" i="1" s="1"/>
  <c r="K815" i="1"/>
  <c r="K815" i="1" a="1"/>
  <c r="Q814" i="1"/>
  <c r="Q814" i="1" a="1"/>
  <c r="K814" i="1" a="1"/>
  <c r="K814" i="1" s="1"/>
  <c r="H814" i="1" s="1"/>
  <c r="Q813" i="1"/>
  <c r="Q813" i="1" a="1"/>
  <c r="K813" i="1" a="1"/>
  <c r="K813" i="1" s="1"/>
  <c r="Q812" i="1"/>
  <c r="Q812" i="1" a="1"/>
  <c r="K812" i="1" a="1"/>
  <c r="K812" i="1" s="1"/>
  <c r="Q811" i="1" a="1"/>
  <c r="Q811" i="1" s="1"/>
  <c r="K811" i="1" a="1"/>
  <c r="K811" i="1" s="1"/>
  <c r="J811" i="1" s="1"/>
  <c r="Q810" i="1" a="1"/>
  <c r="Q810" i="1" s="1"/>
  <c r="K810" i="1" a="1"/>
  <c r="K810" i="1" s="1"/>
  <c r="Q809" i="1"/>
  <c r="Q809" i="1" a="1"/>
  <c r="K809" i="1" a="1"/>
  <c r="K809" i="1" s="1"/>
  <c r="Q808" i="1"/>
  <c r="Q808" i="1" a="1"/>
  <c r="K808" i="1" a="1"/>
  <c r="K808" i="1" s="1"/>
  <c r="Q807" i="1" a="1"/>
  <c r="Q807" i="1" s="1"/>
  <c r="K807" i="1" a="1"/>
  <c r="K807" i="1" s="1"/>
  <c r="I807" i="1" s="1"/>
  <c r="Q806" i="1"/>
  <c r="Q806" i="1" a="1"/>
  <c r="K806" i="1" a="1"/>
  <c r="K806" i="1" s="1"/>
  <c r="H806" i="1" s="1"/>
  <c r="Q805" i="1"/>
  <c r="Q805" i="1" a="1"/>
  <c r="K805" i="1" a="1"/>
  <c r="K805" i="1" s="1"/>
  <c r="Q804" i="1"/>
  <c r="Q804" i="1" a="1"/>
  <c r="K804" i="1" a="1"/>
  <c r="K804" i="1" s="1"/>
  <c r="Q803" i="1" a="1"/>
  <c r="Q803" i="1" s="1"/>
  <c r="K803" i="1" a="1"/>
  <c r="K803" i="1" s="1"/>
  <c r="Q802" i="1" a="1"/>
  <c r="Q802" i="1" s="1"/>
  <c r="K802" i="1" a="1"/>
  <c r="K802" i="1" s="1"/>
  <c r="Q801" i="1"/>
  <c r="Q801" i="1" a="1"/>
  <c r="K801" i="1" a="1"/>
  <c r="K801" i="1" s="1"/>
  <c r="Q800" i="1"/>
  <c r="Q800" i="1" a="1"/>
  <c r="K800" i="1" a="1"/>
  <c r="K800" i="1" s="1"/>
  <c r="Q799" i="1" a="1"/>
  <c r="Q799" i="1" s="1"/>
  <c r="K799" i="1" a="1"/>
  <c r="K799" i="1" s="1"/>
  <c r="I799" i="1" s="1"/>
  <c r="Q798" i="1"/>
  <c r="Q798" i="1" a="1"/>
  <c r="K798" i="1" a="1"/>
  <c r="K798" i="1" s="1"/>
  <c r="H798" i="1" s="1"/>
  <c r="Q797" i="1" a="1"/>
  <c r="Q797" i="1" s="1"/>
  <c r="K797" i="1" a="1"/>
  <c r="K797" i="1" s="1"/>
  <c r="Q796" i="1"/>
  <c r="Q796" i="1" a="1"/>
  <c r="K796" i="1" a="1"/>
  <c r="K796" i="1" s="1"/>
  <c r="Q795" i="1" a="1"/>
  <c r="Q795" i="1" s="1"/>
  <c r="K795" i="1" a="1"/>
  <c r="K795" i="1" s="1"/>
  <c r="J795" i="1" s="1"/>
  <c r="Q794" i="1" a="1"/>
  <c r="Q794" i="1" s="1"/>
  <c r="K794" i="1" a="1"/>
  <c r="K794" i="1" s="1"/>
  <c r="Q793" i="1"/>
  <c r="Q793" i="1" a="1"/>
  <c r="K793" i="1" a="1"/>
  <c r="K793" i="1" s="1"/>
  <c r="Q792" i="1"/>
  <c r="Q792" i="1" a="1"/>
  <c r="K792" i="1" a="1"/>
  <c r="K792" i="1" s="1"/>
  <c r="J792" i="1" s="1"/>
  <c r="Q791" i="1" a="1"/>
  <c r="Q791" i="1" s="1"/>
  <c r="K791" i="1" a="1"/>
  <c r="K791" i="1" s="1"/>
  <c r="Q790" i="1"/>
  <c r="Q790" i="1" a="1"/>
  <c r="K790" i="1" a="1"/>
  <c r="K790" i="1" s="1"/>
  <c r="H790" i="1" s="1"/>
  <c r="Q789" i="1" a="1"/>
  <c r="Q789" i="1" s="1"/>
  <c r="K789" i="1" a="1"/>
  <c r="K789" i="1" s="1"/>
  <c r="Q788" i="1"/>
  <c r="Q788" i="1" a="1"/>
  <c r="K788" i="1" a="1"/>
  <c r="K788" i="1" s="1"/>
  <c r="Q787" i="1" a="1"/>
  <c r="Q787" i="1" s="1"/>
  <c r="K787" i="1" a="1"/>
  <c r="K787" i="1" s="1"/>
  <c r="Q786" i="1" a="1"/>
  <c r="Q786" i="1" s="1"/>
  <c r="K786" i="1" a="1"/>
  <c r="K786" i="1" s="1"/>
  <c r="Q785" i="1"/>
  <c r="Q785" i="1" a="1"/>
  <c r="K785" i="1" a="1"/>
  <c r="K785" i="1" s="1"/>
  <c r="J785" i="1" s="1"/>
  <c r="Q784" i="1" a="1"/>
  <c r="Q784" i="1" s="1"/>
  <c r="K784" i="1" a="1"/>
  <c r="K784" i="1" s="1"/>
  <c r="Q783" i="1" a="1"/>
  <c r="Q783" i="1" s="1"/>
  <c r="K783" i="1" a="1"/>
  <c r="K783" i="1" s="1"/>
  <c r="I783" i="1" s="1"/>
  <c r="Q782" i="1"/>
  <c r="Q782" i="1" a="1"/>
  <c r="K782" i="1" a="1"/>
  <c r="K782" i="1" s="1"/>
  <c r="Q781" i="1" a="1"/>
  <c r="Q781" i="1" s="1"/>
  <c r="K781" i="1" a="1"/>
  <c r="K781" i="1" s="1"/>
  <c r="Q780" i="1"/>
  <c r="Q780" i="1" a="1"/>
  <c r="K780" i="1" a="1"/>
  <c r="K780" i="1" s="1"/>
  <c r="J780" i="1" s="1"/>
  <c r="H780" i="1"/>
  <c r="Q779" i="1" a="1"/>
  <c r="Q779" i="1" s="1"/>
  <c r="K779" i="1" a="1"/>
  <c r="K779" i="1" s="1"/>
  <c r="I779" i="1" s="1"/>
  <c r="Q778" i="1" a="1"/>
  <c r="Q778" i="1" s="1"/>
  <c r="K778" i="1" a="1"/>
  <c r="K778" i="1" s="1"/>
  <c r="Q777" i="1"/>
  <c r="Q777" i="1" a="1"/>
  <c r="K777" i="1" a="1"/>
  <c r="K777" i="1" s="1"/>
  <c r="Q776" i="1"/>
  <c r="Q776" i="1" a="1"/>
  <c r="K776" i="1" a="1"/>
  <c r="K776" i="1" s="1"/>
  <c r="I776" i="1" s="1"/>
  <c r="Q775" i="1" a="1"/>
  <c r="Q775" i="1" s="1"/>
  <c r="K775" i="1" a="1"/>
  <c r="K775" i="1" s="1"/>
  <c r="Q774" i="1"/>
  <c r="Q774" i="1" a="1"/>
  <c r="K774" i="1" a="1"/>
  <c r="K774" i="1" s="1"/>
  <c r="H774" i="1" s="1"/>
  <c r="Q773" i="1" a="1"/>
  <c r="Q773" i="1" s="1"/>
  <c r="K773" i="1" a="1"/>
  <c r="K773" i="1" s="1"/>
  <c r="Q772" i="1"/>
  <c r="Q772" i="1" a="1"/>
  <c r="K772" i="1" a="1"/>
  <c r="K772" i="1" s="1"/>
  <c r="J772" i="1" s="1"/>
  <c r="Q771" i="1" a="1"/>
  <c r="Q771" i="1" s="1"/>
  <c r="K771" i="1" a="1"/>
  <c r="K771" i="1" s="1"/>
  <c r="I771" i="1" s="1"/>
  <c r="Q770" i="1" a="1"/>
  <c r="Q770" i="1" s="1"/>
  <c r="K770" i="1" a="1"/>
  <c r="K770" i="1" s="1"/>
  <c r="Q769" i="1"/>
  <c r="Q769" i="1" a="1"/>
  <c r="K769" i="1" a="1"/>
  <c r="K769" i="1" s="1"/>
  <c r="I769" i="1" s="1"/>
  <c r="Q768" i="1"/>
  <c r="Q768" i="1" a="1"/>
  <c r="K768" i="1" a="1"/>
  <c r="K768" i="1" s="1"/>
  <c r="Q767" i="1" a="1"/>
  <c r="Q767" i="1" s="1"/>
  <c r="K767" i="1" a="1"/>
  <c r="K767" i="1" s="1"/>
  <c r="Q766" i="1"/>
  <c r="Q766" i="1" a="1"/>
  <c r="K766" i="1" a="1"/>
  <c r="K766" i="1" s="1"/>
  <c r="I766" i="1" s="1"/>
  <c r="Q765" i="1"/>
  <c r="Q765" i="1" a="1"/>
  <c r="K765" i="1" a="1"/>
  <c r="K765" i="1" s="1"/>
  <c r="Q764" i="1" a="1"/>
  <c r="Q764" i="1" s="1"/>
  <c r="K764" i="1" a="1"/>
  <c r="K764" i="1" s="1"/>
  <c r="Q763" i="1"/>
  <c r="Q763" i="1" a="1"/>
  <c r="K763" i="1" a="1"/>
  <c r="K763" i="1" s="1"/>
  <c r="Q762" i="1" a="1"/>
  <c r="Q762" i="1" s="1"/>
  <c r="K762" i="1" a="1"/>
  <c r="K762" i="1" s="1"/>
  <c r="I762" i="1" s="1"/>
  <c r="Q761" i="1"/>
  <c r="Q761" i="1" a="1"/>
  <c r="K761" i="1" a="1"/>
  <c r="K761" i="1" s="1"/>
  <c r="H761" i="1" s="1"/>
  <c r="Q760" i="1" a="1"/>
  <c r="Q760" i="1" s="1"/>
  <c r="K760" i="1" a="1"/>
  <c r="K760" i="1" s="1"/>
  <c r="Q759" i="1" a="1"/>
  <c r="Q759" i="1" s="1"/>
  <c r="K759" i="1" a="1"/>
  <c r="K759" i="1" s="1"/>
  <c r="Q758" i="1"/>
  <c r="Q758" i="1" a="1"/>
  <c r="K758" i="1" a="1"/>
  <c r="K758" i="1" s="1"/>
  <c r="Q757" i="1"/>
  <c r="Q757" i="1" a="1"/>
  <c r="K757" i="1" a="1"/>
  <c r="K757" i="1" s="1"/>
  <c r="Q756" i="1" a="1"/>
  <c r="Q756" i="1" s="1"/>
  <c r="K756" i="1" a="1"/>
  <c r="K756" i="1" s="1"/>
  <c r="Q755" i="1"/>
  <c r="Q755" i="1" a="1"/>
  <c r="K755" i="1" a="1"/>
  <c r="K755" i="1" s="1"/>
  <c r="Q754" i="1" a="1"/>
  <c r="Q754" i="1" s="1"/>
  <c r="K754" i="1" a="1"/>
  <c r="K754" i="1" s="1"/>
  <c r="Q753" i="1"/>
  <c r="Q753" i="1" a="1"/>
  <c r="K753" i="1" a="1"/>
  <c r="K753" i="1" s="1"/>
  <c r="H753" i="1" s="1"/>
  <c r="Q752" i="1" a="1"/>
  <c r="Q752" i="1" s="1"/>
  <c r="K752" i="1" a="1"/>
  <c r="K752" i="1" s="1"/>
  <c r="Q751" i="1" a="1"/>
  <c r="Q751" i="1" s="1"/>
  <c r="K751" i="1" a="1"/>
  <c r="K751" i="1" s="1"/>
  <c r="Q750" i="1"/>
  <c r="Q750" i="1" a="1"/>
  <c r="K750" i="1" a="1"/>
  <c r="K750" i="1" s="1"/>
  <c r="Q749" i="1"/>
  <c r="Q749" i="1" a="1"/>
  <c r="K749" i="1" a="1"/>
  <c r="K749" i="1" s="1"/>
  <c r="Q748" i="1" a="1"/>
  <c r="Q748" i="1" s="1"/>
  <c r="K748" i="1" a="1"/>
  <c r="K748" i="1" s="1"/>
  <c r="Q747" i="1"/>
  <c r="Q747" i="1" a="1"/>
  <c r="K747" i="1" a="1"/>
  <c r="K747" i="1" s="1"/>
  <c r="Q746" i="1" a="1"/>
  <c r="Q746" i="1" s="1"/>
  <c r="K746" i="1" a="1"/>
  <c r="K746" i="1" s="1"/>
  <c r="I746" i="1" s="1"/>
  <c r="Q745" i="1"/>
  <c r="Q745" i="1" a="1"/>
  <c r="K745" i="1" a="1"/>
  <c r="K745" i="1" s="1"/>
  <c r="H745" i="1" s="1"/>
  <c r="Q744" i="1" a="1"/>
  <c r="Q744" i="1" s="1"/>
  <c r="K744" i="1" a="1"/>
  <c r="K744" i="1" s="1"/>
  <c r="Q743" i="1" a="1"/>
  <c r="Q743" i="1" s="1"/>
  <c r="K743" i="1" a="1"/>
  <c r="K743" i="1" s="1"/>
  <c r="Q742" i="1"/>
  <c r="Q742" i="1" a="1"/>
  <c r="K742" i="1" a="1"/>
  <c r="K742" i="1" s="1"/>
  <c r="Q741" i="1"/>
  <c r="Q741" i="1" a="1"/>
  <c r="K741" i="1" a="1"/>
  <c r="K741" i="1" s="1"/>
  <c r="Q740" i="1" a="1"/>
  <c r="Q740" i="1" s="1"/>
  <c r="K740" i="1" a="1"/>
  <c r="K740" i="1" s="1"/>
  <c r="Q739" i="1"/>
  <c r="Q739" i="1" a="1"/>
  <c r="K739" i="1" a="1"/>
  <c r="K739" i="1" s="1"/>
  <c r="Q738" i="1" a="1"/>
  <c r="Q738" i="1" s="1"/>
  <c r="K738" i="1" a="1"/>
  <c r="K738" i="1" s="1"/>
  <c r="Q737" i="1"/>
  <c r="Q737" i="1" a="1"/>
  <c r="K737" i="1" a="1"/>
  <c r="K737" i="1" s="1"/>
  <c r="Q736" i="1" a="1"/>
  <c r="Q736" i="1" s="1"/>
  <c r="K736" i="1" a="1"/>
  <c r="K736" i="1" s="1"/>
  <c r="Q735" i="1" a="1"/>
  <c r="Q735" i="1" s="1"/>
  <c r="K735" i="1" a="1"/>
  <c r="K735" i="1" s="1"/>
  <c r="Q734" i="1"/>
  <c r="Q734" i="1" a="1"/>
  <c r="K734" i="1" a="1"/>
  <c r="K734" i="1" s="1"/>
  <c r="Q733" i="1"/>
  <c r="Q733" i="1" a="1"/>
  <c r="K733" i="1"/>
  <c r="K733" i="1" a="1"/>
  <c r="Q732" i="1" a="1"/>
  <c r="Q732" i="1" s="1"/>
  <c r="K732" i="1" a="1"/>
  <c r="K732" i="1" s="1"/>
  <c r="Q731" i="1"/>
  <c r="Q731" i="1" a="1"/>
  <c r="K731" i="1"/>
  <c r="I731" i="1" s="1"/>
  <c r="K731" i="1" a="1"/>
  <c r="Q730" i="1" a="1"/>
  <c r="Q730" i="1" s="1"/>
  <c r="K730" i="1" a="1"/>
  <c r="K730" i="1" s="1"/>
  <c r="I730" i="1" s="1"/>
  <c r="Q729" i="1"/>
  <c r="Q729" i="1" a="1"/>
  <c r="K729" i="1" a="1"/>
  <c r="K729" i="1" s="1"/>
  <c r="H729" i="1" s="1"/>
  <c r="Q728" i="1" a="1"/>
  <c r="Q728" i="1" s="1"/>
  <c r="K728" i="1" a="1"/>
  <c r="K728" i="1" s="1"/>
  <c r="Q727" i="1" a="1"/>
  <c r="Q727" i="1" s="1"/>
  <c r="K727" i="1" a="1"/>
  <c r="K727" i="1" s="1"/>
  <c r="Q726" i="1"/>
  <c r="Q726" i="1" a="1"/>
  <c r="K726" i="1" a="1"/>
  <c r="K726" i="1" s="1"/>
  <c r="Q725" i="1"/>
  <c r="Q725" i="1" a="1"/>
  <c r="K725" i="1" a="1"/>
  <c r="K725" i="1" s="1"/>
  <c r="Q724" i="1" a="1"/>
  <c r="Q724" i="1" s="1"/>
  <c r="K724" i="1" a="1"/>
  <c r="K724" i="1" s="1"/>
  <c r="Q723" i="1"/>
  <c r="Q723" i="1" a="1"/>
  <c r="K723" i="1" a="1"/>
  <c r="K723" i="1" s="1"/>
  <c r="Q722" i="1" a="1"/>
  <c r="Q722" i="1" s="1"/>
  <c r="K722" i="1" a="1"/>
  <c r="K722" i="1" s="1"/>
  <c r="I722" i="1" s="1"/>
  <c r="Q721" i="1"/>
  <c r="Q721" i="1" a="1"/>
  <c r="K721" i="1" a="1"/>
  <c r="K721" i="1" s="1"/>
  <c r="H721" i="1" s="1"/>
  <c r="Q720" i="1" a="1"/>
  <c r="Q720" i="1" s="1"/>
  <c r="K720" i="1" a="1"/>
  <c r="K720" i="1" s="1"/>
  <c r="Q719" i="1" a="1"/>
  <c r="Q719" i="1" s="1"/>
  <c r="K719" i="1" a="1"/>
  <c r="K719" i="1" s="1"/>
  <c r="Q718" i="1"/>
  <c r="Q718" i="1" a="1"/>
  <c r="K718" i="1" a="1"/>
  <c r="K718" i="1" s="1"/>
  <c r="Q717" i="1"/>
  <c r="Q717" i="1" a="1"/>
  <c r="K717" i="1" a="1"/>
  <c r="K717" i="1" s="1"/>
  <c r="Q716" i="1" a="1"/>
  <c r="Q716" i="1" s="1"/>
  <c r="K716" i="1" a="1"/>
  <c r="K716" i="1" s="1"/>
  <c r="Q715" i="1"/>
  <c r="Q715" i="1" a="1"/>
  <c r="K715" i="1" a="1"/>
  <c r="K715" i="1" s="1"/>
  <c r="Q714" i="1" a="1"/>
  <c r="Q714" i="1" s="1"/>
  <c r="K714" i="1" a="1"/>
  <c r="K714" i="1" s="1"/>
  <c r="I714" i="1" s="1"/>
  <c r="Q713" i="1"/>
  <c r="Q713" i="1" a="1"/>
  <c r="K713" i="1" a="1"/>
  <c r="K713" i="1" s="1"/>
  <c r="H713" i="1" s="1"/>
  <c r="Q712" i="1" a="1"/>
  <c r="Q712" i="1" s="1"/>
  <c r="K712" i="1" a="1"/>
  <c r="K712" i="1" s="1"/>
  <c r="Q711" i="1" a="1"/>
  <c r="Q711" i="1" s="1"/>
  <c r="K711" i="1"/>
  <c r="K711" i="1" a="1"/>
  <c r="Q710" i="1"/>
  <c r="Q710" i="1" a="1"/>
  <c r="K710" i="1" a="1"/>
  <c r="K710" i="1" s="1"/>
  <c r="Q709" i="1"/>
  <c r="Q709" i="1" a="1"/>
  <c r="K709" i="1" a="1"/>
  <c r="K709" i="1" s="1"/>
  <c r="Q708" i="1" a="1"/>
  <c r="Q708" i="1" s="1"/>
  <c r="K708" i="1" a="1"/>
  <c r="K708" i="1" s="1"/>
  <c r="Q707" i="1"/>
  <c r="Q707" i="1" a="1"/>
  <c r="K707" i="1" a="1"/>
  <c r="K707" i="1" s="1"/>
  <c r="I707" i="1" s="1"/>
  <c r="Q706" i="1" a="1"/>
  <c r="Q706" i="1" s="1"/>
  <c r="K706" i="1" a="1"/>
  <c r="K706" i="1" s="1"/>
  <c r="I706" i="1" s="1"/>
  <c r="Q705" i="1"/>
  <c r="Q705" i="1" a="1"/>
  <c r="K705" i="1" a="1"/>
  <c r="K705" i="1" s="1"/>
  <c r="H705" i="1" s="1"/>
  <c r="Q704" i="1" a="1"/>
  <c r="Q704" i="1" s="1"/>
  <c r="K704" i="1" a="1"/>
  <c r="K704" i="1" s="1"/>
  <c r="Q703" i="1" a="1"/>
  <c r="Q703" i="1" s="1"/>
  <c r="K703" i="1" a="1"/>
  <c r="K703" i="1" s="1"/>
  <c r="Q702" i="1"/>
  <c r="Q702" i="1" a="1"/>
  <c r="K702" i="1" a="1"/>
  <c r="K702" i="1" s="1"/>
  <c r="Q701" i="1"/>
  <c r="Q701" i="1" a="1"/>
  <c r="K701" i="1" a="1"/>
  <c r="K701" i="1" s="1"/>
  <c r="Q700" i="1" a="1"/>
  <c r="Q700" i="1" s="1"/>
  <c r="K700" i="1" a="1"/>
  <c r="K700" i="1" s="1"/>
  <c r="Q699" i="1"/>
  <c r="Q699" i="1" a="1"/>
  <c r="K699" i="1" a="1"/>
  <c r="K699" i="1" s="1"/>
  <c r="H699" i="1" s="1"/>
  <c r="Q698" i="1" a="1"/>
  <c r="Q698" i="1" s="1"/>
  <c r="K698" i="1" a="1"/>
  <c r="K698" i="1" s="1"/>
  <c r="Q697" i="1"/>
  <c r="Q697" i="1" a="1"/>
  <c r="K697" i="1" a="1"/>
  <c r="K697" i="1" s="1"/>
  <c r="H697" i="1" s="1"/>
  <c r="Q696" i="1" a="1"/>
  <c r="Q696" i="1" s="1"/>
  <c r="K696" i="1" a="1"/>
  <c r="K696" i="1" s="1"/>
  <c r="Q695" i="1" a="1"/>
  <c r="Q695" i="1" s="1"/>
  <c r="K695" i="1" a="1"/>
  <c r="K695" i="1" s="1"/>
  <c r="Q694" i="1"/>
  <c r="Q694" i="1" a="1"/>
  <c r="K694" i="1" a="1"/>
  <c r="K694" i="1" s="1"/>
  <c r="J694" i="1" s="1"/>
  <c r="Q693" i="1" a="1"/>
  <c r="Q693" i="1" s="1"/>
  <c r="K693" i="1" a="1"/>
  <c r="K693" i="1" s="1"/>
  <c r="Q692" i="1" a="1"/>
  <c r="Q692" i="1" s="1"/>
  <c r="K692" i="1" a="1"/>
  <c r="K692" i="1" s="1"/>
  <c r="H692" i="1" s="1"/>
  <c r="Q691" i="1"/>
  <c r="Q691" i="1" a="1"/>
  <c r="K691" i="1" a="1"/>
  <c r="K691" i="1" s="1"/>
  <c r="H691" i="1" s="1"/>
  <c r="Q690" i="1" a="1"/>
  <c r="Q690" i="1" s="1"/>
  <c r="K690" i="1" a="1"/>
  <c r="K690" i="1" s="1"/>
  <c r="Q689" i="1"/>
  <c r="Q689" i="1" a="1"/>
  <c r="K689" i="1" a="1"/>
  <c r="K689" i="1" s="1"/>
  <c r="H689" i="1" s="1"/>
  <c r="Q688" i="1"/>
  <c r="Q688" i="1" a="1"/>
  <c r="K688" i="1" a="1"/>
  <c r="K688" i="1" s="1"/>
  <c r="I688" i="1" s="1"/>
  <c r="Q687" i="1" a="1"/>
  <c r="Q687" i="1" s="1"/>
  <c r="K687" i="1" a="1"/>
  <c r="K687" i="1" s="1"/>
  <c r="Q686" i="1"/>
  <c r="Q686" i="1" a="1"/>
  <c r="K686" i="1" a="1"/>
  <c r="K686" i="1" s="1"/>
  <c r="Q685" i="1"/>
  <c r="Q685" i="1" a="1"/>
  <c r="K685" i="1" a="1"/>
  <c r="K685" i="1" s="1"/>
  <c r="I685" i="1" s="1"/>
  <c r="Q684" i="1" a="1"/>
  <c r="Q684" i="1" s="1"/>
  <c r="K684" i="1" a="1"/>
  <c r="K684" i="1" s="1"/>
  <c r="I684" i="1" s="1"/>
  <c r="Q683" i="1"/>
  <c r="Q683" i="1" a="1"/>
  <c r="K683" i="1" a="1"/>
  <c r="K683" i="1" s="1"/>
  <c r="Q682" i="1" a="1"/>
  <c r="Q682" i="1" s="1"/>
  <c r="K682" i="1" a="1"/>
  <c r="K682" i="1" s="1"/>
  <c r="Q681" i="1"/>
  <c r="Q681" i="1" a="1"/>
  <c r="K681" i="1" a="1"/>
  <c r="K681" i="1" s="1"/>
  <c r="J681" i="1" s="1"/>
  <c r="Q680" i="1" a="1"/>
  <c r="Q680" i="1" s="1"/>
  <c r="K680" i="1" a="1"/>
  <c r="K680" i="1" s="1"/>
  <c r="Q679" i="1" a="1"/>
  <c r="Q679" i="1" s="1"/>
  <c r="K679" i="1" a="1"/>
  <c r="K679" i="1" s="1"/>
  <c r="Q678" i="1"/>
  <c r="Q678" i="1" a="1"/>
  <c r="K678" i="1" a="1"/>
  <c r="K678" i="1" s="1"/>
  <c r="H678" i="1" s="1"/>
  <c r="Q677" i="1" a="1"/>
  <c r="Q677" i="1" s="1"/>
  <c r="K677" i="1" a="1"/>
  <c r="K677" i="1" s="1"/>
  <c r="Q676" i="1" a="1"/>
  <c r="Q676" i="1" s="1"/>
  <c r="K676" i="1" a="1"/>
  <c r="K676" i="1" s="1"/>
  <c r="Q675" i="1"/>
  <c r="Q675" i="1" a="1"/>
  <c r="K675" i="1" a="1"/>
  <c r="K675" i="1" s="1"/>
  <c r="Q674" i="1" a="1"/>
  <c r="Q674" i="1" s="1"/>
  <c r="K674" i="1" a="1"/>
  <c r="K674" i="1" s="1"/>
  <c r="I674" i="1" s="1"/>
  <c r="Q673" i="1"/>
  <c r="Q673" i="1" a="1"/>
  <c r="K673" i="1" a="1"/>
  <c r="K673" i="1" s="1"/>
  <c r="Q672" i="1" a="1"/>
  <c r="Q672" i="1" s="1"/>
  <c r="K672" i="1" a="1"/>
  <c r="K672" i="1" s="1"/>
  <c r="Q671" i="1"/>
  <c r="Q671" i="1" a="1"/>
  <c r="K671" i="1" a="1"/>
  <c r="K671" i="1" s="1"/>
  <c r="Q670" i="1"/>
  <c r="Q670" i="1" a="1"/>
  <c r="K670" i="1" a="1"/>
  <c r="K670" i="1" s="1"/>
  <c r="Q669" i="1" a="1"/>
  <c r="Q669" i="1" s="1"/>
  <c r="K669" i="1" a="1"/>
  <c r="K669" i="1" s="1"/>
  <c r="Q668" i="1"/>
  <c r="Q668" i="1" a="1"/>
  <c r="K668" i="1" a="1"/>
  <c r="K668" i="1" s="1"/>
  <c r="Q667" i="1" a="1"/>
  <c r="Q667" i="1" s="1"/>
  <c r="K667" i="1" a="1"/>
  <c r="K667" i="1" s="1"/>
  <c r="Q666" i="1"/>
  <c r="Q666" i="1" a="1"/>
  <c r="K666" i="1" a="1"/>
  <c r="K666" i="1" s="1"/>
  <c r="H666" i="1" s="1"/>
  <c r="Q665" i="1"/>
  <c r="Q665" i="1" a="1"/>
  <c r="K665" i="1" a="1"/>
  <c r="K665" i="1" s="1"/>
  <c r="Q664" i="1" a="1"/>
  <c r="Q664" i="1" s="1"/>
  <c r="K664" i="1" a="1"/>
  <c r="K664" i="1" s="1"/>
  <c r="Q663" i="1" a="1"/>
  <c r="Q663" i="1" s="1"/>
  <c r="K663" i="1" a="1"/>
  <c r="K663" i="1" s="1"/>
  <c r="Q662" i="1"/>
  <c r="Q662" i="1" a="1"/>
  <c r="K662" i="1" a="1"/>
  <c r="K662" i="1" s="1"/>
  <c r="Q661" i="1" a="1"/>
  <c r="Q661" i="1" s="1"/>
  <c r="K661" i="1" a="1"/>
  <c r="K661" i="1" s="1"/>
  <c r="Q660" i="1"/>
  <c r="Q660" i="1" a="1"/>
  <c r="K660" i="1" a="1"/>
  <c r="K660" i="1" s="1"/>
  <c r="Q659" i="1" a="1"/>
  <c r="Q659" i="1" s="1"/>
  <c r="K659" i="1" a="1"/>
  <c r="K659" i="1" s="1"/>
  <c r="Q658" i="1"/>
  <c r="Q658" i="1" a="1"/>
  <c r="K658" i="1" a="1"/>
  <c r="K658" i="1" s="1"/>
  <c r="H658" i="1" s="1"/>
  <c r="Q657" i="1"/>
  <c r="Q657" i="1" a="1"/>
  <c r="K657" i="1" a="1"/>
  <c r="K657" i="1" s="1"/>
  <c r="Q656" i="1" a="1"/>
  <c r="Q656" i="1" s="1"/>
  <c r="K656" i="1" a="1"/>
  <c r="K656" i="1" s="1"/>
  <c r="I656" i="1" s="1"/>
  <c r="Q655" i="1" a="1"/>
  <c r="Q655" i="1" s="1"/>
  <c r="K655" i="1" a="1"/>
  <c r="K655" i="1" s="1"/>
  <c r="H655" i="1" s="1"/>
  <c r="Q654" i="1"/>
  <c r="Q654" i="1" a="1"/>
  <c r="K654" i="1" a="1"/>
  <c r="K654" i="1" s="1"/>
  <c r="Q653" i="1" a="1"/>
  <c r="Q653" i="1" s="1"/>
  <c r="K653" i="1" a="1"/>
  <c r="K653" i="1" s="1"/>
  <c r="Q652" i="1"/>
  <c r="Q652" i="1" a="1"/>
  <c r="K652" i="1" a="1"/>
  <c r="K652" i="1" s="1"/>
  <c r="Q651" i="1" a="1"/>
  <c r="Q651" i="1" s="1"/>
  <c r="K651" i="1" a="1"/>
  <c r="K651" i="1" s="1"/>
  <c r="Q650" i="1"/>
  <c r="Q650" i="1" a="1"/>
  <c r="K650" i="1" a="1"/>
  <c r="K650" i="1" s="1"/>
  <c r="H650" i="1" s="1"/>
  <c r="Q649" i="1"/>
  <c r="Q649" i="1" a="1"/>
  <c r="K649" i="1" a="1"/>
  <c r="K649" i="1" s="1"/>
  <c r="Q648" i="1" a="1"/>
  <c r="Q648" i="1" s="1"/>
  <c r="K648" i="1" a="1"/>
  <c r="K648" i="1" s="1"/>
  <c r="I648" i="1" s="1"/>
  <c r="Q647" i="1" a="1"/>
  <c r="Q647" i="1" s="1"/>
  <c r="K647" i="1" a="1"/>
  <c r="K647" i="1" s="1"/>
  <c r="Q646" i="1"/>
  <c r="Q646" i="1" a="1"/>
  <c r="K646" i="1" a="1"/>
  <c r="K646" i="1" s="1"/>
  <c r="Q645" i="1" a="1"/>
  <c r="Q645" i="1" s="1"/>
  <c r="K645" i="1" a="1"/>
  <c r="K645" i="1" s="1"/>
  <c r="Q644" i="1"/>
  <c r="Q644" i="1" a="1"/>
  <c r="K644" i="1" a="1"/>
  <c r="K644" i="1" s="1"/>
  <c r="J644" i="1" s="1"/>
  <c r="Q643" i="1" a="1"/>
  <c r="Q643" i="1" s="1"/>
  <c r="K643" i="1" a="1"/>
  <c r="K643" i="1" s="1"/>
  <c r="I643" i="1" s="1"/>
  <c r="Q642" i="1"/>
  <c r="Q642" i="1" a="1"/>
  <c r="K642" i="1" a="1"/>
  <c r="K642" i="1" s="1"/>
  <c r="H642" i="1" s="1"/>
  <c r="Q641" i="1"/>
  <c r="Q641" i="1" a="1"/>
  <c r="K641" i="1" a="1"/>
  <c r="K641" i="1" s="1"/>
  <c r="J641" i="1" s="1"/>
  <c r="Q640" i="1" a="1"/>
  <c r="Q640" i="1" s="1"/>
  <c r="K640" i="1" a="1"/>
  <c r="K640" i="1" s="1"/>
  <c r="I640" i="1" s="1"/>
  <c r="Q639" i="1" a="1"/>
  <c r="Q639" i="1" s="1"/>
  <c r="K639" i="1" a="1"/>
  <c r="K639" i="1" s="1"/>
  <c r="Q638" i="1"/>
  <c r="Q638" i="1" a="1"/>
  <c r="K638" i="1" a="1"/>
  <c r="K638" i="1" s="1"/>
  <c r="Q637" i="1" a="1"/>
  <c r="Q637" i="1" s="1"/>
  <c r="K637" i="1" a="1"/>
  <c r="K637" i="1" s="1"/>
  <c r="Q636" i="1"/>
  <c r="Q636" i="1" a="1"/>
  <c r="K636" i="1" a="1"/>
  <c r="K636" i="1" s="1"/>
  <c r="J636" i="1" s="1"/>
  <c r="Q635" i="1" a="1"/>
  <c r="Q635" i="1" s="1"/>
  <c r="K635" i="1" a="1"/>
  <c r="K635" i="1" s="1"/>
  <c r="I635" i="1" s="1"/>
  <c r="Q634" i="1"/>
  <c r="Q634" i="1" a="1"/>
  <c r="K634" i="1" a="1"/>
  <c r="K634" i="1" s="1"/>
  <c r="H634" i="1" s="1"/>
  <c r="Q633" i="1"/>
  <c r="Q633" i="1" a="1"/>
  <c r="K633" i="1" a="1"/>
  <c r="K633" i="1" s="1"/>
  <c r="J633" i="1" s="1"/>
  <c r="Q632" i="1" a="1"/>
  <c r="Q632" i="1" s="1"/>
  <c r="K632" i="1" a="1"/>
  <c r="K632" i="1" s="1"/>
  <c r="I632" i="1" s="1"/>
  <c r="Q631" i="1" a="1"/>
  <c r="Q631" i="1" s="1"/>
  <c r="K631" i="1" a="1"/>
  <c r="K631" i="1" s="1"/>
  <c r="H631" i="1" s="1"/>
  <c r="Q630" i="1"/>
  <c r="Q630" i="1" a="1"/>
  <c r="K630" i="1" a="1"/>
  <c r="K630" i="1" s="1"/>
  <c r="Q629" i="1" a="1"/>
  <c r="Q629" i="1" s="1"/>
  <c r="K629" i="1" a="1"/>
  <c r="K629" i="1" s="1"/>
  <c r="I629" i="1" s="1"/>
  <c r="Q628" i="1"/>
  <c r="Q628" i="1" a="1"/>
  <c r="K628" i="1" a="1"/>
  <c r="K628" i="1" s="1"/>
  <c r="Q627" i="1" a="1"/>
  <c r="Q627" i="1" s="1"/>
  <c r="K627" i="1" a="1"/>
  <c r="K627" i="1" s="1"/>
  <c r="Q626" i="1"/>
  <c r="Q626" i="1" a="1"/>
  <c r="K626" i="1" a="1"/>
  <c r="K626" i="1" s="1"/>
  <c r="Q625" i="1" a="1"/>
  <c r="Q625" i="1" s="1"/>
  <c r="K625" i="1" a="1"/>
  <c r="K625" i="1" s="1"/>
  <c r="Q624" i="1" a="1"/>
  <c r="Q624" i="1" s="1"/>
  <c r="K624" i="1" a="1"/>
  <c r="K624" i="1" s="1"/>
  <c r="Q623" i="1" a="1"/>
  <c r="Q623" i="1" s="1"/>
  <c r="K623" i="1" a="1"/>
  <c r="K623" i="1" s="1"/>
  <c r="I623" i="1" s="1"/>
  <c r="Q622" i="1"/>
  <c r="Q622" i="1" a="1"/>
  <c r="K622" i="1" a="1"/>
  <c r="K622" i="1" s="1"/>
  <c r="H622" i="1"/>
  <c r="Q621" i="1" a="1"/>
  <c r="Q621" i="1" s="1"/>
  <c r="K621" i="1" a="1"/>
  <c r="K621" i="1" s="1"/>
  <c r="H621" i="1" s="1"/>
  <c r="I621" i="1"/>
  <c r="Q620" i="1"/>
  <c r="Q620" i="1" a="1"/>
  <c r="K620" i="1" a="1"/>
  <c r="K620" i="1" s="1"/>
  <c r="H620" i="1" s="1"/>
  <c r="Q619" i="1" a="1"/>
  <c r="Q619" i="1" s="1"/>
  <c r="K619" i="1" a="1"/>
  <c r="K619" i="1" s="1"/>
  <c r="I619" i="1" s="1"/>
  <c r="Q618" i="1"/>
  <c r="Q618" i="1" a="1"/>
  <c r="K618" i="1" a="1"/>
  <c r="K618" i="1" s="1"/>
  <c r="Q617" i="1"/>
  <c r="Q617" i="1" a="1"/>
  <c r="K617" i="1" a="1"/>
  <c r="K617" i="1" s="1"/>
  <c r="Q616" i="1" a="1"/>
  <c r="Q616" i="1" s="1"/>
  <c r="K616" i="1" a="1"/>
  <c r="K616" i="1" s="1"/>
  <c r="Q615" i="1"/>
  <c r="Q615" i="1" a="1"/>
  <c r="K615" i="1" a="1"/>
  <c r="K615" i="1" s="1"/>
  <c r="H615" i="1" s="1"/>
  <c r="Q614" i="1" a="1"/>
  <c r="Q614" i="1" s="1"/>
  <c r="K614" i="1" a="1"/>
  <c r="K614" i="1" s="1"/>
  <c r="Q613" i="1"/>
  <c r="Q613" i="1" a="1"/>
  <c r="K613" i="1" a="1"/>
  <c r="K613" i="1" s="1"/>
  <c r="J613" i="1" s="1"/>
  <c r="Q612" i="1" a="1"/>
  <c r="Q612" i="1" s="1"/>
  <c r="K612" i="1" a="1"/>
  <c r="K612" i="1" s="1"/>
  <c r="Q611" i="1"/>
  <c r="Q611" i="1" a="1"/>
  <c r="K611" i="1" a="1"/>
  <c r="K611" i="1" s="1"/>
  <c r="Q610" i="1" a="1"/>
  <c r="Q610" i="1" s="1"/>
  <c r="K610" i="1" a="1"/>
  <c r="K610" i="1" s="1"/>
  <c r="Q609" i="1"/>
  <c r="Q609" i="1" a="1"/>
  <c r="K609" i="1" a="1"/>
  <c r="K609" i="1" s="1"/>
  <c r="Q608" i="1" a="1"/>
  <c r="Q608" i="1" s="1"/>
  <c r="K608" i="1" a="1"/>
  <c r="K608" i="1" s="1"/>
  <c r="I608" i="1" s="1"/>
  <c r="Q607" i="1"/>
  <c r="Q607" i="1" a="1"/>
  <c r="K607" i="1" a="1"/>
  <c r="K607" i="1" s="1"/>
  <c r="H607" i="1" s="1"/>
  <c r="Q606" i="1" a="1"/>
  <c r="Q606" i="1" s="1"/>
  <c r="K606" i="1" a="1"/>
  <c r="K606" i="1" s="1"/>
  <c r="Q605" i="1"/>
  <c r="Q605" i="1" a="1"/>
  <c r="K605" i="1" a="1"/>
  <c r="K605" i="1" s="1"/>
  <c r="J605" i="1" s="1"/>
  <c r="Q604" i="1" a="1"/>
  <c r="Q604" i="1" s="1"/>
  <c r="K604" i="1" a="1"/>
  <c r="K604" i="1" s="1"/>
  <c r="Q603" i="1"/>
  <c r="Q603" i="1" a="1"/>
  <c r="K603" i="1" a="1"/>
  <c r="K603" i="1" s="1"/>
  <c r="Q602" i="1" a="1"/>
  <c r="Q602" i="1" s="1"/>
  <c r="K602" i="1" a="1"/>
  <c r="K602" i="1" s="1"/>
  <c r="Q601" i="1"/>
  <c r="Q601" i="1" a="1"/>
  <c r="K601" i="1" a="1"/>
  <c r="K601" i="1" s="1"/>
  <c r="J601" i="1" s="1"/>
  <c r="Q600" i="1" a="1"/>
  <c r="Q600" i="1" s="1"/>
  <c r="K600" i="1" a="1"/>
  <c r="K600" i="1" s="1"/>
  <c r="Q599" i="1"/>
  <c r="Q599" i="1" a="1"/>
  <c r="K599" i="1" a="1"/>
  <c r="K599" i="1" s="1"/>
  <c r="H599" i="1" s="1"/>
  <c r="Q598" i="1" a="1"/>
  <c r="Q598" i="1" s="1"/>
  <c r="K598" i="1" a="1"/>
  <c r="K598" i="1" s="1"/>
  <c r="Q597" i="1"/>
  <c r="Q597" i="1" a="1"/>
  <c r="K597" i="1" a="1"/>
  <c r="K597" i="1" s="1"/>
  <c r="J597" i="1" s="1"/>
  <c r="Q596" i="1" a="1"/>
  <c r="Q596" i="1" s="1"/>
  <c r="K596" i="1" a="1"/>
  <c r="K596" i="1" s="1"/>
  <c r="Q595" i="1"/>
  <c r="Q595" i="1" a="1"/>
  <c r="K595" i="1" a="1"/>
  <c r="K595" i="1" s="1"/>
  <c r="Q594" i="1" a="1"/>
  <c r="Q594" i="1" s="1"/>
  <c r="K594" i="1" a="1"/>
  <c r="K594" i="1" s="1"/>
  <c r="Q593" i="1"/>
  <c r="Q593" i="1" a="1"/>
  <c r="K593" i="1" a="1"/>
  <c r="K593" i="1" s="1"/>
  <c r="J593" i="1" s="1"/>
  <c r="Q592" i="1" a="1"/>
  <c r="Q592" i="1" s="1"/>
  <c r="K592" i="1" a="1"/>
  <c r="K592" i="1" s="1"/>
  <c r="I592" i="1" s="1"/>
  <c r="Q591" i="1"/>
  <c r="Q591" i="1" a="1"/>
  <c r="K591" i="1" a="1"/>
  <c r="K591" i="1" s="1"/>
  <c r="H591" i="1" s="1"/>
  <c r="Q590" i="1" a="1"/>
  <c r="Q590" i="1" s="1"/>
  <c r="K590" i="1" a="1"/>
  <c r="K590" i="1" s="1"/>
  <c r="Q589" i="1"/>
  <c r="Q589" i="1" a="1"/>
  <c r="K589" i="1" a="1"/>
  <c r="K589" i="1" s="1"/>
  <c r="J589" i="1" s="1"/>
  <c r="Q588" i="1" a="1"/>
  <c r="Q588" i="1" s="1"/>
  <c r="K588" i="1" a="1"/>
  <c r="K588" i="1" s="1"/>
  <c r="Q587" i="1"/>
  <c r="Q587" i="1" a="1"/>
  <c r="K587" i="1" a="1"/>
  <c r="K587" i="1" s="1"/>
  <c r="Q586" i="1" a="1"/>
  <c r="Q586" i="1" s="1"/>
  <c r="K586" i="1" a="1"/>
  <c r="K586" i="1" s="1"/>
  <c r="Q585" i="1"/>
  <c r="Q585" i="1" a="1"/>
  <c r="K585" i="1" a="1"/>
  <c r="K585" i="1" s="1"/>
  <c r="J585" i="1" s="1"/>
  <c r="Q584" i="1" a="1"/>
  <c r="Q584" i="1" s="1"/>
  <c r="K584" i="1" a="1"/>
  <c r="K584" i="1" s="1"/>
  <c r="I584" i="1" s="1"/>
  <c r="Q583" i="1"/>
  <c r="Q583" i="1" a="1"/>
  <c r="K583" i="1" a="1"/>
  <c r="K583" i="1" s="1"/>
  <c r="H583" i="1" s="1"/>
  <c r="Q582" i="1" a="1"/>
  <c r="Q582" i="1" s="1"/>
  <c r="K582" i="1" a="1"/>
  <c r="K582" i="1" s="1"/>
  <c r="Q581" i="1"/>
  <c r="Q581" i="1" a="1"/>
  <c r="K581" i="1" a="1"/>
  <c r="K581" i="1" s="1"/>
  <c r="J581" i="1" s="1"/>
  <c r="Q580" i="1" a="1"/>
  <c r="Q580" i="1" s="1"/>
  <c r="K580" i="1" a="1"/>
  <c r="K580" i="1" s="1"/>
  <c r="Q579" i="1"/>
  <c r="Q579" i="1" a="1"/>
  <c r="K579" i="1" a="1"/>
  <c r="K579" i="1" s="1"/>
  <c r="Q578" i="1" a="1"/>
  <c r="Q578" i="1" s="1"/>
  <c r="K578" i="1" a="1"/>
  <c r="K578" i="1" s="1"/>
  <c r="Q577" i="1"/>
  <c r="Q577" i="1" a="1"/>
  <c r="K577" i="1" a="1"/>
  <c r="K577" i="1" s="1"/>
  <c r="J577" i="1" s="1"/>
  <c r="Q576" i="1" a="1"/>
  <c r="Q576" i="1" s="1"/>
  <c r="K576" i="1" a="1"/>
  <c r="K576" i="1" s="1"/>
  <c r="I576" i="1" s="1"/>
  <c r="Q575" i="1"/>
  <c r="Q575" i="1" a="1"/>
  <c r="K575" i="1" a="1"/>
  <c r="K575" i="1" s="1"/>
  <c r="H575" i="1" s="1"/>
  <c r="Q574" i="1" a="1"/>
  <c r="Q574" i="1" s="1"/>
  <c r="K574" i="1" a="1"/>
  <c r="K574" i="1" s="1"/>
  <c r="Q573" i="1"/>
  <c r="Q573" i="1" a="1"/>
  <c r="K573" i="1" a="1"/>
  <c r="K573" i="1" s="1"/>
  <c r="J573" i="1" s="1"/>
  <c r="Q572" i="1" a="1"/>
  <c r="Q572" i="1" s="1"/>
  <c r="K572" i="1" a="1"/>
  <c r="K572" i="1" s="1"/>
  <c r="Q571" i="1"/>
  <c r="Q571" i="1" a="1"/>
  <c r="K571" i="1" a="1"/>
  <c r="K571" i="1" s="1"/>
  <c r="Q570" i="1" a="1"/>
  <c r="Q570" i="1" s="1"/>
  <c r="K570" i="1" a="1"/>
  <c r="K570" i="1" s="1"/>
  <c r="Q569" i="1"/>
  <c r="Q569" i="1" a="1"/>
  <c r="K569" i="1" a="1"/>
  <c r="K569" i="1" s="1"/>
  <c r="Q568" i="1" a="1"/>
  <c r="Q568" i="1" s="1"/>
  <c r="K568" i="1" a="1"/>
  <c r="K568" i="1" s="1"/>
  <c r="I568" i="1" s="1"/>
  <c r="Q567" i="1"/>
  <c r="Q567" i="1" a="1"/>
  <c r="K567" i="1" a="1"/>
  <c r="K567" i="1" s="1"/>
  <c r="H567" i="1" s="1"/>
  <c r="Q566" i="1" a="1"/>
  <c r="Q566" i="1" s="1"/>
  <c r="K566" i="1" a="1"/>
  <c r="K566" i="1" s="1"/>
  <c r="Q565" i="1"/>
  <c r="Q565" i="1" a="1"/>
  <c r="K565" i="1" a="1"/>
  <c r="K565" i="1" s="1"/>
  <c r="J565" i="1" s="1"/>
  <c r="Q564" i="1" a="1"/>
  <c r="Q564" i="1" s="1"/>
  <c r="K564" i="1" a="1"/>
  <c r="K564" i="1" s="1"/>
  <c r="Q563" i="1"/>
  <c r="Q563" i="1" a="1"/>
  <c r="K563" i="1" a="1"/>
  <c r="K563" i="1" s="1"/>
  <c r="Q562" i="1" a="1"/>
  <c r="Q562" i="1" s="1"/>
  <c r="K562" i="1" a="1"/>
  <c r="K562" i="1" s="1"/>
  <c r="Q561" i="1"/>
  <c r="Q561" i="1" a="1"/>
  <c r="K561" i="1" a="1"/>
  <c r="K561" i="1" s="1"/>
  <c r="Q560" i="1" a="1"/>
  <c r="Q560" i="1" s="1"/>
  <c r="K560" i="1" a="1"/>
  <c r="K560" i="1" s="1"/>
  <c r="I560" i="1" s="1"/>
  <c r="Q559" i="1"/>
  <c r="Q559" i="1" a="1"/>
  <c r="K559" i="1" a="1"/>
  <c r="K559" i="1" s="1"/>
  <c r="H559" i="1" s="1"/>
  <c r="Q558" i="1" a="1"/>
  <c r="Q558" i="1" s="1"/>
  <c r="K558" i="1" a="1"/>
  <c r="K558" i="1" s="1"/>
  <c r="Q557" i="1"/>
  <c r="Q557" i="1" a="1"/>
  <c r="K557" i="1" a="1"/>
  <c r="K557" i="1" s="1"/>
  <c r="Q556" i="1" a="1"/>
  <c r="Q556" i="1" s="1"/>
  <c r="K556" i="1" a="1"/>
  <c r="K556" i="1" s="1"/>
  <c r="Q555" i="1"/>
  <c r="Q555" i="1" a="1"/>
  <c r="K555" i="1" a="1"/>
  <c r="K555" i="1" s="1"/>
  <c r="J555" i="1" s="1"/>
  <c r="Q554" i="1" a="1"/>
  <c r="Q554" i="1" s="1"/>
  <c r="K554" i="1" a="1"/>
  <c r="K554" i="1" s="1"/>
  <c r="I554" i="1" s="1"/>
  <c r="Q553" i="1"/>
  <c r="Q553" i="1" a="1"/>
  <c r="K553" i="1" a="1"/>
  <c r="K553" i="1" s="1"/>
  <c r="Q552" i="1" a="1"/>
  <c r="Q552" i="1" s="1"/>
  <c r="K552" i="1" a="1"/>
  <c r="K552" i="1" s="1"/>
  <c r="Q551" i="1"/>
  <c r="Q551" i="1" a="1"/>
  <c r="K551" i="1" a="1"/>
  <c r="K551" i="1" s="1"/>
  <c r="H551" i="1" s="1"/>
  <c r="Q550" i="1" a="1"/>
  <c r="Q550" i="1" s="1"/>
  <c r="K550" i="1" a="1"/>
  <c r="K550" i="1" s="1"/>
  <c r="Q549" i="1"/>
  <c r="Q549" i="1" a="1"/>
  <c r="K549" i="1" a="1"/>
  <c r="K549" i="1" s="1"/>
  <c r="Q548" i="1" a="1"/>
  <c r="Q548" i="1" s="1"/>
  <c r="K548" i="1" a="1"/>
  <c r="K548" i="1" s="1"/>
  <c r="Q547" i="1"/>
  <c r="Q547" i="1" a="1"/>
  <c r="K547" i="1" a="1"/>
  <c r="K547" i="1" s="1"/>
  <c r="Q546" i="1" a="1"/>
  <c r="Q546" i="1" s="1"/>
  <c r="K546" i="1" a="1"/>
  <c r="K546" i="1" s="1"/>
  <c r="I546" i="1" s="1"/>
  <c r="Q545" i="1"/>
  <c r="Q545" i="1" a="1"/>
  <c r="K545" i="1" a="1"/>
  <c r="K545" i="1" s="1"/>
  <c r="H545" i="1" s="1"/>
  <c r="Q544" i="1" a="1"/>
  <c r="Q544" i="1" s="1"/>
  <c r="K544" i="1" a="1"/>
  <c r="K544" i="1" s="1"/>
  <c r="I544" i="1" s="1"/>
  <c r="Q543" i="1"/>
  <c r="Q543" i="1" a="1"/>
  <c r="K543" i="1" a="1"/>
  <c r="K543" i="1" s="1"/>
  <c r="H543" i="1" s="1"/>
  <c r="Q542" i="1" a="1"/>
  <c r="Q542" i="1" s="1"/>
  <c r="K542" i="1" a="1"/>
  <c r="K542" i="1" s="1"/>
  <c r="Q541" i="1"/>
  <c r="Q541" i="1" a="1"/>
  <c r="K541" i="1" a="1"/>
  <c r="K541" i="1" s="1"/>
  <c r="Q540" i="1" a="1"/>
  <c r="Q540" i="1" s="1"/>
  <c r="K540" i="1" a="1"/>
  <c r="K540" i="1" s="1"/>
  <c r="Q539" i="1"/>
  <c r="Q539" i="1" a="1"/>
  <c r="K539" i="1" a="1"/>
  <c r="K539" i="1" s="1"/>
  <c r="J539" i="1" s="1"/>
  <c r="Q538" i="1" a="1"/>
  <c r="Q538" i="1" s="1"/>
  <c r="K538" i="1" a="1"/>
  <c r="K538" i="1" s="1"/>
  <c r="I538" i="1"/>
  <c r="Q537" i="1"/>
  <c r="Q537" i="1" a="1"/>
  <c r="K537" i="1" a="1"/>
  <c r="K537" i="1" s="1"/>
  <c r="Q536" i="1" a="1"/>
  <c r="Q536" i="1" s="1"/>
  <c r="K536" i="1" a="1"/>
  <c r="K536" i="1" s="1"/>
  <c r="I536" i="1" s="1"/>
  <c r="Q535" i="1"/>
  <c r="Q535" i="1" a="1"/>
  <c r="K535" i="1" a="1"/>
  <c r="K535" i="1" s="1"/>
  <c r="H535" i="1" s="1"/>
  <c r="Q534" i="1" a="1"/>
  <c r="Q534" i="1" s="1"/>
  <c r="K534" i="1" a="1"/>
  <c r="K534" i="1" s="1"/>
  <c r="Q533" i="1"/>
  <c r="Q533" i="1" a="1"/>
  <c r="K533" i="1" a="1"/>
  <c r="K533" i="1" s="1"/>
  <c r="J533" i="1" s="1"/>
  <c r="Q532" i="1" a="1"/>
  <c r="Q532" i="1" s="1"/>
  <c r="K532" i="1" a="1"/>
  <c r="K532" i="1" s="1"/>
  <c r="I532" i="1" s="1"/>
  <c r="Q531" i="1"/>
  <c r="Q531" i="1" a="1"/>
  <c r="K531" i="1" a="1"/>
  <c r="K531" i="1" s="1"/>
  <c r="H531" i="1" s="1"/>
  <c r="Q530" i="1" a="1"/>
  <c r="Q530" i="1" s="1"/>
  <c r="K530" i="1" a="1"/>
  <c r="K530" i="1" s="1"/>
  <c r="I530" i="1" s="1"/>
  <c r="Q529" i="1"/>
  <c r="Q529" i="1" a="1"/>
  <c r="K529" i="1" a="1"/>
  <c r="K529" i="1" s="1"/>
  <c r="H529" i="1" s="1"/>
  <c r="Q528" i="1" a="1"/>
  <c r="Q528" i="1" s="1"/>
  <c r="K528" i="1" a="1"/>
  <c r="K528" i="1" s="1"/>
  <c r="Q527" i="1"/>
  <c r="Q527" i="1" a="1"/>
  <c r="K527" i="1" a="1"/>
  <c r="K527" i="1" s="1"/>
  <c r="H527" i="1" s="1"/>
  <c r="Q526" i="1" a="1"/>
  <c r="Q526" i="1" s="1"/>
  <c r="K526" i="1" a="1"/>
  <c r="K526" i="1" s="1"/>
  <c r="I526" i="1" s="1"/>
  <c r="Q525" i="1"/>
  <c r="Q525" i="1" a="1"/>
  <c r="K525" i="1" a="1"/>
  <c r="K525" i="1" s="1"/>
  <c r="Q524" i="1"/>
  <c r="Q524" i="1" a="1"/>
  <c r="K524" i="1" a="1"/>
  <c r="K524" i="1" s="1"/>
  <c r="Q523" i="1" a="1"/>
  <c r="Q523" i="1" s="1"/>
  <c r="K523" i="1" a="1"/>
  <c r="K523" i="1" s="1"/>
  <c r="H523" i="1" s="1"/>
  <c r="Q522" i="1" a="1"/>
  <c r="Q522" i="1" s="1"/>
  <c r="K522" i="1" a="1"/>
  <c r="K522" i="1" s="1"/>
  <c r="Q521" i="1" a="1"/>
  <c r="Q521" i="1" s="1"/>
  <c r="K521" i="1" a="1"/>
  <c r="K521" i="1" s="1"/>
  <c r="J521" i="1" s="1"/>
  <c r="Q520" i="1" a="1"/>
  <c r="Q520" i="1" s="1"/>
  <c r="K520" i="1" a="1"/>
  <c r="K520" i="1" s="1"/>
  <c r="H520" i="1" s="1"/>
  <c r="Q519" i="1"/>
  <c r="Q519" i="1" a="1"/>
  <c r="K519" i="1" a="1"/>
  <c r="K519" i="1" s="1"/>
  <c r="Q518" i="1" a="1"/>
  <c r="Q518" i="1" s="1"/>
  <c r="K518" i="1" a="1"/>
  <c r="K518" i="1" s="1"/>
  <c r="Q517" i="1"/>
  <c r="Q517" i="1" a="1"/>
  <c r="K517" i="1" a="1"/>
  <c r="K517" i="1" s="1"/>
  <c r="J517" i="1" s="1"/>
  <c r="Q516" i="1" a="1"/>
  <c r="Q516" i="1" s="1"/>
  <c r="K516" i="1" a="1"/>
  <c r="K516" i="1" s="1"/>
  <c r="H516" i="1"/>
  <c r="Q515" i="1" a="1"/>
  <c r="Q515" i="1" s="1"/>
  <c r="K515" i="1" a="1"/>
  <c r="K515" i="1" s="1"/>
  <c r="J515" i="1" s="1"/>
  <c r="Q514" i="1"/>
  <c r="Q514" i="1" a="1"/>
  <c r="K514" i="1" a="1"/>
  <c r="K514" i="1" s="1"/>
  <c r="H514" i="1" s="1"/>
  <c r="Q513" i="1" a="1"/>
  <c r="Q513" i="1" s="1"/>
  <c r="K513" i="1" a="1"/>
  <c r="K513" i="1" s="1"/>
  <c r="Q512" i="1"/>
  <c r="Q512" i="1" a="1"/>
  <c r="K512" i="1" a="1"/>
  <c r="K512" i="1" s="1"/>
  <c r="Q511" i="1" a="1"/>
  <c r="Q511" i="1" s="1"/>
  <c r="K511" i="1" a="1"/>
  <c r="K511" i="1" s="1"/>
  <c r="Q510" i="1" a="1"/>
  <c r="Q510" i="1" s="1"/>
  <c r="K510" i="1" a="1"/>
  <c r="K510" i="1" s="1"/>
  <c r="Q509" i="1" a="1"/>
  <c r="Q509" i="1" s="1"/>
  <c r="K509" i="1" a="1"/>
  <c r="K509" i="1" s="1"/>
  <c r="Q508" i="1"/>
  <c r="Q508" i="1" a="1"/>
  <c r="K508" i="1" a="1"/>
  <c r="K508" i="1" s="1"/>
  <c r="Q507" i="1"/>
  <c r="Q507" i="1" a="1"/>
  <c r="K507" i="1" a="1"/>
  <c r="K507" i="1" s="1"/>
  <c r="Q506" i="1"/>
  <c r="Q506" i="1" a="1"/>
  <c r="K506" i="1" a="1"/>
  <c r="K506" i="1" s="1"/>
  <c r="Q505" i="1" a="1"/>
  <c r="Q505" i="1" s="1"/>
  <c r="K505" i="1" a="1"/>
  <c r="K505" i="1" s="1"/>
  <c r="I505" i="1" s="1"/>
  <c r="Q504" i="1"/>
  <c r="Q504" i="1" a="1"/>
  <c r="K504" i="1" a="1"/>
  <c r="K504" i="1" s="1"/>
  <c r="H504" i="1" s="1"/>
  <c r="Q503" i="1" a="1"/>
  <c r="Q503" i="1" s="1"/>
  <c r="K503" i="1" a="1"/>
  <c r="K503" i="1" s="1"/>
  <c r="Q502" i="1" a="1"/>
  <c r="Q502" i="1" s="1"/>
  <c r="K502" i="1" a="1"/>
  <c r="K502" i="1" s="1"/>
  <c r="Q501" i="1" a="1"/>
  <c r="Q501" i="1" s="1"/>
  <c r="K501" i="1" a="1"/>
  <c r="K501" i="1" s="1"/>
  <c r="Q500" i="1"/>
  <c r="Q500" i="1" a="1"/>
  <c r="K500" i="1" a="1"/>
  <c r="K500" i="1" s="1"/>
  <c r="Q499" i="1"/>
  <c r="Q499" i="1" a="1"/>
  <c r="K499" i="1" a="1"/>
  <c r="K499" i="1" s="1"/>
  <c r="Q498" i="1"/>
  <c r="Q498" i="1" a="1"/>
  <c r="K498" i="1" a="1"/>
  <c r="K498" i="1" s="1"/>
  <c r="I498" i="1" s="1"/>
  <c r="Q497" i="1" a="1"/>
  <c r="Q497" i="1" s="1"/>
  <c r="K497" i="1" a="1"/>
  <c r="K497" i="1" s="1"/>
  <c r="I497" i="1" s="1"/>
  <c r="Q496" i="1"/>
  <c r="Q496" i="1" a="1"/>
  <c r="K496" i="1" a="1"/>
  <c r="K496" i="1" s="1"/>
  <c r="H496" i="1" s="1"/>
  <c r="Q495" i="1" a="1"/>
  <c r="Q495" i="1" s="1"/>
  <c r="K495" i="1" a="1"/>
  <c r="K495" i="1" s="1"/>
  <c r="Q494" i="1" a="1"/>
  <c r="Q494" i="1" s="1"/>
  <c r="K494" i="1" a="1"/>
  <c r="K494" i="1" s="1"/>
  <c r="Q493" i="1" a="1"/>
  <c r="Q493" i="1" s="1"/>
  <c r="K493" i="1" a="1"/>
  <c r="K493" i="1" s="1"/>
  <c r="Q492" i="1"/>
  <c r="Q492" i="1" a="1"/>
  <c r="K492" i="1" a="1"/>
  <c r="K492" i="1" s="1"/>
  <c r="Q491" i="1"/>
  <c r="Q491" i="1" a="1"/>
  <c r="K491" i="1" a="1"/>
  <c r="K491" i="1" s="1"/>
  <c r="Q490" i="1"/>
  <c r="Q490" i="1" a="1"/>
  <c r="K490" i="1" a="1"/>
  <c r="K490" i="1" s="1"/>
  <c r="Q489" i="1" a="1"/>
  <c r="Q489" i="1" s="1"/>
  <c r="K489" i="1" a="1"/>
  <c r="K489" i="1" s="1"/>
  <c r="I489" i="1" s="1"/>
  <c r="Q488" i="1"/>
  <c r="Q488" i="1" a="1"/>
  <c r="K488" i="1" a="1"/>
  <c r="K488" i="1" s="1"/>
  <c r="H488" i="1" s="1"/>
  <c r="Q487" i="1" a="1"/>
  <c r="Q487" i="1" s="1"/>
  <c r="K487" i="1" a="1"/>
  <c r="K487" i="1" s="1"/>
  <c r="Q486" i="1" a="1"/>
  <c r="Q486" i="1" s="1"/>
  <c r="K486" i="1" a="1"/>
  <c r="K486" i="1" s="1"/>
  <c r="J486" i="1" s="1"/>
  <c r="Q485" i="1" a="1"/>
  <c r="Q485" i="1" s="1"/>
  <c r="K485" i="1" a="1"/>
  <c r="K485" i="1" s="1"/>
  <c r="Q484" i="1"/>
  <c r="Q484" i="1" a="1"/>
  <c r="K484" i="1" a="1"/>
  <c r="K484" i="1" s="1"/>
  <c r="Q483" i="1"/>
  <c r="Q483" i="1" a="1"/>
  <c r="K483" i="1" a="1"/>
  <c r="K483" i="1" s="1"/>
  <c r="Q482" i="1"/>
  <c r="Q482" i="1" a="1"/>
  <c r="K482" i="1" a="1"/>
  <c r="K482" i="1" s="1"/>
  <c r="Q481" i="1" a="1"/>
  <c r="Q481" i="1" s="1"/>
  <c r="K481" i="1" a="1"/>
  <c r="K481" i="1" s="1"/>
  <c r="I481" i="1" s="1"/>
  <c r="Q480" i="1"/>
  <c r="Q480" i="1" a="1"/>
  <c r="K480" i="1" a="1"/>
  <c r="K480" i="1" s="1"/>
  <c r="H480" i="1" s="1"/>
  <c r="Q479" i="1" a="1"/>
  <c r="Q479" i="1" s="1"/>
  <c r="K479" i="1" a="1"/>
  <c r="K479" i="1" s="1"/>
  <c r="Q478" i="1" a="1"/>
  <c r="Q478" i="1" s="1"/>
  <c r="K478" i="1" a="1"/>
  <c r="K478" i="1" s="1"/>
  <c r="J478" i="1" s="1"/>
  <c r="Q477" i="1" a="1"/>
  <c r="Q477" i="1" s="1"/>
  <c r="K477" i="1"/>
  <c r="K477" i="1" a="1"/>
  <c r="Q476" i="1"/>
  <c r="Q476" i="1" a="1"/>
  <c r="K476" i="1" a="1"/>
  <c r="K476" i="1" s="1"/>
  <c r="Q475" i="1"/>
  <c r="Q475" i="1" a="1"/>
  <c r="K475" i="1" a="1"/>
  <c r="K475" i="1" s="1"/>
  <c r="Q474" i="1"/>
  <c r="Q474" i="1" a="1"/>
  <c r="K474" i="1" a="1"/>
  <c r="K474" i="1" s="1"/>
  <c r="Q473" i="1" a="1"/>
  <c r="Q473" i="1" s="1"/>
  <c r="K473" i="1" a="1"/>
  <c r="K473" i="1" s="1"/>
  <c r="I473" i="1" s="1"/>
  <c r="Q472" i="1"/>
  <c r="Q472" i="1" a="1"/>
  <c r="K472" i="1" a="1"/>
  <c r="K472" i="1" s="1"/>
  <c r="H472" i="1" s="1"/>
  <c r="Q471" i="1" a="1"/>
  <c r="Q471" i="1" s="1"/>
  <c r="K471" i="1" a="1"/>
  <c r="K471" i="1" s="1"/>
  <c r="Q470" i="1" a="1"/>
  <c r="Q470" i="1" s="1"/>
  <c r="K470" i="1" a="1"/>
  <c r="K470" i="1" s="1"/>
  <c r="J470" i="1" s="1"/>
  <c r="Q469" i="1" a="1"/>
  <c r="Q469" i="1" s="1"/>
  <c r="K469" i="1" a="1"/>
  <c r="K469" i="1" s="1"/>
  <c r="Q468" i="1"/>
  <c r="Q468" i="1" a="1"/>
  <c r="K468" i="1" a="1"/>
  <c r="K468" i="1" s="1"/>
  <c r="Q467" i="1"/>
  <c r="Q467" i="1" a="1"/>
  <c r="K467" i="1" a="1"/>
  <c r="K467" i="1" s="1"/>
  <c r="Q466" i="1"/>
  <c r="Q466" i="1" a="1"/>
  <c r="K466" i="1" a="1"/>
  <c r="K466" i="1" s="1"/>
  <c r="J466" i="1" s="1"/>
  <c r="Q465" i="1" a="1"/>
  <c r="Q465" i="1" s="1"/>
  <c r="K465" i="1" a="1"/>
  <c r="K465" i="1" s="1"/>
  <c r="Q464" i="1"/>
  <c r="Q464" i="1" a="1"/>
  <c r="K464" i="1" a="1"/>
  <c r="K464" i="1" s="1"/>
  <c r="H464" i="1" s="1"/>
  <c r="Q463" i="1" a="1"/>
  <c r="Q463" i="1" s="1"/>
  <c r="K463" i="1" a="1"/>
  <c r="K463" i="1" s="1"/>
  <c r="Q462" i="1" a="1"/>
  <c r="Q462" i="1" s="1"/>
  <c r="K462" i="1" a="1"/>
  <c r="K462" i="1" s="1"/>
  <c r="J462" i="1" s="1"/>
  <c r="Q461" i="1" a="1"/>
  <c r="Q461" i="1" s="1"/>
  <c r="K461" i="1" a="1"/>
  <c r="K461" i="1" s="1"/>
  <c r="J461" i="1" s="1"/>
  <c r="Q460" i="1"/>
  <c r="Q460" i="1" a="1"/>
  <c r="K460" i="1" a="1"/>
  <c r="K460" i="1" s="1"/>
  <c r="Q459" i="1"/>
  <c r="Q459" i="1" a="1"/>
  <c r="K459" i="1" a="1"/>
  <c r="K459" i="1" s="1"/>
  <c r="Q458" i="1"/>
  <c r="Q458" i="1" a="1"/>
  <c r="K458" i="1" a="1"/>
  <c r="K458" i="1" s="1"/>
  <c r="J458" i="1" s="1"/>
  <c r="Q457" i="1" a="1"/>
  <c r="Q457" i="1" s="1"/>
  <c r="K457" i="1" a="1"/>
  <c r="K457" i="1" s="1"/>
  <c r="Q456" i="1"/>
  <c r="Q456" i="1" a="1"/>
  <c r="K456" i="1" a="1"/>
  <c r="K456" i="1" s="1"/>
  <c r="H456" i="1" s="1"/>
  <c r="Q455" i="1" a="1"/>
  <c r="Q455" i="1" s="1"/>
  <c r="K455" i="1" a="1"/>
  <c r="K455" i="1" s="1"/>
  <c r="Q454" i="1" a="1"/>
  <c r="Q454" i="1" s="1"/>
  <c r="K454" i="1" a="1"/>
  <c r="K454" i="1" s="1"/>
  <c r="Q453" i="1" a="1"/>
  <c r="Q453" i="1" s="1"/>
  <c r="K453" i="1" a="1"/>
  <c r="K453" i="1" s="1"/>
  <c r="J453" i="1" s="1"/>
  <c r="Q452" i="1"/>
  <c r="Q452" i="1" a="1"/>
  <c r="K452" i="1" a="1"/>
  <c r="K452" i="1" s="1"/>
  <c r="Q451" i="1"/>
  <c r="Q451" i="1" a="1"/>
  <c r="K451" i="1" a="1"/>
  <c r="K451" i="1" s="1"/>
  <c r="Q450" i="1"/>
  <c r="Q450" i="1" a="1"/>
  <c r="K450" i="1" a="1"/>
  <c r="K450" i="1" s="1"/>
  <c r="J450" i="1" s="1"/>
  <c r="Q449" i="1" a="1"/>
  <c r="Q449" i="1" s="1"/>
  <c r="K449" i="1" a="1"/>
  <c r="K449" i="1" s="1"/>
  <c r="Q448" i="1"/>
  <c r="Q448" i="1" a="1"/>
  <c r="K448" i="1" a="1"/>
  <c r="K448" i="1" s="1"/>
  <c r="H448" i="1" s="1"/>
  <c r="Q447" i="1" a="1"/>
  <c r="Q447" i="1" s="1"/>
  <c r="K447" i="1" a="1"/>
  <c r="K447" i="1" s="1"/>
  <c r="I447" i="1" s="1"/>
  <c r="Q446" i="1" a="1"/>
  <c r="Q446" i="1" s="1"/>
  <c r="K446" i="1" a="1"/>
  <c r="K446" i="1" s="1"/>
  <c r="H446" i="1" s="1"/>
  <c r="Q445" i="1" a="1"/>
  <c r="Q445" i="1" s="1"/>
  <c r="K445" i="1" a="1"/>
  <c r="K445" i="1" s="1"/>
  <c r="Q444" i="1"/>
  <c r="Q444" i="1" a="1"/>
  <c r="K444" i="1" a="1"/>
  <c r="K444" i="1" s="1"/>
  <c r="Q443" i="1"/>
  <c r="Q443" i="1" a="1"/>
  <c r="K443" i="1" a="1"/>
  <c r="K443" i="1" s="1"/>
  <c r="J443" i="1" s="1"/>
  <c r="Q442" i="1" a="1"/>
  <c r="Q442" i="1" s="1"/>
  <c r="K442" i="1" a="1"/>
  <c r="K442" i="1" s="1"/>
  <c r="Q441" i="1" a="1"/>
  <c r="Q441" i="1" s="1"/>
  <c r="K441" i="1" a="1"/>
  <c r="K441" i="1" s="1"/>
  <c r="Q440" i="1"/>
  <c r="Q440" i="1" a="1"/>
  <c r="K440" i="1" a="1"/>
  <c r="K440" i="1" s="1"/>
  <c r="J440" i="1" s="1"/>
  <c r="Q439" i="1"/>
  <c r="Q439" i="1" a="1"/>
  <c r="K439" i="1" a="1"/>
  <c r="K439" i="1" s="1"/>
  <c r="Q438" i="1" a="1"/>
  <c r="Q438" i="1" s="1"/>
  <c r="K438" i="1" a="1"/>
  <c r="K438" i="1" s="1"/>
  <c r="Q437" i="1" a="1"/>
  <c r="Q437" i="1" s="1"/>
  <c r="K437" i="1" a="1"/>
  <c r="K437" i="1" s="1"/>
  <c r="H437" i="1" s="1"/>
  <c r="Q436" i="1"/>
  <c r="Q436" i="1" a="1"/>
  <c r="K436" i="1" a="1"/>
  <c r="K436" i="1" s="1"/>
  <c r="Q435" i="1"/>
  <c r="Q435" i="1" a="1"/>
  <c r="K435" i="1" a="1"/>
  <c r="K435" i="1" s="1"/>
  <c r="J435" i="1" s="1"/>
  <c r="Q434" i="1"/>
  <c r="Q434" i="1" a="1"/>
  <c r="K434" i="1" a="1"/>
  <c r="K434" i="1" s="1"/>
  <c r="Q433" i="1" a="1"/>
  <c r="Q433" i="1" s="1"/>
  <c r="K433" i="1" a="1"/>
  <c r="K433" i="1" s="1"/>
  <c r="Q432" i="1"/>
  <c r="Q432" i="1" a="1"/>
  <c r="K432" i="1" a="1"/>
  <c r="K432" i="1" s="1"/>
  <c r="J432" i="1" s="1"/>
  <c r="Q431" i="1"/>
  <c r="Q431" i="1" a="1"/>
  <c r="K431" i="1" a="1"/>
  <c r="K431" i="1" s="1"/>
  <c r="H431" i="1" s="1"/>
  <c r="Q430" i="1"/>
  <c r="Q430" i="1" a="1"/>
  <c r="K430" i="1" a="1"/>
  <c r="K430" i="1" s="1"/>
  <c r="J430" i="1" s="1"/>
  <c r="Q429" i="1" a="1"/>
  <c r="Q429" i="1" s="1"/>
  <c r="K429" i="1" a="1"/>
  <c r="K429" i="1" s="1"/>
  <c r="Q428" i="1" a="1"/>
  <c r="Q428" i="1" s="1"/>
  <c r="K428" i="1" a="1"/>
  <c r="K428" i="1" s="1"/>
  <c r="I428" i="1" s="1"/>
  <c r="Q427" i="1"/>
  <c r="Q427" i="1" a="1"/>
  <c r="K427" i="1" a="1"/>
  <c r="K427" i="1" s="1"/>
  <c r="H427" i="1" s="1"/>
  <c r="Q426" i="1"/>
  <c r="Q426" i="1" a="1"/>
  <c r="K426" i="1" a="1"/>
  <c r="K426" i="1" s="1"/>
  <c r="Q425" i="1" a="1"/>
  <c r="Q425" i="1" s="1"/>
  <c r="K425" i="1" a="1"/>
  <c r="K425" i="1" s="1"/>
  <c r="Q424" i="1"/>
  <c r="Q424" i="1" a="1"/>
  <c r="K424" i="1" a="1"/>
  <c r="K424" i="1" s="1"/>
  <c r="Q423" i="1"/>
  <c r="Q423" i="1" a="1"/>
  <c r="K423" i="1" a="1"/>
  <c r="K423" i="1" s="1"/>
  <c r="Q422" i="1" a="1"/>
  <c r="Q422" i="1" s="1"/>
  <c r="K422" i="1" a="1"/>
  <c r="K422" i="1" s="1"/>
  <c r="I422" i="1" s="1"/>
  <c r="Q421" i="1"/>
  <c r="Q421" i="1" a="1"/>
  <c r="K421" i="1" a="1"/>
  <c r="K421" i="1" s="1"/>
  <c r="H421" i="1" s="1"/>
  <c r="Q420" i="1"/>
  <c r="Q420" i="1" a="1"/>
  <c r="K420" i="1" a="1"/>
  <c r="K420" i="1" s="1"/>
  <c r="Q419" i="1" a="1"/>
  <c r="Q419" i="1" s="1"/>
  <c r="K419" i="1" a="1"/>
  <c r="K419" i="1" s="1"/>
  <c r="Q418" i="1"/>
  <c r="Q418" i="1" a="1"/>
  <c r="K418" i="1" a="1"/>
  <c r="K418" i="1" s="1"/>
  <c r="Q417" i="1" a="1"/>
  <c r="Q417" i="1" s="1"/>
  <c r="K417" i="1" a="1"/>
  <c r="K417" i="1" s="1"/>
  <c r="Q416" i="1"/>
  <c r="Q416" i="1" a="1"/>
  <c r="K416" i="1" a="1"/>
  <c r="K416" i="1" s="1"/>
  <c r="Q415" i="1"/>
  <c r="Q415" i="1" a="1"/>
  <c r="K415" i="1"/>
  <c r="H415" i="1" s="1"/>
  <c r="K415" i="1" a="1"/>
  <c r="Q414" i="1" a="1"/>
  <c r="Q414" i="1" s="1"/>
  <c r="K414" i="1" a="1"/>
  <c r="K414" i="1" s="1"/>
  <c r="Q413" i="1"/>
  <c r="Q413" i="1" a="1"/>
  <c r="K413" i="1" a="1"/>
  <c r="K413" i="1" s="1"/>
  <c r="H413" i="1" s="1"/>
  <c r="Q412" i="1"/>
  <c r="Q412" i="1" a="1"/>
  <c r="K412" i="1" a="1"/>
  <c r="K412" i="1" s="1"/>
  <c r="Q411" i="1" a="1"/>
  <c r="Q411" i="1" s="1"/>
  <c r="K411" i="1" a="1"/>
  <c r="K411" i="1" s="1"/>
  <c r="Q410" i="1"/>
  <c r="Q410" i="1" a="1"/>
  <c r="K410" i="1" a="1"/>
  <c r="K410" i="1" s="1"/>
  <c r="Q409" i="1" a="1"/>
  <c r="Q409" i="1" s="1"/>
  <c r="K409" i="1" a="1"/>
  <c r="K409" i="1" s="1"/>
  <c r="Q408" i="1"/>
  <c r="Q408" i="1" a="1"/>
  <c r="K408" i="1" a="1"/>
  <c r="K408" i="1" s="1"/>
  <c r="Q407" i="1"/>
  <c r="Q407" i="1" a="1"/>
  <c r="K407" i="1" a="1"/>
  <c r="K407" i="1" s="1"/>
  <c r="H407" i="1" s="1"/>
  <c r="Q406" i="1" a="1"/>
  <c r="Q406" i="1" s="1"/>
  <c r="K406" i="1" a="1"/>
  <c r="K406" i="1" s="1"/>
  <c r="I406" i="1" s="1"/>
  <c r="Q405" i="1"/>
  <c r="Q405" i="1" a="1"/>
  <c r="K405" i="1" a="1"/>
  <c r="K405" i="1" s="1"/>
  <c r="H405" i="1" s="1"/>
  <c r="Q404" i="1"/>
  <c r="Q404" i="1" a="1"/>
  <c r="K404" i="1" a="1"/>
  <c r="K404" i="1" s="1"/>
  <c r="Q403" i="1" a="1"/>
  <c r="Q403" i="1" s="1"/>
  <c r="K403" i="1" a="1"/>
  <c r="K403" i="1" s="1"/>
  <c r="Q402" i="1"/>
  <c r="Q402" i="1" a="1"/>
  <c r="K402" i="1" a="1"/>
  <c r="K402" i="1" s="1"/>
  <c r="I402" i="1" s="1"/>
  <c r="Q401" i="1" a="1"/>
  <c r="Q401" i="1" s="1"/>
  <c r="K401" i="1" a="1"/>
  <c r="K401" i="1" s="1"/>
  <c r="Q400" i="1"/>
  <c r="Q400" i="1" a="1"/>
  <c r="K400" i="1" a="1"/>
  <c r="K400" i="1" s="1"/>
  <c r="Q399" i="1"/>
  <c r="Q399" i="1" a="1"/>
  <c r="K399" i="1" a="1"/>
  <c r="K399" i="1" s="1"/>
  <c r="Q398" i="1" a="1"/>
  <c r="Q398" i="1" s="1"/>
  <c r="K398" i="1" a="1"/>
  <c r="K398" i="1" s="1"/>
  <c r="Q397" i="1"/>
  <c r="Q397" i="1" a="1"/>
  <c r="K397" i="1" a="1"/>
  <c r="K397" i="1" s="1"/>
  <c r="H397" i="1" s="1"/>
  <c r="Q396" i="1"/>
  <c r="Q396" i="1" a="1"/>
  <c r="K396" i="1" a="1"/>
  <c r="K396" i="1" s="1"/>
  <c r="Q395" i="1" a="1"/>
  <c r="Q395" i="1" s="1"/>
  <c r="K395" i="1" a="1"/>
  <c r="K395" i="1" s="1"/>
  <c r="Q394" i="1"/>
  <c r="Q394" i="1" a="1"/>
  <c r="K394" i="1" a="1"/>
  <c r="K394" i="1" s="1"/>
  <c r="Q393" i="1" a="1"/>
  <c r="Q393" i="1" s="1"/>
  <c r="K393" i="1" a="1"/>
  <c r="K393" i="1" s="1"/>
  <c r="Q392" i="1"/>
  <c r="Q392" i="1" a="1"/>
  <c r="K392" i="1" a="1"/>
  <c r="K392" i="1" s="1"/>
  <c r="Q391" i="1"/>
  <c r="Q391" i="1" a="1"/>
  <c r="K391" i="1" a="1"/>
  <c r="K391" i="1" s="1"/>
  <c r="H391" i="1" s="1"/>
  <c r="Q390" i="1" a="1"/>
  <c r="Q390" i="1" s="1"/>
  <c r="K390" i="1" a="1"/>
  <c r="K390" i="1" s="1"/>
  <c r="I390" i="1" s="1"/>
  <c r="Q389" i="1"/>
  <c r="Q389" i="1" a="1"/>
  <c r="K389" i="1" a="1"/>
  <c r="K389" i="1" s="1"/>
  <c r="H389" i="1" s="1"/>
  <c r="Q388" i="1"/>
  <c r="Q388" i="1" a="1"/>
  <c r="K388" i="1" a="1"/>
  <c r="K388" i="1" s="1"/>
  <c r="Q387" i="1" a="1"/>
  <c r="Q387" i="1" s="1"/>
  <c r="K387" i="1" a="1"/>
  <c r="K387" i="1" s="1"/>
  <c r="Q386" i="1"/>
  <c r="Q386" i="1" a="1"/>
  <c r="K386" i="1" a="1"/>
  <c r="K386" i="1" s="1"/>
  <c r="Q385" i="1" a="1"/>
  <c r="Q385" i="1" s="1"/>
  <c r="K385" i="1" a="1"/>
  <c r="K385" i="1" s="1"/>
  <c r="Q384" i="1"/>
  <c r="Q384" i="1" a="1"/>
  <c r="K384" i="1" a="1"/>
  <c r="K384" i="1" s="1"/>
  <c r="Q383" i="1"/>
  <c r="Q383" i="1" a="1"/>
  <c r="K383" i="1"/>
  <c r="H383" i="1" s="1"/>
  <c r="K383" i="1" a="1"/>
  <c r="Q382" i="1" a="1"/>
  <c r="Q382" i="1" s="1"/>
  <c r="K382" i="1" a="1"/>
  <c r="K382" i="1" s="1"/>
  <c r="Q381" i="1"/>
  <c r="Q381" i="1" a="1"/>
  <c r="K381" i="1" a="1"/>
  <c r="K381" i="1" s="1"/>
  <c r="H381" i="1" s="1"/>
  <c r="Q380" i="1"/>
  <c r="Q380" i="1" a="1"/>
  <c r="K380" i="1" a="1"/>
  <c r="K380" i="1" s="1"/>
  <c r="Q379" i="1" a="1"/>
  <c r="Q379" i="1" s="1"/>
  <c r="K379" i="1" a="1"/>
  <c r="K379" i="1" s="1"/>
  <c r="Q378" i="1"/>
  <c r="Q378" i="1" a="1"/>
  <c r="K378" i="1" a="1"/>
  <c r="K378" i="1" s="1"/>
  <c r="I378" i="1" s="1"/>
  <c r="Q377" i="1" a="1"/>
  <c r="Q377" i="1" s="1"/>
  <c r="K377" i="1" a="1"/>
  <c r="K377" i="1" s="1"/>
  <c r="Q376" i="1"/>
  <c r="Q376" i="1" a="1"/>
  <c r="K376" i="1" a="1"/>
  <c r="K376" i="1" s="1"/>
  <c r="Q375" i="1"/>
  <c r="Q375" i="1" a="1"/>
  <c r="K375" i="1" a="1"/>
  <c r="K375" i="1" s="1"/>
  <c r="Q374" i="1" a="1"/>
  <c r="Q374" i="1" s="1"/>
  <c r="K374" i="1" a="1"/>
  <c r="K374" i="1" s="1"/>
  <c r="I374" i="1" s="1"/>
  <c r="Q373" i="1"/>
  <c r="Q373" i="1" a="1"/>
  <c r="K373" i="1" a="1"/>
  <c r="K373" i="1" s="1"/>
  <c r="H373" i="1" s="1"/>
  <c r="Q372" i="1"/>
  <c r="Q372" i="1" a="1"/>
  <c r="K372" i="1" a="1"/>
  <c r="K372" i="1" s="1"/>
  <c r="Q371" i="1" a="1"/>
  <c r="Q371" i="1" s="1"/>
  <c r="K371" i="1" a="1"/>
  <c r="K371" i="1" s="1"/>
  <c r="Q370" i="1"/>
  <c r="Q370" i="1" a="1"/>
  <c r="K370" i="1" a="1"/>
  <c r="K370" i="1" s="1"/>
  <c r="Q369" i="1" a="1"/>
  <c r="Q369" i="1" s="1"/>
  <c r="K369" i="1" a="1"/>
  <c r="K369" i="1" s="1"/>
  <c r="Q368" i="1"/>
  <c r="Q368" i="1" a="1"/>
  <c r="K368" i="1" a="1"/>
  <c r="K368" i="1" s="1"/>
  <c r="Q367" i="1"/>
  <c r="Q367" i="1" a="1"/>
  <c r="K367" i="1" a="1"/>
  <c r="K367" i="1" s="1"/>
  <c r="H367" i="1" s="1"/>
  <c r="Q366" i="1" a="1"/>
  <c r="Q366" i="1" s="1"/>
  <c r="K366" i="1" a="1"/>
  <c r="K366" i="1" s="1"/>
  <c r="Q365" i="1"/>
  <c r="Q365" i="1" a="1"/>
  <c r="K365" i="1" a="1"/>
  <c r="K365" i="1" s="1"/>
  <c r="H365" i="1" s="1"/>
  <c r="Q364" i="1"/>
  <c r="Q364" i="1" a="1"/>
  <c r="K364" i="1" a="1"/>
  <c r="K364" i="1" s="1"/>
  <c r="Q363" i="1" a="1"/>
  <c r="Q363" i="1" s="1"/>
  <c r="K363" i="1" a="1"/>
  <c r="K363" i="1" s="1"/>
  <c r="Q362" i="1"/>
  <c r="Q362" i="1" a="1"/>
  <c r="K362" i="1" a="1"/>
  <c r="K362" i="1" s="1"/>
  <c r="I362" i="1" s="1"/>
  <c r="Q361" i="1" a="1"/>
  <c r="Q361" i="1" s="1"/>
  <c r="K361" i="1" a="1"/>
  <c r="K361" i="1" s="1"/>
  <c r="Q360" i="1"/>
  <c r="Q360" i="1" a="1"/>
  <c r="K360" i="1" a="1"/>
  <c r="K360" i="1" s="1"/>
  <c r="H360" i="1" s="1"/>
  <c r="Q359" i="1"/>
  <c r="Q359" i="1" a="1"/>
  <c r="K359" i="1" a="1"/>
  <c r="K359" i="1" s="1"/>
  <c r="Q358" i="1" a="1"/>
  <c r="Q358" i="1" s="1"/>
  <c r="K358" i="1"/>
  <c r="I358" i="1" s="1"/>
  <c r="K358" i="1" a="1"/>
  <c r="Q357" i="1"/>
  <c r="Q357" i="1" a="1"/>
  <c r="K357" i="1" a="1"/>
  <c r="K357" i="1" s="1"/>
  <c r="H357" i="1" s="1"/>
  <c r="Q356" i="1"/>
  <c r="Q356" i="1" a="1"/>
  <c r="K356" i="1" a="1"/>
  <c r="K356" i="1" s="1"/>
  <c r="Q355" i="1" a="1"/>
  <c r="Q355" i="1" s="1"/>
  <c r="K355" i="1" a="1"/>
  <c r="K355" i="1" s="1"/>
  <c r="Q354" i="1"/>
  <c r="Q354" i="1" a="1"/>
  <c r="K354" i="1" a="1"/>
  <c r="K354" i="1" s="1"/>
  <c r="Q353" i="1" a="1"/>
  <c r="Q353" i="1" s="1"/>
  <c r="K353" i="1" a="1"/>
  <c r="K353" i="1" s="1"/>
  <c r="I353" i="1" s="1"/>
  <c r="Q352" i="1"/>
  <c r="Q352" i="1" a="1"/>
  <c r="K352" i="1" a="1"/>
  <c r="K352" i="1" s="1"/>
  <c r="H352" i="1" s="1"/>
  <c r="Q351" i="1"/>
  <c r="Q351" i="1" a="1"/>
  <c r="K351" i="1" a="1"/>
  <c r="K351" i="1" s="1"/>
  <c r="J351" i="1" s="1"/>
  <c r="Q350" i="1" a="1"/>
  <c r="Q350" i="1" s="1"/>
  <c r="K350" i="1" a="1"/>
  <c r="K350" i="1" s="1"/>
  <c r="I350" i="1" s="1"/>
  <c r="Q349" i="1" a="1"/>
  <c r="Q349" i="1" s="1"/>
  <c r="K349" i="1" a="1"/>
  <c r="K349" i="1" s="1"/>
  <c r="Q348" i="1"/>
  <c r="Q348" i="1" a="1"/>
  <c r="K348" i="1" a="1"/>
  <c r="K348" i="1" s="1"/>
  <c r="Q347" i="1" a="1"/>
  <c r="Q347" i="1" s="1"/>
  <c r="K347" i="1" a="1"/>
  <c r="K347" i="1" s="1"/>
  <c r="Q346" i="1"/>
  <c r="Q346" i="1" a="1"/>
  <c r="K346" i="1" a="1"/>
  <c r="K346" i="1" s="1"/>
  <c r="Q345" i="1" a="1"/>
  <c r="Q345" i="1" s="1"/>
  <c r="K345" i="1" a="1"/>
  <c r="K345" i="1" s="1"/>
  <c r="I345" i="1" s="1"/>
  <c r="Q344" i="1"/>
  <c r="Q344" i="1" a="1"/>
  <c r="K344" i="1" a="1"/>
  <c r="K344" i="1" s="1"/>
  <c r="H344" i="1" s="1"/>
  <c r="Q343" i="1"/>
  <c r="Q343" i="1" a="1"/>
  <c r="K343" i="1" a="1"/>
  <c r="K343" i="1" s="1"/>
  <c r="J343" i="1" s="1"/>
  <c r="Q342" i="1" a="1"/>
  <c r="Q342" i="1" s="1"/>
  <c r="K342" i="1" a="1"/>
  <c r="K342" i="1" s="1"/>
  <c r="I342" i="1" s="1"/>
  <c r="Q341" i="1" a="1"/>
  <c r="Q341" i="1" s="1"/>
  <c r="K341" i="1" a="1"/>
  <c r="K341" i="1" s="1"/>
  <c r="H341" i="1"/>
  <c r="Q340" i="1"/>
  <c r="Q340" i="1" a="1"/>
  <c r="K340" i="1"/>
  <c r="J340" i="1" s="1"/>
  <c r="K340" i="1" a="1"/>
  <c r="Q339" i="1" a="1"/>
  <c r="Q339" i="1" s="1"/>
  <c r="K339" i="1" a="1"/>
  <c r="K339" i="1" s="1"/>
  <c r="I339" i="1" s="1"/>
  <c r="Q338" i="1"/>
  <c r="Q338" i="1" a="1"/>
  <c r="K338" i="1"/>
  <c r="J338" i="1" s="1"/>
  <c r="K338" i="1" a="1"/>
  <c r="Q337" i="1" a="1"/>
  <c r="Q337" i="1" s="1"/>
  <c r="K337" i="1" a="1"/>
  <c r="K337" i="1" s="1"/>
  <c r="Q336" i="1"/>
  <c r="Q336" i="1" a="1"/>
  <c r="K336" i="1" a="1"/>
  <c r="K336" i="1" s="1"/>
  <c r="J336" i="1" s="1"/>
  <c r="Q335" i="1" a="1"/>
  <c r="Q335" i="1" s="1"/>
  <c r="K335" i="1" a="1"/>
  <c r="K335" i="1" s="1"/>
  <c r="Q334" i="1" a="1"/>
  <c r="Q334" i="1" s="1"/>
  <c r="K334" i="1" a="1"/>
  <c r="K334" i="1" s="1"/>
  <c r="Q333" i="1" a="1"/>
  <c r="Q333" i="1" s="1"/>
  <c r="K333" i="1" a="1"/>
  <c r="K333" i="1" s="1"/>
  <c r="Q332" i="1"/>
  <c r="Q332" i="1" a="1"/>
  <c r="K332" i="1" a="1"/>
  <c r="K332" i="1" s="1"/>
  <c r="J332" i="1" s="1"/>
  <c r="Q331" i="1" a="1"/>
  <c r="Q331" i="1" s="1"/>
  <c r="K331" i="1" a="1"/>
  <c r="K331" i="1" s="1"/>
  <c r="Q330" i="1"/>
  <c r="Q330" i="1" a="1"/>
  <c r="K330" i="1" a="1"/>
  <c r="K330" i="1" s="1"/>
  <c r="J330" i="1" s="1"/>
  <c r="Q329" i="1" a="1"/>
  <c r="Q329" i="1" s="1"/>
  <c r="K329" i="1" a="1"/>
  <c r="K329" i="1" s="1"/>
  <c r="Q328" i="1"/>
  <c r="Q328" i="1" a="1"/>
  <c r="K328" i="1" a="1"/>
  <c r="K328" i="1" s="1"/>
  <c r="I328" i="1" s="1"/>
  <c r="Q327" i="1" a="1"/>
  <c r="Q327" i="1" s="1"/>
  <c r="K327" i="1" a="1"/>
  <c r="K327" i="1" s="1"/>
  <c r="Q326" i="1"/>
  <c r="Q326" i="1" a="1"/>
  <c r="K326" i="1" a="1"/>
  <c r="K326" i="1" s="1"/>
  <c r="Q325" i="1" a="1"/>
  <c r="Q325" i="1" s="1"/>
  <c r="K325" i="1" a="1"/>
  <c r="K325" i="1" s="1"/>
  <c r="Q324" i="1"/>
  <c r="Q324" i="1" a="1"/>
  <c r="K324" i="1" a="1"/>
  <c r="K324" i="1" s="1"/>
  <c r="J324" i="1" s="1"/>
  <c r="Q323" i="1" a="1"/>
  <c r="Q323" i="1" s="1"/>
  <c r="K323" i="1" a="1"/>
  <c r="K323" i="1" s="1"/>
  <c r="Q322" i="1"/>
  <c r="Q322" i="1" a="1"/>
  <c r="K322" i="1" a="1"/>
  <c r="K322" i="1" s="1"/>
  <c r="Q321" i="1" a="1"/>
  <c r="Q321" i="1" s="1"/>
  <c r="K321" i="1" a="1"/>
  <c r="K321" i="1" s="1"/>
  <c r="Q320" i="1"/>
  <c r="Q320" i="1" a="1"/>
  <c r="K320" i="1" a="1"/>
  <c r="K320" i="1" s="1"/>
  <c r="I320" i="1" s="1"/>
  <c r="Q319" i="1" a="1"/>
  <c r="Q319" i="1" s="1"/>
  <c r="K319" i="1" a="1"/>
  <c r="K319" i="1" s="1"/>
  <c r="Q318" i="1"/>
  <c r="Q318" i="1" a="1"/>
  <c r="K318" i="1"/>
  <c r="K318" i="1" a="1"/>
  <c r="Q317" i="1" a="1"/>
  <c r="Q317" i="1" s="1"/>
  <c r="K317" i="1" a="1"/>
  <c r="K317" i="1" s="1"/>
  <c r="Q316" i="1"/>
  <c r="Q316" i="1" a="1"/>
  <c r="K316" i="1" a="1"/>
  <c r="K316" i="1" s="1"/>
  <c r="J316" i="1" s="1"/>
  <c r="Q315" i="1" a="1"/>
  <c r="Q315" i="1" s="1"/>
  <c r="K315" i="1" a="1"/>
  <c r="K315" i="1" s="1"/>
  <c r="Q314" i="1"/>
  <c r="Q314" i="1" a="1"/>
  <c r="K314" i="1" a="1"/>
  <c r="K314" i="1" s="1"/>
  <c r="Q313" i="1" a="1"/>
  <c r="Q313" i="1" s="1"/>
  <c r="K313" i="1" a="1"/>
  <c r="K313" i="1" s="1"/>
  <c r="Q312" i="1"/>
  <c r="Q312" i="1" a="1"/>
  <c r="K312" i="1" a="1"/>
  <c r="K312" i="1" s="1"/>
  <c r="I312" i="1" s="1"/>
  <c r="Q311" i="1" a="1"/>
  <c r="Q311" i="1" s="1"/>
  <c r="K311" i="1" a="1"/>
  <c r="K311" i="1" s="1"/>
  <c r="Q310" i="1"/>
  <c r="Q310" i="1" a="1"/>
  <c r="K310" i="1"/>
  <c r="K310" i="1" a="1"/>
  <c r="Q309" i="1" a="1"/>
  <c r="Q309" i="1" s="1"/>
  <c r="K309" i="1" a="1"/>
  <c r="K309" i="1" s="1"/>
  <c r="Q308" i="1"/>
  <c r="Q308" i="1" a="1"/>
  <c r="K308" i="1"/>
  <c r="J308" i="1" s="1"/>
  <c r="K308" i="1" a="1"/>
  <c r="Q307" i="1" a="1"/>
  <c r="Q307" i="1" s="1"/>
  <c r="K307" i="1" a="1"/>
  <c r="K307" i="1" s="1"/>
  <c r="Q306" i="1"/>
  <c r="Q306" i="1" a="1"/>
  <c r="K306" i="1" a="1"/>
  <c r="K306" i="1" s="1"/>
  <c r="Q305" i="1" a="1"/>
  <c r="Q305" i="1" s="1"/>
  <c r="K305" i="1" a="1"/>
  <c r="K305" i="1" s="1"/>
  <c r="Q304" i="1"/>
  <c r="Q304" i="1" a="1"/>
  <c r="K304" i="1"/>
  <c r="I304" i="1" s="1"/>
  <c r="K304" i="1" a="1"/>
  <c r="Q303" i="1" a="1"/>
  <c r="Q303" i="1" s="1"/>
  <c r="K303" i="1" a="1"/>
  <c r="K303" i="1" s="1"/>
  <c r="Q302" i="1"/>
  <c r="Q302" i="1" a="1"/>
  <c r="K302" i="1" a="1"/>
  <c r="K302" i="1" s="1"/>
  <c r="Q301" i="1" a="1"/>
  <c r="Q301" i="1" s="1"/>
  <c r="K301" i="1" a="1"/>
  <c r="K301" i="1" s="1"/>
  <c r="Q300" i="1"/>
  <c r="Q300" i="1" a="1"/>
  <c r="K300" i="1" a="1"/>
  <c r="K300" i="1" s="1"/>
  <c r="J300" i="1" s="1"/>
  <c r="Q299" i="1" a="1"/>
  <c r="Q299" i="1" s="1"/>
  <c r="K299" i="1" a="1"/>
  <c r="K299" i="1" s="1"/>
  <c r="Q298" i="1"/>
  <c r="Q298" i="1" a="1"/>
  <c r="K298" i="1" a="1"/>
  <c r="K298" i="1" s="1"/>
  <c r="J298" i="1" s="1"/>
  <c r="Q297" i="1" a="1"/>
  <c r="Q297" i="1" s="1"/>
  <c r="K297" i="1" a="1"/>
  <c r="K297" i="1" s="1"/>
  <c r="Q296" i="1"/>
  <c r="Q296" i="1" a="1"/>
  <c r="K296" i="1" a="1"/>
  <c r="K296" i="1" s="1"/>
  <c r="I296" i="1" s="1"/>
  <c r="Q295" i="1" a="1"/>
  <c r="Q295" i="1" s="1"/>
  <c r="K295" i="1" a="1"/>
  <c r="K295" i="1" s="1"/>
  <c r="Q294" i="1"/>
  <c r="Q294" i="1" a="1"/>
  <c r="K294" i="1" a="1"/>
  <c r="K294" i="1" s="1"/>
  <c r="Q293" i="1" a="1"/>
  <c r="Q293" i="1" s="1"/>
  <c r="K293" i="1" a="1"/>
  <c r="K293" i="1" s="1"/>
  <c r="Q292" i="1"/>
  <c r="Q292" i="1" a="1"/>
  <c r="K292" i="1"/>
  <c r="J292" i="1" s="1"/>
  <c r="K292" i="1" a="1"/>
  <c r="Q291" i="1" a="1"/>
  <c r="Q291" i="1" s="1"/>
  <c r="K291" i="1" a="1"/>
  <c r="K291" i="1" s="1"/>
  <c r="Q290" i="1"/>
  <c r="Q290" i="1" a="1"/>
  <c r="K290" i="1" a="1"/>
  <c r="K290" i="1" s="1"/>
  <c r="Q289" i="1" a="1"/>
  <c r="Q289" i="1" s="1"/>
  <c r="K289" i="1" a="1"/>
  <c r="K289" i="1" s="1"/>
  <c r="Q288" i="1"/>
  <c r="Q288" i="1" a="1"/>
  <c r="K288" i="1" a="1"/>
  <c r="K288" i="1" s="1"/>
  <c r="I288" i="1" s="1"/>
  <c r="Q287" i="1" a="1"/>
  <c r="Q287" i="1" s="1"/>
  <c r="K287" i="1" a="1"/>
  <c r="K287" i="1" s="1"/>
  <c r="Q286" i="1"/>
  <c r="Q286" i="1" a="1"/>
  <c r="K286" i="1" a="1"/>
  <c r="K286" i="1" s="1"/>
  <c r="Q285" i="1" a="1"/>
  <c r="Q285" i="1" s="1"/>
  <c r="K285" i="1" a="1"/>
  <c r="K285" i="1" s="1"/>
  <c r="Q284" i="1"/>
  <c r="Q284" i="1" a="1"/>
  <c r="K284" i="1" a="1"/>
  <c r="K284" i="1" s="1"/>
  <c r="J284" i="1" s="1"/>
  <c r="Q283" i="1" a="1"/>
  <c r="Q283" i="1" s="1"/>
  <c r="K283" i="1" a="1"/>
  <c r="K283" i="1" s="1"/>
  <c r="Q282" i="1"/>
  <c r="Q282" i="1" a="1"/>
  <c r="K282" i="1" a="1"/>
  <c r="K282" i="1" s="1"/>
  <c r="Q281" i="1" a="1"/>
  <c r="Q281" i="1" s="1"/>
  <c r="K281" i="1" a="1"/>
  <c r="K281" i="1" s="1"/>
  <c r="Q280" i="1"/>
  <c r="Q280" i="1" a="1"/>
  <c r="K280" i="1"/>
  <c r="I280" i="1" s="1"/>
  <c r="K280" i="1" a="1"/>
  <c r="Q279" i="1" a="1"/>
  <c r="Q279" i="1" s="1"/>
  <c r="K279" i="1" a="1"/>
  <c r="K279" i="1" s="1"/>
  <c r="Q278" i="1"/>
  <c r="Q278" i="1" a="1"/>
  <c r="K278" i="1" a="1"/>
  <c r="K278" i="1" s="1"/>
  <c r="Q277" i="1" a="1"/>
  <c r="Q277" i="1" s="1"/>
  <c r="K277" i="1" a="1"/>
  <c r="K277" i="1" s="1"/>
  <c r="Q276" i="1"/>
  <c r="Q276" i="1" a="1"/>
  <c r="K276" i="1" a="1"/>
  <c r="K276" i="1" s="1"/>
  <c r="J276" i="1" s="1"/>
  <c r="Q275" i="1" a="1"/>
  <c r="Q275" i="1" s="1"/>
  <c r="K275" i="1" a="1"/>
  <c r="K275" i="1" s="1"/>
  <c r="Q274" i="1"/>
  <c r="Q274" i="1" a="1"/>
  <c r="K274" i="1" a="1"/>
  <c r="K274" i="1" s="1"/>
  <c r="Q273" i="1" a="1"/>
  <c r="Q273" i="1" s="1"/>
  <c r="K273" i="1" a="1"/>
  <c r="K273" i="1" s="1"/>
  <c r="Q272" i="1"/>
  <c r="Q272" i="1" a="1"/>
  <c r="K272" i="1"/>
  <c r="I272" i="1" s="1"/>
  <c r="K272" i="1" a="1"/>
  <c r="Q271" i="1" a="1"/>
  <c r="Q271" i="1" s="1"/>
  <c r="K271" i="1" a="1"/>
  <c r="K271" i="1" s="1"/>
  <c r="Q270" i="1"/>
  <c r="Q270" i="1" a="1"/>
  <c r="K270" i="1" a="1"/>
  <c r="K270" i="1" s="1"/>
  <c r="Q269" i="1" a="1"/>
  <c r="Q269" i="1" s="1"/>
  <c r="K269" i="1" a="1"/>
  <c r="K269" i="1" s="1"/>
  <c r="Q268" i="1"/>
  <c r="Q268" i="1" a="1"/>
  <c r="K268" i="1" a="1"/>
  <c r="K268" i="1" s="1"/>
  <c r="J268" i="1" s="1"/>
  <c r="Q267" i="1" a="1"/>
  <c r="Q267" i="1" s="1"/>
  <c r="K267" i="1" a="1"/>
  <c r="K267" i="1" s="1"/>
  <c r="Q266" i="1"/>
  <c r="Q266" i="1" a="1"/>
  <c r="K266" i="1" a="1"/>
  <c r="K266" i="1" s="1"/>
  <c r="J266" i="1" s="1"/>
  <c r="Q265" i="1" a="1"/>
  <c r="Q265" i="1" s="1"/>
  <c r="K265" i="1" a="1"/>
  <c r="K265" i="1" s="1"/>
  <c r="Q264" i="1"/>
  <c r="Q264" i="1" a="1"/>
  <c r="K264" i="1" a="1"/>
  <c r="K264" i="1" s="1"/>
  <c r="I264" i="1" s="1"/>
  <c r="Q263" i="1" a="1"/>
  <c r="Q263" i="1" s="1"/>
  <c r="K263" i="1" a="1"/>
  <c r="K263" i="1" s="1"/>
  <c r="Q262" i="1"/>
  <c r="Q262" i="1" a="1"/>
  <c r="K262" i="1" a="1"/>
  <c r="K262" i="1" s="1"/>
  <c r="Q261" i="1" a="1"/>
  <c r="Q261" i="1" s="1"/>
  <c r="K261" i="1" a="1"/>
  <c r="K261" i="1" s="1"/>
  <c r="Q260" i="1"/>
  <c r="Q260" i="1" a="1"/>
  <c r="K260" i="1" a="1"/>
  <c r="K260" i="1" s="1"/>
  <c r="J260" i="1" s="1"/>
  <c r="Q259" i="1" a="1"/>
  <c r="Q259" i="1" s="1"/>
  <c r="K259" i="1" a="1"/>
  <c r="K259" i="1" s="1"/>
  <c r="Q258" i="1"/>
  <c r="Q258" i="1" a="1"/>
  <c r="K258" i="1" a="1"/>
  <c r="K258" i="1" s="1"/>
  <c r="Q257" i="1" a="1"/>
  <c r="Q257" i="1" s="1"/>
  <c r="K257" i="1" a="1"/>
  <c r="K257" i="1" s="1"/>
  <c r="Q256" i="1"/>
  <c r="Q256" i="1" a="1"/>
  <c r="K256" i="1"/>
  <c r="I256" i="1" s="1"/>
  <c r="K256" i="1" a="1"/>
  <c r="Q255" i="1" a="1"/>
  <c r="Q255" i="1" s="1"/>
  <c r="K255" i="1" a="1"/>
  <c r="K255" i="1" s="1"/>
  <c r="Q254" i="1"/>
  <c r="Q254" i="1" a="1"/>
  <c r="K254" i="1" a="1"/>
  <c r="K254" i="1" s="1"/>
  <c r="Q253" i="1" a="1"/>
  <c r="Q253" i="1" s="1"/>
  <c r="K253" i="1" a="1"/>
  <c r="K253" i="1" s="1"/>
  <c r="Q252" i="1"/>
  <c r="Q252" i="1" a="1"/>
  <c r="K252" i="1" a="1"/>
  <c r="K252" i="1" s="1"/>
  <c r="J252" i="1" s="1"/>
  <c r="Q251" i="1" a="1"/>
  <c r="Q251" i="1" s="1"/>
  <c r="K251" i="1" a="1"/>
  <c r="K251" i="1" s="1"/>
  <c r="Q250" i="1"/>
  <c r="Q250" i="1" a="1"/>
  <c r="K250" i="1" a="1"/>
  <c r="K250" i="1" s="1"/>
  <c r="Q249" i="1" a="1"/>
  <c r="Q249" i="1" s="1"/>
  <c r="K249" i="1" a="1"/>
  <c r="K249" i="1" s="1"/>
  <c r="Q248" i="1"/>
  <c r="Q248" i="1" a="1"/>
  <c r="K248" i="1" a="1"/>
  <c r="K248" i="1" s="1"/>
  <c r="I248" i="1" s="1"/>
  <c r="Q247" i="1" a="1"/>
  <c r="Q247" i="1" s="1"/>
  <c r="K247" i="1" a="1"/>
  <c r="K247" i="1" s="1"/>
  <c r="Q246" i="1"/>
  <c r="Q246" i="1" a="1"/>
  <c r="K246" i="1" a="1"/>
  <c r="K246" i="1" s="1"/>
  <c r="Q245" i="1" a="1"/>
  <c r="Q245" i="1" s="1"/>
  <c r="K245" i="1" a="1"/>
  <c r="K245" i="1" s="1"/>
  <c r="Q244" i="1"/>
  <c r="Q244" i="1" a="1"/>
  <c r="K244" i="1" a="1"/>
  <c r="K244" i="1" s="1"/>
  <c r="J244" i="1" s="1"/>
  <c r="Q243" i="1" a="1"/>
  <c r="Q243" i="1" s="1"/>
  <c r="K243" i="1" a="1"/>
  <c r="K243" i="1" s="1"/>
  <c r="Q242" i="1"/>
  <c r="Q242" i="1" a="1"/>
  <c r="K242" i="1" a="1"/>
  <c r="K242" i="1" s="1"/>
  <c r="Q241" i="1" a="1"/>
  <c r="Q241" i="1" s="1"/>
  <c r="K241" i="1" a="1"/>
  <c r="K241" i="1" s="1"/>
  <c r="Q240" i="1"/>
  <c r="Q240" i="1" a="1"/>
  <c r="K240" i="1" a="1"/>
  <c r="K240" i="1" s="1"/>
  <c r="I240" i="1" s="1"/>
  <c r="Q239" i="1" a="1"/>
  <c r="Q239" i="1" s="1"/>
  <c r="K239" i="1" a="1"/>
  <c r="K239" i="1" s="1"/>
  <c r="Q238" i="1"/>
  <c r="Q238" i="1" a="1"/>
  <c r="K238" i="1" a="1"/>
  <c r="K238" i="1" s="1"/>
  <c r="Q237" i="1" a="1"/>
  <c r="Q237" i="1" s="1"/>
  <c r="K237" i="1" a="1"/>
  <c r="K237" i="1" s="1"/>
  <c r="Q236" i="1"/>
  <c r="Q236" i="1" a="1"/>
  <c r="K236" i="1" a="1"/>
  <c r="K236" i="1" s="1"/>
  <c r="J236" i="1" s="1"/>
  <c r="Q235" i="1" a="1"/>
  <c r="Q235" i="1" s="1"/>
  <c r="K235" i="1" a="1"/>
  <c r="K235" i="1" s="1"/>
  <c r="Q234" i="1"/>
  <c r="Q234" i="1" a="1"/>
  <c r="K234" i="1" a="1"/>
  <c r="K234" i="1" s="1"/>
  <c r="J234" i="1" s="1"/>
  <c r="Q233" i="1" a="1"/>
  <c r="Q233" i="1" s="1"/>
  <c r="K233" i="1" a="1"/>
  <c r="K233" i="1" s="1"/>
  <c r="Q232" i="1"/>
  <c r="Q232" i="1" a="1"/>
  <c r="K232" i="1" a="1"/>
  <c r="K232" i="1" s="1"/>
  <c r="I232" i="1" s="1"/>
  <c r="Q231" i="1" a="1"/>
  <c r="Q231" i="1" s="1"/>
  <c r="K231" i="1" a="1"/>
  <c r="K231" i="1" s="1"/>
  <c r="Q230" i="1"/>
  <c r="Q230" i="1" a="1"/>
  <c r="K230" i="1"/>
  <c r="K230" i="1" a="1"/>
  <c r="Q229" i="1" a="1"/>
  <c r="Q229" i="1" s="1"/>
  <c r="K229" i="1" a="1"/>
  <c r="K229" i="1" s="1"/>
  <c r="Q228" i="1"/>
  <c r="Q228" i="1" a="1"/>
  <c r="K228" i="1" a="1"/>
  <c r="K228" i="1" s="1"/>
  <c r="J228" i="1" s="1"/>
  <c r="Q227" i="1" a="1"/>
  <c r="Q227" i="1" s="1"/>
  <c r="K227" i="1" a="1"/>
  <c r="K227" i="1" s="1"/>
  <c r="Q226" i="1"/>
  <c r="Q226" i="1" a="1"/>
  <c r="K226" i="1" a="1"/>
  <c r="K226" i="1" s="1"/>
  <c r="Q225" i="1" a="1"/>
  <c r="Q225" i="1" s="1"/>
  <c r="K225" i="1" a="1"/>
  <c r="K225" i="1" s="1"/>
  <c r="Q224" i="1"/>
  <c r="Q224" i="1" a="1"/>
  <c r="K224" i="1" a="1"/>
  <c r="K224" i="1" s="1"/>
  <c r="I224" i="1" s="1"/>
  <c r="Q223" i="1" a="1"/>
  <c r="Q223" i="1" s="1"/>
  <c r="K223" i="1" a="1"/>
  <c r="K223" i="1" s="1"/>
  <c r="Q222" i="1"/>
  <c r="Q222" i="1" a="1"/>
  <c r="K222" i="1" a="1"/>
  <c r="K222" i="1" s="1"/>
  <c r="Q221" i="1" a="1"/>
  <c r="Q221" i="1" s="1"/>
  <c r="K221" i="1" a="1"/>
  <c r="K221" i="1" s="1"/>
  <c r="Q220" i="1"/>
  <c r="Q220" i="1" a="1"/>
  <c r="K220" i="1" a="1"/>
  <c r="K220" i="1" s="1"/>
  <c r="Q219" i="1" a="1"/>
  <c r="Q219" i="1" s="1"/>
  <c r="K219" i="1" a="1"/>
  <c r="K219" i="1" s="1"/>
  <c r="I219" i="1"/>
  <c r="Q218" i="1"/>
  <c r="Q218" i="1" a="1"/>
  <c r="K218" i="1" a="1"/>
  <c r="K218" i="1" s="1"/>
  <c r="Q217" i="1" a="1"/>
  <c r="Q217" i="1" s="1"/>
  <c r="K217" i="1" a="1"/>
  <c r="K217" i="1" s="1"/>
  <c r="Q216" i="1"/>
  <c r="Q216" i="1" a="1"/>
  <c r="K216" i="1"/>
  <c r="K216" i="1" a="1"/>
  <c r="Q215" i="1" a="1"/>
  <c r="Q215" i="1" s="1"/>
  <c r="K215" i="1" a="1"/>
  <c r="K215" i="1" s="1"/>
  <c r="Q214" i="1"/>
  <c r="Q214" i="1" a="1"/>
  <c r="K214" i="1" a="1"/>
  <c r="K214" i="1" s="1"/>
  <c r="J214" i="1" s="1"/>
  <c r="Q213" i="1" a="1"/>
  <c r="Q213" i="1" s="1"/>
  <c r="K213" i="1" a="1"/>
  <c r="K213" i="1" s="1"/>
  <c r="I213" i="1" s="1"/>
  <c r="Q212" i="1"/>
  <c r="Q212" i="1" a="1"/>
  <c r="K212" i="1" a="1"/>
  <c r="K212" i="1" s="1"/>
  <c r="Q211" i="1" a="1"/>
  <c r="Q211" i="1" s="1"/>
  <c r="K211" i="1" a="1"/>
  <c r="K211" i="1" s="1"/>
  <c r="I211" i="1" s="1"/>
  <c r="Q210" i="1"/>
  <c r="Q210" i="1" a="1"/>
  <c r="K210" i="1" a="1"/>
  <c r="K210" i="1" s="1"/>
  <c r="H210" i="1" s="1"/>
  <c r="Q209" i="1" a="1"/>
  <c r="Q209" i="1" s="1"/>
  <c r="K209" i="1" a="1"/>
  <c r="K209" i="1" s="1"/>
  <c r="Q208" i="1"/>
  <c r="Q208" i="1" a="1"/>
  <c r="K208" i="1" a="1"/>
  <c r="K208" i="1" s="1"/>
  <c r="J208" i="1" s="1"/>
  <c r="Q207" i="1"/>
  <c r="Q207" i="1" a="1"/>
  <c r="K207" i="1" a="1"/>
  <c r="K207" i="1" s="1"/>
  <c r="J207" i="1" s="1"/>
  <c r="Q206" i="1" a="1"/>
  <c r="Q206" i="1" s="1"/>
  <c r="K206" i="1" a="1"/>
  <c r="K206" i="1" s="1"/>
  <c r="Q205" i="1" a="1"/>
  <c r="Q205" i="1" s="1"/>
  <c r="K205" i="1" a="1"/>
  <c r="K205" i="1" s="1"/>
  <c r="I205" i="1" s="1"/>
  <c r="Q204" i="1"/>
  <c r="Q204" i="1" a="1"/>
  <c r="K204" i="1"/>
  <c r="K204" i="1" a="1"/>
  <c r="Q203" i="1" a="1"/>
  <c r="Q203" i="1" s="1"/>
  <c r="K203" i="1" a="1"/>
  <c r="K203" i="1" s="1"/>
  <c r="I203" i="1" s="1"/>
  <c r="Q202" i="1"/>
  <c r="Q202" i="1" a="1"/>
  <c r="K202" i="1" a="1"/>
  <c r="K202" i="1" s="1"/>
  <c r="J202" i="1" s="1"/>
  <c r="Q201" i="1" a="1"/>
  <c r="Q201" i="1" s="1"/>
  <c r="K201" i="1" a="1"/>
  <c r="K201" i="1" s="1"/>
  <c r="Q200" i="1"/>
  <c r="Q200" i="1" a="1"/>
  <c r="K200" i="1" a="1"/>
  <c r="K200" i="1" s="1"/>
  <c r="J200" i="1"/>
  <c r="Q199" i="1" a="1"/>
  <c r="Q199" i="1" s="1"/>
  <c r="K199" i="1" a="1"/>
  <c r="K199" i="1" s="1"/>
  <c r="Q198" i="1"/>
  <c r="Q198" i="1" a="1"/>
  <c r="K198" i="1" a="1"/>
  <c r="K198" i="1" s="1"/>
  <c r="J198" i="1" s="1"/>
  <c r="Q197" i="1" a="1"/>
  <c r="Q197" i="1" s="1"/>
  <c r="K197" i="1" a="1"/>
  <c r="K197" i="1" s="1"/>
  <c r="I197" i="1" s="1"/>
  <c r="Q196" i="1"/>
  <c r="Q196" i="1" a="1"/>
  <c r="K196" i="1" a="1"/>
  <c r="K196" i="1" s="1"/>
  <c r="Q195" i="1" a="1"/>
  <c r="Q195" i="1" s="1"/>
  <c r="K195" i="1" a="1"/>
  <c r="K195" i="1" s="1"/>
  <c r="Q194" i="1"/>
  <c r="Q194" i="1" a="1"/>
  <c r="K194" i="1" a="1"/>
  <c r="K194" i="1" s="1"/>
  <c r="H194" i="1" s="1"/>
  <c r="Q193" i="1" a="1"/>
  <c r="Q193" i="1" s="1"/>
  <c r="K193" i="1" a="1"/>
  <c r="K193" i="1" s="1"/>
  <c r="Q192" i="1"/>
  <c r="Q192" i="1" a="1"/>
  <c r="K192" i="1" a="1"/>
  <c r="K192" i="1" s="1"/>
  <c r="J192" i="1" s="1"/>
  <c r="Q191" i="1" a="1"/>
  <c r="Q191" i="1" s="1"/>
  <c r="K191" i="1" a="1"/>
  <c r="K191" i="1" s="1"/>
  <c r="Q190" i="1"/>
  <c r="Q190" i="1" a="1"/>
  <c r="K190" i="1" a="1"/>
  <c r="K190" i="1" s="1"/>
  <c r="Q189" i="1"/>
  <c r="Q189" i="1" a="1"/>
  <c r="K189" i="1" a="1"/>
  <c r="K189" i="1" s="1"/>
  <c r="I189" i="1" s="1"/>
  <c r="Q188" i="1" a="1"/>
  <c r="Q188" i="1" s="1"/>
  <c r="K188" i="1" a="1"/>
  <c r="K188" i="1" s="1"/>
  <c r="Q187" i="1"/>
  <c r="Q187" i="1" a="1"/>
  <c r="K187" i="1" a="1"/>
  <c r="K187" i="1" s="1"/>
  <c r="Q186" i="1"/>
  <c r="Q186" i="1" a="1"/>
  <c r="K186" i="1" a="1"/>
  <c r="K186" i="1" s="1"/>
  <c r="J186" i="1" s="1"/>
  <c r="Q185" i="1" a="1"/>
  <c r="Q185" i="1" s="1"/>
  <c r="K185" i="1" a="1"/>
  <c r="K185" i="1" s="1"/>
  <c r="Q184" i="1" a="1"/>
  <c r="Q184" i="1" s="1"/>
  <c r="K184" i="1" a="1"/>
  <c r="K184" i="1" s="1"/>
  <c r="Q183" i="1" a="1"/>
  <c r="Q183" i="1" s="1"/>
  <c r="K183" i="1" a="1"/>
  <c r="K183" i="1" s="1"/>
  <c r="H183" i="1" s="1"/>
  <c r="Q182" i="1"/>
  <c r="Q182" i="1" a="1"/>
  <c r="K182" i="1" a="1"/>
  <c r="K182" i="1" s="1"/>
  <c r="Q181" i="1"/>
  <c r="Q181" i="1" a="1"/>
  <c r="K181" i="1" a="1"/>
  <c r="K181" i="1" s="1"/>
  <c r="Q180" i="1" a="1"/>
  <c r="Q180" i="1" s="1"/>
  <c r="K180" i="1" a="1"/>
  <c r="K180" i="1" s="1"/>
  <c r="Q179" i="1"/>
  <c r="Q179" i="1" a="1"/>
  <c r="K179" i="1" a="1"/>
  <c r="K179" i="1" s="1"/>
  <c r="Q178" i="1"/>
  <c r="Q178" i="1" a="1"/>
  <c r="K178" i="1" a="1"/>
  <c r="K178" i="1" s="1"/>
  <c r="Q177" i="1"/>
  <c r="Q177" i="1" a="1"/>
  <c r="K177" i="1" a="1"/>
  <c r="K177" i="1" s="1"/>
  <c r="Q176" i="1" a="1"/>
  <c r="Q176" i="1" s="1"/>
  <c r="K176" i="1" a="1"/>
  <c r="K176" i="1" s="1"/>
  <c r="Q175" i="1" a="1"/>
  <c r="Q175" i="1" s="1"/>
  <c r="K175" i="1" a="1"/>
  <c r="K175" i="1" s="1"/>
  <c r="Q174" i="1"/>
  <c r="Q174" i="1" a="1"/>
  <c r="K174" i="1" a="1"/>
  <c r="K174" i="1" s="1"/>
  <c r="Q173" i="1"/>
  <c r="Q173" i="1" a="1"/>
  <c r="K173" i="1" a="1"/>
  <c r="K173" i="1" s="1"/>
  <c r="Q172" i="1" a="1"/>
  <c r="Q172" i="1" s="1"/>
  <c r="K172" i="1" a="1"/>
  <c r="K172" i="1" s="1"/>
  <c r="Q171" i="1"/>
  <c r="Q171" i="1" a="1"/>
  <c r="K171" i="1" a="1"/>
  <c r="K171" i="1" s="1"/>
  <c r="Q170" i="1"/>
  <c r="Q170" i="1" a="1"/>
  <c r="K170" i="1" a="1"/>
  <c r="K170" i="1" s="1"/>
  <c r="J170" i="1" s="1"/>
  <c r="Q169" i="1" a="1"/>
  <c r="Q169" i="1" s="1"/>
  <c r="K169" i="1" a="1"/>
  <c r="K169" i="1" s="1"/>
  <c r="Q168" i="1" a="1"/>
  <c r="Q168" i="1" s="1"/>
  <c r="K168" i="1" a="1"/>
  <c r="K168" i="1" s="1"/>
  <c r="I168" i="1" s="1"/>
  <c r="Q167" i="1" a="1"/>
  <c r="Q167" i="1" s="1"/>
  <c r="K167" i="1"/>
  <c r="H167" i="1" s="1"/>
  <c r="K167" i="1" a="1"/>
  <c r="Q166" i="1"/>
  <c r="Q166" i="1" a="1"/>
  <c r="K166" i="1" a="1"/>
  <c r="K166" i="1" s="1"/>
  <c r="Q165" i="1"/>
  <c r="Q165" i="1" a="1"/>
  <c r="K165" i="1" a="1"/>
  <c r="K165" i="1" s="1"/>
  <c r="I165" i="1" s="1"/>
  <c r="Q164" i="1" a="1"/>
  <c r="Q164" i="1" s="1"/>
  <c r="K164" i="1" a="1"/>
  <c r="K164" i="1" s="1"/>
  <c r="Q163" i="1"/>
  <c r="Q163" i="1" a="1"/>
  <c r="K163" i="1" a="1"/>
  <c r="K163" i="1" s="1"/>
  <c r="Q162" i="1"/>
  <c r="Q162" i="1" a="1"/>
  <c r="K162" i="1" a="1"/>
  <c r="K162" i="1" s="1"/>
  <c r="Q161" i="1"/>
  <c r="Q161" i="1" a="1"/>
  <c r="K161" i="1" a="1"/>
  <c r="K161" i="1" s="1"/>
  <c r="I161" i="1" s="1"/>
  <c r="Q160" i="1" a="1"/>
  <c r="Q160" i="1" s="1"/>
  <c r="K160" i="1" a="1"/>
  <c r="K160" i="1" s="1"/>
  <c r="Q159" i="1" a="1"/>
  <c r="Q159" i="1" s="1"/>
  <c r="K159" i="1" a="1"/>
  <c r="K159" i="1" s="1"/>
  <c r="Q158" i="1"/>
  <c r="Q158" i="1" a="1"/>
  <c r="K158" i="1" a="1"/>
  <c r="K158" i="1" s="1"/>
  <c r="Q157" i="1"/>
  <c r="Q157" i="1" a="1"/>
  <c r="K157" i="1" a="1"/>
  <c r="K157" i="1" s="1"/>
  <c r="Q156" i="1" a="1"/>
  <c r="Q156" i="1" s="1"/>
  <c r="K156" i="1" a="1"/>
  <c r="K156" i="1" s="1"/>
  <c r="Q155" i="1"/>
  <c r="Q155" i="1" a="1"/>
  <c r="K155" i="1" a="1"/>
  <c r="K155" i="1" s="1"/>
  <c r="Q154" i="1"/>
  <c r="Q154" i="1" a="1"/>
  <c r="K154" i="1" a="1"/>
  <c r="K154" i="1" s="1"/>
  <c r="Q153" i="1"/>
  <c r="Q153" i="1" a="1"/>
  <c r="K153" i="1" a="1"/>
  <c r="K153" i="1" s="1"/>
  <c r="J153" i="1" s="1"/>
  <c r="Q152" i="1" a="1"/>
  <c r="Q152" i="1" s="1"/>
  <c r="K152" i="1"/>
  <c r="I152" i="1" s="1"/>
  <c r="K152" i="1" a="1"/>
  <c r="Q151" i="1" a="1"/>
  <c r="Q151" i="1" s="1"/>
  <c r="K151" i="1" a="1"/>
  <c r="K151" i="1" s="1"/>
  <c r="H151" i="1" s="1"/>
  <c r="Q150" i="1"/>
  <c r="Q150" i="1" a="1"/>
  <c r="K150" i="1" a="1"/>
  <c r="K150" i="1" s="1"/>
  <c r="Q149" i="1"/>
  <c r="Q149" i="1" a="1"/>
  <c r="K149" i="1" a="1"/>
  <c r="K149" i="1" s="1"/>
  <c r="Q148" i="1" a="1"/>
  <c r="Q148" i="1" s="1"/>
  <c r="K148" i="1" a="1"/>
  <c r="K148" i="1" s="1"/>
  <c r="Q147" i="1"/>
  <c r="Q147" i="1" a="1"/>
  <c r="K147" i="1" a="1"/>
  <c r="K147" i="1" s="1"/>
  <c r="Q146" i="1"/>
  <c r="Q146" i="1" a="1"/>
  <c r="K146" i="1" a="1"/>
  <c r="K146" i="1" s="1"/>
  <c r="J146" i="1" s="1"/>
  <c r="Q145" i="1" a="1"/>
  <c r="Q145" i="1" s="1"/>
  <c r="K145" i="1" a="1"/>
  <c r="K145" i="1" s="1"/>
  <c r="Q144" i="1" a="1"/>
  <c r="Q144" i="1" s="1"/>
  <c r="K144" i="1" a="1"/>
  <c r="K144" i="1" s="1"/>
  <c r="Q143" i="1" a="1"/>
  <c r="Q143" i="1" s="1"/>
  <c r="K143" i="1" a="1"/>
  <c r="K143" i="1" s="1"/>
  <c r="Q142" i="1"/>
  <c r="Q142" i="1" a="1"/>
  <c r="K142" i="1" a="1"/>
  <c r="K142" i="1" s="1"/>
  <c r="Q141" i="1"/>
  <c r="Q141" i="1" a="1"/>
  <c r="K141" i="1" a="1"/>
  <c r="K141" i="1" s="1"/>
  <c r="Q140" i="1" a="1"/>
  <c r="Q140" i="1" s="1"/>
  <c r="K140" i="1" a="1"/>
  <c r="K140" i="1" s="1"/>
  <c r="Q139" i="1"/>
  <c r="Q139" i="1" a="1"/>
  <c r="K139" i="1" a="1"/>
  <c r="K139" i="1" s="1"/>
  <c r="Q138" i="1"/>
  <c r="Q138" i="1" a="1"/>
  <c r="K138" i="1" a="1"/>
  <c r="K138" i="1" s="1"/>
  <c r="J138" i="1" s="1"/>
  <c r="Q137" i="1" a="1"/>
  <c r="Q137" i="1" s="1"/>
  <c r="K137" i="1" a="1"/>
  <c r="K137" i="1" s="1"/>
  <c r="J137" i="1" s="1"/>
  <c r="Q136" i="1" a="1"/>
  <c r="Q136" i="1" s="1"/>
  <c r="K136" i="1" a="1"/>
  <c r="K136" i="1" s="1"/>
  <c r="I136" i="1" s="1"/>
  <c r="Q135" i="1" a="1"/>
  <c r="Q135" i="1" s="1"/>
  <c r="K135" i="1" a="1"/>
  <c r="K135" i="1" s="1"/>
  <c r="Q134" i="1"/>
  <c r="Q134" i="1" a="1"/>
  <c r="K134" i="1" a="1"/>
  <c r="K134" i="1" s="1"/>
  <c r="Q133" i="1"/>
  <c r="Q133" i="1" a="1"/>
  <c r="K133" i="1" a="1"/>
  <c r="K133" i="1" s="1"/>
  <c r="Q132" i="1" a="1"/>
  <c r="Q132" i="1" s="1"/>
  <c r="K132" i="1" a="1"/>
  <c r="K132" i="1" s="1"/>
  <c r="Q131" i="1"/>
  <c r="Q131" i="1" a="1"/>
  <c r="K131" i="1" a="1"/>
  <c r="K131" i="1" s="1"/>
  <c r="Q130" i="1"/>
  <c r="Q130" i="1" a="1"/>
  <c r="K130" i="1" a="1"/>
  <c r="K130" i="1" s="1"/>
  <c r="Q129" i="1" a="1"/>
  <c r="Q129" i="1" s="1"/>
  <c r="K129" i="1" a="1"/>
  <c r="K129" i="1" s="1"/>
  <c r="I129" i="1" s="1"/>
  <c r="Q128" i="1" a="1"/>
  <c r="Q128" i="1" s="1"/>
  <c r="K128" i="1" a="1"/>
  <c r="K128" i="1" s="1"/>
  <c r="Q127" i="1" a="1"/>
  <c r="Q127" i="1" s="1"/>
  <c r="K127" i="1" a="1"/>
  <c r="K127" i="1" s="1"/>
  <c r="Q126" i="1"/>
  <c r="Q126" i="1" a="1"/>
  <c r="K126" i="1" a="1"/>
  <c r="K126" i="1" s="1"/>
  <c r="Q125" i="1"/>
  <c r="Q125" i="1" a="1"/>
  <c r="K125" i="1" a="1"/>
  <c r="K125" i="1" s="1"/>
  <c r="Q124" i="1" a="1"/>
  <c r="Q124" i="1" s="1"/>
  <c r="K124" i="1" a="1"/>
  <c r="K124" i="1" s="1"/>
  <c r="Q123" i="1"/>
  <c r="Q123" i="1" a="1"/>
  <c r="K123" i="1" a="1"/>
  <c r="K123" i="1" s="1"/>
  <c r="Q122" i="1"/>
  <c r="Q122" i="1" a="1"/>
  <c r="K122" i="1" a="1"/>
  <c r="K122" i="1" s="1"/>
  <c r="J122" i="1" s="1"/>
  <c r="Q121" i="1" a="1"/>
  <c r="Q121" i="1" s="1"/>
  <c r="K121" i="1" a="1"/>
  <c r="K121" i="1" s="1"/>
  <c r="Q120" i="1" a="1"/>
  <c r="Q120" i="1" s="1"/>
  <c r="K120" i="1" a="1"/>
  <c r="K120" i="1" s="1"/>
  <c r="Q119" i="1" a="1"/>
  <c r="Q119" i="1" s="1"/>
  <c r="K119" i="1" a="1"/>
  <c r="K119" i="1" s="1"/>
  <c r="H119" i="1" s="1"/>
  <c r="Q118" i="1"/>
  <c r="Q118" i="1" a="1"/>
  <c r="K118" i="1" a="1"/>
  <c r="K118" i="1" s="1"/>
  <c r="Q117" i="1"/>
  <c r="Q117" i="1" a="1"/>
  <c r="K117" i="1" a="1"/>
  <c r="K117" i="1" s="1"/>
  <c r="Q116" i="1" a="1"/>
  <c r="Q116" i="1" s="1"/>
  <c r="K116" i="1" a="1"/>
  <c r="K116" i="1" s="1"/>
  <c r="Q115" i="1"/>
  <c r="Q115" i="1" a="1"/>
  <c r="K115" i="1" a="1"/>
  <c r="K115" i="1" s="1"/>
  <c r="Q114" i="1"/>
  <c r="Q114" i="1" a="1"/>
  <c r="K114" i="1" a="1"/>
  <c r="K114" i="1" s="1"/>
  <c r="Q113" i="1" a="1"/>
  <c r="Q113" i="1" s="1"/>
  <c r="K113" i="1" a="1"/>
  <c r="K113" i="1" s="1"/>
  <c r="Q112" i="1" a="1"/>
  <c r="Q112" i="1" s="1"/>
  <c r="K112" i="1" a="1"/>
  <c r="K112" i="1" s="1"/>
  <c r="Q111" i="1" a="1"/>
  <c r="Q111" i="1" s="1"/>
  <c r="K111" i="1" a="1"/>
  <c r="K111" i="1" s="1"/>
  <c r="Q110" i="1"/>
  <c r="Q110" i="1" a="1"/>
  <c r="K110" i="1" a="1"/>
  <c r="K110" i="1" s="1"/>
  <c r="Q109" i="1"/>
  <c r="Q109" i="1" a="1"/>
  <c r="K109" i="1"/>
  <c r="I109" i="1" s="1"/>
  <c r="K109" i="1" a="1"/>
  <c r="Q108" i="1" a="1"/>
  <c r="Q108" i="1" s="1"/>
  <c r="K108" i="1" a="1"/>
  <c r="K108" i="1" s="1"/>
  <c r="Q107" i="1"/>
  <c r="Q107" i="1" a="1"/>
  <c r="K107" i="1" a="1"/>
  <c r="K107" i="1" s="1"/>
  <c r="Q106" i="1"/>
  <c r="Q106" i="1" a="1"/>
  <c r="K106" i="1" a="1"/>
  <c r="K106" i="1" s="1"/>
  <c r="J106" i="1" s="1"/>
  <c r="Q105" i="1" a="1"/>
  <c r="Q105" i="1" s="1"/>
  <c r="K105" i="1" a="1"/>
  <c r="K105" i="1" s="1"/>
  <c r="J105" i="1" s="1"/>
  <c r="Q104" i="1" a="1"/>
  <c r="Q104" i="1" s="1"/>
  <c r="K104" i="1" a="1"/>
  <c r="K104" i="1" s="1"/>
  <c r="I104" i="1" s="1"/>
  <c r="Q103" i="1" a="1"/>
  <c r="Q103" i="1" s="1"/>
  <c r="K103" i="1" a="1"/>
  <c r="K103" i="1" s="1"/>
  <c r="Q102" i="1"/>
  <c r="Q102" i="1" a="1"/>
  <c r="K102" i="1" a="1"/>
  <c r="K102" i="1" s="1"/>
  <c r="Q101" i="1"/>
  <c r="Q101" i="1" a="1"/>
  <c r="K101" i="1" a="1"/>
  <c r="K101" i="1" s="1"/>
  <c r="Q100" i="1" a="1"/>
  <c r="Q100" i="1" s="1"/>
  <c r="K100" i="1"/>
  <c r="K100" i="1" a="1"/>
  <c r="Q99" i="1" a="1"/>
  <c r="Q99" i="1" s="1"/>
  <c r="K99" i="1" a="1"/>
  <c r="K99" i="1" s="1"/>
  <c r="Q98" i="1"/>
  <c r="Q98" i="1" a="1"/>
  <c r="K98" i="1" a="1"/>
  <c r="K98" i="1" s="1"/>
  <c r="J98" i="1" s="1"/>
  <c r="Q97" i="1"/>
  <c r="Q97" i="1" a="1"/>
  <c r="K97" i="1" a="1"/>
  <c r="K97" i="1" s="1"/>
  <c r="Q96" i="1" a="1"/>
  <c r="Q96" i="1" s="1"/>
  <c r="K96" i="1" a="1"/>
  <c r="K96" i="1" s="1"/>
  <c r="Q95" i="1" a="1"/>
  <c r="Q95" i="1" s="1"/>
  <c r="K95" i="1" a="1"/>
  <c r="K95" i="1" s="1"/>
  <c r="H95" i="1" s="1"/>
  <c r="Q94" i="1"/>
  <c r="Q94" i="1" a="1"/>
  <c r="K94" i="1" a="1"/>
  <c r="K94" i="1" s="1"/>
  <c r="Q93" i="1"/>
  <c r="Q93" i="1" a="1"/>
  <c r="K93" i="1" a="1"/>
  <c r="K93" i="1" s="1"/>
  <c r="J93" i="1" s="1"/>
  <c r="Q92" i="1" a="1"/>
  <c r="Q92" i="1" s="1"/>
  <c r="K92" i="1" a="1"/>
  <c r="K92" i="1" s="1"/>
  <c r="Q91" i="1" a="1"/>
  <c r="Q91" i="1" s="1"/>
  <c r="K91" i="1" a="1"/>
  <c r="K91" i="1" s="1"/>
  <c r="Q90" i="1"/>
  <c r="Q90" i="1" a="1"/>
  <c r="K90" i="1" a="1"/>
  <c r="K90" i="1" s="1"/>
  <c r="Q89" i="1"/>
  <c r="Q89" i="1" a="1"/>
  <c r="K89" i="1" a="1"/>
  <c r="K89" i="1" s="1"/>
  <c r="J89" i="1" s="1"/>
  <c r="Q88" i="1" a="1"/>
  <c r="Q88" i="1" s="1"/>
  <c r="K88" i="1"/>
  <c r="K88" i="1" a="1"/>
  <c r="Q87" i="1" a="1"/>
  <c r="Q87" i="1" s="1"/>
  <c r="K87" i="1" a="1"/>
  <c r="K87" i="1" s="1"/>
  <c r="I87" i="1" s="1"/>
  <c r="Q86" i="1"/>
  <c r="Q86" i="1" a="1"/>
  <c r="K86" i="1" a="1"/>
  <c r="K86" i="1" s="1"/>
  <c r="Q85" i="1"/>
  <c r="Q85" i="1" a="1"/>
  <c r="K85" i="1" a="1"/>
  <c r="K85" i="1" s="1"/>
  <c r="J85" i="1" s="1"/>
  <c r="Q84" i="1"/>
  <c r="Q84" i="1" a="1"/>
  <c r="K84" i="1" a="1"/>
  <c r="K84" i="1" s="1"/>
  <c r="J84" i="1" s="1"/>
  <c r="Q83" i="1"/>
  <c r="Q83" i="1" a="1"/>
  <c r="K83" i="1" a="1"/>
  <c r="K83" i="1" s="1"/>
  <c r="Q82" i="1"/>
  <c r="Q82" i="1" a="1"/>
  <c r="K82" i="1" a="1"/>
  <c r="K82" i="1" s="1"/>
  <c r="Q81" i="1" a="1"/>
  <c r="Q81" i="1" s="1"/>
  <c r="K81" i="1" a="1"/>
  <c r="K81" i="1" s="1"/>
  <c r="J81" i="1" s="1"/>
  <c r="Q80" i="1" a="1"/>
  <c r="Q80" i="1" s="1"/>
  <c r="K80" i="1" a="1"/>
  <c r="K80" i="1" s="1"/>
  <c r="Q79" i="1" a="1"/>
  <c r="Q79" i="1" s="1"/>
  <c r="K79" i="1" a="1"/>
  <c r="K79" i="1" s="1"/>
  <c r="J79" i="1" s="1"/>
  <c r="Q78" i="1"/>
  <c r="Q78" i="1" a="1"/>
  <c r="K78" i="1" a="1"/>
  <c r="K78" i="1" s="1"/>
  <c r="J78" i="1" s="1"/>
  <c r="Q77" i="1"/>
  <c r="Q77" i="1" a="1"/>
  <c r="K77" i="1" a="1"/>
  <c r="K77" i="1" s="1"/>
  <c r="Q76" i="1" a="1"/>
  <c r="Q76" i="1" s="1"/>
  <c r="K76" i="1" a="1"/>
  <c r="K76" i="1" s="1"/>
  <c r="Q75" i="1"/>
  <c r="Q75" i="1" a="1"/>
  <c r="K75" i="1" a="1"/>
  <c r="K75" i="1" s="1"/>
  <c r="H75" i="1" s="1"/>
  <c r="Q74" i="1"/>
  <c r="Q74" i="1" a="1"/>
  <c r="K74" i="1" a="1"/>
  <c r="K74" i="1" s="1"/>
  <c r="Q73" i="1"/>
  <c r="Q73" i="1" a="1"/>
  <c r="K73" i="1" a="1"/>
  <c r="K73" i="1" s="1"/>
  <c r="J73" i="1" s="1"/>
  <c r="Q72" i="1" a="1"/>
  <c r="Q72" i="1" s="1"/>
  <c r="K72" i="1" a="1"/>
  <c r="K72" i="1" s="1"/>
  <c r="Q71" i="1"/>
  <c r="Q71" i="1" a="1"/>
  <c r="K71" i="1" a="1"/>
  <c r="K71" i="1" s="1"/>
  <c r="J71" i="1" s="1"/>
  <c r="Q70" i="1"/>
  <c r="Q70" i="1" a="1"/>
  <c r="K70" i="1" a="1"/>
  <c r="K70" i="1" s="1"/>
  <c r="Q69" i="1"/>
  <c r="Q69" i="1" a="1"/>
  <c r="K69" i="1" a="1"/>
  <c r="K69" i="1" s="1"/>
  <c r="Q68" i="1" a="1"/>
  <c r="Q68" i="1" s="1"/>
  <c r="K68" i="1" a="1"/>
  <c r="K68" i="1" s="1"/>
  <c r="Q67" i="1"/>
  <c r="Q67" i="1" a="1"/>
  <c r="K67" i="1" a="1"/>
  <c r="K67" i="1" s="1"/>
  <c r="H67" i="1" s="1"/>
  <c r="Q66" i="1"/>
  <c r="Q66" i="1" a="1"/>
  <c r="K66" i="1" a="1"/>
  <c r="K66" i="1" s="1"/>
  <c r="Q65" i="1"/>
  <c r="Q65" i="1" a="1"/>
  <c r="K65" i="1" a="1"/>
  <c r="K65" i="1" s="1"/>
  <c r="J65" i="1" s="1"/>
  <c r="Q64" i="1" a="1"/>
  <c r="Q64" i="1" s="1"/>
  <c r="K64" i="1" a="1"/>
  <c r="K64" i="1" s="1"/>
  <c r="J64" i="1" s="1"/>
  <c r="Q63" i="1"/>
  <c r="Q63" i="1" a="1"/>
  <c r="K63" i="1" a="1"/>
  <c r="K63" i="1" s="1"/>
  <c r="J63" i="1" s="1"/>
  <c r="Q62" i="1"/>
  <c r="Q62" i="1" a="1"/>
  <c r="K62" i="1" a="1"/>
  <c r="K62" i="1" s="1"/>
  <c r="Q61" i="1"/>
  <c r="Q61" i="1" a="1"/>
  <c r="K61" i="1" a="1"/>
  <c r="K61" i="1" s="1"/>
  <c r="Q60" i="1" a="1"/>
  <c r="Q60" i="1" s="1"/>
  <c r="K60" i="1" a="1"/>
  <c r="K60" i="1" s="1"/>
  <c r="Q59" i="1"/>
  <c r="Q59" i="1" a="1"/>
  <c r="K59" i="1" a="1"/>
  <c r="K59" i="1" s="1"/>
  <c r="H59" i="1" s="1"/>
  <c r="Q58" i="1"/>
  <c r="Q58" i="1" a="1"/>
  <c r="K58" i="1" a="1"/>
  <c r="K58" i="1" s="1"/>
  <c r="Q57" i="1"/>
  <c r="Q57" i="1" a="1"/>
  <c r="K57" i="1" a="1"/>
  <c r="K57" i="1" s="1"/>
  <c r="J57" i="1" s="1"/>
  <c r="Q56" i="1" a="1"/>
  <c r="Q56" i="1" s="1"/>
  <c r="K56" i="1" a="1"/>
  <c r="K56" i="1" s="1"/>
  <c r="J56" i="1" s="1"/>
  <c r="Q55" i="1"/>
  <c r="Q55" i="1" a="1"/>
  <c r="K55" i="1" a="1"/>
  <c r="K55" i="1" s="1"/>
  <c r="J55" i="1" s="1"/>
  <c r="Q54" i="1"/>
  <c r="Q54" i="1" a="1"/>
  <c r="K54" i="1" a="1"/>
  <c r="K54" i="1" s="1"/>
  <c r="Q53" i="1"/>
  <c r="Q53" i="1" a="1"/>
  <c r="K53" i="1" a="1"/>
  <c r="K53" i="1" s="1"/>
  <c r="H53" i="1" s="1"/>
  <c r="Q52" i="1" a="1"/>
  <c r="Q52" i="1" s="1"/>
  <c r="K52" i="1" a="1"/>
  <c r="K52" i="1" s="1"/>
  <c r="Q51" i="1"/>
  <c r="Q51" i="1" a="1"/>
  <c r="K51" i="1" a="1"/>
  <c r="K51" i="1" s="1"/>
  <c r="H51" i="1" s="1"/>
  <c r="Q50" i="1"/>
  <c r="Q50" i="1" a="1"/>
  <c r="K50" i="1" a="1"/>
  <c r="K50" i="1" s="1"/>
  <c r="Q49" i="1"/>
  <c r="Q49" i="1" a="1"/>
  <c r="K49" i="1"/>
  <c r="J49" i="1" s="1"/>
  <c r="K49" i="1" a="1"/>
  <c r="Q48" i="1" a="1"/>
  <c r="Q48" i="1" s="1"/>
  <c r="K48" i="1" a="1"/>
  <c r="K48" i="1" s="1"/>
  <c r="J48" i="1" s="1"/>
  <c r="Q47" i="1"/>
  <c r="Q47" i="1" a="1"/>
  <c r="K47" i="1" a="1"/>
  <c r="K47" i="1" s="1"/>
  <c r="Q46" i="1"/>
  <c r="Q46" i="1" a="1"/>
  <c r="K46" i="1" a="1"/>
  <c r="K46" i="1" s="1"/>
  <c r="Q45" i="1" a="1"/>
  <c r="Q45" i="1" s="1"/>
  <c r="K45" i="1" a="1"/>
  <c r="K45" i="1" s="1"/>
  <c r="H45" i="1" s="1"/>
  <c r="Q44" i="1" a="1"/>
  <c r="Q44" i="1" s="1"/>
  <c r="K44" i="1" a="1"/>
  <c r="K44" i="1" s="1"/>
  <c r="Q43" i="1"/>
  <c r="Q43" i="1" a="1"/>
  <c r="K43" i="1" a="1"/>
  <c r="K43" i="1" s="1"/>
  <c r="H43" i="1" s="1"/>
  <c r="Q42" i="1"/>
  <c r="Q42" i="1" a="1"/>
  <c r="K42" i="1" a="1"/>
  <c r="K42" i="1" s="1"/>
  <c r="Q41" i="1"/>
  <c r="Q41" i="1" a="1"/>
  <c r="K41" i="1" a="1"/>
  <c r="K41" i="1" s="1"/>
  <c r="J41" i="1" s="1"/>
  <c r="Q40" i="1" a="1"/>
  <c r="Q40" i="1" s="1"/>
  <c r="K40" i="1" a="1"/>
  <c r="K40" i="1" s="1"/>
  <c r="J40" i="1" s="1"/>
  <c r="Q39" i="1"/>
  <c r="Q39" i="1" a="1"/>
  <c r="K39" i="1" a="1"/>
  <c r="K39" i="1" s="1"/>
  <c r="Q38" i="1"/>
  <c r="Q38" i="1" a="1"/>
  <c r="K38" i="1" a="1"/>
  <c r="K38" i="1" s="1"/>
  <c r="Q37" i="1" a="1"/>
  <c r="Q37" i="1" s="1"/>
  <c r="K37" i="1" a="1"/>
  <c r="K37" i="1" s="1"/>
  <c r="Q36" i="1" a="1"/>
  <c r="Q36" i="1" s="1"/>
  <c r="K36" i="1" a="1"/>
  <c r="K36" i="1" s="1"/>
  <c r="Q35" i="1"/>
  <c r="Q35" i="1" a="1"/>
  <c r="K35" i="1" a="1"/>
  <c r="K35" i="1" s="1"/>
  <c r="H35" i="1" s="1"/>
  <c r="Q34" i="1"/>
  <c r="Q34" i="1" a="1"/>
  <c r="K34" i="1" a="1"/>
  <c r="K34" i="1" s="1"/>
  <c r="Q33" i="1"/>
  <c r="Q33" i="1" a="1"/>
  <c r="K33" i="1" a="1"/>
  <c r="K33" i="1" s="1"/>
  <c r="J33" i="1" s="1"/>
  <c r="Q32" i="1" a="1"/>
  <c r="Q32" i="1" s="1"/>
  <c r="K32" i="1"/>
  <c r="J32" i="1" s="1"/>
  <c r="K32" i="1" a="1"/>
  <c r="Q31" i="1"/>
  <c r="Q31" i="1" a="1"/>
  <c r="K31" i="1" a="1"/>
  <c r="K31" i="1" s="1"/>
  <c r="Q30" i="1"/>
  <c r="Q30" i="1" a="1"/>
  <c r="K30" i="1" a="1"/>
  <c r="K30" i="1" s="1"/>
  <c r="Q29" i="1" a="1"/>
  <c r="Q29" i="1" s="1"/>
  <c r="K29" i="1" a="1"/>
  <c r="K29" i="1" s="1"/>
  <c r="H29" i="1" s="1"/>
  <c r="Q28" i="1" a="1"/>
  <c r="Q28" i="1" s="1"/>
  <c r="K28" i="1" a="1"/>
  <c r="K28" i="1" s="1"/>
  <c r="Q27" i="1"/>
  <c r="Q27" i="1" a="1"/>
  <c r="K27" i="1"/>
  <c r="H27" i="1" s="1"/>
  <c r="K27" i="1" a="1"/>
  <c r="Q26" i="1"/>
  <c r="Q26" i="1" a="1"/>
  <c r="K26" i="1" a="1"/>
  <c r="K26" i="1" s="1"/>
  <c r="Q25" i="1"/>
  <c r="Q25" i="1" a="1"/>
  <c r="K25" i="1" a="1"/>
  <c r="K25" i="1" s="1"/>
  <c r="J25" i="1" s="1"/>
  <c r="Q24" i="1" a="1"/>
  <c r="Q24" i="1" s="1"/>
  <c r="K24" i="1" a="1"/>
  <c r="K24" i="1" s="1"/>
  <c r="J24" i="1" s="1"/>
  <c r="Q23" i="1"/>
  <c r="Q23" i="1" a="1"/>
  <c r="K23" i="1" a="1"/>
  <c r="K23" i="1" s="1"/>
  <c r="Q22" i="1"/>
  <c r="Q22" i="1" a="1"/>
  <c r="K22" i="1" a="1"/>
  <c r="K22" i="1" s="1"/>
  <c r="Q21" i="1" a="1"/>
  <c r="Q21" i="1" s="1"/>
  <c r="K21" i="1" a="1"/>
  <c r="K21" i="1" s="1"/>
  <c r="H21" i="1" s="1"/>
  <c r="Q20" i="1" a="1"/>
  <c r="Q20" i="1" s="1"/>
  <c r="K20" i="1" a="1"/>
  <c r="K20" i="1" s="1"/>
  <c r="Q19" i="1"/>
  <c r="Q19" i="1" a="1"/>
  <c r="K19" i="1" a="1"/>
  <c r="K19" i="1" s="1"/>
  <c r="H19" i="1" s="1"/>
  <c r="Q18" i="1"/>
  <c r="Q18" i="1" a="1"/>
  <c r="K18" i="1" a="1"/>
  <c r="K18" i="1" s="1"/>
  <c r="Q17" i="1"/>
  <c r="Q17" i="1" a="1"/>
  <c r="K17" i="1" a="1"/>
  <c r="K17" i="1" s="1"/>
  <c r="H17" i="1" s="1"/>
  <c r="Q16" i="1" a="1"/>
  <c r="Q16" i="1" s="1"/>
  <c r="K16" i="1" a="1"/>
  <c r="K16" i="1" s="1"/>
  <c r="J16" i="1" s="1"/>
  <c r="Q15" i="1"/>
  <c r="Q15" i="1" a="1"/>
  <c r="K15" i="1" a="1"/>
  <c r="K15" i="1" s="1"/>
  <c r="Q14" i="1"/>
  <c r="Q14" i="1" a="1"/>
  <c r="K14" i="1" a="1"/>
  <c r="K14" i="1" s="1"/>
  <c r="Q13" i="1" a="1"/>
  <c r="Q13" i="1" s="1"/>
  <c r="K13" i="1" a="1"/>
  <c r="K13" i="1" s="1"/>
  <c r="Q12" i="1" a="1"/>
  <c r="Q12" i="1" s="1"/>
  <c r="K12" i="1" a="1"/>
  <c r="K12" i="1" s="1"/>
  <c r="Q11" i="1"/>
  <c r="Q11" i="1" a="1"/>
  <c r="K11" i="1" a="1"/>
  <c r="K11" i="1" s="1"/>
  <c r="H11" i="1" s="1"/>
  <c r="Q10" i="1"/>
  <c r="Q10" i="1" a="1"/>
  <c r="K10" i="1" a="1"/>
  <c r="K10" i="1" s="1"/>
  <c r="Q9" i="1"/>
  <c r="Q9" i="1" a="1"/>
  <c r="K9" i="1"/>
  <c r="J9" i="1" s="1"/>
  <c r="K9" i="1" a="1"/>
  <c r="Q8" i="1" a="1"/>
  <c r="Q8" i="1" s="1"/>
  <c r="K8" i="1" a="1"/>
  <c r="K8" i="1" s="1"/>
  <c r="J8" i="1" s="1"/>
  <c r="Q7" i="1"/>
  <c r="Q7" i="1" a="1"/>
  <c r="K7" i="1" a="1"/>
  <c r="K7" i="1" s="1"/>
  <c r="Q6" i="1"/>
  <c r="Q6" i="1" a="1"/>
  <c r="K6" i="1" a="1"/>
  <c r="K6" i="1" s="1"/>
  <c r="Q5" i="1" a="1"/>
  <c r="Q5" i="1" s="1"/>
  <c r="K5" i="1" a="1"/>
  <c r="K5" i="1" s="1"/>
  <c r="H5" i="1" s="1"/>
  <c r="Q4" i="1" a="1"/>
  <c r="Q4" i="1" s="1"/>
  <c r="K4" i="1"/>
  <c r="K4" i="1" a="1"/>
  <c r="A3" i="9"/>
  <c r="Q2" i="9"/>
  <c r="A5" i="9" s="1"/>
  <c r="L2" i="9"/>
  <c r="A4" i="9" s="1"/>
  <c r="D2" i="9"/>
  <c r="C2" i="9"/>
  <c r="B2" i="9"/>
  <c r="AF1200" i="1"/>
  <c r="C1200" i="1" s="1" a="1"/>
  <c r="C1200" i="1" s="1"/>
  <c r="AF1199" i="1"/>
  <c r="C1199" i="1" s="1" a="1"/>
  <c r="C1199" i="1" s="1"/>
  <c r="AF1198" i="1"/>
  <c r="C1198" i="1" s="1" a="1"/>
  <c r="C1198" i="1" s="1"/>
  <c r="AF1197" i="1"/>
  <c r="C1197" i="1" s="1" a="1"/>
  <c r="C1197" i="1" s="1"/>
  <c r="AF1196" i="1"/>
  <c r="C1196" i="1" s="1" a="1"/>
  <c r="C1196" i="1" s="1"/>
  <c r="AF1195" i="1"/>
  <c r="C1195" i="1" s="1" a="1"/>
  <c r="C1195" i="1" s="1"/>
  <c r="AF1194" i="1"/>
  <c r="C1194" i="1" s="1" a="1"/>
  <c r="C1194" i="1" s="1"/>
  <c r="AF1193" i="1"/>
  <c r="C1193" i="1" s="1" a="1"/>
  <c r="C1193" i="1" s="1"/>
  <c r="AF1192" i="1"/>
  <c r="C1192" i="1" s="1" a="1"/>
  <c r="C1192" i="1" s="1"/>
  <c r="AF1191" i="1"/>
  <c r="C1191" i="1" s="1" a="1"/>
  <c r="C1191" i="1" s="1"/>
  <c r="AF1190" i="1"/>
  <c r="C1190" i="1" s="1" a="1"/>
  <c r="C1190" i="1" s="1"/>
  <c r="AF1189" i="1"/>
  <c r="C1189" i="1" s="1" a="1"/>
  <c r="C1189" i="1" s="1"/>
  <c r="AF1188" i="1"/>
  <c r="C1188" i="1" s="1" a="1"/>
  <c r="C1188" i="1" s="1"/>
  <c r="AF1187" i="1"/>
  <c r="AF1186" i="1"/>
  <c r="C1186" i="1" s="1" a="1"/>
  <c r="C1186" i="1" s="1"/>
  <c r="AF1185" i="1"/>
  <c r="C1185" i="1" s="1" a="1"/>
  <c r="C1185" i="1" s="1"/>
  <c r="AF1184" i="1"/>
  <c r="C1184" i="1" s="1" a="1"/>
  <c r="C1184" i="1" s="1"/>
  <c r="AF1183" i="1"/>
  <c r="C1183" i="1" s="1" a="1"/>
  <c r="C1183" i="1" s="1"/>
  <c r="AF1182" i="1"/>
  <c r="C1182" i="1" s="1" a="1"/>
  <c r="C1182" i="1" s="1"/>
  <c r="AF1181" i="1"/>
  <c r="AF1180" i="1"/>
  <c r="C1180" i="1" s="1" a="1"/>
  <c r="C1180" i="1" s="1"/>
  <c r="AF1179" i="1"/>
  <c r="C1179" i="1" s="1" a="1"/>
  <c r="C1179" i="1" s="1"/>
  <c r="AF1178" i="1"/>
  <c r="C1178" i="1" s="1" a="1"/>
  <c r="C1178" i="1" s="1"/>
  <c r="AF1177" i="1"/>
  <c r="C1177" i="1" s="1" a="1"/>
  <c r="C1177" i="1" s="1"/>
  <c r="AF1176" i="1"/>
  <c r="C1176" i="1" s="1" a="1"/>
  <c r="C1176" i="1" s="1"/>
  <c r="AF1175" i="1"/>
  <c r="AF1174" i="1"/>
  <c r="C1174" i="1" s="1" a="1"/>
  <c r="C1174" i="1" s="1"/>
  <c r="AF1173" i="1"/>
  <c r="C1173" i="1" s="1" a="1"/>
  <c r="C1173" i="1" s="1"/>
  <c r="AF1172" i="1"/>
  <c r="C1172" i="1" s="1" a="1"/>
  <c r="C1172" i="1" s="1"/>
  <c r="AF1171" i="1"/>
  <c r="C1171" i="1" s="1" a="1"/>
  <c r="C1171" i="1" s="1"/>
  <c r="AF1170" i="1"/>
  <c r="C1170" i="1" s="1" a="1"/>
  <c r="C1170" i="1" s="1"/>
  <c r="AF1169" i="1"/>
  <c r="C1169" i="1" s="1" a="1"/>
  <c r="C1169" i="1" s="1"/>
  <c r="AF1168" i="1"/>
  <c r="C1168" i="1" s="1" a="1"/>
  <c r="C1168" i="1" s="1"/>
  <c r="AF1167" i="1"/>
  <c r="C1167" i="1" s="1" a="1"/>
  <c r="C1167" i="1" s="1"/>
  <c r="AF1166" i="1"/>
  <c r="C1166" i="1" s="1" a="1"/>
  <c r="C1166" i="1" s="1"/>
  <c r="AF1165" i="1"/>
  <c r="C1165" i="1" s="1" a="1"/>
  <c r="C1165" i="1" s="1"/>
  <c r="AF1164" i="1"/>
  <c r="C1164" i="1" s="1" a="1"/>
  <c r="C1164" i="1" s="1"/>
  <c r="AF1163" i="1"/>
  <c r="C1163" i="1" s="1" a="1"/>
  <c r="C1163" i="1" s="1"/>
  <c r="AF1162" i="1"/>
  <c r="C1162" i="1" s="1" a="1"/>
  <c r="C1162" i="1" s="1"/>
  <c r="AF1161" i="1"/>
  <c r="C1161" i="1" s="1" a="1"/>
  <c r="C1161" i="1" s="1"/>
  <c r="AF1160" i="1"/>
  <c r="C1160" i="1" s="1" a="1"/>
  <c r="C1160" i="1" s="1"/>
  <c r="AF1159" i="1"/>
  <c r="C1159" i="1" s="1" a="1"/>
  <c r="C1159" i="1" s="1"/>
  <c r="AF1158" i="1"/>
  <c r="C1158" i="1" s="1" a="1"/>
  <c r="C1158" i="1" s="1"/>
  <c r="AF1157" i="1"/>
  <c r="C1157" i="1" s="1" a="1"/>
  <c r="C1157" i="1" s="1"/>
  <c r="AF1156" i="1"/>
  <c r="C1156" i="1" s="1" a="1"/>
  <c r="C1156" i="1" s="1"/>
  <c r="AF1155" i="1"/>
  <c r="C1155" i="1" s="1" a="1"/>
  <c r="C1155" i="1" s="1"/>
  <c r="AF1154" i="1"/>
  <c r="C1154" i="1" s="1" a="1"/>
  <c r="C1154" i="1" s="1"/>
  <c r="AF1153" i="1"/>
  <c r="C1153" i="1" s="1" a="1"/>
  <c r="C1153" i="1" s="1"/>
  <c r="AF1152" i="1"/>
  <c r="C1152" i="1" s="1" a="1"/>
  <c r="C1152" i="1" s="1"/>
  <c r="AF1151" i="1"/>
  <c r="C1151" i="1" s="1" a="1"/>
  <c r="C1151" i="1" s="1"/>
  <c r="AF1150" i="1"/>
  <c r="C1150" i="1" s="1" a="1"/>
  <c r="C1150" i="1" s="1"/>
  <c r="AF1149" i="1"/>
  <c r="C1149" i="1" s="1" a="1"/>
  <c r="C1149" i="1" s="1"/>
  <c r="AF1148" i="1"/>
  <c r="C1148" i="1" s="1" a="1"/>
  <c r="C1148" i="1" s="1"/>
  <c r="AF1147" i="1"/>
  <c r="C1147" i="1" s="1" a="1"/>
  <c r="C1147" i="1" s="1"/>
  <c r="AF1146" i="1"/>
  <c r="C1146" i="1" s="1" a="1"/>
  <c r="C1146" i="1" s="1"/>
  <c r="AF1145" i="1"/>
  <c r="C1145" i="1" s="1" a="1"/>
  <c r="C1145" i="1" s="1"/>
  <c r="AF1144" i="1"/>
  <c r="C1144" i="1" s="1" a="1"/>
  <c r="C1144" i="1" s="1"/>
  <c r="AF1143" i="1"/>
  <c r="C1143" i="1" s="1" a="1"/>
  <c r="C1143" i="1" s="1"/>
  <c r="AF1142" i="1"/>
  <c r="C1142" i="1" s="1" a="1"/>
  <c r="C1142" i="1" s="1"/>
  <c r="AF1141" i="1"/>
  <c r="C1141" i="1" s="1" a="1"/>
  <c r="C1141" i="1" s="1"/>
  <c r="AF1140" i="1"/>
  <c r="C1140" i="1" s="1" a="1"/>
  <c r="C1140" i="1" s="1"/>
  <c r="AF1139" i="1"/>
  <c r="C1139" i="1" s="1" a="1"/>
  <c r="C1139" i="1" s="1"/>
  <c r="AF1138" i="1"/>
  <c r="C1138" i="1" s="1" a="1"/>
  <c r="C1138" i="1" s="1"/>
  <c r="AF1137" i="1"/>
  <c r="C1137" i="1" s="1" a="1"/>
  <c r="C1137" i="1" s="1"/>
  <c r="AF1136" i="1"/>
  <c r="C1136" i="1" s="1" a="1"/>
  <c r="C1136" i="1" s="1"/>
  <c r="AF1135" i="1"/>
  <c r="C1135" i="1" s="1" a="1"/>
  <c r="C1135" i="1" s="1"/>
  <c r="AF1134" i="1"/>
  <c r="C1134" i="1" s="1" a="1"/>
  <c r="C1134" i="1" s="1"/>
  <c r="AF1133" i="1"/>
  <c r="C1133" i="1" s="1" a="1"/>
  <c r="C1133" i="1" s="1"/>
  <c r="AF1132" i="1"/>
  <c r="C1132" i="1" s="1" a="1"/>
  <c r="C1132" i="1" s="1"/>
  <c r="AF1131" i="1"/>
  <c r="C1131" i="1" s="1" a="1"/>
  <c r="C1131" i="1" s="1"/>
  <c r="AF1130" i="1"/>
  <c r="C1130" i="1" s="1" a="1"/>
  <c r="C1130" i="1" s="1"/>
  <c r="AF1129" i="1"/>
  <c r="C1129" i="1" s="1" a="1"/>
  <c r="C1129" i="1" s="1"/>
  <c r="AF1128" i="1"/>
  <c r="C1128" i="1" s="1" a="1"/>
  <c r="C1128" i="1" s="1"/>
  <c r="AF1127" i="1"/>
  <c r="C1127" i="1" s="1" a="1"/>
  <c r="C1127" i="1" s="1"/>
  <c r="AF1126" i="1"/>
  <c r="C1126" i="1" s="1" a="1"/>
  <c r="C1126" i="1" s="1"/>
  <c r="AF1125" i="1"/>
  <c r="AF1124" i="1"/>
  <c r="C1124" i="1" s="1" a="1"/>
  <c r="C1124" i="1" s="1"/>
  <c r="AF1123" i="1"/>
  <c r="C1123" i="1" s="1" a="1"/>
  <c r="C1123" i="1" s="1"/>
  <c r="AF1122" i="1"/>
  <c r="C1122" i="1" s="1" a="1"/>
  <c r="C1122" i="1" s="1"/>
  <c r="AF1121" i="1"/>
  <c r="C1121" i="1" s="1" a="1"/>
  <c r="C1121" i="1" s="1"/>
  <c r="AF1120" i="1"/>
  <c r="C1120" i="1" s="1" a="1"/>
  <c r="C1120" i="1" s="1"/>
  <c r="AF1119" i="1"/>
  <c r="C1119" i="1" s="1" a="1"/>
  <c r="C1119" i="1" s="1"/>
  <c r="AF1118" i="1"/>
  <c r="C1118" i="1" s="1" a="1"/>
  <c r="C1118" i="1" s="1"/>
  <c r="AF1117" i="1"/>
  <c r="C1117" i="1" s="1" a="1"/>
  <c r="C1117" i="1" s="1"/>
  <c r="AF1116" i="1"/>
  <c r="C1116" i="1" s="1" a="1"/>
  <c r="C1116" i="1" s="1"/>
  <c r="AF1115" i="1"/>
  <c r="C1115" i="1" s="1" a="1"/>
  <c r="C1115" i="1" s="1"/>
  <c r="AF1114" i="1"/>
  <c r="C1114" i="1" s="1" a="1"/>
  <c r="C1114" i="1" s="1"/>
  <c r="AF1113" i="1"/>
  <c r="C1113" i="1" s="1" a="1"/>
  <c r="C1113" i="1" s="1"/>
  <c r="AF1112" i="1"/>
  <c r="C1112" i="1" s="1" a="1"/>
  <c r="C1112" i="1" s="1"/>
  <c r="AF1111" i="1"/>
  <c r="C1111" i="1" s="1" a="1"/>
  <c r="C1111" i="1" s="1"/>
  <c r="AF1110" i="1"/>
  <c r="C1110" i="1" s="1" a="1"/>
  <c r="C1110" i="1" s="1"/>
  <c r="AF1109" i="1"/>
  <c r="C1109" i="1" s="1" a="1"/>
  <c r="C1109" i="1" s="1"/>
  <c r="AF1108" i="1"/>
  <c r="C1108" i="1" s="1" a="1"/>
  <c r="C1108" i="1" s="1"/>
  <c r="AF1107" i="1"/>
  <c r="C1107" i="1" s="1" a="1"/>
  <c r="C1107" i="1" s="1"/>
  <c r="AF1106" i="1"/>
  <c r="C1106" i="1" s="1" a="1"/>
  <c r="C1106" i="1" s="1"/>
  <c r="AF1105" i="1"/>
  <c r="C1105" i="1" s="1" a="1"/>
  <c r="C1105" i="1" s="1"/>
  <c r="AF1104" i="1"/>
  <c r="C1104" i="1" s="1" a="1"/>
  <c r="C1104" i="1" s="1"/>
  <c r="AF1103" i="1"/>
  <c r="C1103" i="1" s="1" a="1"/>
  <c r="C1103" i="1" s="1"/>
  <c r="AF1102" i="1"/>
  <c r="C1102" i="1" s="1" a="1"/>
  <c r="C1102" i="1" s="1"/>
  <c r="AF1101" i="1"/>
  <c r="C1101" i="1" s="1" a="1"/>
  <c r="C1101" i="1" s="1"/>
  <c r="AF1100" i="1"/>
  <c r="C1100" i="1" s="1" a="1"/>
  <c r="C1100" i="1" s="1"/>
  <c r="AF1099" i="1"/>
  <c r="C1099" i="1" s="1" a="1"/>
  <c r="C1099" i="1" s="1"/>
  <c r="AF1098" i="1"/>
  <c r="AF1097" i="1"/>
  <c r="C1097" i="1" s="1" a="1"/>
  <c r="C1097" i="1" s="1"/>
  <c r="AF1096" i="1"/>
  <c r="C1096" i="1" s="1" a="1"/>
  <c r="C1096" i="1" s="1"/>
  <c r="AF1095" i="1"/>
  <c r="C1095" i="1" s="1" a="1"/>
  <c r="C1095" i="1" s="1"/>
  <c r="AF1094" i="1"/>
  <c r="C1094" i="1" s="1" a="1"/>
  <c r="C1094" i="1" s="1"/>
  <c r="AF1093" i="1"/>
  <c r="C1093" i="1" s="1" a="1"/>
  <c r="C1093" i="1" s="1"/>
  <c r="AF1092" i="1"/>
  <c r="C1092" i="1" s="1" a="1"/>
  <c r="C1092" i="1" s="1"/>
  <c r="AF1091" i="1"/>
  <c r="C1091" i="1" s="1" a="1"/>
  <c r="C1091" i="1" s="1"/>
  <c r="AF1090" i="1"/>
  <c r="C1090" i="1" s="1" a="1"/>
  <c r="C1090" i="1" s="1"/>
  <c r="AF1089" i="1"/>
  <c r="C1089" i="1" s="1" a="1"/>
  <c r="C1089" i="1" s="1"/>
  <c r="AF1088" i="1"/>
  <c r="C1088" i="1" s="1" a="1"/>
  <c r="C1088" i="1" s="1"/>
  <c r="AF1087" i="1"/>
  <c r="C1087" i="1" s="1" a="1"/>
  <c r="C1087" i="1" s="1"/>
  <c r="AF1086" i="1"/>
  <c r="C1086" i="1" s="1" a="1"/>
  <c r="C1086" i="1" s="1"/>
  <c r="AF1085" i="1"/>
  <c r="C1085" i="1" s="1" a="1"/>
  <c r="C1085" i="1" s="1"/>
  <c r="AF1084" i="1"/>
  <c r="C1084" i="1" s="1" a="1"/>
  <c r="C1084" i="1" s="1"/>
  <c r="AF1083" i="1"/>
  <c r="C1083" i="1" s="1" a="1"/>
  <c r="C1083" i="1" s="1"/>
  <c r="AF1082" i="1"/>
  <c r="C1082" i="1" s="1" a="1"/>
  <c r="C1082" i="1" s="1"/>
  <c r="AF1081" i="1"/>
  <c r="C1081" i="1" s="1" a="1"/>
  <c r="C1081" i="1" s="1"/>
  <c r="AF1080" i="1"/>
  <c r="C1080" i="1" s="1" a="1"/>
  <c r="C1080" i="1" s="1"/>
  <c r="AF1079" i="1"/>
  <c r="C1079" i="1" s="1" a="1"/>
  <c r="C1079" i="1" s="1"/>
  <c r="AF1078" i="1"/>
  <c r="C1078" i="1" s="1" a="1"/>
  <c r="C1078" i="1" s="1"/>
  <c r="AF1077" i="1"/>
  <c r="C1077" i="1" s="1" a="1"/>
  <c r="C1077" i="1" s="1"/>
  <c r="AF1076" i="1"/>
  <c r="C1076" i="1" s="1" a="1"/>
  <c r="C1076" i="1" s="1"/>
  <c r="AF1075" i="1"/>
  <c r="C1075" i="1" s="1" a="1"/>
  <c r="C1075" i="1" s="1"/>
  <c r="AF1074" i="1"/>
  <c r="C1074" i="1" s="1" a="1"/>
  <c r="C1074" i="1" s="1"/>
  <c r="AF1073" i="1"/>
  <c r="C1073" i="1" s="1" a="1"/>
  <c r="C1073" i="1" s="1"/>
  <c r="AF1072" i="1"/>
  <c r="C1072" i="1" s="1" a="1"/>
  <c r="C1072" i="1" s="1"/>
  <c r="AF1071" i="1"/>
  <c r="C1071" i="1" s="1" a="1"/>
  <c r="C1071" i="1" s="1"/>
  <c r="AF1070" i="1"/>
  <c r="AF1069" i="1"/>
  <c r="C1069" i="1" s="1" a="1"/>
  <c r="C1069" i="1" s="1"/>
  <c r="AF1068" i="1"/>
  <c r="C1068" i="1" s="1" a="1"/>
  <c r="C1068" i="1" s="1"/>
  <c r="AF1067" i="1"/>
  <c r="C1067" i="1" s="1" a="1"/>
  <c r="C1067" i="1" s="1"/>
  <c r="AF1066" i="1"/>
  <c r="C1066" i="1" s="1" a="1"/>
  <c r="C1066" i="1" s="1"/>
  <c r="AF1065" i="1"/>
  <c r="C1065" i="1" s="1" a="1"/>
  <c r="C1065" i="1" s="1"/>
  <c r="AF1064" i="1"/>
  <c r="C1064" i="1" s="1" a="1"/>
  <c r="C1064" i="1" s="1"/>
  <c r="AF1063" i="1"/>
  <c r="C1063" i="1" s="1" a="1"/>
  <c r="C1063" i="1" s="1"/>
  <c r="AF1062" i="1"/>
  <c r="AF1061" i="1"/>
  <c r="C1061" i="1" s="1" a="1"/>
  <c r="C1061" i="1" s="1"/>
  <c r="AF1060" i="1"/>
  <c r="C1060" i="1" s="1" a="1"/>
  <c r="C1060" i="1" s="1"/>
  <c r="AF1059" i="1"/>
  <c r="C1059" i="1" s="1" a="1"/>
  <c r="C1059" i="1" s="1"/>
  <c r="AF1058" i="1"/>
  <c r="C1058" i="1" s="1" a="1"/>
  <c r="C1058" i="1" s="1"/>
  <c r="AF1057" i="1"/>
  <c r="C1057" i="1" s="1" a="1"/>
  <c r="C1057" i="1" s="1"/>
  <c r="AF1056" i="1"/>
  <c r="C1056" i="1" s="1" a="1"/>
  <c r="C1056" i="1" s="1"/>
  <c r="AF1055" i="1"/>
  <c r="C1055" i="1" s="1" a="1"/>
  <c r="C1055" i="1" s="1"/>
  <c r="AF1054" i="1"/>
  <c r="C1054" i="1" s="1" a="1"/>
  <c r="C1054" i="1" s="1"/>
  <c r="AF1053" i="1"/>
  <c r="C1053" i="1" s="1" a="1"/>
  <c r="C1053" i="1" s="1"/>
  <c r="AF1052" i="1"/>
  <c r="C1052" i="1" s="1" a="1"/>
  <c r="C1052" i="1" s="1"/>
  <c r="AF1051" i="1"/>
  <c r="C1051" i="1" s="1" a="1"/>
  <c r="C1051" i="1" s="1"/>
  <c r="AF1050" i="1"/>
  <c r="C1050" i="1" s="1" a="1"/>
  <c r="C1050" i="1" s="1"/>
  <c r="AF1049" i="1"/>
  <c r="C1049" i="1" s="1" a="1"/>
  <c r="C1049" i="1" s="1"/>
  <c r="AF1048" i="1"/>
  <c r="C1048" i="1" s="1" a="1"/>
  <c r="C1048" i="1" s="1"/>
  <c r="AF1047" i="1"/>
  <c r="C1047" i="1" s="1" a="1"/>
  <c r="C1047" i="1" s="1"/>
  <c r="AF1046" i="1"/>
  <c r="C1046" i="1" s="1" a="1"/>
  <c r="C1046" i="1" s="1"/>
  <c r="AF1045" i="1"/>
  <c r="C1045" i="1" s="1" a="1"/>
  <c r="C1045" i="1" s="1"/>
  <c r="AF1044" i="1"/>
  <c r="AF1043" i="1"/>
  <c r="C1043" i="1" s="1" a="1"/>
  <c r="C1043" i="1" s="1"/>
  <c r="AF1042" i="1"/>
  <c r="C1042" i="1" s="1" a="1"/>
  <c r="C1042" i="1" s="1"/>
  <c r="AF1041" i="1"/>
  <c r="C1041" i="1" s="1" a="1"/>
  <c r="C1041" i="1" s="1"/>
  <c r="AF1040" i="1"/>
  <c r="C1040" i="1" s="1" a="1"/>
  <c r="C1040" i="1" s="1"/>
  <c r="AF1039" i="1"/>
  <c r="C1039" i="1" s="1" a="1"/>
  <c r="C1039" i="1" s="1"/>
  <c r="AF1038" i="1"/>
  <c r="C1038" i="1" s="1" a="1"/>
  <c r="C1038" i="1" s="1"/>
  <c r="AF1037" i="1"/>
  <c r="C1037" i="1" s="1" a="1"/>
  <c r="C1037" i="1" s="1"/>
  <c r="AF1036" i="1"/>
  <c r="C1036" i="1" s="1" a="1"/>
  <c r="C1036" i="1" s="1"/>
  <c r="AF1035" i="1"/>
  <c r="C1035" i="1" s="1" a="1"/>
  <c r="C1035" i="1" s="1"/>
  <c r="AF1034" i="1"/>
  <c r="C1034" i="1" s="1" a="1"/>
  <c r="C1034" i="1" s="1"/>
  <c r="AF1033" i="1"/>
  <c r="C1033" i="1" s="1" a="1"/>
  <c r="C1033" i="1" s="1"/>
  <c r="AF1032" i="1"/>
  <c r="C1032" i="1" s="1" a="1"/>
  <c r="C1032" i="1" s="1"/>
  <c r="AF1031" i="1"/>
  <c r="C1031" i="1" s="1" a="1"/>
  <c r="C1031" i="1" s="1"/>
  <c r="AF1030" i="1"/>
  <c r="C1030" i="1" s="1" a="1"/>
  <c r="C1030" i="1" s="1"/>
  <c r="AF1029" i="1"/>
  <c r="C1029" i="1" s="1" a="1"/>
  <c r="C1029" i="1" s="1"/>
  <c r="AF1028" i="1"/>
  <c r="C1028" i="1" s="1" a="1"/>
  <c r="C1028" i="1" s="1"/>
  <c r="AF1027" i="1"/>
  <c r="C1027" i="1" s="1" a="1"/>
  <c r="C1027" i="1" s="1"/>
  <c r="AF1026" i="1"/>
  <c r="C1026" i="1" s="1" a="1"/>
  <c r="C1026" i="1" s="1"/>
  <c r="AF1025" i="1"/>
  <c r="C1025" i="1" s="1" a="1"/>
  <c r="C1025" i="1" s="1"/>
  <c r="AF1024" i="1"/>
  <c r="C1024" i="1" s="1" a="1"/>
  <c r="C1024" i="1" s="1"/>
  <c r="AF1023" i="1"/>
  <c r="C1023" i="1" s="1" a="1"/>
  <c r="C1023" i="1" s="1"/>
  <c r="AF1022" i="1"/>
  <c r="C1022" i="1" s="1" a="1"/>
  <c r="C1022" i="1" s="1"/>
  <c r="AF1021" i="1"/>
  <c r="C1021" i="1" s="1" a="1"/>
  <c r="C1021" i="1" s="1"/>
  <c r="AF1020" i="1"/>
  <c r="C1020" i="1" s="1" a="1"/>
  <c r="C1020" i="1" s="1"/>
  <c r="AF1019" i="1"/>
  <c r="C1019" i="1" s="1" a="1"/>
  <c r="C1019" i="1" s="1"/>
  <c r="AF1018" i="1"/>
  <c r="C1018" i="1" s="1" a="1"/>
  <c r="C1018" i="1" s="1"/>
  <c r="AF1017" i="1"/>
  <c r="C1017" i="1" s="1" a="1"/>
  <c r="C1017" i="1" s="1"/>
  <c r="AF1016" i="1"/>
  <c r="C1016" i="1" s="1" a="1"/>
  <c r="C1016" i="1" s="1"/>
  <c r="AF1015" i="1"/>
  <c r="C1015" i="1" s="1" a="1"/>
  <c r="C1015" i="1" s="1"/>
  <c r="AF1014" i="1"/>
  <c r="C1014" i="1" s="1" a="1"/>
  <c r="C1014" i="1" s="1"/>
  <c r="AF1013" i="1"/>
  <c r="C1013" i="1" s="1" a="1"/>
  <c r="C1013" i="1" s="1"/>
  <c r="AF1012" i="1"/>
  <c r="C1012" i="1" s="1" a="1"/>
  <c r="C1012" i="1" s="1"/>
  <c r="AF1011" i="1"/>
  <c r="C1011" i="1" s="1" a="1"/>
  <c r="C1011" i="1" s="1"/>
  <c r="AF1010" i="1"/>
  <c r="C1010" i="1" s="1" a="1"/>
  <c r="C1010" i="1" s="1"/>
  <c r="AF1009" i="1"/>
  <c r="C1009" i="1" s="1" a="1"/>
  <c r="C1009" i="1" s="1"/>
  <c r="AF1008" i="1"/>
  <c r="C1008" i="1" s="1" a="1"/>
  <c r="C1008" i="1" s="1"/>
  <c r="AF1007" i="1"/>
  <c r="C1007" i="1" s="1" a="1"/>
  <c r="C1007" i="1" s="1"/>
  <c r="AF1006" i="1"/>
  <c r="C1006" i="1" s="1" a="1"/>
  <c r="C1006" i="1" s="1"/>
  <c r="AF1005" i="1"/>
  <c r="C1005" i="1" s="1" a="1"/>
  <c r="C1005" i="1" s="1"/>
  <c r="AF1004" i="1"/>
  <c r="C1004" i="1" s="1" a="1"/>
  <c r="C1004" i="1" s="1"/>
  <c r="AF1003" i="1"/>
  <c r="C1003" i="1" s="1" a="1"/>
  <c r="C1003" i="1" s="1"/>
  <c r="AF1002" i="1"/>
  <c r="C1002" i="1" s="1" a="1"/>
  <c r="C1002" i="1" s="1"/>
  <c r="AF1001" i="1"/>
  <c r="C1001" i="1" s="1" a="1"/>
  <c r="C1001" i="1" s="1"/>
  <c r="AF1000" i="1"/>
  <c r="C1000" i="1" s="1" a="1"/>
  <c r="C1000" i="1" s="1"/>
  <c r="AF999" i="1"/>
  <c r="C999" i="1" s="1" a="1"/>
  <c r="C999" i="1" s="1"/>
  <c r="AF998" i="1"/>
  <c r="C998" i="1" s="1" a="1"/>
  <c r="C998" i="1" s="1"/>
  <c r="AF997" i="1"/>
  <c r="C997" i="1" s="1" a="1"/>
  <c r="C997" i="1" s="1"/>
  <c r="AF996" i="1"/>
  <c r="C996" i="1" s="1" a="1"/>
  <c r="C996" i="1" s="1"/>
  <c r="AF995" i="1"/>
  <c r="C995" i="1" s="1" a="1"/>
  <c r="C995" i="1" s="1"/>
  <c r="AF994" i="1"/>
  <c r="C994" i="1" s="1" a="1"/>
  <c r="C994" i="1" s="1"/>
  <c r="AF993" i="1"/>
  <c r="C993" i="1" s="1" a="1"/>
  <c r="C993" i="1" s="1"/>
  <c r="AF992" i="1"/>
  <c r="C992" i="1" s="1" a="1"/>
  <c r="C992" i="1" s="1"/>
  <c r="AF991" i="1"/>
  <c r="C991" i="1" s="1" a="1"/>
  <c r="C991" i="1" s="1"/>
  <c r="AF990" i="1"/>
  <c r="C990" i="1" s="1" a="1"/>
  <c r="C990" i="1" s="1"/>
  <c r="AF989" i="1"/>
  <c r="C989" i="1" s="1" a="1"/>
  <c r="C989" i="1" s="1"/>
  <c r="AF988" i="1"/>
  <c r="C988" i="1" s="1" a="1"/>
  <c r="C988" i="1" s="1"/>
  <c r="AF987" i="1"/>
  <c r="C987" i="1" s="1" a="1"/>
  <c r="C987" i="1" s="1"/>
  <c r="AF986" i="1"/>
  <c r="C986" i="1" s="1" a="1"/>
  <c r="C986" i="1" s="1"/>
  <c r="AF985" i="1"/>
  <c r="C985" i="1" s="1" a="1"/>
  <c r="C985" i="1" s="1"/>
  <c r="AF984" i="1"/>
  <c r="C984" i="1" s="1" a="1"/>
  <c r="C984" i="1" s="1"/>
  <c r="AF983" i="1"/>
  <c r="C983" i="1" s="1" a="1"/>
  <c r="C983" i="1" s="1"/>
  <c r="AF982" i="1"/>
  <c r="C982" i="1" s="1" a="1"/>
  <c r="C982" i="1" s="1"/>
  <c r="AF981" i="1"/>
  <c r="C981" i="1" s="1" a="1"/>
  <c r="C981" i="1" s="1"/>
  <c r="AF980" i="1"/>
  <c r="C980" i="1" s="1" a="1"/>
  <c r="C980" i="1" s="1"/>
  <c r="AF979" i="1"/>
  <c r="C979" i="1" s="1" a="1"/>
  <c r="C979" i="1" s="1"/>
  <c r="AF978" i="1"/>
  <c r="C978" i="1" s="1" a="1"/>
  <c r="C978" i="1" s="1"/>
  <c r="AF977" i="1"/>
  <c r="C977" i="1" s="1" a="1"/>
  <c r="C977" i="1" s="1"/>
  <c r="AF976" i="1"/>
  <c r="C976" i="1" s="1" a="1"/>
  <c r="C976" i="1" s="1"/>
  <c r="AF975" i="1"/>
  <c r="C975" i="1" s="1" a="1"/>
  <c r="C975" i="1" s="1"/>
  <c r="AF974" i="1"/>
  <c r="C974" i="1" s="1" a="1"/>
  <c r="C974" i="1" s="1"/>
  <c r="AF973" i="1"/>
  <c r="C973" i="1" s="1" a="1"/>
  <c r="C973" i="1" s="1"/>
  <c r="AF972" i="1"/>
  <c r="C972" i="1" s="1" a="1"/>
  <c r="C972" i="1" s="1"/>
  <c r="AF971" i="1"/>
  <c r="C971" i="1" s="1" a="1"/>
  <c r="C971" i="1" s="1"/>
  <c r="AF970" i="1"/>
  <c r="C970" i="1" s="1" a="1"/>
  <c r="C970" i="1" s="1"/>
  <c r="AF969" i="1"/>
  <c r="C969" i="1" s="1" a="1"/>
  <c r="C969" i="1" s="1"/>
  <c r="AF968" i="1"/>
  <c r="C968" i="1" s="1" a="1"/>
  <c r="C968" i="1" s="1"/>
  <c r="AF967" i="1"/>
  <c r="C967" i="1" s="1" a="1"/>
  <c r="C967" i="1" s="1"/>
  <c r="AF966" i="1"/>
  <c r="AF965" i="1"/>
  <c r="C965" i="1" s="1" a="1"/>
  <c r="C965" i="1" s="1"/>
  <c r="AF964" i="1"/>
  <c r="C964" i="1" s="1" a="1"/>
  <c r="C964" i="1" s="1"/>
  <c r="AF963" i="1"/>
  <c r="C963" i="1" s="1" a="1"/>
  <c r="C963" i="1" s="1"/>
  <c r="AF962" i="1"/>
  <c r="C962" i="1" s="1" a="1"/>
  <c r="C962" i="1" s="1"/>
  <c r="AF961" i="1"/>
  <c r="C961" i="1" s="1" a="1"/>
  <c r="C961" i="1" s="1"/>
  <c r="AF960" i="1"/>
  <c r="C960" i="1" s="1" a="1"/>
  <c r="C960" i="1" s="1"/>
  <c r="AF959" i="1"/>
  <c r="C959" i="1" s="1" a="1"/>
  <c r="C959" i="1" s="1"/>
  <c r="AF958" i="1"/>
  <c r="C958" i="1" s="1" a="1"/>
  <c r="C958" i="1" s="1"/>
  <c r="AF957" i="1"/>
  <c r="C957" i="1" s="1" a="1"/>
  <c r="C957" i="1" s="1"/>
  <c r="AF956" i="1"/>
  <c r="C956" i="1" s="1" a="1"/>
  <c r="C956" i="1" s="1"/>
  <c r="AF955" i="1"/>
  <c r="C955" i="1" s="1" a="1"/>
  <c r="C955" i="1" s="1"/>
  <c r="AF954" i="1"/>
  <c r="C954" i="1" s="1" a="1"/>
  <c r="C954" i="1" s="1"/>
  <c r="AF953" i="1"/>
  <c r="C953" i="1" s="1" a="1"/>
  <c r="C953" i="1" s="1"/>
  <c r="AF952" i="1"/>
  <c r="C952" i="1" s="1" a="1"/>
  <c r="C952" i="1" s="1"/>
  <c r="AF951" i="1"/>
  <c r="C951" i="1" s="1" a="1"/>
  <c r="C951" i="1" s="1"/>
  <c r="AF950" i="1"/>
  <c r="C950" i="1" s="1" a="1"/>
  <c r="C950" i="1" s="1"/>
  <c r="AF949" i="1"/>
  <c r="C949" i="1" s="1" a="1"/>
  <c r="C949" i="1" s="1"/>
  <c r="AF948" i="1"/>
  <c r="C948" i="1" s="1" a="1"/>
  <c r="C948" i="1" s="1"/>
  <c r="AF947" i="1"/>
  <c r="C947" i="1" s="1" a="1"/>
  <c r="C947" i="1" s="1"/>
  <c r="AF946" i="1"/>
  <c r="C946" i="1" s="1" a="1"/>
  <c r="C946" i="1" s="1"/>
  <c r="AF945" i="1"/>
  <c r="C945" i="1" s="1" a="1"/>
  <c r="C945" i="1" s="1"/>
  <c r="AF944" i="1"/>
  <c r="C944" i="1" s="1" a="1"/>
  <c r="C944" i="1" s="1"/>
  <c r="AF943" i="1"/>
  <c r="C943" i="1" s="1" a="1"/>
  <c r="C943" i="1" s="1"/>
  <c r="AF942" i="1"/>
  <c r="C942" i="1" s="1" a="1"/>
  <c r="C942" i="1" s="1"/>
  <c r="AF941" i="1"/>
  <c r="C941" i="1" s="1" a="1"/>
  <c r="C941" i="1" s="1"/>
  <c r="AF940" i="1"/>
  <c r="C940" i="1" s="1" a="1"/>
  <c r="C940" i="1" s="1"/>
  <c r="AF939" i="1"/>
  <c r="AF938" i="1"/>
  <c r="C938" i="1" s="1" a="1"/>
  <c r="C938" i="1" s="1"/>
  <c r="AF937" i="1"/>
  <c r="C937" i="1" s="1" a="1"/>
  <c r="C937" i="1" s="1"/>
  <c r="AF936" i="1"/>
  <c r="C936" i="1" s="1" a="1"/>
  <c r="C936" i="1" s="1"/>
  <c r="AF935" i="1"/>
  <c r="C935" i="1" s="1" a="1"/>
  <c r="C935" i="1" s="1"/>
  <c r="AF934" i="1"/>
  <c r="C934" i="1" s="1" a="1"/>
  <c r="C934" i="1" s="1"/>
  <c r="AF933" i="1"/>
  <c r="C933" i="1" s="1" a="1"/>
  <c r="C933" i="1" s="1"/>
  <c r="AF932" i="1"/>
  <c r="C932" i="1" s="1" a="1"/>
  <c r="C932" i="1" s="1"/>
  <c r="AF931" i="1"/>
  <c r="C931" i="1" s="1" a="1"/>
  <c r="C931" i="1" s="1"/>
  <c r="AF930" i="1"/>
  <c r="C930" i="1" s="1" a="1"/>
  <c r="C930" i="1" s="1"/>
  <c r="AF929" i="1"/>
  <c r="C929" i="1" s="1" a="1"/>
  <c r="C929" i="1" s="1"/>
  <c r="AF928" i="1"/>
  <c r="C928" i="1" s="1" a="1"/>
  <c r="C928" i="1" s="1"/>
  <c r="AF927" i="1"/>
  <c r="C927" i="1" s="1" a="1"/>
  <c r="C927" i="1" s="1"/>
  <c r="AF926" i="1"/>
  <c r="C926" i="1" s="1" a="1"/>
  <c r="C926" i="1" s="1"/>
  <c r="AF925" i="1"/>
  <c r="C925" i="1" s="1" a="1"/>
  <c r="C925" i="1" s="1"/>
  <c r="AF924" i="1"/>
  <c r="C924" i="1" s="1" a="1"/>
  <c r="C924" i="1" s="1"/>
  <c r="AF923" i="1"/>
  <c r="C923" i="1" s="1" a="1"/>
  <c r="C923" i="1" s="1"/>
  <c r="AF922" i="1"/>
  <c r="C922" i="1" s="1" a="1"/>
  <c r="C922" i="1" s="1"/>
  <c r="AF921" i="1"/>
  <c r="C921" i="1" s="1" a="1"/>
  <c r="C921" i="1" s="1"/>
  <c r="AF920" i="1"/>
  <c r="C920" i="1" s="1" a="1"/>
  <c r="C920" i="1" s="1"/>
  <c r="AF919" i="1"/>
  <c r="C919" i="1" s="1" a="1"/>
  <c r="C919" i="1" s="1"/>
  <c r="AF918" i="1"/>
  <c r="C918" i="1" s="1" a="1"/>
  <c r="C918" i="1" s="1"/>
  <c r="AF917" i="1"/>
  <c r="C917" i="1" s="1" a="1"/>
  <c r="C917" i="1" s="1"/>
  <c r="AF916" i="1"/>
  <c r="C916" i="1" s="1" a="1"/>
  <c r="C916" i="1" s="1"/>
  <c r="AF915" i="1"/>
  <c r="C915" i="1" s="1" a="1"/>
  <c r="C915" i="1" s="1"/>
  <c r="AF914" i="1"/>
  <c r="C914" i="1" s="1" a="1"/>
  <c r="C914" i="1" s="1"/>
  <c r="AF913" i="1"/>
  <c r="C913" i="1" s="1" a="1"/>
  <c r="C913" i="1" s="1"/>
  <c r="AF912" i="1"/>
  <c r="C912" i="1" s="1" a="1"/>
  <c r="C912" i="1" s="1"/>
  <c r="AF911" i="1"/>
  <c r="C911" i="1" s="1" a="1"/>
  <c r="C911" i="1" s="1"/>
  <c r="AF910" i="1"/>
  <c r="C910" i="1" s="1" a="1"/>
  <c r="C910" i="1" s="1"/>
  <c r="AF909" i="1"/>
  <c r="C909" i="1" s="1" a="1"/>
  <c r="C909" i="1" s="1"/>
  <c r="AF908" i="1"/>
  <c r="C908" i="1" s="1" a="1"/>
  <c r="C908" i="1" s="1"/>
  <c r="AF907" i="1"/>
  <c r="C907" i="1" s="1" a="1"/>
  <c r="C907" i="1" s="1"/>
  <c r="AF906" i="1"/>
  <c r="C906" i="1" s="1" a="1"/>
  <c r="C906" i="1" s="1"/>
  <c r="AF905" i="1"/>
  <c r="C905" i="1" s="1" a="1"/>
  <c r="C905" i="1" s="1"/>
  <c r="AF904" i="1"/>
  <c r="C904" i="1" s="1" a="1"/>
  <c r="C904" i="1" s="1"/>
  <c r="AF903" i="1"/>
  <c r="C903" i="1" s="1" a="1"/>
  <c r="C903" i="1" s="1"/>
  <c r="AF902" i="1"/>
  <c r="C902" i="1" s="1" a="1"/>
  <c r="C902" i="1" s="1"/>
  <c r="AF901" i="1"/>
  <c r="AF900" i="1"/>
  <c r="C900" i="1" s="1" a="1"/>
  <c r="C900" i="1" s="1"/>
  <c r="AF899" i="1"/>
  <c r="C899" i="1" s="1" a="1"/>
  <c r="C899" i="1" s="1"/>
  <c r="AF898" i="1"/>
  <c r="C898" i="1" s="1" a="1"/>
  <c r="C898" i="1" s="1"/>
  <c r="AF897" i="1"/>
  <c r="C897" i="1" s="1" a="1"/>
  <c r="C897" i="1" s="1"/>
  <c r="AF896" i="1"/>
  <c r="C896" i="1" s="1" a="1"/>
  <c r="C896" i="1" s="1"/>
  <c r="AF895" i="1"/>
  <c r="C895" i="1" s="1" a="1"/>
  <c r="C895" i="1" s="1"/>
  <c r="AF894" i="1"/>
  <c r="C894" i="1" s="1" a="1"/>
  <c r="C894" i="1" s="1"/>
  <c r="AF893" i="1"/>
  <c r="C893" i="1" s="1" a="1"/>
  <c r="C893" i="1" s="1"/>
  <c r="AF892" i="1"/>
  <c r="C892" i="1" s="1" a="1"/>
  <c r="C892" i="1" s="1"/>
  <c r="AF891" i="1"/>
  <c r="C891" i="1" s="1" a="1"/>
  <c r="C891" i="1" s="1"/>
  <c r="AF890" i="1"/>
  <c r="C890" i="1" s="1" a="1"/>
  <c r="C890" i="1" s="1"/>
  <c r="AF889" i="1"/>
  <c r="C889" i="1" s="1" a="1"/>
  <c r="C889" i="1" s="1"/>
  <c r="AF888" i="1"/>
  <c r="C888" i="1" s="1" a="1"/>
  <c r="C888" i="1" s="1"/>
  <c r="AF887" i="1"/>
  <c r="C887" i="1" s="1" a="1"/>
  <c r="C887" i="1" s="1"/>
  <c r="AF886" i="1"/>
  <c r="C886" i="1" s="1" a="1"/>
  <c r="C886" i="1" s="1"/>
  <c r="AF885" i="1"/>
  <c r="C885" i="1" s="1" a="1"/>
  <c r="C885" i="1" s="1"/>
  <c r="AF884" i="1"/>
  <c r="C884" i="1" s="1" a="1"/>
  <c r="C884" i="1" s="1"/>
  <c r="AF883" i="1"/>
  <c r="C883" i="1" s="1" a="1"/>
  <c r="C883" i="1" s="1"/>
  <c r="AF882" i="1"/>
  <c r="C882" i="1" s="1" a="1"/>
  <c r="C882" i="1" s="1"/>
  <c r="AF881" i="1"/>
  <c r="C881" i="1" s="1" a="1"/>
  <c r="C881" i="1" s="1"/>
  <c r="AF880" i="1"/>
  <c r="C880" i="1" s="1" a="1"/>
  <c r="C880" i="1" s="1"/>
  <c r="AF879" i="1"/>
  <c r="C879" i="1" s="1" a="1"/>
  <c r="C879" i="1" s="1"/>
  <c r="AF878" i="1"/>
  <c r="C878" i="1" s="1" a="1"/>
  <c r="C878" i="1" s="1"/>
  <c r="AF877" i="1"/>
  <c r="C877" i="1" s="1" a="1"/>
  <c r="C877" i="1" s="1"/>
  <c r="AF876" i="1"/>
  <c r="C876" i="1" s="1" a="1"/>
  <c r="C876" i="1" s="1"/>
  <c r="AF875" i="1"/>
  <c r="C875" i="1" s="1" a="1"/>
  <c r="C875" i="1" s="1"/>
  <c r="AF874" i="1"/>
  <c r="C874" i="1" s="1" a="1"/>
  <c r="C874" i="1" s="1"/>
  <c r="AF873" i="1"/>
  <c r="C873" i="1" s="1" a="1"/>
  <c r="C873" i="1" s="1"/>
  <c r="AF872" i="1"/>
  <c r="C872" i="1" s="1" a="1"/>
  <c r="C872" i="1" s="1"/>
  <c r="AF871" i="1"/>
  <c r="C871" i="1" s="1" a="1"/>
  <c r="C871" i="1" s="1"/>
  <c r="AF870" i="1"/>
  <c r="C870" i="1" s="1" a="1"/>
  <c r="C870" i="1" s="1"/>
  <c r="AF869" i="1"/>
  <c r="C869" i="1" s="1" a="1"/>
  <c r="C869" i="1" s="1"/>
  <c r="AF868" i="1"/>
  <c r="C868" i="1" s="1" a="1"/>
  <c r="C868" i="1" s="1"/>
  <c r="AF867" i="1"/>
  <c r="C867" i="1" s="1" a="1"/>
  <c r="C867" i="1" s="1"/>
  <c r="AF866" i="1"/>
  <c r="C866" i="1" s="1" a="1"/>
  <c r="C866" i="1" s="1"/>
  <c r="AF865" i="1"/>
  <c r="C865" i="1" s="1" a="1"/>
  <c r="C865" i="1" s="1"/>
  <c r="AF864" i="1"/>
  <c r="C864" i="1" s="1" a="1"/>
  <c r="C864" i="1" s="1"/>
  <c r="AF863" i="1"/>
  <c r="C863" i="1" s="1" a="1"/>
  <c r="C863" i="1" s="1"/>
  <c r="AF862" i="1"/>
  <c r="C862" i="1" s="1" a="1"/>
  <c r="C862" i="1" s="1"/>
  <c r="AF861" i="1"/>
  <c r="C861" i="1" s="1" a="1"/>
  <c r="C861" i="1" s="1"/>
  <c r="AF860" i="1"/>
  <c r="C860" i="1" s="1" a="1"/>
  <c r="C860" i="1" s="1"/>
  <c r="AF859" i="1"/>
  <c r="C859" i="1" s="1" a="1"/>
  <c r="C859" i="1" s="1"/>
  <c r="AF858" i="1"/>
  <c r="C858" i="1" s="1" a="1"/>
  <c r="C858" i="1" s="1"/>
  <c r="AF857" i="1"/>
  <c r="C857" i="1" s="1" a="1"/>
  <c r="C857" i="1" s="1"/>
  <c r="AF856" i="1"/>
  <c r="C856" i="1" s="1" a="1"/>
  <c r="C856" i="1" s="1"/>
  <c r="AF855" i="1"/>
  <c r="C855" i="1" s="1" a="1"/>
  <c r="C855" i="1" s="1"/>
  <c r="AF854" i="1"/>
  <c r="C854" i="1" s="1" a="1"/>
  <c r="C854" i="1" s="1"/>
  <c r="AF853" i="1"/>
  <c r="C853" i="1" s="1" a="1"/>
  <c r="C853" i="1" s="1"/>
  <c r="AF852" i="1"/>
  <c r="C852" i="1" s="1" a="1"/>
  <c r="C852" i="1" s="1"/>
  <c r="AF851" i="1"/>
  <c r="C851" i="1" s="1" a="1"/>
  <c r="C851" i="1" s="1"/>
  <c r="AF850" i="1"/>
  <c r="C850" i="1" s="1" a="1"/>
  <c r="C850" i="1" s="1"/>
  <c r="AF849" i="1"/>
  <c r="AF848" i="1"/>
  <c r="C848" i="1" s="1" a="1"/>
  <c r="C848" i="1" s="1"/>
  <c r="AF847" i="1"/>
  <c r="C847" i="1" s="1" a="1"/>
  <c r="C847" i="1" s="1"/>
  <c r="AF846" i="1"/>
  <c r="C846" i="1" s="1" a="1"/>
  <c r="C846" i="1" s="1"/>
  <c r="AF845" i="1"/>
  <c r="C845" i="1" s="1" a="1"/>
  <c r="C845" i="1" s="1"/>
  <c r="AF844" i="1"/>
  <c r="C844" i="1" s="1" a="1"/>
  <c r="C844" i="1" s="1"/>
  <c r="AF843" i="1"/>
  <c r="C843" i="1" s="1" a="1"/>
  <c r="C843" i="1" s="1"/>
  <c r="AF842" i="1"/>
  <c r="C842" i="1" s="1" a="1"/>
  <c r="C842" i="1" s="1"/>
  <c r="AF841" i="1"/>
  <c r="C841" i="1" s="1" a="1"/>
  <c r="C841" i="1" s="1"/>
  <c r="AF840" i="1"/>
  <c r="C840" i="1" s="1" a="1"/>
  <c r="C840" i="1" s="1"/>
  <c r="AF839" i="1"/>
  <c r="C839" i="1" s="1" a="1"/>
  <c r="C839" i="1" s="1"/>
  <c r="AF838" i="1"/>
  <c r="C838" i="1" s="1" a="1"/>
  <c r="C838" i="1" s="1"/>
  <c r="AF837" i="1"/>
  <c r="C837" i="1" s="1" a="1"/>
  <c r="C837" i="1" s="1"/>
  <c r="AF836" i="1"/>
  <c r="C836" i="1" s="1" a="1"/>
  <c r="C836" i="1" s="1"/>
  <c r="AF835" i="1"/>
  <c r="C835" i="1" s="1" a="1"/>
  <c r="C835" i="1" s="1"/>
  <c r="AF834" i="1"/>
  <c r="C834" i="1" s="1" a="1"/>
  <c r="C834" i="1" s="1"/>
  <c r="AF833" i="1"/>
  <c r="C833" i="1" s="1" a="1"/>
  <c r="C833" i="1" s="1"/>
  <c r="AF832" i="1"/>
  <c r="C832" i="1" s="1" a="1"/>
  <c r="C832" i="1" s="1"/>
  <c r="AF831" i="1"/>
  <c r="C831" i="1" s="1" a="1"/>
  <c r="C831" i="1" s="1"/>
  <c r="AF830" i="1"/>
  <c r="C830" i="1" s="1" a="1"/>
  <c r="C830" i="1" s="1"/>
  <c r="AF829" i="1"/>
  <c r="C829" i="1" s="1" a="1"/>
  <c r="C829" i="1" s="1"/>
  <c r="AF828" i="1"/>
  <c r="C828" i="1" s="1" a="1"/>
  <c r="C828" i="1" s="1"/>
  <c r="AF827" i="1"/>
  <c r="C827" i="1" s="1" a="1"/>
  <c r="C827" i="1" s="1"/>
  <c r="AF826" i="1"/>
  <c r="C826" i="1" s="1" a="1"/>
  <c r="C826" i="1" s="1"/>
  <c r="AF825" i="1"/>
  <c r="C825" i="1" s="1" a="1"/>
  <c r="C825" i="1" s="1"/>
  <c r="AF824" i="1"/>
  <c r="C824" i="1" s="1" a="1"/>
  <c r="C824" i="1" s="1"/>
  <c r="AF823" i="1"/>
  <c r="C823" i="1" s="1" a="1"/>
  <c r="C823" i="1" s="1"/>
  <c r="AF822" i="1"/>
  <c r="C822" i="1" s="1" a="1"/>
  <c r="C822" i="1" s="1"/>
  <c r="AF821" i="1"/>
  <c r="C821" i="1" s="1" a="1"/>
  <c r="C821" i="1" s="1"/>
  <c r="AF820" i="1"/>
  <c r="C820" i="1" s="1" a="1"/>
  <c r="C820" i="1" s="1"/>
  <c r="AF819" i="1"/>
  <c r="C819" i="1" s="1" a="1"/>
  <c r="C819" i="1" s="1"/>
  <c r="AF818" i="1"/>
  <c r="C818" i="1" s="1" a="1"/>
  <c r="C818" i="1" s="1"/>
  <c r="AF817" i="1"/>
  <c r="C817" i="1" s="1" a="1"/>
  <c r="C817" i="1" s="1"/>
  <c r="AF816" i="1"/>
  <c r="C816" i="1" s="1" a="1"/>
  <c r="C816" i="1" s="1"/>
  <c r="AF815" i="1"/>
  <c r="C815" i="1" s="1" a="1"/>
  <c r="C815" i="1" s="1"/>
  <c r="AF814" i="1"/>
  <c r="C814" i="1" s="1" a="1"/>
  <c r="C814" i="1" s="1"/>
  <c r="AF813" i="1"/>
  <c r="C813" i="1" s="1" a="1"/>
  <c r="C813" i="1" s="1"/>
  <c r="AF812" i="1"/>
  <c r="C812" i="1" s="1" a="1"/>
  <c r="C812" i="1" s="1"/>
  <c r="AF811" i="1"/>
  <c r="C811" i="1" s="1" a="1"/>
  <c r="C811" i="1" s="1"/>
  <c r="AF810" i="1"/>
  <c r="C810" i="1" s="1" a="1"/>
  <c r="C810" i="1" s="1"/>
  <c r="AF809" i="1"/>
  <c r="C809" i="1" s="1" a="1"/>
  <c r="C809" i="1" s="1"/>
  <c r="AF808" i="1"/>
  <c r="C808" i="1" s="1" a="1"/>
  <c r="C808" i="1" s="1"/>
  <c r="AF807" i="1"/>
  <c r="C807" i="1" s="1" a="1"/>
  <c r="C807" i="1" s="1"/>
  <c r="AF806" i="1"/>
  <c r="C806" i="1" s="1" a="1"/>
  <c r="C806" i="1" s="1"/>
  <c r="AF805" i="1"/>
  <c r="C805" i="1" s="1" a="1"/>
  <c r="C805" i="1" s="1"/>
  <c r="AF804" i="1"/>
  <c r="C804" i="1" s="1" a="1"/>
  <c r="C804" i="1" s="1"/>
  <c r="AF803" i="1"/>
  <c r="C803" i="1" s="1" a="1"/>
  <c r="C803" i="1" s="1"/>
  <c r="AF802" i="1"/>
  <c r="C802" i="1" s="1" a="1"/>
  <c r="C802" i="1" s="1"/>
  <c r="AF801" i="1"/>
  <c r="C801" i="1" s="1" a="1"/>
  <c r="C801" i="1" s="1"/>
  <c r="AF800" i="1"/>
  <c r="C800" i="1" s="1" a="1"/>
  <c r="C800" i="1" s="1"/>
  <c r="AF799" i="1"/>
  <c r="C799" i="1" s="1" a="1"/>
  <c r="C799" i="1" s="1"/>
  <c r="AF798" i="1"/>
  <c r="C798" i="1" s="1" a="1"/>
  <c r="C798" i="1" s="1"/>
  <c r="AF797" i="1"/>
  <c r="C797" i="1" s="1" a="1"/>
  <c r="C797" i="1" s="1"/>
  <c r="AF796" i="1"/>
  <c r="C796" i="1" s="1" a="1"/>
  <c r="C796" i="1" s="1"/>
  <c r="AF795" i="1"/>
  <c r="C795" i="1" s="1" a="1"/>
  <c r="C795" i="1" s="1"/>
  <c r="AF794" i="1"/>
  <c r="C794" i="1" s="1" a="1"/>
  <c r="C794" i="1" s="1"/>
  <c r="AF793" i="1"/>
  <c r="C793" i="1" s="1" a="1"/>
  <c r="C793" i="1" s="1"/>
  <c r="AF792" i="1"/>
  <c r="C792" i="1" s="1" a="1"/>
  <c r="C792" i="1" s="1"/>
  <c r="AF791" i="1"/>
  <c r="C791" i="1" s="1" a="1"/>
  <c r="C791" i="1" s="1"/>
  <c r="AF790" i="1"/>
  <c r="C790" i="1" s="1" a="1"/>
  <c r="C790" i="1" s="1"/>
  <c r="AF789" i="1"/>
  <c r="C789" i="1" s="1" a="1"/>
  <c r="C789" i="1" s="1"/>
  <c r="AF788" i="1"/>
  <c r="C788" i="1" s="1" a="1"/>
  <c r="C788" i="1" s="1"/>
  <c r="AF787" i="1"/>
  <c r="C787" i="1" s="1" a="1"/>
  <c r="C787" i="1" s="1"/>
  <c r="AF786" i="1"/>
  <c r="C786" i="1" s="1" a="1"/>
  <c r="C786" i="1" s="1"/>
  <c r="AF785" i="1"/>
  <c r="C785" i="1" s="1" a="1"/>
  <c r="C785" i="1" s="1"/>
  <c r="AF784" i="1"/>
  <c r="C784" i="1" s="1" a="1"/>
  <c r="C784" i="1" s="1"/>
  <c r="AF783" i="1"/>
  <c r="C783" i="1" s="1" a="1"/>
  <c r="C783" i="1" s="1"/>
  <c r="AF782" i="1"/>
  <c r="C782" i="1" s="1" a="1"/>
  <c r="C782" i="1" s="1"/>
  <c r="AF781" i="1"/>
  <c r="C781" i="1" s="1" a="1"/>
  <c r="C781" i="1" s="1"/>
  <c r="AF780" i="1"/>
  <c r="AF779" i="1"/>
  <c r="AF778" i="1"/>
  <c r="C778" i="1" s="1" a="1"/>
  <c r="C778" i="1" s="1"/>
  <c r="AF777" i="1"/>
  <c r="C777" i="1" s="1" a="1"/>
  <c r="C777" i="1" s="1"/>
  <c r="AF776" i="1"/>
  <c r="C776" i="1" s="1" a="1"/>
  <c r="C776" i="1" s="1"/>
  <c r="AF775" i="1"/>
  <c r="C775" i="1" s="1" a="1"/>
  <c r="C775" i="1" s="1"/>
  <c r="AF774" i="1"/>
  <c r="C774" i="1" s="1" a="1"/>
  <c r="C774" i="1" s="1"/>
  <c r="AF773" i="1"/>
  <c r="C773" i="1" s="1" a="1"/>
  <c r="C773" i="1" s="1"/>
  <c r="AF772" i="1"/>
  <c r="C772" i="1" s="1" a="1"/>
  <c r="C772" i="1" s="1"/>
  <c r="AF771" i="1"/>
  <c r="C771" i="1" s="1" a="1"/>
  <c r="C771" i="1" s="1"/>
  <c r="AF770" i="1"/>
  <c r="C770" i="1" s="1" a="1"/>
  <c r="C770" i="1" s="1"/>
  <c r="AF769" i="1"/>
  <c r="C769" i="1" s="1" a="1"/>
  <c r="C769" i="1" s="1"/>
  <c r="AF768" i="1"/>
  <c r="C768" i="1" s="1" a="1"/>
  <c r="C768" i="1" s="1"/>
  <c r="AF767" i="1"/>
  <c r="C767" i="1" s="1" a="1"/>
  <c r="C767" i="1" s="1"/>
  <c r="AF766" i="1"/>
  <c r="C766" i="1" s="1" a="1"/>
  <c r="C766" i="1" s="1"/>
  <c r="AF765" i="1"/>
  <c r="C765" i="1" s="1" a="1"/>
  <c r="C765" i="1" s="1"/>
  <c r="AF764" i="1"/>
  <c r="C764" i="1" s="1" a="1"/>
  <c r="C764" i="1" s="1"/>
  <c r="AF763" i="1"/>
  <c r="C763" i="1" s="1" a="1"/>
  <c r="C763" i="1" s="1"/>
  <c r="AF762" i="1"/>
  <c r="C762" i="1" s="1" a="1"/>
  <c r="C762" i="1" s="1"/>
  <c r="AF761" i="1"/>
  <c r="C761" i="1" s="1" a="1"/>
  <c r="C761" i="1" s="1"/>
  <c r="AF760" i="1"/>
  <c r="C760" i="1" s="1" a="1"/>
  <c r="C760" i="1" s="1"/>
  <c r="AF759" i="1"/>
  <c r="C759" i="1" s="1" a="1"/>
  <c r="C759" i="1" s="1"/>
  <c r="AF758" i="1"/>
  <c r="C758" i="1" s="1" a="1"/>
  <c r="C758" i="1" s="1"/>
  <c r="AF757" i="1"/>
  <c r="C757" i="1" s="1" a="1"/>
  <c r="C757" i="1" s="1"/>
  <c r="AF756" i="1"/>
  <c r="C756" i="1" s="1" a="1"/>
  <c r="C756" i="1" s="1"/>
  <c r="AF755" i="1"/>
  <c r="AF754" i="1"/>
  <c r="C754" i="1" s="1" a="1"/>
  <c r="C754" i="1" s="1"/>
  <c r="AF753" i="1"/>
  <c r="C753" i="1" s="1" a="1"/>
  <c r="C753" i="1" s="1"/>
  <c r="AF752" i="1"/>
  <c r="C752" i="1" s="1" a="1"/>
  <c r="C752" i="1" s="1"/>
  <c r="AF751" i="1"/>
  <c r="C751" i="1" s="1" a="1"/>
  <c r="C751" i="1" s="1"/>
  <c r="AF750" i="1"/>
  <c r="C750" i="1" s="1" a="1"/>
  <c r="C750" i="1" s="1"/>
  <c r="AF749" i="1"/>
  <c r="C749" i="1" s="1" a="1"/>
  <c r="C749" i="1" s="1"/>
  <c r="AF748" i="1"/>
  <c r="C748" i="1" s="1" a="1"/>
  <c r="C748" i="1" s="1"/>
  <c r="AF747" i="1"/>
  <c r="C747" i="1" s="1" a="1"/>
  <c r="C747" i="1" s="1"/>
  <c r="AF746" i="1"/>
  <c r="C746" i="1" s="1" a="1"/>
  <c r="C746" i="1" s="1"/>
  <c r="AF745" i="1"/>
  <c r="C745" i="1" s="1" a="1"/>
  <c r="C745" i="1" s="1"/>
  <c r="AF744" i="1"/>
  <c r="C744" i="1" s="1" a="1"/>
  <c r="C744" i="1" s="1"/>
  <c r="AF743" i="1"/>
  <c r="C743" i="1" s="1" a="1"/>
  <c r="C743" i="1" s="1"/>
  <c r="AF742" i="1"/>
  <c r="C742" i="1" s="1" a="1"/>
  <c r="C742" i="1" s="1"/>
  <c r="AF741" i="1"/>
  <c r="C741" i="1" s="1" a="1"/>
  <c r="C741" i="1" s="1"/>
  <c r="AF740" i="1"/>
  <c r="C740" i="1" s="1" a="1"/>
  <c r="C740" i="1" s="1"/>
  <c r="AF739" i="1"/>
  <c r="AF738" i="1"/>
  <c r="C738" i="1" s="1" a="1"/>
  <c r="C738" i="1" s="1"/>
  <c r="AF737" i="1"/>
  <c r="C737" i="1" s="1" a="1"/>
  <c r="C737" i="1" s="1"/>
  <c r="AF736" i="1"/>
  <c r="C736" i="1" s="1" a="1"/>
  <c r="C736" i="1" s="1"/>
  <c r="AF735" i="1"/>
  <c r="AF734" i="1"/>
  <c r="C734" i="1" s="1" a="1"/>
  <c r="C734" i="1" s="1"/>
  <c r="AF733" i="1"/>
  <c r="C733" i="1" s="1" a="1"/>
  <c r="C733" i="1" s="1"/>
  <c r="AF732" i="1"/>
  <c r="C732" i="1" s="1" a="1"/>
  <c r="C732" i="1" s="1"/>
  <c r="AF731" i="1"/>
  <c r="C731" i="1" s="1" a="1"/>
  <c r="C731" i="1" s="1"/>
  <c r="AF730" i="1"/>
  <c r="C730" i="1" s="1" a="1"/>
  <c r="C730" i="1" s="1"/>
  <c r="AF729" i="1"/>
  <c r="C729" i="1" s="1" a="1"/>
  <c r="C729" i="1" s="1"/>
  <c r="AF728" i="1"/>
  <c r="C728" i="1" s="1" a="1"/>
  <c r="C728" i="1" s="1"/>
  <c r="AF727" i="1"/>
  <c r="C727" i="1" s="1" a="1"/>
  <c r="C727" i="1" s="1"/>
  <c r="AF726" i="1"/>
  <c r="C726" i="1" s="1" a="1"/>
  <c r="C726" i="1" s="1"/>
  <c r="AF725" i="1"/>
  <c r="C725" i="1" s="1" a="1"/>
  <c r="C725" i="1" s="1"/>
  <c r="AF724" i="1"/>
  <c r="C724" i="1" s="1" a="1"/>
  <c r="C724" i="1" s="1"/>
  <c r="AF723" i="1"/>
  <c r="C723" i="1" s="1" a="1"/>
  <c r="C723" i="1" s="1"/>
  <c r="AF722" i="1"/>
  <c r="C722" i="1" s="1" a="1"/>
  <c r="C722" i="1" s="1"/>
  <c r="AF721" i="1"/>
  <c r="C721" i="1" s="1" a="1"/>
  <c r="C721" i="1" s="1"/>
  <c r="AF720" i="1"/>
  <c r="C720" i="1" s="1" a="1"/>
  <c r="C720" i="1" s="1"/>
  <c r="AF719" i="1"/>
  <c r="C719" i="1" s="1" a="1"/>
  <c r="C719" i="1" s="1"/>
  <c r="AF718" i="1"/>
  <c r="C718" i="1" s="1" a="1"/>
  <c r="C718" i="1" s="1"/>
  <c r="AF717" i="1"/>
  <c r="AF716" i="1"/>
  <c r="C716" i="1" s="1" a="1"/>
  <c r="C716" i="1" s="1"/>
  <c r="AF715" i="1"/>
  <c r="C715" i="1" s="1" a="1"/>
  <c r="C715" i="1" s="1"/>
  <c r="AF714" i="1"/>
  <c r="C714" i="1" s="1" a="1"/>
  <c r="C714" i="1" s="1"/>
  <c r="AF713" i="1"/>
  <c r="C713" i="1" s="1" a="1"/>
  <c r="C713" i="1" s="1"/>
  <c r="AF712" i="1"/>
  <c r="C712" i="1" s="1" a="1"/>
  <c r="C712" i="1" s="1"/>
  <c r="AF711" i="1"/>
  <c r="C711" i="1" s="1" a="1"/>
  <c r="C711" i="1" s="1"/>
  <c r="AF710" i="1"/>
  <c r="C710" i="1" s="1" a="1"/>
  <c r="C710" i="1" s="1"/>
  <c r="AF709" i="1"/>
  <c r="C709" i="1" s="1" a="1"/>
  <c r="C709" i="1" s="1"/>
  <c r="AF708" i="1"/>
  <c r="C708" i="1" s="1" a="1"/>
  <c r="C708" i="1" s="1"/>
  <c r="AF707" i="1"/>
  <c r="C707" i="1" s="1" a="1"/>
  <c r="C707" i="1" s="1"/>
  <c r="AF706" i="1"/>
  <c r="C706" i="1" s="1" a="1"/>
  <c r="C706" i="1" s="1"/>
  <c r="AF705" i="1"/>
  <c r="C705" i="1" s="1" a="1"/>
  <c r="C705" i="1" s="1"/>
  <c r="AF704" i="1"/>
  <c r="C704" i="1" s="1" a="1"/>
  <c r="C704" i="1" s="1"/>
  <c r="AF703" i="1"/>
  <c r="C703" i="1" s="1" a="1"/>
  <c r="C703" i="1" s="1"/>
  <c r="AF702" i="1"/>
  <c r="C702" i="1" s="1" a="1"/>
  <c r="C702" i="1" s="1"/>
  <c r="AF701" i="1"/>
  <c r="C701" i="1" s="1" a="1"/>
  <c r="C701" i="1" s="1"/>
  <c r="AF700" i="1"/>
  <c r="C700" i="1" s="1" a="1"/>
  <c r="C700" i="1" s="1"/>
  <c r="AF699" i="1"/>
  <c r="C699" i="1" s="1" a="1"/>
  <c r="C699" i="1" s="1"/>
  <c r="AF698" i="1"/>
  <c r="C698" i="1" s="1" a="1"/>
  <c r="C698" i="1" s="1"/>
  <c r="AF697" i="1"/>
  <c r="C697" i="1" s="1" a="1"/>
  <c r="C697" i="1" s="1"/>
  <c r="AF696" i="1"/>
  <c r="C696" i="1" s="1" a="1"/>
  <c r="C696" i="1" s="1"/>
  <c r="AF695" i="1"/>
  <c r="C695" i="1" s="1" a="1"/>
  <c r="C695" i="1" s="1"/>
  <c r="AF694" i="1"/>
  <c r="C694" i="1" s="1" a="1"/>
  <c r="C694" i="1" s="1"/>
  <c r="AF693" i="1"/>
  <c r="C693" i="1" s="1" a="1"/>
  <c r="C693" i="1" s="1"/>
  <c r="AF692" i="1"/>
  <c r="C692" i="1" s="1" a="1"/>
  <c r="C692" i="1" s="1"/>
  <c r="AF691" i="1"/>
  <c r="C691" i="1" s="1" a="1"/>
  <c r="C691" i="1" s="1"/>
  <c r="AF690" i="1"/>
  <c r="C690" i="1" s="1" a="1"/>
  <c r="C690" i="1" s="1"/>
  <c r="AF689" i="1"/>
  <c r="C689" i="1" s="1" a="1"/>
  <c r="C689" i="1" s="1"/>
  <c r="AF688" i="1"/>
  <c r="C688" i="1" s="1" a="1"/>
  <c r="C688" i="1" s="1"/>
  <c r="AF687" i="1"/>
  <c r="C687" i="1" s="1" a="1"/>
  <c r="C687" i="1" s="1"/>
  <c r="AF686" i="1"/>
  <c r="C686" i="1" s="1" a="1"/>
  <c r="C686" i="1" s="1"/>
  <c r="AF685" i="1"/>
  <c r="C685" i="1" s="1" a="1"/>
  <c r="C685" i="1" s="1"/>
  <c r="AF684" i="1"/>
  <c r="C684" i="1" s="1" a="1"/>
  <c r="C684" i="1" s="1"/>
  <c r="AF683" i="1"/>
  <c r="C683" i="1" s="1" a="1"/>
  <c r="C683" i="1" s="1"/>
  <c r="AF682" i="1"/>
  <c r="C682" i="1" s="1" a="1"/>
  <c r="C682" i="1" s="1"/>
  <c r="AF681" i="1"/>
  <c r="C681" i="1" s="1" a="1"/>
  <c r="C681" i="1" s="1"/>
  <c r="AF680" i="1"/>
  <c r="C680" i="1" s="1" a="1"/>
  <c r="C680" i="1" s="1"/>
  <c r="AF679" i="1"/>
  <c r="AF678" i="1"/>
  <c r="C678" i="1" s="1" a="1"/>
  <c r="C678" i="1" s="1"/>
  <c r="AF677" i="1"/>
  <c r="C677" i="1" s="1" a="1"/>
  <c r="C677" i="1" s="1"/>
  <c r="AF676" i="1"/>
  <c r="C676" i="1" s="1" a="1"/>
  <c r="C676" i="1" s="1"/>
  <c r="AF675" i="1"/>
  <c r="C675" i="1" s="1" a="1"/>
  <c r="C675" i="1" s="1"/>
  <c r="AF674" i="1"/>
  <c r="C674" i="1" s="1" a="1"/>
  <c r="C674" i="1" s="1"/>
  <c r="AF673" i="1"/>
  <c r="C673" i="1" s="1" a="1"/>
  <c r="C673" i="1" s="1"/>
  <c r="AF672" i="1"/>
  <c r="C672" i="1" s="1" a="1"/>
  <c r="C672" i="1" s="1"/>
  <c r="AF671" i="1"/>
  <c r="C671" i="1" s="1" a="1"/>
  <c r="C671" i="1" s="1"/>
  <c r="AF670" i="1"/>
  <c r="C670" i="1" s="1" a="1"/>
  <c r="C670" i="1" s="1"/>
  <c r="AF669" i="1"/>
  <c r="C669" i="1" s="1" a="1"/>
  <c r="C669" i="1" s="1"/>
  <c r="AF668" i="1"/>
  <c r="C668" i="1" s="1" a="1"/>
  <c r="C668" i="1" s="1"/>
  <c r="AF667" i="1"/>
  <c r="C667" i="1" s="1" a="1"/>
  <c r="C667" i="1" s="1"/>
  <c r="AF666" i="1"/>
  <c r="C666" i="1" s="1" a="1"/>
  <c r="C666" i="1" s="1"/>
  <c r="AF665" i="1"/>
  <c r="C665" i="1" s="1" a="1"/>
  <c r="C665" i="1" s="1"/>
  <c r="AF664" i="1"/>
  <c r="C664" i="1" s="1" a="1"/>
  <c r="C664" i="1" s="1"/>
  <c r="AF663" i="1"/>
  <c r="C663" i="1" s="1" a="1"/>
  <c r="C663" i="1" s="1"/>
  <c r="AF662" i="1"/>
  <c r="C662" i="1" s="1" a="1"/>
  <c r="C662" i="1" s="1"/>
  <c r="AF661" i="1"/>
  <c r="C661" i="1" s="1" a="1"/>
  <c r="C661" i="1" s="1"/>
  <c r="AF660" i="1"/>
  <c r="C660" i="1" s="1" a="1"/>
  <c r="C660" i="1" s="1"/>
  <c r="AF659" i="1"/>
  <c r="C659" i="1" s="1" a="1"/>
  <c r="C659" i="1" s="1"/>
  <c r="AF658" i="1"/>
  <c r="C658" i="1" s="1" a="1"/>
  <c r="C658" i="1" s="1"/>
  <c r="AF657" i="1"/>
  <c r="AF656" i="1"/>
  <c r="C656" i="1" s="1" a="1"/>
  <c r="C656" i="1" s="1"/>
  <c r="AF655" i="1"/>
  <c r="AF654" i="1"/>
  <c r="C654" i="1" s="1" a="1"/>
  <c r="C654" i="1" s="1"/>
  <c r="AF653" i="1"/>
  <c r="C653" i="1" s="1" a="1"/>
  <c r="C653" i="1" s="1"/>
  <c r="AF652" i="1"/>
  <c r="C652" i="1" s="1" a="1"/>
  <c r="C652" i="1" s="1"/>
  <c r="AF651" i="1"/>
  <c r="C651" i="1" s="1" a="1"/>
  <c r="C651" i="1" s="1"/>
  <c r="AF650" i="1"/>
  <c r="C650" i="1" s="1" a="1"/>
  <c r="C650" i="1" s="1"/>
  <c r="AF649" i="1"/>
  <c r="C649" i="1" s="1" a="1"/>
  <c r="C649" i="1" s="1"/>
  <c r="AF648" i="1"/>
  <c r="C648" i="1" s="1" a="1"/>
  <c r="C648" i="1" s="1"/>
  <c r="AF647" i="1"/>
  <c r="C647" i="1" s="1" a="1"/>
  <c r="C647" i="1" s="1"/>
  <c r="AF646" i="1"/>
  <c r="C646" i="1" s="1" a="1"/>
  <c r="C646" i="1" s="1"/>
  <c r="AF645" i="1"/>
  <c r="C645" i="1" s="1" a="1"/>
  <c r="C645" i="1" s="1"/>
  <c r="AF644" i="1"/>
  <c r="C644" i="1" s="1" a="1"/>
  <c r="C644" i="1" s="1"/>
  <c r="AF643" i="1"/>
  <c r="C643" i="1" s="1" a="1"/>
  <c r="C643" i="1" s="1"/>
  <c r="AF642" i="1"/>
  <c r="C642" i="1" s="1" a="1"/>
  <c r="C642" i="1" s="1"/>
  <c r="AF641" i="1"/>
  <c r="C641" i="1" s="1" a="1"/>
  <c r="C641" i="1" s="1"/>
  <c r="AF640" i="1"/>
  <c r="C640" i="1" s="1" a="1"/>
  <c r="C640" i="1" s="1"/>
  <c r="AF639" i="1"/>
  <c r="C639" i="1" s="1" a="1"/>
  <c r="C639" i="1" s="1"/>
  <c r="AF638" i="1"/>
  <c r="C638" i="1" s="1" a="1"/>
  <c r="C638" i="1" s="1"/>
  <c r="AF637" i="1"/>
  <c r="C637" i="1" s="1" a="1"/>
  <c r="C637" i="1" s="1"/>
  <c r="AF636" i="1"/>
  <c r="C636" i="1" s="1" a="1"/>
  <c r="C636" i="1" s="1"/>
  <c r="AF635" i="1"/>
  <c r="AF634" i="1"/>
  <c r="C634" i="1" s="1" a="1"/>
  <c r="C634" i="1" s="1"/>
  <c r="AF633" i="1"/>
  <c r="C633" i="1" s="1" a="1"/>
  <c r="C633" i="1" s="1"/>
  <c r="AF632" i="1"/>
  <c r="C632" i="1" s="1" a="1"/>
  <c r="C632" i="1" s="1"/>
  <c r="AF631" i="1"/>
  <c r="AF630" i="1"/>
  <c r="C630" i="1" s="1" a="1"/>
  <c r="C630" i="1" s="1"/>
  <c r="AF629" i="1"/>
  <c r="C629" i="1" s="1" a="1"/>
  <c r="C629" i="1" s="1"/>
  <c r="AF628" i="1"/>
  <c r="C628" i="1" s="1" a="1"/>
  <c r="C628" i="1" s="1"/>
  <c r="AF627" i="1"/>
  <c r="C627" i="1" s="1" a="1"/>
  <c r="C627" i="1" s="1"/>
  <c r="AF626" i="1"/>
  <c r="C626" i="1" s="1" a="1"/>
  <c r="C626" i="1" s="1"/>
  <c r="AF625" i="1"/>
  <c r="C625" i="1" s="1" a="1"/>
  <c r="C625" i="1" s="1"/>
  <c r="AF624" i="1"/>
  <c r="C624" i="1" s="1" a="1"/>
  <c r="C624" i="1" s="1"/>
  <c r="AF623" i="1"/>
  <c r="C623" i="1" s="1" a="1"/>
  <c r="C623" i="1" s="1"/>
  <c r="AF622" i="1"/>
  <c r="C622" i="1" s="1" a="1"/>
  <c r="C622" i="1" s="1"/>
  <c r="AF621" i="1"/>
  <c r="C621" i="1" s="1" a="1"/>
  <c r="C621" i="1" s="1"/>
  <c r="AF620" i="1"/>
  <c r="C620" i="1" s="1" a="1"/>
  <c r="C620" i="1" s="1"/>
  <c r="AF619" i="1"/>
  <c r="C619" i="1" s="1" a="1"/>
  <c r="C619" i="1" s="1"/>
  <c r="AF618" i="1"/>
  <c r="C618" i="1" s="1" a="1"/>
  <c r="C618" i="1" s="1"/>
  <c r="AF617" i="1"/>
  <c r="C617" i="1" s="1" a="1"/>
  <c r="C617" i="1" s="1"/>
  <c r="AF616" i="1"/>
  <c r="C616" i="1" s="1" a="1"/>
  <c r="C616" i="1" s="1"/>
  <c r="AF615" i="1"/>
  <c r="AF614" i="1"/>
  <c r="C614" i="1" s="1" a="1"/>
  <c r="C614" i="1" s="1"/>
  <c r="AF613" i="1"/>
  <c r="C613" i="1" s="1" a="1"/>
  <c r="C613" i="1" s="1"/>
  <c r="AF612" i="1"/>
  <c r="C612" i="1" s="1" a="1"/>
  <c r="C612" i="1" s="1"/>
  <c r="AF611" i="1"/>
  <c r="C611" i="1" s="1" a="1"/>
  <c r="C611" i="1" s="1"/>
  <c r="AF610" i="1"/>
  <c r="C610" i="1" s="1" a="1"/>
  <c r="C610" i="1" s="1"/>
  <c r="AF609" i="1"/>
  <c r="C609" i="1" s="1" a="1"/>
  <c r="C609" i="1" s="1"/>
  <c r="AF608" i="1"/>
  <c r="C608" i="1" s="1" a="1"/>
  <c r="C608" i="1" s="1"/>
  <c r="AF607" i="1"/>
  <c r="AF606" i="1"/>
  <c r="C606" i="1" s="1" a="1"/>
  <c r="C606" i="1" s="1"/>
  <c r="AF605" i="1"/>
  <c r="C605" i="1" s="1" a="1"/>
  <c r="C605" i="1" s="1"/>
  <c r="AF604" i="1"/>
  <c r="C604" i="1" s="1" a="1"/>
  <c r="C604" i="1" s="1"/>
  <c r="AF603" i="1"/>
  <c r="C603" i="1" s="1" a="1"/>
  <c r="C603" i="1" s="1"/>
  <c r="AF602" i="1"/>
  <c r="C602" i="1" s="1" a="1"/>
  <c r="C602" i="1" s="1"/>
  <c r="AF601" i="1"/>
  <c r="C601" i="1" s="1" a="1"/>
  <c r="C601" i="1" s="1"/>
  <c r="AF600" i="1"/>
  <c r="AF599" i="1"/>
  <c r="C599" i="1" s="1" a="1"/>
  <c r="C599" i="1" s="1"/>
  <c r="AF598" i="1"/>
  <c r="C598" i="1" s="1" a="1"/>
  <c r="C598" i="1" s="1"/>
  <c r="AF597" i="1"/>
  <c r="C597" i="1" s="1" a="1"/>
  <c r="C597" i="1" s="1"/>
  <c r="AF596" i="1"/>
  <c r="C596" i="1" s="1" a="1"/>
  <c r="C596" i="1" s="1"/>
  <c r="AF595" i="1"/>
  <c r="C595" i="1" s="1" a="1"/>
  <c r="C595" i="1" s="1"/>
  <c r="AF594" i="1"/>
  <c r="C594" i="1" s="1" a="1"/>
  <c r="C594" i="1" s="1"/>
  <c r="AF593" i="1"/>
  <c r="C593" i="1" s="1" a="1"/>
  <c r="C593" i="1" s="1"/>
  <c r="AF592" i="1"/>
  <c r="C592" i="1" s="1" a="1"/>
  <c r="C592" i="1" s="1"/>
  <c r="AF591" i="1"/>
  <c r="C591" i="1" s="1" a="1"/>
  <c r="C591" i="1" s="1"/>
  <c r="AF590" i="1"/>
  <c r="C590" i="1" s="1" a="1"/>
  <c r="C590" i="1" s="1"/>
  <c r="AF589" i="1"/>
  <c r="C589" i="1" s="1" a="1"/>
  <c r="C589" i="1" s="1"/>
  <c r="AF588" i="1"/>
  <c r="C588" i="1" s="1" a="1"/>
  <c r="C588" i="1" s="1"/>
  <c r="AF587" i="1"/>
  <c r="C587" i="1" s="1" a="1"/>
  <c r="C587" i="1" s="1"/>
  <c r="AF586" i="1"/>
  <c r="C586" i="1" s="1" a="1"/>
  <c r="C586" i="1" s="1"/>
  <c r="AF585" i="1"/>
  <c r="C585" i="1" s="1" a="1"/>
  <c r="C585" i="1" s="1"/>
  <c r="AF584" i="1"/>
  <c r="C584" i="1" s="1" a="1"/>
  <c r="C584" i="1" s="1"/>
  <c r="AF583" i="1"/>
  <c r="C583" i="1" s="1" a="1"/>
  <c r="C583" i="1" s="1"/>
  <c r="AF582" i="1"/>
  <c r="C582" i="1" s="1" a="1"/>
  <c r="C582" i="1" s="1"/>
  <c r="AF581" i="1"/>
  <c r="C581" i="1" s="1" a="1"/>
  <c r="C581" i="1" s="1"/>
  <c r="AF580" i="1"/>
  <c r="C580" i="1" s="1" a="1"/>
  <c r="C580" i="1" s="1"/>
  <c r="AF579" i="1"/>
  <c r="C579" i="1" s="1" a="1"/>
  <c r="C579" i="1" s="1"/>
  <c r="AF578" i="1"/>
  <c r="C578" i="1" s="1" a="1"/>
  <c r="C578" i="1" s="1"/>
  <c r="AF577" i="1"/>
  <c r="C577" i="1" s="1" a="1"/>
  <c r="C577" i="1" s="1"/>
  <c r="AF576" i="1"/>
  <c r="C576" i="1" s="1" a="1"/>
  <c r="C576" i="1" s="1"/>
  <c r="AF575" i="1"/>
  <c r="C575" i="1" s="1" a="1"/>
  <c r="C575" i="1" s="1"/>
  <c r="AF574" i="1"/>
  <c r="C574" i="1" s="1" a="1"/>
  <c r="C574" i="1" s="1"/>
  <c r="AF573" i="1"/>
  <c r="C573" i="1" s="1" a="1"/>
  <c r="C573" i="1" s="1"/>
  <c r="AF572" i="1"/>
  <c r="C572" i="1" s="1" a="1"/>
  <c r="C572" i="1" s="1"/>
  <c r="AF571" i="1"/>
  <c r="C571" i="1" s="1" a="1"/>
  <c r="C571" i="1" s="1"/>
  <c r="AF570" i="1"/>
  <c r="C570" i="1" s="1" a="1"/>
  <c r="C570" i="1" s="1"/>
  <c r="AF569" i="1"/>
  <c r="C569" i="1" s="1" a="1"/>
  <c r="C569" i="1" s="1"/>
  <c r="AF568" i="1"/>
  <c r="C568" i="1" s="1" a="1"/>
  <c r="C568" i="1" s="1"/>
  <c r="AF567" i="1"/>
  <c r="C567" i="1" s="1" a="1"/>
  <c r="C567" i="1" s="1"/>
  <c r="AF566" i="1"/>
  <c r="C566" i="1" s="1" a="1"/>
  <c r="C566" i="1" s="1"/>
  <c r="AF565" i="1"/>
  <c r="C565" i="1" s="1" a="1"/>
  <c r="C565" i="1" s="1"/>
  <c r="AF564" i="1"/>
  <c r="C564" i="1" s="1" a="1"/>
  <c r="C564" i="1" s="1"/>
  <c r="AF563" i="1"/>
  <c r="C563" i="1" s="1" a="1"/>
  <c r="C563" i="1" s="1"/>
  <c r="AF562" i="1"/>
  <c r="C562" i="1" s="1" a="1"/>
  <c r="C562" i="1" s="1"/>
  <c r="AF561" i="1"/>
  <c r="AF560" i="1"/>
  <c r="C560" i="1" s="1" a="1"/>
  <c r="C560" i="1" s="1"/>
  <c r="AF559" i="1"/>
  <c r="C559" i="1" s="1" a="1"/>
  <c r="C559" i="1" s="1"/>
  <c r="AF558" i="1"/>
  <c r="C558" i="1" s="1" a="1"/>
  <c r="C558" i="1" s="1"/>
  <c r="AF557" i="1"/>
  <c r="C557" i="1" s="1" a="1"/>
  <c r="C557" i="1" s="1"/>
  <c r="AF556" i="1"/>
  <c r="C556" i="1" s="1" a="1"/>
  <c r="C556" i="1" s="1"/>
  <c r="AF555" i="1"/>
  <c r="C555" i="1" s="1" a="1"/>
  <c r="C555" i="1" s="1"/>
  <c r="AF554" i="1"/>
  <c r="C554" i="1" s="1" a="1"/>
  <c r="C554" i="1" s="1"/>
  <c r="AF553" i="1"/>
  <c r="C553" i="1" s="1" a="1"/>
  <c r="C553" i="1" s="1"/>
  <c r="AF552" i="1"/>
  <c r="C552" i="1" s="1" a="1"/>
  <c r="C552" i="1" s="1"/>
  <c r="AF551" i="1"/>
  <c r="C551" i="1" s="1" a="1"/>
  <c r="C551" i="1" s="1"/>
  <c r="AF550" i="1"/>
  <c r="C550" i="1" s="1" a="1"/>
  <c r="C550" i="1" s="1"/>
  <c r="AF549" i="1"/>
  <c r="C549" i="1" s="1" a="1"/>
  <c r="C549" i="1" s="1"/>
  <c r="AF548" i="1"/>
  <c r="C548" i="1" s="1" a="1"/>
  <c r="C548" i="1" s="1"/>
  <c r="AF547" i="1"/>
  <c r="C547" i="1" s="1" a="1"/>
  <c r="C547" i="1" s="1"/>
  <c r="AF546" i="1"/>
  <c r="C546" i="1" s="1" a="1"/>
  <c r="C546" i="1" s="1"/>
  <c r="AF545" i="1"/>
  <c r="C545" i="1" s="1" a="1"/>
  <c r="C545" i="1" s="1"/>
  <c r="AF544" i="1"/>
  <c r="C544" i="1" s="1" a="1"/>
  <c r="C544" i="1" s="1"/>
  <c r="AF543" i="1"/>
  <c r="C543" i="1" s="1" a="1"/>
  <c r="C543" i="1" s="1"/>
  <c r="AF542" i="1"/>
  <c r="C542" i="1" s="1" a="1"/>
  <c r="C542" i="1" s="1"/>
  <c r="AF541" i="1"/>
  <c r="C541" i="1" s="1" a="1"/>
  <c r="C541" i="1" s="1"/>
  <c r="AF540" i="1"/>
  <c r="C540" i="1" s="1" a="1"/>
  <c r="C540" i="1" s="1"/>
  <c r="AF539" i="1"/>
  <c r="C539" i="1" s="1" a="1"/>
  <c r="C539" i="1" s="1"/>
  <c r="AF538" i="1"/>
  <c r="AF537" i="1"/>
  <c r="C537" i="1" s="1" a="1"/>
  <c r="C537" i="1" s="1"/>
  <c r="AF536" i="1"/>
  <c r="C536" i="1" s="1" a="1"/>
  <c r="C536" i="1" s="1"/>
  <c r="AF535" i="1"/>
  <c r="AF534" i="1"/>
  <c r="C534" i="1" s="1" a="1"/>
  <c r="C534" i="1" s="1"/>
  <c r="AF533" i="1"/>
  <c r="C533" i="1" s="1" a="1"/>
  <c r="C533" i="1" s="1"/>
  <c r="AF532" i="1"/>
  <c r="AF531" i="1"/>
  <c r="C531" i="1" s="1" a="1"/>
  <c r="C531" i="1" s="1"/>
  <c r="AF530" i="1"/>
  <c r="C530" i="1" s="1" a="1"/>
  <c r="C530" i="1" s="1"/>
  <c r="AF529" i="1"/>
  <c r="C529" i="1" s="1" a="1"/>
  <c r="C529" i="1" s="1"/>
  <c r="AF528" i="1"/>
  <c r="C528" i="1" s="1" a="1"/>
  <c r="C528" i="1" s="1"/>
  <c r="AF527" i="1"/>
  <c r="C527" i="1" s="1" a="1"/>
  <c r="C527" i="1" s="1"/>
  <c r="AF526" i="1"/>
  <c r="C526" i="1" s="1" a="1"/>
  <c r="C526" i="1" s="1"/>
  <c r="AF525" i="1"/>
  <c r="C525" i="1" s="1" a="1"/>
  <c r="C525" i="1" s="1"/>
  <c r="AF524" i="1"/>
  <c r="C524" i="1" s="1" a="1"/>
  <c r="C524" i="1" s="1"/>
  <c r="AF523" i="1"/>
  <c r="AF522" i="1"/>
  <c r="C522" i="1" s="1" a="1"/>
  <c r="C522" i="1" s="1"/>
  <c r="AF521" i="1"/>
  <c r="C521" i="1" s="1" a="1"/>
  <c r="C521" i="1" s="1"/>
  <c r="AF520" i="1"/>
  <c r="AF519" i="1"/>
  <c r="C519" i="1" s="1" a="1"/>
  <c r="C519" i="1" s="1"/>
  <c r="AF518" i="1"/>
  <c r="C518" i="1" s="1" a="1"/>
  <c r="C518" i="1" s="1"/>
  <c r="AF517" i="1"/>
  <c r="AF516" i="1"/>
  <c r="AF515" i="1"/>
  <c r="C515" i="1" s="1" a="1"/>
  <c r="C515" i="1" s="1"/>
  <c r="AF514" i="1"/>
  <c r="AF513" i="1"/>
  <c r="C513" i="1" s="1" a="1"/>
  <c r="C513" i="1" s="1"/>
  <c r="AF512" i="1"/>
  <c r="C512" i="1" s="1" a="1"/>
  <c r="C512" i="1" s="1"/>
  <c r="AF511" i="1"/>
  <c r="C511" i="1" s="1" a="1"/>
  <c r="C511" i="1" s="1"/>
  <c r="AF510" i="1"/>
  <c r="C510" i="1" s="1" a="1"/>
  <c r="C510" i="1" s="1"/>
  <c r="AF509" i="1"/>
  <c r="C509" i="1" s="1" a="1"/>
  <c r="C509" i="1" s="1"/>
  <c r="AF508" i="1"/>
  <c r="C508" i="1" s="1" a="1"/>
  <c r="C508" i="1" s="1"/>
  <c r="AF507" i="1"/>
  <c r="AF506" i="1"/>
  <c r="C506" i="1" s="1" a="1"/>
  <c r="C506" i="1" s="1"/>
  <c r="AF505" i="1"/>
  <c r="AF504" i="1"/>
  <c r="C504" i="1" s="1" a="1"/>
  <c r="C504" i="1" s="1"/>
  <c r="AF503" i="1"/>
  <c r="C503" i="1" s="1" a="1"/>
  <c r="C503" i="1" s="1"/>
  <c r="AF502" i="1"/>
  <c r="AF501" i="1"/>
  <c r="C501" i="1" s="1" a="1"/>
  <c r="C501" i="1" s="1"/>
  <c r="AF500" i="1"/>
  <c r="C500" i="1" s="1" a="1"/>
  <c r="C500" i="1" s="1"/>
  <c r="AF499" i="1"/>
  <c r="AF498" i="1"/>
  <c r="C498" i="1" s="1" a="1"/>
  <c r="C498" i="1" s="1"/>
  <c r="AF497" i="1"/>
  <c r="C497" i="1" s="1" a="1"/>
  <c r="C497" i="1" s="1"/>
  <c r="AF496" i="1"/>
  <c r="AF495" i="1"/>
  <c r="C495" i="1" s="1" a="1"/>
  <c r="C495" i="1" s="1"/>
  <c r="AF494" i="1"/>
  <c r="AF493" i="1"/>
  <c r="C493" i="1" s="1" a="1"/>
  <c r="C493" i="1" s="1"/>
  <c r="AF492" i="1"/>
  <c r="C492" i="1" s="1" a="1"/>
  <c r="C492" i="1" s="1"/>
  <c r="AF491" i="1"/>
  <c r="C491" i="1" s="1" a="1"/>
  <c r="C491" i="1" s="1"/>
  <c r="AF490" i="1"/>
  <c r="C490" i="1" s="1" a="1"/>
  <c r="C490" i="1" s="1"/>
  <c r="AF489" i="1"/>
  <c r="C489" i="1" s="1" a="1"/>
  <c r="C489" i="1" s="1"/>
  <c r="AF488" i="1"/>
  <c r="C488" i="1" s="1" a="1"/>
  <c r="C488" i="1" s="1"/>
  <c r="AF487" i="1"/>
  <c r="AF486" i="1"/>
  <c r="C486" i="1" s="1" a="1"/>
  <c r="C486" i="1" s="1"/>
  <c r="AF485" i="1"/>
  <c r="AF484" i="1"/>
  <c r="AF483" i="1"/>
  <c r="C483" i="1" s="1" a="1"/>
  <c r="C483" i="1" s="1"/>
  <c r="AF482" i="1"/>
  <c r="C482" i="1" s="1" a="1"/>
  <c r="C482" i="1" s="1"/>
  <c r="AF481" i="1"/>
  <c r="AF480" i="1"/>
  <c r="C480" i="1" s="1" a="1"/>
  <c r="C480" i="1" s="1"/>
  <c r="AF479" i="1"/>
  <c r="C479" i="1" s="1" a="1"/>
  <c r="C479" i="1" s="1"/>
  <c r="AF478" i="1"/>
  <c r="AF477" i="1"/>
  <c r="C477" i="1" s="1" a="1"/>
  <c r="C477" i="1" s="1"/>
  <c r="AF476" i="1"/>
  <c r="C476" i="1" s="1" a="1"/>
  <c r="C476" i="1" s="1"/>
  <c r="AF475" i="1"/>
  <c r="C475" i="1" s="1" a="1"/>
  <c r="C475" i="1" s="1"/>
  <c r="AF474" i="1"/>
  <c r="C474" i="1" s="1" a="1"/>
  <c r="C474" i="1" s="1"/>
  <c r="AF473" i="1"/>
  <c r="C473" i="1" s="1" a="1"/>
  <c r="C473" i="1" s="1"/>
  <c r="AF472" i="1"/>
  <c r="C472" i="1" s="1" a="1"/>
  <c r="C472" i="1" s="1"/>
  <c r="AF471" i="1"/>
  <c r="C471" i="1" s="1" a="1"/>
  <c r="C471" i="1" s="1"/>
  <c r="AF470" i="1"/>
  <c r="C470" i="1" s="1" a="1"/>
  <c r="C470" i="1" s="1"/>
  <c r="AF469" i="1"/>
  <c r="C469" i="1" s="1" a="1"/>
  <c r="C469" i="1" s="1"/>
  <c r="AF468" i="1"/>
  <c r="C468" i="1" s="1" a="1"/>
  <c r="C468" i="1" s="1"/>
  <c r="AF467" i="1"/>
  <c r="AF466" i="1"/>
  <c r="C466" i="1" s="1" a="1"/>
  <c r="C466" i="1" s="1"/>
  <c r="AF465" i="1"/>
  <c r="C465" i="1" s="1" a="1"/>
  <c r="C465" i="1" s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C452" i="1" s="1" a="1"/>
  <c r="C452" i="1" s="1"/>
  <c r="AF451" i="1"/>
  <c r="AF450" i="1"/>
  <c r="AF449" i="1"/>
  <c r="AG449" i="1" s="1"/>
  <c r="AI449" i="1" s="1"/>
  <c r="AF448" i="1"/>
  <c r="AF447" i="1"/>
  <c r="C447" i="1" s="1" a="1"/>
  <c r="C447" i="1" s="1"/>
  <c r="AF446" i="1"/>
  <c r="C446" i="1" s="1" a="1"/>
  <c r="C446" i="1" s="1"/>
  <c r="AF445" i="1"/>
  <c r="AF444" i="1"/>
  <c r="AF443" i="1"/>
  <c r="AF442" i="1"/>
  <c r="AF441" i="1"/>
  <c r="AF440" i="1"/>
  <c r="C440" i="1" s="1" a="1"/>
  <c r="C440" i="1" s="1"/>
  <c r="AF439" i="1"/>
  <c r="AF438" i="1"/>
  <c r="AF437" i="1"/>
  <c r="AF436" i="1"/>
  <c r="AF435" i="1"/>
  <c r="AF434" i="1"/>
  <c r="C434" i="1" s="1" a="1"/>
  <c r="C434" i="1" s="1"/>
  <c r="AF433" i="1"/>
  <c r="C433" i="1" s="1" a="1"/>
  <c r="C433" i="1" s="1"/>
  <c r="AF432" i="1"/>
  <c r="C432" i="1" s="1" a="1"/>
  <c r="C432" i="1" s="1"/>
  <c r="AF431" i="1"/>
  <c r="C431" i="1" s="1" a="1"/>
  <c r="C431" i="1" s="1"/>
  <c r="AF430" i="1"/>
  <c r="C430" i="1" s="1" a="1"/>
  <c r="C430" i="1" s="1"/>
  <c r="AF429" i="1"/>
  <c r="C429" i="1" s="1" a="1"/>
  <c r="C429" i="1" s="1"/>
  <c r="AF428" i="1"/>
  <c r="C428" i="1" s="1" a="1"/>
  <c r="C428" i="1" s="1"/>
  <c r="AF427" i="1"/>
  <c r="AF426" i="1"/>
  <c r="C426" i="1" s="1" a="1"/>
  <c r="C426" i="1" s="1"/>
  <c r="AF425" i="1"/>
  <c r="C425" i="1" s="1" a="1"/>
  <c r="C425" i="1" s="1"/>
  <c r="AF424" i="1"/>
  <c r="C424" i="1" s="1" a="1"/>
  <c r="C424" i="1" s="1"/>
  <c r="AF423" i="1"/>
  <c r="C423" i="1" s="1" a="1"/>
  <c r="C423" i="1" s="1"/>
  <c r="AF422" i="1"/>
  <c r="C422" i="1" s="1" a="1"/>
  <c r="C422" i="1" s="1"/>
  <c r="AF421" i="1"/>
  <c r="C421" i="1" s="1" a="1"/>
  <c r="C421" i="1" s="1"/>
  <c r="AF420" i="1"/>
  <c r="C420" i="1" s="1" a="1"/>
  <c r="C420" i="1" s="1"/>
  <c r="AF419" i="1"/>
  <c r="C419" i="1" s="1" a="1"/>
  <c r="C419" i="1" s="1"/>
  <c r="AF418" i="1"/>
  <c r="AF417" i="1"/>
  <c r="C417" i="1" s="1" a="1"/>
  <c r="C417" i="1" s="1"/>
  <c r="AF416" i="1"/>
  <c r="C416" i="1" s="1" a="1"/>
  <c r="C416" i="1" s="1"/>
  <c r="AF415" i="1"/>
  <c r="C415" i="1" s="1" a="1"/>
  <c r="C415" i="1" s="1"/>
  <c r="AF414" i="1"/>
  <c r="C414" i="1" s="1" a="1"/>
  <c r="C414" i="1" s="1"/>
  <c r="AF413" i="1"/>
  <c r="C413" i="1" s="1" a="1"/>
  <c r="C413" i="1" s="1"/>
  <c r="AF412" i="1"/>
  <c r="AF411" i="1"/>
  <c r="C411" i="1" s="1" a="1"/>
  <c r="C411" i="1" s="1"/>
  <c r="AF410" i="1"/>
  <c r="C410" i="1" s="1" a="1"/>
  <c r="C410" i="1" s="1"/>
  <c r="AF409" i="1"/>
  <c r="C409" i="1" s="1" a="1"/>
  <c r="C409" i="1" s="1"/>
  <c r="AF408" i="1"/>
  <c r="C408" i="1" s="1" a="1"/>
  <c r="C408" i="1" s="1"/>
  <c r="AF407" i="1"/>
  <c r="C407" i="1" s="1" a="1"/>
  <c r="C407" i="1" s="1"/>
  <c r="AF406" i="1"/>
  <c r="C406" i="1" s="1" a="1"/>
  <c r="C406" i="1" s="1"/>
  <c r="AF405" i="1"/>
  <c r="C405" i="1" s="1" a="1"/>
  <c r="C405" i="1" s="1"/>
  <c r="AF404" i="1"/>
  <c r="C404" i="1" s="1" a="1"/>
  <c r="C404" i="1" s="1"/>
  <c r="AF403" i="1"/>
  <c r="C403" i="1" s="1" a="1"/>
  <c r="C403" i="1" s="1"/>
  <c r="AF402" i="1"/>
  <c r="C402" i="1" s="1" a="1"/>
  <c r="C402" i="1" s="1"/>
  <c r="AF401" i="1"/>
  <c r="C401" i="1" s="1" a="1"/>
  <c r="C401" i="1" s="1"/>
  <c r="AF400" i="1"/>
  <c r="AF399" i="1"/>
  <c r="C399" i="1" s="1" a="1"/>
  <c r="C399" i="1" s="1"/>
  <c r="AF398" i="1"/>
  <c r="C398" i="1" s="1" a="1"/>
  <c r="C398" i="1" s="1"/>
  <c r="AF397" i="1"/>
  <c r="C397" i="1" s="1" a="1"/>
  <c r="C397" i="1" s="1"/>
  <c r="AF396" i="1"/>
  <c r="C396" i="1" s="1" a="1"/>
  <c r="C396" i="1" s="1"/>
  <c r="AF395" i="1"/>
  <c r="C395" i="1" s="1" a="1"/>
  <c r="C395" i="1" s="1"/>
  <c r="AF394" i="1"/>
  <c r="C394" i="1" s="1" a="1"/>
  <c r="C394" i="1" s="1"/>
  <c r="AF393" i="1"/>
  <c r="C393" i="1" s="1" a="1"/>
  <c r="C393" i="1" s="1"/>
  <c r="AF392" i="1"/>
  <c r="C392" i="1" s="1" a="1"/>
  <c r="C392" i="1" s="1"/>
  <c r="AF391" i="1"/>
  <c r="C391" i="1" s="1" a="1"/>
  <c r="C391" i="1" s="1"/>
  <c r="AF390" i="1"/>
  <c r="C390" i="1" s="1" a="1"/>
  <c r="C390" i="1" s="1"/>
  <c r="AF389" i="1"/>
  <c r="C389" i="1" s="1" a="1"/>
  <c r="C389" i="1" s="1"/>
  <c r="AF388" i="1"/>
  <c r="C388" i="1" s="1" a="1"/>
  <c r="C388" i="1" s="1"/>
  <c r="AF387" i="1"/>
  <c r="C387" i="1" s="1" a="1"/>
  <c r="C387" i="1" s="1"/>
  <c r="AF386" i="1"/>
  <c r="C386" i="1" s="1" a="1"/>
  <c r="C386" i="1" s="1"/>
  <c r="AF385" i="1"/>
  <c r="C385" i="1" s="1" a="1"/>
  <c r="C385" i="1" s="1"/>
  <c r="AF384" i="1"/>
  <c r="C384" i="1" s="1" a="1"/>
  <c r="C384" i="1" s="1"/>
  <c r="AF383" i="1"/>
  <c r="C383" i="1" s="1" a="1"/>
  <c r="C383" i="1" s="1"/>
  <c r="AF382" i="1"/>
  <c r="C382" i="1" s="1" a="1"/>
  <c r="C382" i="1" s="1"/>
  <c r="AF381" i="1"/>
  <c r="C381" i="1" s="1" a="1"/>
  <c r="C381" i="1" s="1"/>
  <c r="AF380" i="1"/>
  <c r="C380" i="1" s="1" a="1"/>
  <c r="C380" i="1" s="1"/>
  <c r="AF379" i="1"/>
  <c r="C379" i="1" s="1" a="1"/>
  <c r="C379" i="1" s="1"/>
  <c r="AF378" i="1"/>
  <c r="C378" i="1" s="1" a="1"/>
  <c r="C378" i="1" s="1"/>
  <c r="AF377" i="1"/>
  <c r="C377" i="1" s="1" a="1"/>
  <c r="C377" i="1" s="1"/>
  <c r="AF376" i="1"/>
  <c r="AF375" i="1"/>
  <c r="C375" i="1" s="1" a="1"/>
  <c r="C375" i="1" s="1"/>
  <c r="AF374" i="1"/>
  <c r="C374" i="1" s="1" a="1"/>
  <c r="C374" i="1" s="1"/>
  <c r="AF373" i="1"/>
  <c r="C373" i="1" s="1" a="1"/>
  <c r="C373" i="1" s="1"/>
  <c r="AF372" i="1"/>
  <c r="C372" i="1" s="1" a="1"/>
  <c r="C372" i="1" s="1"/>
  <c r="AF371" i="1"/>
  <c r="C371" i="1" s="1" a="1"/>
  <c r="C371" i="1" s="1"/>
  <c r="AF370" i="1"/>
  <c r="C370" i="1" s="1" a="1"/>
  <c r="C370" i="1" s="1"/>
  <c r="AF369" i="1"/>
  <c r="C369" i="1" s="1" a="1"/>
  <c r="C369" i="1" s="1"/>
  <c r="AF368" i="1"/>
  <c r="C368" i="1" s="1" a="1"/>
  <c r="C368" i="1" s="1"/>
  <c r="AF367" i="1"/>
  <c r="C367" i="1" s="1" a="1"/>
  <c r="C367" i="1" s="1"/>
  <c r="AF366" i="1"/>
  <c r="C366" i="1" s="1" a="1"/>
  <c r="C366" i="1" s="1"/>
  <c r="AF365" i="1"/>
  <c r="C365" i="1" s="1" a="1"/>
  <c r="C365" i="1" s="1"/>
  <c r="AF364" i="1"/>
  <c r="AF363" i="1"/>
  <c r="C363" i="1" s="1" a="1"/>
  <c r="C363" i="1" s="1"/>
  <c r="AF362" i="1"/>
  <c r="C362" i="1" s="1" a="1"/>
  <c r="C362" i="1" s="1"/>
  <c r="AF361" i="1"/>
  <c r="C361" i="1" s="1" a="1"/>
  <c r="C361" i="1" s="1"/>
  <c r="AF360" i="1"/>
  <c r="C360" i="1" s="1" a="1"/>
  <c r="C360" i="1" s="1"/>
  <c r="AF359" i="1"/>
  <c r="C359" i="1" s="1" a="1"/>
  <c r="C359" i="1" s="1"/>
  <c r="AF358" i="1"/>
  <c r="C358" i="1" s="1" a="1"/>
  <c r="C358" i="1" s="1"/>
  <c r="AF357" i="1"/>
  <c r="C357" i="1" s="1" a="1"/>
  <c r="C357" i="1" s="1"/>
  <c r="AF356" i="1"/>
  <c r="C356" i="1" s="1" a="1"/>
  <c r="C356" i="1" s="1"/>
  <c r="AF355" i="1"/>
  <c r="C355" i="1" s="1" a="1"/>
  <c r="C355" i="1" s="1"/>
  <c r="AF354" i="1"/>
  <c r="C354" i="1" s="1" a="1"/>
  <c r="C354" i="1" s="1"/>
  <c r="AF353" i="1"/>
  <c r="C353" i="1" s="1" a="1"/>
  <c r="C353" i="1" s="1"/>
  <c r="AF352" i="1"/>
  <c r="C352" i="1" s="1" a="1"/>
  <c r="C352" i="1" s="1"/>
  <c r="AF351" i="1"/>
  <c r="C351" i="1" s="1" a="1"/>
  <c r="C351" i="1" s="1"/>
  <c r="AF350" i="1"/>
  <c r="C350" i="1" s="1" a="1"/>
  <c r="C350" i="1" s="1"/>
  <c r="AF349" i="1"/>
  <c r="C349" i="1" s="1" a="1"/>
  <c r="C349" i="1" s="1"/>
  <c r="AF348" i="1"/>
  <c r="C348" i="1" s="1" a="1"/>
  <c r="C348" i="1" s="1"/>
  <c r="AF347" i="1"/>
  <c r="C347" i="1" s="1" a="1"/>
  <c r="C347" i="1" s="1"/>
  <c r="AF346" i="1"/>
  <c r="AF345" i="1"/>
  <c r="C345" i="1" s="1" a="1"/>
  <c r="C345" i="1" s="1"/>
  <c r="AF344" i="1"/>
  <c r="C344" i="1" s="1" a="1"/>
  <c r="C344" i="1" s="1"/>
  <c r="AF343" i="1"/>
  <c r="C343" i="1" s="1" a="1"/>
  <c r="C343" i="1" s="1"/>
  <c r="AF342" i="1"/>
  <c r="C342" i="1" s="1" a="1"/>
  <c r="C342" i="1" s="1"/>
  <c r="AF341" i="1"/>
  <c r="C341" i="1" s="1" a="1"/>
  <c r="C341" i="1" s="1"/>
  <c r="AF340" i="1"/>
  <c r="C340" i="1" s="1" a="1"/>
  <c r="C340" i="1" s="1"/>
  <c r="AF339" i="1"/>
  <c r="C339" i="1" s="1" a="1"/>
  <c r="C339" i="1" s="1"/>
  <c r="AF338" i="1"/>
  <c r="C338" i="1" s="1" a="1"/>
  <c r="C338" i="1" s="1"/>
  <c r="AF337" i="1"/>
  <c r="C337" i="1" s="1" a="1"/>
  <c r="C337" i="1" s="1"/>
  <c r="AF336" i="1"/>
  <c r="C336" i="1" s="1" a="1"/>
  <c r="C336" i="1" s="1"/>
  <c r="AF335" i="1"/>
  <c r="C335" i="1" s="1" a="1"/>
  <c r="C335" i="1" s="1"/>
  <c r="AF334" i="1"/>
  <c r="C334" i="1" s="1" a="1"/>
  <c r="C334" i="1" s="1"/>
  <c r="AF333" i="1"/>
  <c r="C333" i="1" s="1" a="1"/>
  <c r="C333" i="1" s="1"/>
  <c r="AF332" i="1"/>
  <c r="C332" i="1" s="1" a="1"/>
  <c r="C332" i="1" s="1"/>
  <c r="AF331" i="1"/>
  <c r="C331" i="1" s="1" a="1"/>
  <c r="C331" i="1" s="1"/>
  <c r="AF330" i="1"/>
  <c r="C330" i="1" s="1" a="1"/>
  <c r="C330" i="1" s="1"/>
  <c r="AF329" i="1"/>
  <c r="C329" i="1" s="1" a="1"/>
  <c r="C329" i="1" s="1"/>
  <c r="AF328" i="1"/>
  <c r="C328" i="1" s="1" a="1"/>
  <c r="C328" i="1" s="1"/>
  <c r="AF327" i="1"/>
  <c r="AF326" i="1"/>
  <c r="C326" i="1" s="1" a="1"/>
  <c r="C326" i="1" s="1"/>
  <c r="AF325" i="1"/>
  <c r="C325" i="1" s="1" a="1"/>
  <c r="C325" i="1" s="1"/>
  <c r="AF324" i="1"/>
  <c r="C324" i="1" s="1" a="1"/>
  <c r="C324" i="1" s="1"/>
  <c r="AF323" i="1"/>
  <c r="C323" i="1" s="1" a="1"/>
  <c r="C323" i="1" s="1"/>
  <c r="AF322" i="1"/>
  <c r="AF321" i="1"/>
  <c r="C321" i="1" s="1" a="1"/>
  <c r="C321" i="1" s="1"/>
  <c r="AF320" i="1"/>
  <c r="C320" i="1" s="1" a="1"/>
  <c r="C320" i="1" s="1"/>
  <c r="AF319" i="1"/>
  <c r="C319" i="1" s="1" a="1"/>
  <c r="C319" i="1" s="1"/>
  <c r="AF318" i="1"/>
  <c r="C318" i="1" s="1" a="1"/>
  <c r="C318" i="1" s="1"/>
  <c r="AF317" i="1"/>
  <c r="C317" i="1" s="1" a="1"/>
  <c r="C317" i="1" s="1"/>
  <c r="AF316" i="1"/>
  <c r="C316" i="1" s="1" a="1"/>
  <c r="C316" i="1" s="1"/>
  <c r="AF315" i="1"/>
  <c r="C315" i="1" s="1" a="1"/>
  <c r="C315" i="1" s="1"/>
  <c r="AF314" i="1"/>
  <c r="C314" i="1" s="1" a="1"/>
  <c r="C314" i="1" s="1"/>
  <c r="AF313" i="1"/>
  <c r="AF312" i="1"/>
  <c r="C312" i="1" s="1" a="1"/>
  <c r="C312" i="1" s="1"/>
  <c r="AF311" i="1"/>
  <c r="C311" i="1" s="1" a="1"/>
  <c r="C311" i="1" s="1"/>
  <c r="AF310" i="1"/>
  <c r="C310" i="1" s="1" a="1"/>
  <c r="C310" i="1" s="1"/>
  <c r="AF309" i="1"/>
  <c r="C309" i="1" s="1" a="1"/>
  <c r="C309" i="1" s="1"/>
  <c r="AF308" i="1"/>
  <c r="C308" i="1" s="1" a="1"/>
  <c r="C308" i="1" s="1"/>
  <c r="AF307" i="1"/>
  <c r="C307" i="1" s="1" a="1"/>
  <c r="C307" i="1" s="1"/>
  <c r="AF306" i="1"/>
  <c r="C306" i="1" s="1" a="1"/>
  <c r="C306" i="1" s="1"/>
  <c r="AF305" i="1"/>
  <c r="C305" i="1" s="1" a="1"/>
  <c r="C305" i="1" s="1"/>
  <c r="AF304" i="1"/>
  <c r="AF303" i="1"/>
  <c r="C303" i="1" s="1" a="1"/>
  <c r="C303" i="1" s="1"/>
  <c r="AF302" i="1"/>
  <c r="C302" i="1" s="1" a="1"/>
  <c r="C302" i="1" s="1"/>
  <c r="AF301" i="1"/>
  <c r="C301" i="1" s="1" a="1"/>
  <c r="C301" i="1" s="1"/>
  <c r="AF300" i="1"/>
  <c r="C300" i="1" s="1" a="1"/>
  <c r="C300" i="1" s="1"/>
  <c r="AF299" i="1"/>
  <c r="C299" i="1" s="1" a="1"/>
  <c r="C299" i="1" s="1"/>
  <c r="AF298" i="1"/>
  <c r="C298" i="1" s="1" a="1"/>
  <c r="C298" i="1" s="1"/>
  <c r="AF297" i="1"/>
  <c r="C297" i="1" s="1" a="1"/>
  <c r="C297" i="1" s="1"/>
  <c r="AF296" i="1"/>
  <c r="C296" i="1" s="1" a="1"/>
  <c r="C296" i="1" s="1"/>
  <c r="AF295" i="1"/>
  <c r="C295" i="1" s="1" a="1"/>
  <c r="C295" i="1" s="1"/>
  <c r="AF294" i="1"/>
  <c r="C294" i="1" s="1" a="1"/>
  <c r="C294" i="1" s="1"/>
  <c r="AF293" i="1"/>
  <c r="C293" i="1" s="1" a="1"/>
  <c r="C293" i="1" s="1"/>
  <c r="AF292" i="1"/>
  <c r="C292" i="1" s="1" a="1"/>
  <c r="C292" i="1" s="1"/>
  <c r="AF291" i="1"/>
  <c r="AF290" i="1"/>
  <c r="C290" i="1" s="1" a="1"/>
  <c r="C290" i="1" s="1"/>
  <c r="AF289" i="1"/>
  <c r="C289" i="1" s="1" a="1"/>
  <c r="C289" i="1" s="1"/>
  <c r="AF288" i="1"/>
  <c r="C288" i="1" s="1" a="1"/>
  <c r="C288" i="1" s="1"/>
  <c r="AF287" i="1"/>
  <c r="C287" i="1" s="1" a="1"/>
  <c r="C287" i="1" s="1"/>
  <c r="AF286" i="1"/>
  <c r="C286" i="1" s="1" a="1"/>
  <c r="C286" i="1" s="1"/>
  <c r="AF285" i="1"/>
  <c r="C285" i="1" s="1" a="1"/>
  <c r="C285" i="1" s="1"/>
  <c r="AF284" i="1"/>
  <c r="C284" i="1" s="1" a="1"/>
  <c r="C284" i="1" s="1"/>
  <c r="AF283" i="1"/>
  <c r="C283" i="1" s="1" a="1"/>
  <c r="C283" i="1" s="1"/>
  <c r="AF282" i="1"/>
  <c r="C282" i="1" s="1" a="1"/>
  <c r="C282" i="1" s="1"/>
  <c r="AF281" i="1"/>
  <c r="C281" i="1" s="1" a="1"/>
  <c r="C281" i="1" s="1"/>
  <c r="AF280" i="1"/>
  <c r="C280" i="1" s="1" a="1"/>
  <c r="C280" i="1" s="1"/>
  <c r="AF279" i="1"/>
  <c r="C279" i="1" s="1" a="1"/>
  <c r="C279" i="1" s="1"/>
  <c r="AF278" i="1"/>
  <c r="C278" i="1" s="1" a="1"/>
  <c r="C278" i="1" s="1"/>
  <c r="AF277" i="1"/>
  <c r="AF276" i="1"/>
  <c r="C276" i="1" s="1" a="1"/>
  <c r="C276" i="1" s="1"/>
  <c r="AF275" i="1"/>
  <c r="C275" i="1" s="1" a="1"/>
  <c r="C275" i="1" s="1"/>
  <c r="AF274" i="1"/>
  <c r="C274" i="1" s="1" a="1"/>
  <c r="C274" i="1" s="1"/>
  <c r="AF273" i="1"/>
  <c r="C273" i="1" s="1" a="1"/>
  <c r="C273" i="1" s="1"/>
  <c r="AF272" i="1"/>
  <c r="C272" i="1" s="1" a="1"/>
  <c r="C272" i="1" s="1"/>
  <c r="AF271" i="1"/>
  <c r="C271" i="1" s="1" a="1"/>
  <c r="C271" i="1" s="1"/>
  <c r="AF270" i="1"/>
  <c r="C270" i="1" s="1" a="1"/>
  <c r="C270" i="1" s="1"/>
  <c r="AF269" i="1"/>
  <c r="C269" i="1" s="1" a="1"/>
  <c r="C269" i="1" s="1"/>
  <c r="AF268" i="1"/>
  <c r="C268" i="1" s="1" a="1"/>
  <c r="C268" i="1" s="1"/>
  <c r="AF267" i="1"/>
  <c r="C267" i="1" s="1" a="1"/>
  <c r="C267" i="1" s="1"/>
  <c r="AF266" i="1"/>
  <c r="C266" i="1" s="1" a="1"/>
  <c r="C266" i="1" s="1"/>
  <c r="AF265" i="1"/>
  <c r="C265" i="1" s="1" a="1"/>
  <c r="C265" i="1" s="1"/>
  <c r="AF264" i="1"/>
  <c r="C264" i="1" s="1" a="1"/>
  <c r="C264" i="1" s="1"/>
  <c r="AF263" i="1"/>
  <c r="C263" i="1" s="1" a="1"/>
  <c r="C263" i="1" s="1"/>
  <c r="AF262" i="1"/>
  <c r="C262" i="1" s="1" a="1"/>
  <c r="C262" i="1" s="1"/>
  <c r="AF261" i="1"/>
  <c r="C261" i="1" s="1" a="1"/>
  <c r="C261" i="1" s="1"/>
  <c r="AF260" i="1"/>
  <c r="C260" i="1" s="1" a="1"/>
  <c r="C260" i="1" s="1"/>
  <c r="AF259" i="1"/>
  <c r="C259" i="1" s="1" a="1"/>
  <c r="C259" i="1" s="1"/>
  <c r="AF258" i="1"/>
  <c r="C258" i="1" s="1" a="1"/>
  <c r="C258" i="1" s="1"/>
  <c r="AF257" i="1"/>
  <c r="C257" i="1" s="1" a="1"/>
  <c r="C257" i="1" s="1"/>
  <c r="AF256" i="1"/>
  <c r="C256" i="1" s="1" a="1"/>
  <c r="C256" i="1" s="1"/>
  <c r="AF255" i="1"/>
  <c r="C255" i="1" s="1" a="1"/>
  <c r="C255" i="1" s="1"/>
  <c r="AF254" i="1"/>
  <c r="C254" i="1" s="1" a="1"/>
  <c r="C254" i="1" s="1"/>
  <c r="AF253" i="1"/>
  <c r="C253" i="1" s="1" a="1"/>
  <c r="C253" i="1" s="1"/>
  <c r="AF252" i="1"/>
  <c r="C252" i="1" s="1" a="1"/>
  <c r="C252" i="1" s="1"/>
  <c r="AF251" i="1"/>
  <c r="C251" i="1" s="1" a="1"/>
  <c r="C251" i="1" s="1"/>
  <c r="AF250" i="1"/>
  <c r="C250" i="1" s="1" a="1"/>
  <c r="C250" i="1" s="1"/>
  <c r="AF249" i="1"/>
  <c r="C249" i="1" s="1" a="1"/>
  <c r="C249" i="1" s="1"/>
  <c r="AF248" i="1"/>
  <c r="AF247" i="1"/>
  <c r="C247" i="1" s="1" a="1"/>
  <c r="C247" i="1" s="1"/>
  <c r="AF246" i="1"/>
  <c r="C246" i="1" s="1" a="1"/>
  <c r="C246" i="1" s="1"/>
  <c r="AF245" i="1"/>
  <c r="C245" i="1" s="1" a="1"/>
  <c r="C245" i="1" s="1"/>
  <c r="AF244" i="1"/>
  <c r="C244" i="1" s="1" a="1"/>
  <c r="C244" i="1" s="1"/>
  <c r="AF243" i="1"/>
  <c r="C243" i="1" s="1" a="1"/>
  <c r="C243" i="1" s="1"/>
  <c r="AF242" i="1"/>
  <c r="AF241" i="1"/>
  <c r="C241" i="1" s="1" a="1"/>
  <c r="C241" i="1" s="1"/>
  <c r="AF240" i="1"/>
  <c r="C240" i="1" s="1" a="1"/>
  <c r="C240" i="1" s="1"/>
  <c r="AF239" i="1"/>
  <c r="AF238" i="1"/>
  <c r="C238" i="1" s="1" a="1"/>
  <c r="C238" i="1" s="1"/>
  <c r="AF237" i="1"/>
  <c r="C237" i="1" s="1" a="1"/>
  <c r="C237" i="1" s="1"/>
  <c r="AF236" i="1"/>
  <c r="C236" i="1" s="1" a="1"/>
  <c r="C236" i="1" s="1"/>
  <c r="AF235" i="1"/>
  <c r="AF234" i="1"/>
  <c r="C234" i="1" s="1" a="1"/>
  <c r="C234" i="1" s="1"/>
  <c r="AF233" i="1"/>
  <c r="C233" i="1" s="1" a="1"/>
  <c r="C233" i="1" s="1"/>
  <c r="AF232" i="1"/>
  <c r="C232" i="1" s="1" a="1"/>
  <c r="C232" i="1" s="1"/>
  <c r="AF231" i="1"/>
  <c r="C231" i="1" s="1" a="1"/>
  <c r="C231" i="1" s="1"/>
  <c r="AF230" i="1"/>
  <c r="C230" i="1" s="1" a="1"/>
  <c r="C230" i="1" s="1"/>
  <c r="AF229" i="1"/>
  <c r="C229" i="1" s="1" a="1"/>
  <c r="C229" i="1" s="1"/>
  <c r="AF228" i="1"/>
  <c r="C228" i="1" s="1" a="1"/>
  <c r="C228" i="1" s="1"/>
  <c r="AF227" i="1"/>
  <c r="C227" i="1" s="1" a="1"/>
  <c r="C227" i="1" s="1"/>
  <c r="AF226" i="1"/>
  <c r="C226" i="1" s="1" a="1"/>
  <c r="C226" i="1" s="1"/>
  <c r="AF225" i="1"/>
  <c r="C225" i="1" s="1" a="1"/>
  <c r="C225" i="1" s="1"/>
  <c r="AF224" i="1"/>
  <c r="C224" i="1" s="1" a="1"/>
  <c r="C224" i="1" s="1"/>
  <c r="AF223" i="1"/>
  <c r="C223" i="1" s="1" a="1"/>
  <c r="C223" i="1" s="1"/>
  <c r="AF222" i="1"/>
  <c r="C222" i="1" s="1" a="1"/>
  <c r="C222" i="1" s="1"/>
  <c r="AF221" i="1"/>
  <c r="C221" i="1" s="1" a="1"/>
  <c r="C221" i="1" s="1"/>
  <c r="AF220" i="1"/>
  <c r="C220" i="1" s="1" a="1"/>
  <c r="C220" i="1" s="1"/>
  <c r="AF219" i="1"/>
  <c r="C219" i="1" s="1" a="1"/>
  <c r="C219" i="1" s="1"/>
  <c r="AF218" i="1"/>
  <c r="C218" i="1" s="1" a="1"/>
  <c r="C218" i="1" s="1"/>
  <c r="AF217" i="1"/>
  <c r="AF216" i="1"/>
  <c r="C216" i="1" s="1" a="1"/>
  <c r="C216" i="1" s="1"/>
  <c r="AF215" i="1"/>
  <c r="AF214" i="1"/>
  <c r="C214" i="1" s="1" a="1"/>
  <c r="C214" i="1" s="1"/>
  <c r="AF213" i="1"/>
  <c r="C213" i="1" s="1" a="1"/>
  <c r="C213" i="1" s="1"/>
  <c r="AF212" i="1"/>
  <c r="C212" i="1" s="1" a="1"/>
  <c r="C212" i="1" s="1"/>
  <c r="AF211" i="1"/>
  <c r="C211" i="1" s="1" a="1"/>
  <c r="C211" i="1" s="1"/>
  <c r="AF210" i="1"/>
  <c r="C210" i="1" s="1" a="1"/>
  <c r="C210" i="1" s="1"/>
  <c r="AF209" i="1"/>
  <c r="AF208" i="1"/>
  <c r="C208" i="1" s="1" a="1"/>
  <c r="C208" i="1" s="1"/>
  <c r="AF207" i="1"/>
  <c r="C207" i="1" s="1" a="1"/>
  <c r="C207" i="1" s="1"/>
  <c r="AF206" i="1"/>
  <c r="C206" i="1" s="1" a="1"/>
  <c r="C206" i="1" s="1"/>
  <c r="AF205" i="1"/>
  <c r="C205" i="1" s="1" a="1"/>
  <c r="C205" i="1" s="1"/>
  <c r="AF204" i="1"/>
  <c r="C204" i="1" s="1" a="1"/>
  <c r="C204" i="1" s="1"/>
  <c r="AF203" i="1"/>
  <c r="C203" i="1" s="1" a="1"/>
  <c r="C203" i="1" s="1"/>
  <c r="AF202" i="1"/>
  <c r="C202" i="1" s="1" a="1"/>
  <c r="C202" i="1" s="1"/>
  <c r="AF201" i="1"/>
  <c r="C201" i="1" s="1" a="1"/>
  <c r="C201" i="1" s="1"/>
  <c r="AF200" i="1"/>
  <c r="C200" i="1" s="1" a="1"/>
  <c r="C200" i="1" s="1"/>
  <c r="AF199" i="1"/>
  <c r="C199" i="1" s="1" a="1"/>
  <c r="C199" i="1" s="1"/>
  <c r="AF198" i="1"/>
  <c r="C198" i="1" s="1" a="1"/>
  <c r="C198" i="1" s="1"/>
  <c r="AF197" i="1"/>
  <c r="C197" i="1" s="1" a="1"/>
  <c r="C197" i="1" s="1"/>
  <c r="AF196" i="1"/>
  <c r="C196" i="1" s="1" a="1"/>
  <c r="C196" i="1" s="1"/>
  <c r="AF195" i="1"/>
  <c r="C195" i="1" s="1" a="1"/>
  <c r="C195" i="1" s="1"/>
  <c r="AF194" i="1"/>
  <c r="AF193" i="1"/>
  <c r="C193" i="1" s="1" a="1"/>
  <c r="C193" i="1" s="1"/>
  <c r="AF192" i="1"/>
  <c r="C192" i="1" s="1" a="1"/>
  <c r="C192" i="1" s="1"/>
  <c r="AF191" i="1"/>
  <c r="C191" i="1" s="1" a="1"/>
  <c r="C191" i="1" s="1"/>
  <c r="AF190" i="1"/>
  <c r="C190" i="1" s="1" a="1"/>
  <c r="C190" i="1" s="1"/>
  <c r="AF189" i="1"/>
  <c r="C189" i="1" s="1" a="1"/>
  <c r="C189" i="1" s="1"/>
  <c r="AF188" i="1"/>
  <c r="C188" i="1" s="1" a="1"/>
  <c r="C188" i="1" s="1"/>
  <c r="AF187" i="1"/>
  <c r="C187" i="1" s="1" a="1"/>
  <c r="C187" i="1" s="1"/>
  <c r="AF186" i="1"/>
  <c r="C186" i="1" s="1" a="1"/>
  <c r="C186" i="1" s="1"/>
  <c r="AF185" i="1"/>
  <c r="C185" i="1" s="1" a="1"/>
  <c r="C185" i="1" s="1"/>
  <c r="AF184" i="1"/>
  <c r="C184" i="1" s="1" a="1"/>
  <c r="C184" i="1" s="1"/>
  <c r="AF183" i="1"/>
  <c r="C183" i="1" s="1" a="1"/>
  <c r="C183" i="1" s="1"/>
  <c r="AF182" i="1"/>
  <c r="C182" i="1" s="1" a="1"/>
  <c r="C182" i="1" s="1"/>
  <c r="AF181" i="1"/>
  <c r="AF180" i="1"/>
  <c r="C180" i="1" s="1" a="1"/>
  <c r="C180" i="1" s="1"/>
  <c r="AF179" i="1"/>
  <c r="C179" i="1" s="1" a="1"/>
  <c r="C179" i="1" s="1"/>
  <c r="AF178" i="1"/>
  <c r="C178" i="1" s="1" a="1"/>
  <c r="C178" i="1" s="1"/>
  <c r="AF177" i="1"/>
  <c r="C177" i="1" s="1" a="1"/>
  <c r="C177" i="1" s="1"/>
  <c r="AF176" i="1"/>
  <c r="AF175" i="1"/>
  <c r="C175" i="1" s="1" a="1"/>
  <c r="C175" i="1" s="1"/>
  <c r="AF174" i="1"/>
  <c r="C174" i="1" s="1" a="1"/>
  <c r="C174" i="1" s="1"/>
  <c r="AF173" i="1"/>
  <c r="AF172" i="1"/>
  <c r="C172" i="1" s="1" a="1"/>
  <c r="C172" i="1" s="1"/>
  <c r="AF171" i="1"/>
  <c r="C171" i="1" s="1" a="1"/>
  <c r="C171" i="1" s="1"/>
  <c r="AF170" i="1"/>
  <c r="AF169" i="1"/>
  <c r="C169" i="1" s="1" a="1"/>
  <c r="C169" i="1" s="1"/>
  <c r="AF168" i="1"/>
  <c r="C168" i="1" s="1" a="1"/>
  <c r="C168" i="1" s="1"/>
  <c r="AF167" i="1"/>
  <c r="C167" i="1" s="1" a="1"/>
  <c r="C167" i="1" s="1"/>
  <c r="AF166" i="1"/>
  <c r="C166" i="1" s="1" a="1"/>
  <c r="C166" i="1" s="1"/>
  <c r="AF165" i="1"/>
  <c r="C165" i="1" s="1" a="1"/>
  <c r="C165" i="1" s="1"/>
  <c r="AF164" i="1"/>
  <c r="C164" i="1" s="1" a="1"/>
  <c r="C164" i="1" s="1"/>
  <c r="AF163" i="1"/>
  <c r="AF162" i="1"/>
  <c r="C162" i="1" s="1" a="1"/>
  <c r="C162" i="1" s="1"/>
  <c r="AF161" i="1"/>
  <c r="AF160" i="1"/>
  <c r="C160" i="1" s="1" a="1"/>
  <c r="C160" i="1" s="1"/>
  <c r="AF159" i="1"/>
  <c r="C159" i="1" s="1" a="1"/>
  <c r="C159" i="1" s="1"/>
  <c r="AF158" i="1"/>
  <c r="AF157" i="1"/>
  <c r="C157" i="1" s="1" a="1"/>
  <c r="C157" i="1" s="1"/>
  <c r="AF156" i="1"/>
  <c r="C156" i="1" s="1" a="1"/>
  <c r="C156" i="1" s="1"/>
  <c r="AF155" i="1"/>
  <c r="AF154" i="1"/>
  <c r="C154" i="1" s="1" a="1"/>
  <c r="C154" i="1" s="1"/>
  <c r="AF153" i="1"/>
  <c r="C153" i="1" s="1" a="1"/>
  <c r="C153" i="1" s="1"/>
  <c r="AF152" i="1"/>
  <c r="C152" i="1" s="1" a="1"/>
  <c r="C152" i="1" s="1"/>
  <c r="AF151" i="1"/>
  <c r="C151" i="1" s="1" a="1"/>
  <c r="C151" i="1" s="1"/>
  <c r="AF150" i="1"/>
  <c r="C150" i="1" s="1" a="1"/>
  <c r="C150" i="1" s="1"/>
  <c r="AF149" i="1"/>
  <c r="C149" i="1" s="1" a="1"/>
  <c r="C149" i="1" s="1"/>
  <c r="AF148" i="1"/>
  <c r="C148" i="1" s="1" a="1"/>
  <c r="C148" i="1" s="1"/>
  <c r="AF147" i="1"/>
  <c r="C147" i="1" s="1" a="1"/>
  <c r="C147" i="1" s="1"/>
  <c r="AF146" i="1"/>
  <c r="AF145" i="1"/>
  <c r="AF144" i="1"/>
  <c r="C144" i="1" s="1" a="1"/>
  <c r="C144" i="1" s="1"/>
  <c r="AF143" i="1"/>
  <c r="C143" i="1" s="1" a="1"/>
  <c r="C143" i="1" s="1"/>
  <c r="AF142" i="1"/>
  <c r="C142" i="1" s="1" a="1"/>
  <c r="C142" i="1" s="1"/>
  <c r="AF141" i="1"/>
  <c r="C141" i="1" s="1" a="1"/>
  <c r="C141" i="1" s="1"/>
  <c r="AF140" i="1"/>
  <c r="C140" i="1" s="1" a="1"/>
  <c r="C140" i="1" s="1"/>
  <c r="AF139" i="1"/>
  <c r="C139" i="1" s="1" a="1"/>
  <c r="C139" i="1" s="1"/>
  <c r="AF138" i="1"/>
  <c r="C138" i="1" s="1" a="1"/>
  <c r="C138" i="1" s="1"/>
  <c r="AF137" i="1"/>
  <c r="C137" i="1" s="1" a="1"/>
  <c r="C137" i="1" s="1"/>
  <c r="AF136" i="1"/>
  <c r="C136" i="1" s="1" a="1"/>
  <c r="C136" i="1" s="1"/>
  <c r="AF135" i="1"/>
  <c r="C135" i="1" s="1" a="1"/>
  <c r="C135" i="1" s="1"/>
  <c r="AF134" i="1"/>
  <c r="AF133" i="1"/>
  <c r="C133" i="1" s="1" a="1"/>
  <c r="C133" i="1" s="1"/>
  <c r="AF132" i="1"/>
  <c r="C132" i="1" s="1" a="1"/>
  <c r="C132" i="1" s="1"/>
  <c r="AF131" i="1"/>
  <c r="AF130" i="1"/>
  <c r="C130" i="1" s="1" a="1"/>
  <c r="C130" i="1" s="1"/>
  <c r="AF129" i="1"/>
  <c r="C129" i="1" s="1" a="1"/>
  <c r="C129" i="1" s="1"/>
  <c r="AF128" i="1"/>
  <c r="AF127" i="1"/>
  <c r="C127" i="1" s="1" a="1"/>
  <c r="C127" i="1" s="1"/>
  <c r="AF126" i="1"/>
  <c r="C126" i="1" s="1" a="1"/>
  <c r="C126" i="1" s="1"/>
  <c r="AF125" i="1"/>
  <c r="AF124" i="1"/>
  <c r="C124" i="1" s="1" a="1"/>
  <c r="C124" i="1" s="1"/>
  <c r="AF123" i="1"/>
  <c r="C123" i="1" s="1" a="1"/>
  <c r="C123" i="1" s="1"/>
  <c r="AF122" i="1"/>
  <c r="AF121" i="1"/>
  <c r="C121" i="1" s="1" a="1"/>
  <c r="C121" i="1" s="1"/>
  <c r="AF120" i="1"/>
  <c r="C120" i="1" s="1" a="1"/>
  <c r="C120" i="1" s="1"/>
  <c r="AF119" i="1"/>
  <c r="C119" i="1" s="1" a="1"/>
  <c r="C119" i="1" s="1"/>
  <c r="AF118" i="1"/>
  <c r="C118" i="1" s="1" a="1"/>
  <c r="C118" i="1" s="1"/>
  <c r="AF117" i="1"/>
  <c r="C117" i="1" s="1" a="1"/>
  <c r="C117" i="1" s="1"/>
  <c r="AF116" i="1"/>
  <c r="C116" i="1" s="1" a="1"/>
  <c r="C116" i="1" s="1"/>
  <c r="AF115" i="1"/>
  <c r="C115" i="1" s="1" a="1"/>
  <c r="C115" i="1" s="1"/>
  <c r="AF114" i="1"/>
  <c r="C114" i="1" s="1" a="1"/>
  <c r="C114" i="1" s="1"/>
  <c r="AF113" i="1"/>
  <c r="AF112" i="1"/>
  <c r="C112" i="1" s="1" a="1"/>
  <c r="C112" i="1" s="1"/>
  <c r="AF111" i="1"/>
  <c r="C111" i="1" s="1" a="1"/>
  <c r="C111" i="1" s="1"/>
  <c r="AF110" i="1"/>
  <c r="C110" i="1" s="1" a="1"/>
  <c r="C110" i="1" s="1"/>
  <c r="AF109" i="1"/>
  <c r="AF108" i="1"/>
  <c r="C108" i="1" s="1" a="1"/>
  <c r="C108" i="1" s="1"/>
  <c r="AF107" i="1"/>
  <c r="C107" i="1" s="1" a="1"/>
  <c r="C107" i="1" s="1"/>
  <c r="AF106" i="1"/>
  <c r="C106" i="1" s="1" a="1"/>
  <c r="C106" i="1" s="1"/>
  <c r="AF105" i="1"/>
  <c r="C105" i="1" s="1" a="1"/>
  <c r="C105" i="1" s="1"/>
  <c r="AF104" i="1"/>
  <c r="C104" i="1" s="1" a="1"/>
  <c r="C104" i="1" s="1"/>
  <c r="AF103" i="1"/>
  <c r="C103" i="1" s="1" a="1"/>
  <c r="C103" i="1" s="1"/>
  <c r="AF102" i="1"/>
  <c r="C102" i="1" s="1" a="1"/>
  <c r="C102" i="1" s="1"/>
  <c r="AF101" i="1"/>
  <c r="AF100" i="1"/>
  <c r="C100" i="1" s="1" a="1"/>
  <c r="C100" i="1" s="1"/>
  <c r="AF99" i="1"/>
  <c r="C99" i="1" s="1" a="1"/>
  <c r="C99" i="1" s="1"/>
  <c r="AF98" i="1"/>
  <c r="AF97" i="1"/>
  <c r="C97" i="1" s="1" a="1"/>
  <c r="C97" i="1" s="1"/>
  <c r="AF96" i="1"/>
  <c r="C96" i="1" s="1" a="1"/>
  <c r="C96" i="1" s="1"/>
  <c r="AF95" i="1"/>
  <c r="AF94" i="1"/>
  <c r="C94" i="1" s="1" a="1"/>
  <c r="C94" i="1" s="1"/>
  <c r="AF93" i="1"/>
  <c r="C93" i="1" s="1" a="1"/>
  <c r="C93" i="1" s="1"/>
  <c r="AF92" i="1"/>
  <c r="AF91" i="1"/>
  <c r="AF90" i="1"/>
  <c r="C90" i="1" s="1" a="1"/>
  <c r="C90" i="1" s="1"/>
  <c r="AF89" i="1"/>
  <c r="C89" i="1" s="1" a="1"/>
  <c r="C89" i="1" s="1"/>
  <c r="AF88" i="1"/>
  <c r="C88" i="1" s="1" a="1"/>
  <c r="C88" i="1" s="1"/>
  <c r="AF87" i="1"/>
  <c r="C87" i="1" s="1" a="1"/>
  <c r="C87" i="1" s="1"/>
  <c r="AF86" i="1"/>
  <c r="AF85" i="1"/>
  <c r="C85" i="1" s="1" a="1"/>
  <c r="C85" i="1" s="1"/>
  <c r="AF84" i="1"/>
  <c r="C84" i="1" s="1" a="1"/>
  <c r="C84" i="1" s="1"/>
  <c r="AF83" i="1"/>
  <c r="C83" i="1" s="1" a="1"/>
  <c r="C83" i="1" s="1"/>
  <c r="AF82" i="1"/>
  <c r="C82" i="1" s="1" a="1"/>
  <c r="C82" i="1" s="1"/>
  <c r="AF81" i="1"/>
  <c r="C81" i="1" s="1" a="1"/>
  <c r="C81" i="1" s="1"/>
  <c r="AF80" i="1"/>
  <c r="AF79" i="1"/>
  <c r="C79" i="1" s="1" a="1"/>
  <c r="C79" i="1" s="1"/>
  <c r="AF78" i="1"/>
  <c r="C78" i="1" s="1" a="1"/>
  <c r="C78" i="1" s="1"/>
  <c r="AF77" i="1"/>
  <c r="AF76" i="1"/>
  <c r="C76" i="1" s="1" a="1"/>
  <c r="C76" i="1" s="1"/>
  <c r="AF75" i="1"/>
  <c r="C75" i="1" s="1" a="1"/>
  <c r="C75" i="1" s="1"/>
  <c r="AF74" i="1"/>
  <c r="AF73" i="1"/>
  <c r="C73" i="1" s="1" a="1"/>
  <c r="C73" i="1" s="1"/>
  <c r="AF72" i="1"/>
  <c r="C72" i="1" s="1" a="1"/>
  <c r="C72" i="1" s="1"/>
  <c r="AF71" i="1"/>
  <c r="AF70" i="1"/>
  <c r="AF69" i="1"/>
  <c r="C69" i="1" s="1" a="1"/>
  <c r="C69" i="1" s="1"/>
  <c r="AF68" i="1"/>
  <c r="C68" i="1" s="1" a="1"/>
  <c r="C68" i="1" s="1"/>
  <c r="AF67" i="1"/>
  <c r="C67" i="1" s="1" a="1"/>
  <c r="C67" i="1" s="1"/>
  <c r="AF66" i="1"/>
  <c r="C66" i="1" s="1" a="1"/>
  <c r="C66" i="1" s="1"/>
  <c r="AF65" i="1"/>
  <c r="C65" i="1" s="1" a="1"/>
  <c r="C65" i="1" s="1"/>
  <c r="AF64" i="1"/>
  <c r="AF63" i="1"/>
  <c r="C63" i="1" s="1" a="1"/>
  <c r="C63" i="1" s="1"/>
  <c r="AF62" i="1"/>
  <c r="C62" i="1" s="1" a="1"/>
  <c r="C62" i="1" s="1"/>
  <c r="AF61" i="1"/>
  <c r="C61" i="1" s="1" a="1"/>
  <c r="C61" i="1" s="1"/>
  <c r="AF60" i="1"/>
  <c r="C60" i="1" s="1" a="1"/>
  <c r="C60" i="1" s="1"/>
  <c r="AF59" i="1"/>
  <c r="AF58" i="1"/>
  <c r="C58" i="1" s="1" a="1"/>
  <c r="C58" i="1" s="1"/>
  <c r="AF57" i="1"/>
  <c r="C57" i="1" s="1" a="1"/>
  <c r="C57" i="1" s="1"/>
  <c r="AF56" i="1"/>
  <c r="AF55" i="1"/>
  <c r="C55" i="1" s="1" a="1"/>
  <c r="C55" i="1" s="1"/>
  <c r="AF54" i="1"/>
  <c r="C54" i="1" s="1" a="1"/>
  <c r="C54" i="1" s="1"/>
  <c r="AF53" i="1"/>
  <c r="C53" i="1" s="1" a="1"/>
  <c r="C53" i="1" s="1"/>
  <c r="AF52" i="1"/>
  <c r="AF51" i="1"/>
  <c r="C51" i="1" s="1" a="1"/>
  <c r="C51" i="1" s="1"/>
  <c r="AF50" i="1"/>
  <c r="AF49" i="1"/>
  <c r="C49" i="1" s="1" a="1"/>
  <c r="C49" i="1" s="1"/>
  <c r="AF48" i="1"/>
  <c r="C48" i="1" s="1" a="1"/>
  <c r="C48" i="1" s="1"/>
  <c r="AF47" i="1"/>
  <c r="C47" i="1" s="1" a="1"/>
  <c r="C47" i="1" s="1"/>
  <c r="AF46" i="1"/>
  <c r="C46" i="1" s="1" a="1"/>
  <c r="C46" i="1" s="1"/>
  <c r="AF45" i="1"/>
  <c r="C45" i="1" s="1" a="1"/>
  <c r="C45" i="1" s="1"/>
  <c r="AF44" i="1"/>
  <c r="AF43" i="1"/>
  <c r="AF42" i="1"/>
  <c r="C42" i="1" s="1" a="1"/>
  <c r="C42" i="1" s="1"/>
  <c r="AF41" i="1"/>
  <c r="AF40" i="1"/>
  <c r="C40" i="1" s="1" a="1"/>
  <c r="C40" i="1" s="1"/>
  <c r="AF39" i="1"/>
  <c r="C39" i="1" s="1" a="1"/>
  <c r="C39" i="1" s="1"/>
  <c r="AF38" i="1"/>
  <c r="AF37" i="1"/>
  <c r="AF36" i="1"/>
  <c r="C36" i="1" s="1" a="1"/>
  <c r="C36" i="1" s="1"/>
  <c r="AF35" i="1"/>
  <c r="AF34" i="1"/>
  <c r="AF33" i="1"/>
  <c r="C33" i="1" s="1" a="1"/>
  <c r="C33" i="1" s="1"/>
  <c r="AF32" i="1"/>
  <c r="AF31" i="1"/>
  <c r="C31" i="1" s="1" a="1"/>
  <c r="C31" i="1" s="1"/>
  <c r="AF30" i="1"/>
  <c r="C30" i="1" s="1" a="1"/>
  <c r="C30" i="1" s="1"/>
  <c r="AF29" i="1"/>
  <c r="C29" i="1" s="1" a="1"/>
  <c r="C29" i="1" s="1"/>
  <c r="AF28" i="1"/>
  <c r="AF27" i="1"/>
  <c r="C27" i="1" s="1" a="1"/>
  <c r="C27" i="1" s="1"/>
  <c r="AF26" i="1"/>
  <c r="C26" i="1" s="1" a="1"/>
  <c r="C26" i="1" s="1"/>
  <c r="AF25" i="1"/>
  <c r="C25" i="1" s="1" a="1"/>
  <c r="C25" i="1" s="1"/>
  <c r="AF24" i="1"/>
  <c r="C24" i="1" s="1" a="1"/>
  <c r="C24" i="1" s="1"/>
  <c r="AF23" i="1"/>
  <c r="C23" i="1" s="1" a="1"/>
  <c r="C23" i="1" s="1"/>
  <c r="AF22" i="1"/>
  <c r="C22" i="1" s="1" a="1"/>
  <c r="C22" i="1" s="1"/>
  <c r="AF21" i="1"/>
  <c r="C21" i="1" s="1" a="1"/>
  <c r="C21" i="1" s="1"/>
  <c r="AF20" i="1"/>
  <c r="AF19" i="1"/>
  <c r="C19" i="1" s="1" a="1"/>
  <c r="C19" i="1" s="1"/>
  <c r="AF18" i="1"/>
  <c r="C18" i="1" s="1" a="1"/>
  <c r="C18" i="1" s="1"/>
  <c r="AF17" i="1"/>
  <c r="AF16" i="1"/>
  <c r="AF15" i="1"/>
  <c r="C15" i="1" s="1" a="1"/>
  <c r="C15" i="1" s="1"/>
  <c r="AF14" i="1"/>
  <c r="AF13" i="1"/>
  <c r="C13" i="1" s="1" a="1"/>
  <c r="C13" i="1" s="1"/>
  <c r="AF12" i="1"/>
  <c r="C12" i="1" s="1" a="1"/>
  <c r="C12" i="1" s="1"/>
  <c r="AF11" i="1"/>
  <c r="AF10" i="1"/>
  <c r="AF9" i="1"/>
  <c r="C9" i="1" s="1" a="1"/>
  <c r="C9" i="1" s="1"/>
  <c r="AF8" i="1"/>
  <c r="AF7" i="1"/>
  <c r="C7" i="1" s="1" a="1"/>
  <c r="C7" i="1" s="1"/>
  <c r="AF6" i="1"/>
  <c r="C6" i="1" s="1" a="1"/>
  <c r="C6" i="1" s="1"/>
  <c r="AF5" i="1"/>
  <c r="C5" i="1" s="1" a="1"/>
  <c r="C5" i="1" s="1"/>
  <c r="AF4" i="1"/>
  <c r="AF3" i="1"/>
  <c r="I157" i="1" l="1"/>
  <c r="J157" i="1"/>
  <c r="H160" i="1"/>
  <c r="I160" i="1"/>
  <c r="J1109" i="1"/>
  <c r="H1036" i="1"/>
  <c r="J832" i="1"/>
  <c r="J114" i="1"/>
  <c r="I514" i="1"/>
  <c r="J130" i="1"/>
  <c r="J527" i="1"/>
  <c r="H69" i="1"/>
  <c r="J69" i="1"/>
  <c r="H83" i="1"/>
  <c r="J83" i="1"/>
  <c r="I83" i="1"/>
  <c r="I149" i="1"/>
  <c r="J149" i="1"/>
  <c r="I117" i="1"/>
  <c r="J117" i="1"/>
  <c r="I181" i="1"/>
  <c r="J181" i="1"/>
  <c r="H220" i="1"/>
  <c r="J220" i="1"/>
  <c r="J1125" i="1"/>
  <c r="H1125" i="1"/>
  <c r="I370" i="1"/>
  <c r="J370" i="1"/>
  <c r="J426" i="1"/>
  <c r="H426" i="1"/>
  <c r="H1111" i="1"/>
  <c r="I1111" i="1"/>
  <c r="J678" i="1"/>
  <c r="I1119" i="1"/>
  <c r="J1111" i="1"/>
  <c r="J161" i="1"/>
  <c r="I194" i="1"/>
  <c r="H195" i="1"/>
  <c r="J514" i="1"/>
  <c r="J967" i="1"/>
  <c r="I1102" i="1"/>
  <c r="I89" i="1"/>
  <c r="J178" i="1"/>
  <c r="H1075" i="1"/>
  <c r="J194" i="1"/>
  <c r="J383" i="1"/>
  <c r="J415" i="1"/>
  <c r="J731" i="1"/>
  <c r="H772" i="1"/>
  <c r="J689" i="1"/>
  <c r="H896" i="1"/>
  <c r="I1046" i="1"/>
  <c r="H1059" i="1"/>
  <c r="I394" i="1"/>
  <c r="J394" i="1"/>
  <c r="I125" i="1"/>
  <c r="J125" i="1"/>
  <c r="I128" i="1"/>
  <c r="H128" i="1"/>
  <c r="I386" i="1"/>
  <c r="J386" i="1"/>
  <c r="J314" i="1"/>
  <c r="H314" i="1"/>
  <c r="J322" i="1"/>
  <c r="H322" i="1"/>
  <c r="J282" i="1"/>
  <c r="H282" i="1"/>
  <c r="J290" i="1"/>
  <c r="H290" i="1"/>
  <c r="J306" i="1"/>
  <c r="H306" i="1"/>
  <c r="H359" i="1"/>
  <c r="J359" i="1"/>
  <c r="I141" i="1"/>
  <c r="J141" i="1"/>
  <c r="I173" i="1"/>
  <c r="J173" i="1"/>
  <c r="J218" i="1"/>
  <c r="H218" i="1"/>
  <c r="J250" i="1"/>
  <c r="H250" i="1"/>
  <c r="J258" i="1"/>
  <c r="H258" i="1"/>
  <c r="J274" i="1"/>
  <c r="H274" i="1"/>
  <c r="I354" i="1"/>
  <c r="J354" i="1"/>
  <c r="H375" i="1"/>
  <c r="J375" i="1"/>
  <c r="H61" i="1"/>
  <c r="J61" i="1"/>
  <c r="I133" i="1"/>
  <c r="J133" i="1"/>
  <c r="I144" i="1"/>
  <c r="H144" i="1"/>
  <c r="J226" i="1"/>
  <c r="H226" i="1"/>
  <c r="J242" i="1"/>
  <c r="H242" i="1"/>
  <c r="H399" i="1"/>
  <c r="J399" i="1"/>
  <c r="I346" i="1"/>
  <c r="J346" i="1"/>
  <c r="I490" i="1"/>
  <c r="J490" i="1"/>
  <c r="I96" i="1"/>
  <c r="H205" i="1"/>
  <c r="H234" i="1"/>
  <c r="H266" i="1"/>
  <c r="H298" i="1"/>
  <c r="H330" i="1"/>
  <c r="H338" i="1"/>
  <c r="J367" i="1"/>
  <c r="I763" i="1"/>
  <c r="J763" i="1"/>
  <c r="J824" i="1"/>
  <c r="J947" i="1"/>
  <c r="H947" i="1"/>
  <c r="I995" i="1"/>
  <c r="H995" i="1"/>
  <c r="J1073" i="1"/>
  <c r="I1073" i="1"/>
  <c r="J165" i="1"/>
  <c r="J189" i="1"/>
  <c r="J378" i="1"/>
  <c r="J391" i="1"/>
  <c r="J402" i="1"/>
  <c r="J438" i="1"/>
  <c r="I438" i="1"/>
  <c r="J454" i="1"/>
  <c r="H454" i="1"/>
  <c r="I739" i="1"/>
  <c r="J739" i="1"/>
  <c r="J888" i="1"/>
  <c r="H888" i="1"/>
  <c r="H808" i="1"/>
  <c r="J808" i="1"/>
  <c r="J953" i="1"/>
  <c r="H953" i="1"/>
  <c r="H336" i="1"/>
  <c r="I506" i="1"/>
  <c r="J506" i="1"/>
  <c r="J699" i="1"/>
  <c r="J912" i="1"/>
  <c r="H912" i="1"/>
  <c r="J936" i="1"/>
  <c r="H936" i="1"/>
  <c r="I942" i="1"/>
  <c r="J942" i="1"/>
  <c r="H942" i="1"/>
  <c r="J996" i="1"/>
  <c r="I996" i="1"/>
  <c r="I1058" i="1"/>
  <c r="J1058" i="1"/>
  <c r="H1058" i="1"/>
  <c r="J1133" i="1"/>
  <c r="H1133" i="1"/>
  <c r="I1144" i="1"/>
  <c r="J1144" i="1"/>
  <c r="I482" i="1"/>
  <c r="J482" i="1"/>
  <c r="H628" i="1"/>
  <c r="J628" i="1"/>
  <c r="I755" i="1"/>
  <c r="J755" i="1"/>
  <c r="H848" i="1"/>
  <c r="J848" i="1"/>
  <c r="J874" i="1"/>
  <c r="H874" i="1"/>
  <c r="J880" i="1"/>
  <c r="H880" i="1"/>
  <c r="J975" i="1"/>
  <c r="H975" i="1"/>
  <c r="H1004" i="1"/>
  <c r="I1004" i="1"/>
  <c r="I84" i="1"/>
  <c r="H136" i="1"/>
  <c r="H143" i="1"/>
  <c r="J154" i="1"/>
  <c r="J177" i="1"/>
  <c r="H192" i="1"/>
  <c r="I474" i="1"/>
  <c r="J474" i="1"/>
  <c r="J620" i="1"/>
  <c r="J693" i="1"/>
  <c r="I693" i="1"/>
  <c r="J866" i="1"/>
  <c r="J904" i="1"/>
  <c r="H904" i="1"/>
  <c r="I1142" i="1"/>
  <c r="H1142" i="1"/>
  <c r="J17" i="1"/>
  <c r="J53" i="1"/>
  <c r="J109" i="1"/>
  <c r="I120" i="1"/>
  <c r="H159" i="1"/>
  <c r="I184" i="1"/>
  <c r="H214" i="1"/>
  <c r="I723" i="1"/>
  <c r="J723" i="1"/>
  <c r="I770" i="1"/>
  <c r="H770" i="1"/>
  <c r="H840" i="1"/>
  <c r="J840" i="1"/>
  <c r="J928" i="1"/>
  <c r="H928" i="1"/>
  <c r="I410" i="1"/>
  <c r="J410" i="1"/>
  <c r="I418" i="1"/>
  <c r="J418" i="1"/>
  <c r="J525" i="1"/>
  <c r="H525" i="1"/>
  <c r="I872" i="1"/>
  <c r="H872" i="1"/>
  <c r="J920" i="1"/>
  <c r="H920" i="1"/>
  <c r="J959" i="1"/>
  <c r="H959" i="1"/>
  <c r="J1037" i="1"/>
  <c r="H1037" i="1"/>
  <c r="I427" i="1"/>
  <c r="J448" i="1"/>
  <c r="J456" i="1"/>
  <c r="I692" i="1"/>
  <c r="I815" i="1"/>
  <c r="H862" i="1"/>
  <c r="H905" i="1"/>
  <c r="H937" i="1"/>
  <c r="J1013" i="1"/>
  <c r="H1062" i="1"/>
  <c r="J427" i="1"/>
  <c r="J498" i="1"/>
  <c r="I1118" i="1"/>
  <c r="I1160" i="1"/>
  <c r="H681" i="1"/>
  <c r="J776" i="1"/>
  <c r="H783" i="1"/>
  <c r="H945" i="1"/>
  <c r="J545" i="1"/>
  <c r="I847" i="1"/>
  <c r="I976" i="1"/>
  <c r="H1117" i="1"/>
  <c r="J707" i="1"/>
  <c r="J800" i="1"/>
  <c r="I855" i="1"/>
  <c r="H876" i="1"/>
  <c r="I1066" i="1"/>
  <c r="H1096" i="1"/>
  <c r="I1110" i="1"/>
  <c r="H1126" i="1"/>
  <c r="I457" i="1"/>
  <c r="J715" i="1"/>
  <c r="I914" i="1"/>
  <c r="I791" i="1"/>
  <c r="I1020" i="1"/>
  <c r="I14" i="1"/>
  <c r="J14" i="1"/>
  <c r="H14" i="1"/>
  <c r="I30" i="1"/>
  <c r="H30" i="1"/>
  <c r="J30" i="1"/>
  <c r="H37" i="1"/>
  <c r="I46" i="1"/>
  <c r="H46" i="1"/>
  <c r="J46" i="1"/>
  <c r="J72" i="1"/>
  <c r="J76" i="1"/>
  <c r="H80" i="1"/>
  <c r="J80" i="1"/>
  <c r="I80" i="1"/>
  <c r="I90" i="1"/>
  <c r="H90" i="1"/>
  <c r="J90" i="1"/>
  <c r="J121" i="1"/>
  <c r="J185" i="1"/>
  <c r="J7" i="1"/>
  <c r="I7" i="1"/>
  <c r="H7" i="1"/>
  <c r="H12" i="1"/>
  <c r="I12" i="1"/>
  <c r="J23" i="1"/>
  <c r="I23" i="1"/>
  <c r="H23" i="1"/>
  <c r="H28" i="1"/>
  <c r="I28" i="1"/>
  <c r="J39" i="1"/>
  <c r="I39" i="1"/>
  <c r="H39" i="1"/>
  <c r="H44" i="1"/>
  <c r="I44" i="1"/>
  <c r="J88" i="1"/>
  <c r="I88" i="1"/>
  <c r="H88" i="1"/>
  <c r="I137" i="1"/>
  <c r="J187" i="1"/>
  <c r="I187" i="1"/>
  <c r="H187" i="1"/>
  <c r="J5" i="1"/>
  <c r="I5" i="1"/>
  <c r="J10" i="1"/>
  <c r="I10" i="1"/>
  <c r="H10" i="1"/>
  <c r="J21" i="1"/>
  <c r="I21" i="1"/>
  <c r="J26" i="1"/>
  <c r="I26" i="1"/>
  <c r="H26" i="1"/>
  <c r="I37" i="1"/>
  <c r="J37" i="1"/>
  <c r="J42" i="1"/>
  <c r="I42" i="1"/>
  <c r="H42" i="1"/>
  <c r="I76" i="1"/>
  <c r="H76" i="1"/>
  <c r="J123" i="1"/>
  <c r="I123" i="1"/>
  <c r="H123" i="1"/>
  <c r="I196" i="1"/>
  <c r="J196" i="1"/>
  <c r="H196" i="1"/>
  <c r="I68" i="1"/>
  <c r="H68" i="1"/>
  <c r="J74" i="1"/>
  <c r="I74" i="1"/>
  <c r="H74" i="1"/>
  <c r="J155" i="1"/>
  <c r="I155" i="1"/>
  <c r="H155" i="1"/>
  <c r="J169" i="1"/>
  <c r="I6" i="1"/>
  <c r="H6" i="1"/>
  <c r="J6" i="1"/>
  <c r="I22" i="1"/>
  <c r="H22" i="1"/>
  <c r="J22" i="1"/>
  <c r="I38" i="1"/>
  <c r="H38" i="1"/>
  <c r="J38" i="1"/>
  <c r="I60" i="1"/>
  <c r="H60" i="1"/>
  <c r="J66" i="1"/>
  <c r="I66" i="1"/>
  <c r="H66" i="1"/>
  <c r="I70" i="1"/>
  <c r="H70" i="1"/>
  <c r="J70" i="1"/>
  <c r="H77" i="1"/>
  <c r="J77" i="1"/>
  <c r="I77" i="1"/>
  <c r="J171" i="1"/>
  <c r="I171" i="1"/>
  <c r="H171" i="1"/>
  <c r="I113" i="1"/>
  <c r="H4" i="1"/>
  <c r="J15" i="1"/>
  <c r="I15" i="1"/>
  <c r="H15" i="1"/>
  <c r="H20" i="1"/>
  <c r="I20" i="1"/>
  <c r="J31" i="1"/>
  <c r="I31" i="1"/>
  <c r="H31" i="1"/>
  <c r="I36" i="1"/>
  <c r="H36" i="1"/>
  <c r="J47" i="1"/>
  <c r="I47" i="1"/>
  <c r="H47" i="1"/>
  <c r="I52" i="1"/>
  <c r="H52" i="1"/>
  <c r="J58" i="1"/>
  <c r="I58" i="1"/>
  <c r="H58" i="1"/>
  <c r="I62" i="1"/>
  <c r="H62" i="1"/>
  <c r="J62" i="1"/>
  <c r="J91" i="1"/>
  <c r="I91" i="1"/>
  <c r="H91" i="1"/>
  <c r="J99" i="1"/>
  <c r="I99" i="1"/>
  <c r="H99" i="1"/>
  <c r="I105" i="1"/>
  <c r="J113" i="1"/>
  <c r="I169" i="1"/>
  <c r="H13" i="1"/>
  <c r="I13" i="1"/>
  <c r="J13" i="1"/>
  <c r="J18" i="1"/>
  <c r="I18" i="1"/>
  <c r="H18" i="1"/>
  <c r="J29" i="1"/>
  <c r="I29" i="1"/>
  <c r="J34" i="1"/>
  <c r="I34" i="1"/>
  <c r="H34" i="1"/>
  <c r="I45" i="1"/>
  <c r="J45" i="1"/>
  <c r="J50" i="1"/>
  <c r="I50" i="1"/>
  <c r="H50" i="1"/>
  <c r="I54" i="1"/>
  <c r="H54" i="1"/>
  <c r="J54" i="1"/>
  <c r="J82" i="1"/>
  <c r="I82" i="1"/>
  <c r="H82" i="1"/>
  <c r="J129" i="1"/>
  <c r="I53" i="1"/>
  <c r="I61" i="1"/>
  <c r="I69" i="1"/>
  <c r="J86" i="1"/>
  <c r="I86" i="1"/>
  <c r="J92" i="1"/>
  <c r="H92" i="1"/>
  <c r="J101" i="1"/>
  <c r="I101" i="1"/>
  <c r="H101" i="1"/>
  <c r="J102" i="1"/>
  <c r="I102" i="1"/>
  <c r="H102" i="1"/>
  <c r="J112" i="1"/>
  <c r="H120" i="1"/>
  <c r="J139" i="1"/>
  <c r="I139" i="1"/>
  <c r="H139" i="1"/>
  <c r="J140" i="1"/>
  <c r="I140" i="1"/>
  <c r="H140" i="1"/>
  <c r="H145" i="1"/>
  <c r="I162" i="1"/>
  <c r="H162" i="1"/>
  <c r="J166" i="1"/>
  <c r="I166" i="1"/>
  <c r="H166" i="1"/>
  <c r="J176" i="1"/>
  <c r="H184" i="1"/>
  <c r="J212" i="1"/>
  <c r="J251" i="1"/>
  <c r="I251" i="1"/>
  <c r="H251" i="1"/>
  <c r="J283" i="1"/>
  <c r="I283" i="1"/>
  <c r="H283" i="1"/>
  <c r="J315" i="1"/>
  <c r="I315" i="1"/>
  <c r="H315" i="1"/>
  <c r="I93" i="1"/>
  <c r="H93" i="1"/>
  <c r="J94" i="1"/>
  <c r="I94" i="1"/>
  <c r="H94" i="1"/>
  <c r="H96" i="1"/>
  <c r="J100" i="1"/>
  <c r="I100" i="1"/>
  <c r="H100" i="1"/>
  <c r="J115" i="1"/>
  <c r="I115" i="1"/>
  <c r="H115" i="1"/>
  <c r="J116" i="1"/>
  <c r="I116" i="1"/>
  <c r="H116" i="1"/>
  <c r="H121" i="1"/>
  <c r="I138" i="1"/>
  <c r="H138" i="1"/>
  <c r="J142" i="1"/>
  <c r="I142" i="1"/>
  <c r="H142" i="1"/>
  <c r="J152" i="1"/>
  <c r="J179" i="1"/>
  <c r="I179" i="1"/>
  <c r="H179" i="1"/>
  <c r="J180" i="1"/>
  <c r="I180" i="1"/>
  <c r="H180" i="1"/>
  <c r="H185" i="1"/>
  <c r="I208" i="1"/>
  <c r="J217" i="1"/>
  <c r="I217" i="1"/>
  <c r="H217" i="1"/>
  <c r="J233" i="1"/>
  <c r="I233" i="1"/>
  <c r="H233" i="1"/>
  <c r="H239" i="1"/>
  <c r="J239" i="1"/>
  <c r="I239" i="1"/>
  <c r="J245" i="1"/>
  <c r="I245" i="1"/>
  <c r="H245" i="1"/>
  <c r="J265" i="1"/>
  <c r="I265" i="1"/>
  <c r="H265" i="1"/>
  <c r="H271" i="1"/>
  <c r="J271" i="1"/>
  <c r="I271" i="1"/>
  <c r="J277" i="1"/>
  <c r="I277" i="1"/>
  <c r="H277" i="1"/>
  <c r="J297" i="1"/>
  <c r="I297" i="1"/>
  <c r="H297" i="1"/>
  <c r="H303" i="1"/>
  <c r="J303" i="1"/>
  <c r="I303" i="1"/>
  <c r="J309" i="1"/>
  <c r="I309" i="1"/>
  <c r="H309" i="1"/>
  <c r="J329" i="1"/>
  <c r="I329" i="1"/>
  <c r="H329" i="1"/>
  <c r="J335" i="1"/>
  <c r="I335" i="1"/>
  <c r="J337" i="1"/>
  <c r="I337" i="1"/>
  <c r="H337" i="1"/>
  <c r="J4" i="1"/>
  <c r="I11" i="1"/>
  <c r="J12" i="1"/>
  <c r="I19" i="1"/>
  <c r="J20" i="1"/>
  <c r="I27" i="1"/>
  <c r="J28" i="1"/>
  <c r="I35" i="1"/>
  <c r="J36" i="1"/>
  <c r="I43" i="1"/>
  <c r="J44" i="1"/>
  <c r="I51" i="1"/>
  <c r="J52" i="1"/>
  <c r="I59" i="1"/>
  <c r="J60" i="1"/>
  <c r="I67" i="1"/>
  <c r="J68" i="1"/>
  <c r="I75" i="1"/>
  <c r="H79" i="1"/>
  <c r="H87" i="1"/>
  <c r="I97" i="1"/>
  <c r="I114" i="1"/>
  <c r="H114" i="1"/>
  <c r="J118" i="1"/>
  <c r="I118" i="1"/>
  <c r="H118" i="1"/>
  <c r="J128" i="1"/>
  <c r="J156" i="1"/>
  <c r="I156" i="1"/>
  <c r="H156" i="1"/>
  <c r="H161" i="1"/>
  <c r="I177" i="1"/>
  <c r="I178" i="1"/>
  <c r="H178" i="1"/>
  <c r="J182" i="1"/>
  <c r="I182" i="1"/>
  <c r="H182" i="1"/>
  <c r="I4" i="1"/>
  <c r="H9" i="1"/>
  <c r="J11" i="1"/>
  <c r="J19" i="1"/>
  <c r="H25" i="1"/>
  <c r="J27" i="1"/>
  <c r="H33" i="1"/>
  <c r="J35" i="1"/>
  <c r="H41" i="1"/>
  <c r="J43" i="1"/>
  <c r="H49" i="1"/>
  <c r="J51" i="1"/>
  <c r="H57" i="1"/>
  <c r="J59" i="1"/>
  <c r="H65" i="1"/>
  <c r="J67" i="1"/>
  <c r="H73" i="1"/>
  <c r="J75" i="1"/>
  <c r="I79" i="1"/>
  <c r="I85" i="1"/>
  <c r="H85" i="1"/>
  <c r="H89" i="1"/>
  <c r="J95" i="1"/>
  <c r="I95" i="1"/>
  <c r="J97" i="1"/>
  <c r="I98" i="1"/>
  <c r="H98" i="1"/>
  <c r="J104" i="1"/>
  <c r="H112" i="1"/>
  <c r="J131" i="1"/>
  <c r="I131" i="1"/>
  <c r="H131" i="1"/>
  <c r="J132" i="1"/>
  <c r="I132" i="1"/>
  <c r="H132" i="1"/>
  <c r="H135" i="1"/>
  <c r="H137" i="1"/>
  <c r="I153" i="1"/>
  <c r="I154" i="1"/>
  <c r="H154" i="1"/>
  <c r="J158" i="1"/>
  <c r="I158" i="1"/>
  <c r="H158" i="1"/>
  <c r="J168" i="1"/>
  <c r="H176" i="1"/>
  <c r="H197" i="1"/>
  <c r="J201" i="1"/>
  <c r="I201" i="1"/>
  <c r="H201" i="1"/>
  <c r="H212" i="1"/>
  <c r="H8" i="1"/>
  <c r="I9" i="1"/>
  <c r="H16" i="1"/>
  <c r="I17" i="1"/>
  <c r="H24" i="1"/>
  <c r="I25" i="1"/>
  <c r="H32" i="1"/>
  <c r="I33" i="1"/>
  <c r="H40" i="1"/>
  <c r="I41" i="1"/>
  <c r="H48" i="1"/>
  <c r="I49" i="1"/>
  <c r="H56" i="1"/>
  <c r="I57" i="1"/>
  <c r="H64" i="1"/>
  <c r="I65" i="1"/>
  <c r="H72" i="1"/>
  <c r="I73" i="1"/>
  <c r="H78" i="1"/>
  <c r="H97" i="1"/>
  <c r="J107" i="1"/>
  <c r="I107" i="1"/>
  <c r="H107" i="1"/>
  <c r="J108" i="1"/>
  <c r="I108" i="1"/>
  <c r="H108" i="1"/>
  <c r="H111" i="1"/>
  <c r="I112" i="1"/>
  <c r="H113" i="1"/>
  <c r="I130" i="1"/>
  <c r="H130" i="1"/>
  <c r="J134" i="1"/>
  <c r="I134" i="1"/>
  <c r="H134" i="1"/>
  <c r="J144" i="1"/>
  <c r="H152" i="1"/>
  <c r="J172" i="1"/>
  <c r="I172" i="1"/>
  <c r="H172" i="1"/>
  <c r="H175" i="1"/>
  <c r="I176" i="1"/>
  <c r="H177" i="1"/>
  <c r="I200" i="1"/>
  <c r="H200" i="1"/>
  <c r="I206" i="1"/>
  <c r="I16" i="1"/>
  <c r="I24" i="1"/>
  <c r="I32" i="1"/>
  <c r="I40" i="1"/>
  <c r="I48" i="1"/>
  <c r="H55" i="1"/>
  <c r="I56" i="1"/>
  <c r="H63" i="1"/>
  <c r="I64" i="1"/>
  <c r="H71" i="1"/>
  <c r="I72" i="1"/>
  <c r="H81" i="1"/>
  <c r="J87" i="1"/>
  <c r="I106" i="1"/>
  <c r="H106" i="1"/>
  <c r="J110" i="1"/>
  <c r="I110" i="1"/>
  <c r="H110" i="1"/>
  <c r="J120" i="1"/>
  <c r="J147" i="1"/>
  <c r="I147" i="1"/>
  <c r="H147" i="1"/>
  <c r="J148" i="1"/>
  <c r="I148" i="1"/>
  <c r="H148" i="1"/>
  <c r="H153" i="1"/>
  <c r="I170" i="1"/>
  <c r="H170" i="1"/>
  <c r="J174" i="1"/>
  <c r="I174" i="1"/>
  <c r="H174" i="1"/>
  <c r="J184" i="1"/>
  <c r="J193" i="1"/>
  <c r="I193" i="1"/>
  <c r="H193" i="1"/>
  <c r="J219" i="1"/>
  <c r="H219" i="1"/>
  <c r="I8" i="1"/>
  <c r="I55" i="1"/>
  <c r="I63" i="1"/>
  <c r="I71" i="1"/>
  <c r="I81" i="1"/>
  <c r="H86" i="1"/>
  <c r="I92" i="1"/>
  <c r="H104" i="1"/>
  <c r="J124" i="1"/>
  <c r="I124" i="1"/>
  <c r="H124" i="1"/>
  <c r="H127" i="1"/>
  <c r="H129" i="1"/>
  <c r="I145" i="1"/>
  <c r="I146" i="1"/>
  <c r="H146" i="1"/>
  <c r="J150" i="1"/>
  <c r="I150" i="1"/>
  <c r="H150" i="1"/>
  <c r="J160" i="1"/>
  <c r="H168" i="1"/>
  <c r="J188" i="1"/>
  <c r="I188" i="1"/>
  <c r="H188" i="1"/>
  <c r="H191" i="1"/>
  <c r="J199" i="1"/>
  <c r="I204" i="1"/>
  <c r="J204" i="1"/>
  <c r="H204" i="1"/>
  <c r="J206" i="1"/>
  <c r="H206" i="1"/>
  <c r="I78" i="1"/>
  <c r="H84" i="1"/>
  <c r="J96" i="1"/>
  <c r="H103" i="1"/>
  <c r="H105" i="1"/>
  <c r="I121" i="1"/>
  <c r="I122" i="1"/>
  <c r="H122" i="1"/>
  <c r="J126" i="1"/>
  <c r="I126" i="1"/>
  <c r="H126" i="1"/>
  <c r="J136" i="1"/>
  <c r="J145" i="1"/>
  <c r="J162" i="1"/>
  <c r="J163" i="1"/>
  <c r="I163" i="1"/>
  <c r="H163" i="1"/>
  <c r="J164" i="1"/>
  <c r="I164" i="1"/>
  <c r="H164" i="1"/>
  <c r="H169" i="1"/>
  <c r="I185" i="1"/>
  <c r="I186" i="1"/>
  <c r="H186" i="1"/>
  <c r="J190" i="1"/>
  <c r="I190" i="1"/>
  <c r="H190" i="1"/>
  <c r="I192" i="1"/>
  <c r="I195" i="1"/>
  <c r="H208" i="1"/>
  <c r="J211" i="1"/>
  <c r="H211" i="1"/>
  <c r="I103" i="1"/>
  <c r="I111" i="1"/>
  <c r="I119" i="1"/>
  <c r="I127" i="1"/>
  <c r="I135" i="1"/>
  <c r="I143" i="1"/>
  <c r="I151" i="1"/>
  <c r="I159" i="1"/>
  <c r="I167" i="1"/>
  <c r="I175" i="1"/>
  <c r="I183" i="1"/>
  <c r="I191" i="1"/>
  <c r="I202" i="1"/>
  <c r="J205" i="1"/>
  <c r="H215" i="1"/>
  <c r="J215" i="1"/>
  <c r="I215" i="1"/>
  <c r="I216" i="1"/>
  <c r="H216" i="1"/>
  <c r="J216" i="1"/>
  <c r="H223" i="1"/>
  <c r="J223" i="1"/>
  <c r="I223" i="1"/>
  <c r="J227" i="1"/>
  <c r="I227" i="1"/>
  <c r="H227" i="1"/>
  <c r="J259" i="1"/>
  <c r="I259" i="1"/>
  <c r="H259" i="1"/>
  <c r="J291" i="1"/>
  <c r="I291" i="1"/>
  <c r="H291" i="1"/>
  <c r="J323" i="1"/>
  <c r="I323" i="1"/>
  <c r="H323" i="1"/>
  <c r="J103" i="1"/>
  <c r="H109" i="1"/>
  <c r="J111" i="1"/>
  <c r="H117" i="1"/>
  <c r="J119" i="1"/>
  <c r="H125" i="1"/>
  <c r="J127" i="1"/>
  <c r="H133" i="1"/>
  <c r="J135" i="1"/>
  <c r="H141" i="1"/>
  <c r="J143" i="1"/>
  <c r="H149" i="1"/>
  <c r="J151" i="1"/>
  <c r="H157" i="1"/>
  <c r="J159" i="1"/>
  <c r="H165" i="1"/>
  <c r="J167" i="1"/>
  <c r="H173" i="1"/>
  <c r="J175" i="1"/>
  <c r="H181" i="1"/>
  <c r="J183" i="1"/>
  <c r="H189" i="1"/>
  <c r="J191" i="1"/>
  <c r="J195" i="1"/>
  <c r="I199" i="1"/>
  <c r="J213" i="1"/>
  <c r="H213" i="1"/>
  <c r="J241" i="1"/>
  <c r="I241" i="1"/>
  <c r="H241" i="1"/>
  <c r="H247" i="1"/>
  <c r="J247" i="1"/>
  <c r="I247" i="1"/>
  <c r="J253" i="1"/>
  <c r="I253" i="1"/>
  <c r="H253" i="1"/>
  <c r="J273" i="1"/>
  <c r="I273" i="1"/>
  <c r="H273" i="1"/>
  <c r="H279" i="1"/>
  <c r="J279" i="1"/>
  <c r="I279" i="1"/>
  <c r="J285" i="1"/>
  <c r="I285" i="1"/>
  <c r="H285" i="1"/>
  <c r="J305" i="1"/>
  <c r="I305" i="1"/>
  <c r="H305" i="1"/>
  <c r="H311" i="1"/>
  <c r="J311" i="1"/>
  <c r="I311" i="1"/>
  <c r="J317" i="1"/>
  <c r="I317" i="1"/>
  <c r="H317" i="1"/>
  <c r="J203" i="1"/>
  <c r="H203" i="1"/>
  <c r="J209" i="1"/>
  <c r="I209" i="1"/>
  <c r="H209" i="1"/>
  <c r="I214" i="1"/>
  <c r="J222" i="1"/>
  <c r="I222" i="1"/>
  <c r="H222" i="1"/>
  <c r="J235" i="1"/>
  <c r="I235" i="1"/>
  <c r="H235" i="1"/>
  <c r="J267" i="1"/>
  <c r="I267" i="1"/>
  <c r="H267" i="1"/>
  <c r="J299" i="1"/>
  <c r="I299" i="1"/>
  <c r="H299" i="1"/>
  <c r="J197" i="1"/>
  <c r="H199" i="1"/>
  <c r="I207" i="1"/>
  <c r="J229" i="1"/>
  <c r="I229" i="1"/>
  <c r="H229" i="1"/>
  <c r="J249" i="1"/>
  <c r="I249" i="1"/>
  <c r="H249" i="1"/>
  <c r="H255" i="1"/>
  <c r="J255" i="1"/>
  <c r="I255" i="1"/>
  <c r="J261" i="1"/>
  <c r="I261" i="1"/>
  <c r="H261" i="1"/>
  <c r="J281" i="1"/>
  <c r="I281" i="1"/>
  <c r="H281" i="1"/>
  <c r="H287" i="1"/>
  <c r="J287" i="1"/>
  <c r="I287" i="1"/>
  <c r="J293" i="1"/>
  <c r="I293" i="1"/>
  <c r="H293" i="1"/>
  <c r="J313" i="1"/>
  <c r="I313" i="1"/>
  <c r="H313" i="1"/>
  <c r="H319" i="1"/>
  <c r="J319" i="1"/>
  <c r="I319" i="1"/>
  <c r="J325" i="1"/>
  <c r="I325" i="1"/>
  <c r="H325" i="1"/>
  <c r="H198" i="1"/>
  <c r="J221" i="1"/>
  <c r="I221" i="1"/>
  <c r="H221" i="1"/>
  <c r="J243" i="1"/>
  <c r="I243" i="1"/>
  <c r="H243" i="1"/>
  <c r="J275" i="1"/>
  <c r="I275" i="1"/>
  <c r="H275" i="1"/>
  <c r="J307" i="1"/>
  <c r="I307" i="1"/>
  <c r="H307" i="1"/>
  <c r="J331" i="1"/>
  <c r="H331" i="1"/>
  <c r="J333" i="1"/>
  <c r="I333" i="1"/>
  <c r="H333" i="1"/>
  <c r="I198" i="1"/>
  <c r="H202" i="1"/>
  <c r="H207" i="1"/>
  <c r="J210" i="1"/>
  <c r="I210" i="1"/>
  <c r="J225" i="1"/>
  <c r="I225" i="1"/>
  <c r="H225" i="1"/>
  <c r="H231" i="1"/>
  <c r="J231" i="1"/>
  <c r="I231" i="1"/>
  <c r="J237" i="1"/>
  <c r="I237" i="1"/>
  <c r="H237" i="1"/>
  <c r="J257" i="1"/>
  <c r="I257" i="1"/>
  <c r="H257" i="1"/>
  <c r="H263" i="1"/>
  <c r="J263" i="1"/>
  <c r="I263" i="1"/>
  <c r="J269" i="1"/>
  <c r="I269" i="1"/>
  <c r="H269" i="1"/>
  <c r="J289" i="1"/>
  <c r="I289" i="1"/>
  <c r="H289" i="1"/>
  <c r="H295" i="1"/>
  <c r="J295" i="1"/>
  <c r="I295" i="1"/>
  <c r="J301" i="1"/>
  <c r="I301" i="1"/>
  <c r="H301" i="1"/>
  <c r="J321" i="1"/>
  <c r="I321" i="1"/>
  <c r="H321" i="1"/>
  <c r="H327" i="1"/>
  <c r="J327" i="1"/>
  <c r="I327" i="1"/>
  <c r="J224" i="1"/>
  <c r="H230" i="1"/>
  <c r="J232" i="1"/>
  <c r="H238" i="1"/>
  <c r="J240" i="1"/>
  <c r="H246" i="1"/>
  <c r="J248" i="1"/>
  <c r="H254" i="1"/>
  <c r="J256" i="1"/>
  <c r="H262" i="1"/>
  <c r="J264" i="1"/>
  <c r="H270" i="1"/>
  <c r="J272" i="1"/>
  <c r="H278" i="1"/>
  <c r="J280" i="1"/>
  <c r="H286" i="1"/>
  <c r="J288" i="1"/>
  <c r="H294" i="1"/>
  <c r="J296" i="1"/>
  <c r="H302" i="1"/>
  <c r="J304" i="1"/>
  <c r="H310" i="1"/>
  <c r="J312" i="1"/>
  <c r="H318" i="1"/>
  <c r="J320" i="1"/>
  <c r="H326" i="1"/>
  <c r="J328" i="1"/>
  <c r="J348" i="1"/>
  <c r="I348" i="1"/>
  <c r="H348" i="1"/>
  <c r="J349" i="1"/>
  <c r="I349" i="1"/>
  <c r="H366" i="1"/>
  <c r="J369" i="1"/>
  <c r="I369" i="1"/>
  <c r="H369" i="1"/>
  <c r="H382" i="1"/>
  <c r="J385" i="1"/>
  <c r="I385" i="1"/>
  <c r="H385" i="1"/>
  <c r="H398" i="1"/>
  <c r="J401" i="1"/>
  <c r="I401" i="1"/>
  <c r="H401" i="1"/>
  <c r="H414" i="1"/>
  <c r="J417" i="1"/>
  <c r="I417" i="1"/>
  <c r="H417" i="1"/>
  <c r="I423" i="1"/>
  <c r="J429" i="1"/>
  <c r="I429" i="1"/>
  <c r="J433" i="1"/>
  <c r="I433" i="1"/>
  <c r="H433" i="1"/>
  <c r="J445" i="1"/>
  <c r="I445" i="1"/>
  <c r="H445" i="1"/>
  <c r="I455" i="1"/>
  <c r="J495" i="1"/>
  <c r="I495" i="1"/>
  <c r="H495" i="1"/>
  <c r="J512" i="1"/>
  <c r="I512" i="1"/>
  <c r="H512" i="1"/>
  <c r="I552" i="1"/>
  <c r="I230" i="1"/>
  <c r="I238" i="1"/>
  <c r="I246" i="1"/>
  <c r="I254" i="1"/>
  <c r="I262" i="1"/>
  <c r="I270" i="1"/>
  <c r="I278" i="1"/>
  <c r="I286" i="1"/>
  <c r="I294" i="1"/>
  <c r="I302" i="1"/>
  <c r="I310" i="1"/>
  <c r="I318" i="1"/>
  <c r="I326" i="1"/>
  <c r="J334" i="1"/>
  <c r="I343" i="1"/>
  <c r="H343" i="1"/>
  <c r="J347" i="1"/>
  <c r="I347" i="1"/>
  <c r="H347" i="1"/>
  <c r="J360" i="1"/>
  <c r="I360" i="1"/>
  <c r="J361" i="1"/>
  <c r="H361" i="1"/>
  <c r="J368" i="1"/>
  <c r="I368" i="1"/>
  <c r="H368" i="1"/>
  <c r="J384" i="1"/>
  <c r="I384" i="1"/>
  <c r="H384" i="1"/>
  <c r="J400" i="1"/>
  <c r="I400" i="1"/>
  <c r="H400" i="1"/>
  <c r="J416" i="1"/>
  <c r="I416" i="1"/>
  <c r="H416" i="1"/>
  <c r="J441" i="1"/>
  <c r="I441" i="1"/>
  <c r="H441" i="1"/>
  <c r="I442" i="1"/>
  <c r="H228" i="1"/>
  <c r="J230" i="1"/>
  <c r="H236" i="1"/>
  <c r="J238" i="1"/>
  <c r="H244" i="1"/>
  <c r="J246" i="1"/>
  <c r="H252" i="1"/>
  <c r="J254" i="1"/>
  <c r="H260" i="1"/>
  <c r="J262" i="1"/>
  <c r="H268" i="1"/>
  <c r="J270" i="1"/>
  <c r="H276" i="1"/>
  <c r="J278" i="1"/>
  <c r="H284" i="1"/>
  <c r="J286" i="1"/>
  <c r="H292" i="1"/>
  <c r="J294" i="1"/>
  <c r="H300" i="1"/>
  <c r="J302" i="1"/>
  <c r="H308" i="1"/>
  <c r="J310" i="1"/>
  <c r="H316" i="1"/>
  <c r="J318" i="1"/>
  <c r="H324" i="1"/>
  <c r="J326" i="1"/>
  <c r="I332" i="1"/>
  <c r="J342" i="1"/>
  <c r="J344" i="1"/>
  <c r="I344" i="1"/>
  <c r="J356" i="1"/>
  <c r="I356" i="1"/>
  <c r="H356" i="1"/>
  <c r="J357" i="1"/>
  <c r="I357" i="1"/>
  <c r="J379" i="1"/>
  <c r="I379" i="1"/>
  <c r="H379" i="1"/>
  <c r="J395" i="1"/>
  <c r="I395" i="1"/>
  <c r="H395" i="1"/>
  <c r="J411" i="1"/>
  <c r="I411" i="1"/>
  <c r="H411" i="1"/>
  <c r="I432" i="1"/>
  <c r="H432" i="1"/>
  <c r="J510" i="1"/>
  <c r="I510" i="1"/>
  <c r="H510" i="1"/>
  <c r="I212" i="1"/>
  <c r="I220" i="1"/>
  <c r="I228" i="1"/>
  <c r="I236" i="1"/>
  <c r="I244" i="1"/>
  <c r="I252" i="1"/>
  <c r="I260" i="1"/>
  <c r="I268" i="1"/>
  <c r="I276" i="1"/>
  <c r="I284" i="1"/>
  <c r="I292" i="1"/>
  <c r="I300" i="1"/>
  <c r="I308" i="1"/>
  <c r="I316" i="1"/>
  <c r="I324" i="1"/>
  <c r="I331" i="1"/>
  <c r="H335" i="1"/>
  <c r="I338" i="1"/>
  <c r="J345" i="1"/>
  <c r="H345" i="1"/>
  <c r="H350" i="1"/>
  <c r="J355" i="1"/>
  <c r="I355" i="1"/>
  <c r="H355" i="1"/>
  <c r="J373" i="1"/>
  <c r="I373" i="1"/>
  <c r="I375" i="1"/>
  <c r="J389" i="1"/>
  <c r="I389" i="1"/>
  <c r="I391" i="1"/>
  <c r="J405" i="1"/>
  <c r="I405" i="1"/>
  <c r="I407" i="1"/>
  <c r="J421" i="1"/>
  <c r="I421" i="1"/>
  <c r="J339" i="1"/>
  <c r="H339" i="1"/>
  <c r="I366" i="1"/>
  <c r="H374" i="1"/>
  <c r="J377" i="1"/>
  <c r="I377" i="1"/>
  <c r="H377" i="1"/>
  <c r="I382" i="1"/>
  <c r="H390" i="1"/>
  <c r="J393" i="1"/>
  <c r="I393" i="1"/>
  <c r="H393" i="1"/>
  <c r="I398" i="1"/>
  <c r="H406" i="1"/>
  <c r="J409" i="1"/>
  <c r="I409" i="1"/>
  <c r="H409" i="1"/>
  <c r="I414" i="1"/>
  <c r="H422" i="1"/>
  <c r="J425" i="1"/>
  <c r="I425" i="1"/>
  <c r="H425" i="1"/>
  <c r="J460" i="1"/>
  <c r="I460" i="1"/>
  <c r="H460" i="1"/>
  <c r="H501" i="1"/>
  <c r="I218" i="1"/>
  <c r="I226" i="1"/>
  <c r="I234" i="1"/>
  <c r="I242" i="1"/>
  <c r="I250" i="1"/>
  <c r="I258" i="1"/>
  <c r="I266" i="1"/>
  <c r="I274" i="1"/>
  <c r="I282" i="1"/>
  <c r="I290" i="1"/>
  <c r="I298" i="1"/>
  <c r="I306" i="1"/>
  <c r="I314" i="1"/>
  <c r="I322" i="1"/>
  <c r="I330" i="1"/>
  <c r="J352" i="1"/>
  <c r="I352" i="1"/>
  <c r="J353" i="1"/>
  <c r="H353" i="1"/>
  <c r="J376" i="1"/>
  <c r="I376" i="1"/>
  <c r="H376" i="1"/>
  <c r="J392" i="1"/>
  <c r="I392" i="1"/>
  <c r="H392" i="1"/>
  <c r="J408" i="1"/>
  <c r="I408" i="1"/>
  <c r="H408" i="1"/>
  <c r="J428" i="1"/>
  <c r="H428" i="1"/>
  <c r="I430" i="1"/>
  <c r="H430" i="1"/>
  <c r="I434" i="1"/>
  <c r="J442" i="1"/>
  <c r="H449" i="1"/>
  <c r="J449" i="1"/>
  <c r="I449" i="1"/>
  <c r="H224" i="1"/>
  <c r="H232" i="1"/>
  <c r="H240" i="1"/>
  <c r="H248" i="1"/>
  <c r="H256" i="1"/>
  <c r="H264" i="1"/>
  <c r="H272" i="1"/>
  <c r="H280" i="1"/>
  <c r="H288" i="1"/>
  <c r="H296" i="1"/>
  <c r="H304" i="1"/>
  <c r="H312" i="1"/>
  <c r="H320" i="1"/>
  <c r="H328" i="1"/>
  <c r="H334" i="1"/>
  <c r="I336" i="1"/>
  <c r="I340" i="1"/>
  <c r="H340" i="1"/>
  <c r="I351" i="1"/>
  <c r="H351" i="1"/>
  <c r="H358" i="1"/>
  <c r="I359" i="1"/>
  <c r="J362" i="1"/>
  <c r="J364" i="1"/>
  <c r="I364" i="1"/>
  <c r="H364" i="1"/>
  <c r="J365" i="1"/>
  <c r="I365" i="1"/>
  <c r="J371" i="1"/>
  <c r="I371" i="1"/>
  <c r="H371" i="1"/>
  <c r="J387" i="1"/>
  <c r="I387" i="1"/>
  <c r="H387" i="1"/>
  <c r="J403" i="1"/>
  <c r="I403" i="1"/>
  <c r="H403" i="1"/>
  <c r="J407" i="1"/>
  <c r="J419" i="1"/>
  <c r="I419" i="1"/>
  <c r="H419" i="1"/>
  <c r="J423" i="1"/>
  <c r="I424" i="1"/>
  <c r="J424" i="1"/>
  <c r="H424" i="1"/>
  <c r="H465" i="1"/>
  <c r="J465" i="1"/>
  <c r="I465" i="1"/>
  <c r="H332" i="1"/>
  <c r="I334" i="1"/>
  <c r="J341" i="1"/>
  <c r="I341" i="1"/>
  <c r="H342" i="1"/>
  <c r="H349" i="1"/>
  <c r="I361" i="1"/>
  <c r="J363" i="1"/>
  <c r="I363" i="1"/>
  <c r="H363" i="1"/>
  <c r="I367" i="1"/>
  <c r="J381" i="1"/>
  <c r="I381" i="1"/>
  <c r="I383" i="1"/>
  <c r="J397" i="1"/>
  <c r="I397" i="1"/>
  <c r="I399" i="1"/>
  <c r="J413" i="1"/>
  <c r="I413" i="1"/>
  <c r="I415" i="1"/>
  <c r="H429" i="1"/>
  <c r="J434" i="1"/>
  <c r="J507" i="1"/>
  <c r="I507" i="1"/>
  <c r="H507" i="1"/>
  <c r="I513" i="1"/>
  <c r="I522" i="1"/>
  <c r="H522" i="1"/>
  <c r="J350" i="1"/>
  <c r="J358" i="1"/>
  <c r="J366" i="1"/>
  <c r="H372" i="1"/>
  <c r="J374" i="1"/>
  <c r="H380" i="1"/>
  <c r="J382" i="1"/>
  <c r="H388" i="1"/>
  <c r="J390" i="1"/>
  <c r="H396" i="1"/>
  <c r="J398" i="1"/>
  <c r="H404" i="1"/>
  <c r="J406" i="1"/>
  <c r="H412" i="1"/>
  <c r="J414" i="1"/>
  <c r="H420" i="1"/>
  <c r="J422" i="1"/>
  <c r="I426" i="1"/>
  <c r="I458" i="1"/>
  <c r="H458" i="1"/>
  <c r="J469" i="1"/>
  <c r="H473" i="1"/>
  <c r="J473" i="1"/>
  <c r="J503" i="1"/>
  <c r="I503" i="1"/>
  <c r="H503" i="1"/>
  <c r="H509" i="1"/>
  <c r="J516" i="1"/>
  <c r="I516" i="1"/>
  <c r="I518" i="1"/>
  <c r="J557" i="1"/>
  <c r="I557" i="1"/>
  <c r="H557" i="1"/>
  <c r="I372" i="1"/>
  <c r="I380" i="1"/>
  <c r="I388" i="1"/>
  <c r="I396" i="1"/>
  <c r="I404" i="1"/>
  <c r="I412" i="1"/>
  <c r="I420" i="1"/>
  <c r="J437" i="1"/>
  <c r="I437" i="1"/>
  <c r="H438" i="1"/>
  <c r="H442" i="1"/>
  <c r="J446" i="1"/>
  <c r="J447" i="1"/>
  <c r="H447" i="1"/>
  <c r="I448" i="1"/>
  <c r="H453" i="1"/>
  <c r="I454" i="1"/>
  <c r="H457" i="1"/>
  <c r="J457" i="1"/>
  <c r="I462" i="1"/>
  <c r="H462" i="1"/>
  <c r="J464" i="1"/>
  <c r="I464" i="1"/>
  <c r="J468" i="1"/>
  <c r="I468" i="1"/>
  <c r="H468" i="1"/>
  <c r="J477" i="1"/>
  <c r="H481" i="1"/>
  <c r="J481" i="1"/>
  <c r="J511" i="1"/>
  <c r="I511" i="1"/>
  <c r="H511" i="1"/>
  <c r="I521" i="1"/>
  <c r="J531" i="1"/>
  <c r="H346" i="1"/>
  <c r="H354" i="1"/>
  <c r="H362" i="1"/>
  <c r="H370" i="1"/>
  <c r="J372" i="1"/>
  <c r="H378" i="1"/>
  <c r="J380" i="1"/>
  <c r="H386" i="1"/>
  <c r="J388" i="1"/>
  <c r="H394" i="1"/>
  <c r="J396" i="1"/>
  <c r="H402" i="1"/>
  <c r="J404" i="1"/>
  <c r="H410" i="1"/>
  <c r="J412" i="1"/>
  <c r="H418" i="1"/>
  <c r="J420" i="1"/>
  <c r="I431" i="1"/>
  <c r="I443" i="1"/>
  <c r="H443" i="1"/>
  <c r="H461" i="1"/>
  <c r="J467" i="1"/>
  <c r="I467" i="1"/>
  <c r="H467" i="1"/>
  <c r="I470" i="1"/>
  <c r="H470" i="1"/>
  <c r="J472" i="1"/>
  <c r="I472" i="1"/>
  <c r="J476" i="1"/>
  <c r="I476" i="1"/>
  <c r="H476" i="1"/>
  <c r="J485" i="1"/>
  <c r="H489" i="1"/>
  <c r="J489" i="1"/>
  <c r="J520" i="1"/>
  <c r="I520" i="1"/>
  <c r="J523" i="1"/>
  <c r="I523" i="1"/>
  <c r="H594" i="1"/>
  <c r="J594" i="1"/>
  <c r="I594" i="1"/>
  <c r="I600" i="1"/>
  <c r="J431" i="1"/>
  <c r="I439" i="1"/>
  <c r="I456" i="1"/>
  <c r="J463" i="1"/>
  <c r="I463" i="1"/>
  <c r="H463" i="1"/>
  <c r="H469" i="1"/>
  <c r="J475" i="1"/>
  <c r="I475" i="1"/>
  <c r="H475" i="1"/>
  <c r="I478" i="1"/>
  <c r="H478" i="1"/>
  <c r="J480" i="1"/>
  <c r="I480" i="1"/>
  <c r="J484" i="1"/>
  <c r="I484" i="1"/>
  <c r="H484" i="1"/>
  <c r="J493" i="1"/>
  <c r="H497" i="1"/>
  <c r="J497" i="1"/>
  <c r="I519" i="1"/>
  <c r="J519" i="1"/>
  <c r="H519" i="1"/>
  <c r="I547" i="1"/>
  <c r="H547" i="1"/>
  <c r="J547" i="1"/>
  <c r="J556" i="1"/>
  <c r="I556" i="1"/>
  <c r="H556" i="1"/>
  <c r="J590" i="1"/>
  <c r="I590" i="1"/>
  <c r="H590" i="1"/>
  <c r="I611" i="1"/>
  <c r="H611" i="1"/>
  <c r="J611" i="1"/>
  <c r="I435" i="1"/>
  <c r="H435" i="1"/>
  <c r="J439" i="1"/>
  <c r="H440" i="1"/>
  <c r="J444" i="1"/>
  <c r="I444" i="1"/>
  <c r="H444" i="1"/>
  <c r="J451" i="1"/>
  <c r="I451" i="1"/>
  <c r="H451" i="1"/>
  <c r="J455" i="1"/>
  <c r="H455" i="1"/>
  <c r="J471" i="1"/>
  <c r="I471" i="1"/>
  <c r="H471" i="1"/>
  <c r="H477" i="1"/>
  <c r="J483" i="1"/>
  <c r="I483" i="1"/>
  <c r="H483" i="1"/>
  <c r="I486" i="1"/>
  <c r="H486" i="1"/>
  <c r="J488" i="1"/>
  <c r="I488" i="1"/>
  <c r="J492" i="1"/>
  <c r="I492" i="1"/>
  <c r="H492" i="1"/>
  <c r="J501" i="1"/>
  <c r="H505" i="1"/>
  <c r="J505" i="1"/>
  <c r="H528" i="1"/>
  <c r="H609" i="1"/>
  <c r="J609" i="1"/>
  <c r="H423" i="1"/>
  <c r="H439" i="1"/>
  <c r="I446" i="1"/>
  <c r="J452" i="1"/>
  <c r="I452" i="1"/>
  <c r="H452" i="1"/>
  <c r="I466" i="1"/>
  <c r="J479" i="1"/>
  <c r="I479" i="1"/>
  <c r="H479" i="1"/>
  <c r="H485" i="1"/>
  <c r="J491" i="1"/>
  <c r="I491" i="1"/>
  <c r="H491" i="1"/>
  <c r="J494" i="1"/>
  <c r="I494" i="1"/>
  <c r="H494" i="1"/>
  <c r="J496" i="1"/>
  <c r="I496" i="1"/>
  <c r="J500" i="1"/>
  <c r="I500" i="1"/>
  <c r="H500" i="1"/>
  <c r="J509" i="1"/>
  <c r="H513" i="1"/>
  <c r="J513" i="1"/>
  <c r="H515" i="1"/>
  <c r="J518" i="1"/>
  <c r="J553" i="1"/>
  <c r="H553" i="1"/>
  <c r="J616" i="1"/>
  <c r="H616" i="1"/>
  <c r="I616" i="1"/>
  <c r="H434" i="1"/>
  <c r="J436" i="1"/>
  <c r="I436" i="1"/>
  <c r="H436" i="1"/>
  <c r="I440" i="1"/>
  <c r="I450" i="1"/>
  <c r="H450" i="1"/>
  <c r="J459" i="1"/>
  <c r="I459" i="1"/>
  <c r="H459" i="1"/>
  <c r="J487" i="1"/>
  <c r="I487" i="1"/>
  <c r="H487" i="1"/>
  <c r="H493" i="1"/>
  <c r="J499" i="1"/>
  <c r="I499" i="1"/>
  <c r="H499" i="1"/>
  <c r="J502" i="1"/>
  <c r="I502" i="1"/>
  <c r="H502" i="1"/>
  <c r="J504" i="1"/>
  <c r="I504" i="1"/>
  <c r="J508" i="1"/>
  <c r="I508" i="1"/>
  <c r="H508" i="1"/>
  <c r="J524" i="1"/>
  <c r="I524" i="1"/>
  <c r="H524" i="1"/>
  <c r="I528" i="1"/>
  <c r="J564" i="1"/>
  <c r="I564" i="1"/>
  <c r="H564" i="1"/>
  <c r="J530" i="1"/>
  <c r="H546" i="1"/>
  <c r="J546" i="1"/>
  <c r="J572" i="1"/>
  <c r="I572" i="1"/>
  <c r="H572" i="1"/>
  <c r="J598" i="1"/>
  <c r="I598" i="1"/>
  <c r="H598" i="1"/>
  <c r="H602" i="1"/>
  <c r="J602" i="1"/>
  <c r="I602" i="1"/>
  <c r="H617" i="1"/>
  <c r="H625" i="1"/>
  <c r="J625" i="1"/>
  <c r="I625" i="1"/>
  <c r="J526" i="1"/>
  <c r="H526" i="1"/>
  <c r="I555" i="1"/>
  <c r="H555" i="1"/>
  <c r="I563" i="1"/>
  <c r="H563" i="1"/>
  <c r="J563" i="1"/>
  <c r="J568" i="1"/>
  <c r="H568" i="1"/>
  <c r="J580" i="1"/>
  <c r="I580" i="1"/>
  <c r="H580" i="1"/>
  <c r="J606" i="1"/>
  <c r="I606" i="1"/>
  <c r="H606" i="1"/>
  <c r="H610" i="1"/>
  <c r="J610" i="1"/>
  <c r="I610" i="1"/>
  <c r="I657" i="1"/>
  <c r="H657" i="1"/>
  <c r="J657" i="1"/>
  <c r="I667" i="1"/>
  <c r="J528" i="1"/>
  <c r="J542" i="1"/>
  <c r="I542" i="1"/>
  <c r="H542" i="1"/>
  <c r="J544" i="1"/>
  <c r="H544" i="1"/>
  <c r="H554" i="1"/>
  <c r="J554" i="1"/>
  <c r="H569" i="1"/>
  <c r="I571" i="1"/>
  <c r="H571" i="1"/>
  <c r="J571" i="1"/>
  <c r="J576" i="1"/>
  <c r="H576" i="1"/>
  <c r="J588" i="1"/>
  <c r="I588" i="1"/>
  <c r="H588" i="1"/>
  <c r="J614" i="1"/>
  <c r="I614" i="1"/>
  <c r="H614" i="1"/>
  <c r="J652" i="1"/>
  <c r="I453" i="1"/>
  <c r="I461" i="1"/>
  <c r="I469" i="1"/>
  <c r="I477" i="1"/>
  <c r="I485" i="1"/>
  <c r="I493" i="1"/>
  <c r="I501" i="1"/>
  <c r="I509" i="1"/>
  <c r="I515" i="1"/>
  <c r="I531" i="1"/>
  <c r="J532" i="1"/>
  <c r="H532" i="1"/>
  <c r="J534" i="1"/>
  <c r="I534" i="1"/>
  <c r="H534" i="1"/>
  <c r="J540" i="1"/>
  <c r="I540" i="1"/>
  <c r="H540" i="1"/>
  <c r="J541" i="1"/>
  <c r="I541" i="1"/>
  <c r="H541" i="1"/>
  <c r="H561" i="1"/>
  <c r="H562" i="1"/>
  <c r="J562" i="1"/>
  <c r="I562" i="1"/>
  <c r="H577" i="1"/>
  <c r="I579" i="1"/>
  <c r="H579" i="1"/>
  <c r="J579" i="1"/>
  <c r="J584" i="1"/>
  <c r="H584" i="1"/>
  <c r="J596" i="1"/>
  <c r="I596" i="1"/>
  <c r="H596" i="1"/>
  <c r="J617" i="1"/>
  <c r="I618" i="1"/>
  <c r="H618" i="1"/>
  <c r="J618" i="1"/>
  <c r="J647" i="1"/>
  <c r="I647" i="1"/>
  <c r="H647" i="1"/>
  <c r="J665" i="1"/>
  <c r="I665" i="1"/>
  <c r="H665" i="1"/>
  <c r="H521" i="1"/>
  <c r="J522" i="1"/>
  <c r="J529" i="1"/>
  <c r="I533" i="1"/>
  <c r="H533" i="1"/>
  <c r="H537" i="1"/>
  <c r="J550" i="1"/>
  <c r="I550" i="1"/>
  <c r="H550" i="1"/>
  <c r="J552" i="1"/>
  <c r="H552" i="1"/>
  <c r="J561" i="1"/>
  <c r="J566" i="1"/>
  <c r="I566" i="1"/>
  <c r="H566" i="1"/>
  <c r="H570" i="1"/>
  <c r="J570" i="1"/>
  <c r="I570" i="1"/>
  <c r="H585" i="1"/>
  <c r="I587" i="1"/>
  <c r="H587" i="1"/>
  <c r="J587" i="1"/>
  <c r="J592" i="1"/>
  <c r="H592" i="1"/>
  <c r="J604" i="1"/>
  <c r="I604" i="1"/>
  <c r="H604" i="1"/>
  <c r="H466" i="1"/>
  <c r="H474" i="1"/>
  <c r="H482" i="1"/>
  <c r="H490" i="1"/>
  <c r="H498" i="1"/>
  <c r="H506" i="1"/>
  <c r="H517" i="1"/>
  <c r="I525" i="1"/>
  <c r="J535" i="1"/>
  <c r="I535" i="1"/>
  <c r="J536" i="1"/>
  <c r="H536" i="1"/>
  <c r="J537" i="1"/>
  <c r="I539" i="1"/>
  <c r="H539" i="1"/>
  <c r="J548" i="1"/>
  <c r="I548" i="1"/>
  <c r="H548" i="1"/>
  <c r="J549" i="1"/>
  <c r="I549" i="1"/>
  <c r="H549" i="1"/>
  <c r="J569" i="1"/>
  <c r="J574" i="1"/>
  <c r="I574" i="1"/>
  <c r="H574" i="1"/>
  <c r="H578" i="1"/>
  <c r="J578" i="1"/>
  <c r="I578" i="1"/>
  <c r="H593" i="1"/>
  <c r="I595" i="1"/>
  <c r="H595" i="1"/>
  <c r="J595" i="1"/>
  <c r="J600" i="1"/>
  <c r="H600" i="1"/>
  <c r="J612" i="1"/>
  <c r="I612" i="1"/>
  <c r="H612" i="1"/>
  <c r="J626" i="1"/>
  <c r="I630" i="1"/>
  <c r="H630" i="1"/>
  <c r="J630" i="1"/>
  <c r="I517" i="1"/>
  <c r="H518" i="1"/>
  <c r="I527" i="1"/>
  <c r="I529" i="1"/>
  <c r="H530" i="1"/>
  <c r="H538" i="1"/>
  <c r="J538" i="1"/>
  <c r="J558" i="1"/>
  <c r="I558" i="1"/>
  <c r="H558" i="1"/>
  <c r="J560" i="1"/>
  <c r="H560" i="1"/>
  <c r="J582" i="1"/>
  <c r="I582" i="1"/>
  <c r="H582" i="1"/>
  <c r="H586" i="1"/>
  <c r="J586" i="1"/>
  <c r="I586" i="1"/>
  <c r="H601" i="1"/>
  <c r="I603" i="1"/>
  <c r="H603" i="1"/>
  <c r="J603" i="1"/>
  <c r="J608" i="1"/>
  <c r="H608" i="1"/>
  <c r="I624" i="1"/>
  <c r="I646" i="1"/>
  <c r="H646" i="1"/>
  <c r="J646" i="1"/>
  <c r="J627" i="1"/>
  <c r="H627" i="1"/>
  <c r="I638" i="1"/>
  <c r="H638" i="1"/>
  <c r="J638" i="1"/>
  <c r="J639" i="1"/>
  <c r="I639" i="1"/>
  <c r="I649" i="1"/>
  <c r="H649" i="1"/>
  <c r="J664" i="1"/>
  <c r="I664" i="1"/>
  <c r="H664" i="1"/>
  <c r="I675" i="1"/>
  <c r="H675" i="1"/>
  <c r="J675" i="1"/>
  <c r="I676" i="1"/>
  <c r="H676" i="1"/>
  <c r="H682" i="1"/>
  <c r="J682" i="1"/>
  <c r="I682" i="1"/>
  <c r="H690" i="1"/>
  <c r="J690" i="1"/>
  <c r="I690" i="1"/>
  <c r="J732" i="1"/>
  <c r="I732" i="1"/>
  <c r="H732" i="1"/>
  <c r="I738" i="1"/>
  <c r="J749" i="1"/>
  <c r="I749" i="1"/>
  <c r="H749" i="1"/>
  <c r="H768" i="1"/>
  <c r="J768" i="1"/>
  <c r="I537" i="1"/>
  <c r="I545" i="1"/>
  <c r="I553" i="1"/>
  <c r="I561" i="1"/>
  <c r="I569" i="1"/>
  <c r="I577" i="1"/>
  <c r="I585" i="1"/>
  <c r="I593" i="1"/>
  <c r="I601" i="1"/>
  <c r="I609" i="1"/>
  <c r="I617" i="1"/>
  <c r="J622" i="1"/>
  <c r="H637" i="1"/>
  <c r="J637" i="1"/>
  <c r="I637" i="1"/>
  <c r="J658" i="1"/>
  <c r="I658" i="1"/>
  <c r="J659" i="1"/>
  <c r="H659" i="1"/>
  <c r="J666" i="1"/>
  <c r="I666" i="1"/>
  <c r="I670" i="1"/>
  <c r="H670" i="1"/>
  <c r="J670" i="1"/>
  <c r="J737" i="1"/>
  <c r="I737" i="1"/>
  <c r="H737" i="1"/>
  <c r="H747" i="1"/>
  <c r="J747" i="1"/>
  <c r="H754" i="1"/>
  <c r="J754" i="1"/>
  <c r="I754" i="1"/>
  <c r="I543" i="1"/>
  <c r="I551" i="1"/>
  <c r="I559" i="1"/>
  <c r="I567" i="1"/>
  <c r="I575" i="1"/>
  <c r="I583" i="1"/>
  <c r="I591" i="1"/>
  <c r="I599" i="1"/>
  <c r="I607" i="1"/>
  <c r="I615" i="1"/>
  <c r="I620" i="1"/>
  <c r="I622" i="1"/>
  <c r="H623" i="1"/>
  <c r="H626" i="1"/>
  <c r="J631" i="1"/>
  <c r="I631" i="1"/>
  <c r="H632" i="1"/>
  <c r="J634" i="1"/>
  <c r="I634" i="1"/>
  <c r="J635" i="1"/>
  <c r="H635" i="1"/>
  <c r="J640" i="1"/>
  <c r="H640" i="1"/>
  <c r="H645" i="1"/>
  <c r="J645" i="1"/>
  <c r="I645" i="1"/>
  <c r="H669" i="1"/>
  <c r="J669" i="1"/>
  <c r="I669" i="1"/>
  <c r="J543" i="1"/>
  <c r="J551" i="1"/>
  <c r="J559" i="1"/>
  <c r="H565" i="1"/>
  <c r="J567" i="1"/>
  <c r="H573" i="1"/>
  <c r="J575" i="1"/>
  <c r="H581" i="1"/>
  <c r="J583" i="1"/>
  <c r="H589" i="1"/>
  <c r="J591" i="1"/>
  <c r="H597" i="1"/>
  <c r="J599" i="1"/>
  <c r="H605" i="1"/>
  <c r="J607" i="1"/>
  <c r="H613" i="1"/>
  <c r="J615" i="1"/>
  <c r="I628" i="1"/>
  <c r="I633" i="1"/>
  <c r="H633" i="1"/>
  <c r="I654" i="1"/>
  <c r="H654" i="1"/>
  <c r="J654" i="1"/>
  <c r="J655" i="1"/>
  <c r="I655" i="1"/>
  <c r="J668" i="1"/>
  <c r="I673" i="1"/>
  <c r="J673" i="1"/>
  <c r="H673" i="1"/>
  <c r="J687" i="1"/>
  <c r="I687" i="1"/>
  <c r="H687" i="1"/>
  <c r="J775" i="1"/>
  <c r="I775" i="1"/>
  <c r="H775" i="1"/>
  <c r="I565" i="1"/>
  <c r="I573" i="1"/>
  <c r="I581" i="1"/>
  <c r="I589" i="1"/>
  <c r="I597" i="1"/>
  <c r="I605" i="1"/>
  <c r="I613" i="1"/>
  <c r="J623" i="1"/>
  <c r="H624" i="1"/>
  <c r="J642" i="1"/>
  <c r="I642" i="1"/>
  <c r="J643" i="1"/>
  <c r="H643" i="1"/>
  <c r="J648" i="1"/>
  <c r="H648" i="1"/>
  <c r="I651" i="1"/>
  <c r="H653" i="1"/>
  <c r="J653" i="1"/>
  <c r="I653" i="1"/>
  <c r="H663" i="1"/>
  <c r="J672" i="1"/>
  <c r="I683" i="1"/>
  <c r="H683" i="1"/>
  <c r="J683" i="1"/>
  <c r="J619" i="1"/>
  <c r="H619" i="1"/>
  <c r="I626" i="1"/>
  <c r="I627" i="1"/>
  <c r="H629" i="1"/>
  <c r="J629" i="1"/>
  <c r="J632" i="1"/>
  <c r="I641" i="1"/>
  <c r="H641" i="1"/>
  <c r="J660" i="1"/>
  <c r="I662" i="1"/>
  <c r="H662" i="1"/>
  <c r="J662" i="1"/>
  <c r="J663" i="1"/>
  <c r="I663" i="1"/>
  <c r="J677" i="1"/>
  <c r="I677" i="1"/>
  <c r="J702" i="1"/>
  <c r="I702" i="1"/>
  <c r="H702" i="1"/>
  <c r="J621" i="1"/>
  <c r="J624" i="1"/>
  <c r="H639" i="1"/>
  <c r="J649" i="1"/>
  <c r="J650" i="1"/>
  <c r="I650" i="1"/>
  <c r="J651" i="1"/>
  <c r="H651" i="1"/>
  <c r="J656" i="1"/>
  <c r="H656" i="1"/>
  <c r="I659" i="1"/>
  <c r="H661" i="1"/>
  <c r="J661" i="1"/>
  <c r="I661" i="1"/>
  <c r="J671" i="1"/>
  <c r="I671" i="1"/>
  <c r="H671" i="1"/>
  <c r="I672" i="1"/>
  <c r="J679" i="1"/>
  <c r="I679" i="1"/>
  <c r="H679" i="1"/>
  <c r="J680" i="1"/>
  <c r="I680" i="1"/>
  <c r="I686" i="1"/>
  <c r="J686" i="1"/>
  <c r="H686" i="1"/>
  <c r="I784" i="1"/>
  <c r="J784" i="1"/>
  <c r="H636" i="1"/>
  <c r="H644" i="1"/>
  <c r="H652" i="1"/>
  <c r="H660" i="1"/>
  <c r="H668" i="1"/>
  <c r="H685" i="1"/>
  <c r="H688" i="1"/>
  <c r="H698" i="1"/>
  <c r="J698" i="1"/>
  <c r="J716" i="1"/>
  <c r="I716" i="1"/>
  <c r="H716" i="1"/>
  <c r="J721" i="1"/>
  <c r="I721" i="1"/>
  <c r="H731" i="1"/>
  <c r="J733" i="1"/>
  <c r="I733" i="1"/>
  <c r="H733" i="1"/>
  <c r="H738" i="1"/>
  <c r="J738" i="1"/>
  <c r="J750" i="1"/>
  <c r="I750" i="1"/>
  <c r="H750" i="1"/>
  <c r="I636" i="1"/>
  <c r="I644" i="1"/>
  <c r="I652" i="1"/>
  <c r="I660" i="1"/>
  <c r="H667" i="1"/>
  <c r="I668" i="1"/>
  <c r="H677" i="1"/>
  <c r="H680" i="1"/>
  <c r="I691" i="1"/>
  <c r="I699" i="1"/>
  <c r="J724" i="1"/>
  <c r="I724" i="1"/>
  <c r="H724" i="1"/>
  <c r="J729" i="1"/>
  <c r="I729" i="1"/>
  <c r="H739" i="1"/>
  <c r="J741" i="1"/>
  <c r="I741" i="1"/>
  <c r="H741" i="1"/>
  <c r="H746" i="1"/>
  <c r="J746" i="1"/>
  <c r="J758" i="1"/>
  <c r="I758" i="1"/>
  <c r="H758" i="1"/>
  <c r="J767" i="1"/>
  <c r="I767" i="1"/>
  <c r="H767" i="1"/>
  <c r="H823" i="1"/>
  <c r="I823" i="1"/>
  <c r="J844" i="1"/>
  <c r="I844" i="1"/>
  <c r="H844" i="1"/>
  <c r="J667" i="1"/>
  <c r="I678" i="1"/>
  <c r="H684" i="1"/>
  <c r="I689" i="1"/>
  <c r="J692" i="1"/>
  <c r="J710" i="1"/>
  <c r="I710" i="1"/>
  <c r="H710" i="1"/>
  <c r="I715" i="1"/>
  <c r="J740" i="1"/>
  <c r="I740" i="1"/>
  <c r="H740" i="1"/>
  <c r="J745" i="1"/>
  <c r="I745" i="1"/>
  <c r="H755" i="1"/>
  <c r="J757" i="1"/>
  <c r="I757" i="1"/>
  <c r="H757" i="1"/>
  <c r="H762" i="1"/>
  <c r="J762" i="1"/>
  <c r="J778" i="1"/>
  <c r="I778" i="1"/>
  <c r="H778" i="1"/>
  <c r="J782" i="1"/>
  <c r="I782" i="1"/>
  <c r="H782" i="1"/>
  <c r="J786" i="1"/>
  <c r="I786" i="1"/>
  <c r="H786" i="1"/>
  <c r="H672" i="1"/>
  <c r="I681" i="1"/>
  <c r="J701" i="1"/>
  <c r="I701" i="1"/>
  <c r="H701" i="1"/>
  <c r="H706" i="1"/>
  <c r="J706" i="1"/>
  <c r="J718" i="1"/>
  <c r="I718" i="1"/>
  <c r="H718" i="1"/>
  <c r="J748" i="1"/>
  <c r="I748" i="1"/>
  <c r="H748" i="1"/>
  <c r="J753" i="1"/>
  <c r="I753" i="1"/>
  <c r="H763" i="1"/>
  <c r="J765" i="1"/>
  <c r="I765" i="1"/>
  <c r="H765" i="1"/>
  <c r="J774" i="1"/>
  <c r="J801" i="1"/>
  <c r="I801" i="1"/>
  <c r="H801" i="1"/>
  <c r="H674" i="1"/>
  <c r="J674" i="1"/>
  <c r="J684" i="1"/>
  <c r="H693" i="1"/>
  <c r="I694" i="1"/>
  <c r="H694" i="1"/>
  <c r="H707" i="1"/>
  <c r="J709" i="1"/>
  <c r="I709" i="1"/>
  <c r="H709" i="1"/>
  <c r="H714" i="1"/>
  <c r="J714" i="1"/>
  <c r="J726" i="1"/>
  <c r="I726" i="1"/>
  <c r="H726" i="1"/>
  <c r="J756" i="1"/>
  <c r="I756" i="1"/>
  <c r="H756" i="1"/>
  <c r="J761" i="1"/>
  <c r="I761" i="1"/>
  <c r="J771" i="1"/>
  <c r="H771" i="1"/>
  <c r="H773" i="1"/>
  <c r="J773" i="1"/>
  <c r="I773" i="1"/>
  <c r="I777" i="1"/>
  <c r="J777" i="1"/>
  <c r="H777" i="1"/>
  <c r="J676" i="1"/>
  <c r="J685" i="1"/>
  <c r="J688" i="1"/>
  <c r="J695" i="1"/>
  <c r="I695" i="1"/>
  <c r="H695" i="1"/>
  <c r="J696" i="1"/>
  <c r="I696" i="1"/>
  <c r="H696" i="1"/>
  <c r="J700" i="1"/>
  <c r="I700" i="1"/>
  <c r="H700" i="1"/>
  <c r="J705" i="1"/>
  <c r="I705" i="1"/>
  <c r="H715" i="1"/>
  <c r="J717" i="1"/>
  <c r="I717" i="1"/>
  <c r="H717" i="1"/>
  <c r="H722" i="1"/>
  <c r="J722" i="1"/>
  <c r="J734" i="1"/>
  <c r="I734" i="1"/>
  <c r="H734" i="1"/>
  <c r="J764" i="1"/>
  <c r="I764" i="1"/>
  <c r="H764" i="1"/>
  <c r="J891" i="1"/>
  <c r="H891" i="1"/>
  <c r="J691" i="1"/>
  <c r="J697" i="1"/>
  <c r="I697" i="1"/>
  <c r="I698" i="1"/>
  <c r="J708" i="1"/>
  <c r="I708" i="1"/>
  <c r="H708" i="1"/>
  <c r="J713" i="1"/>
  <c r="I713" i="1"/>
  <c r="H723" i="1"/>
  <c r="J725" i="1"/>
  <c r="I725" i="1"/>
  <c r="H725" i="1"/>
  <c r="H730" i="1"/>
  <c r="J730" i="1"/>
  <c r="J742" i="1"/>
  <c r="I742" i="1"/>
  <c r="H742" i="1"/>
  <c r="I747" i="1"/>
  <c r="I768" i="1"/>
  <c r="J797" i="1"/>
  <c r="I797" i="1"/>
  <c r="H797" i="1"/>
  <c r="J826" i="1"/>
  <c r="I826" i="1"/>
  <c r="H826" i="1"/>
  <c r="H704" i="1"/>
  <c r="H712" i="1"/>
  <c r="H720" i="1"/>
  <c r="H728" i="1"/>
  <c r="H736" i="1"/>
  <c r="H744" i="1"/>
  <c r="H752" i="1"/>
  <c r="H760" i="1"/>
  <c r="I772" i="1"/>
  <c r="J783" i="1"/>
  <c r="I785" i="1"/>
  <c r="H785" i="1"/>
  <c r="J805" i="1"/>
  <c r="I805" i="1"/>
  <c r="H805" i="1"/>
  <c r="I808" i="1"/>
  <c r="H816" i="1"/>
  <c r="J820" i="1"/>
  <c r="I820" i="1"/>
  <c r="H820" i="1"/>
  <c r="J825" i="1"/>
  <c r="I825" i="1"/>
  <c r="H825" i="1"/>
  <c r="J835" i="1"/>
  <c r="J852" i="1"/>
  <c r="I852" i="1"/>
  <c r="H852" i="1"/>
  <c r="H869" i="1"/>
  <c r="I869" i="1"/>
  <c r="H875" i="1"/>
  <c r="J878" i="1"/>
  <c r="I878" i="1"/>
  <c r="J955" i="1"/>
  <c r="H703" i="1"/>
  <c r="I704" i="1"/>
  <c r="H711" i="1"/>
  <c r="I712" i="1"/>
  <c r="H719" i="1"/>
  <c r="I720" i="1"/>
  <c r="H727" i="1"/>
  <c r="I728" i="1"/>
  <c r="H735" i="1"/>
  <c r="I736" i="1"/>
  <c r="H743" i="1"/>
  <c r="I744" i="1"/>
  <c r="H751" i="1"/>
  <c r="I752" i="1"/>
  <c r="H759" i="1"/>
  <c r="I760" i="1"/>
  <c r="H784" i="1"/>
  <c r="H792" i="1"/>
  <c r="J796" i="1"/>
  <c r="I796" i="1"/>
  <c r="H796" i="1"/>
  <c r="H807" i="1"/>
  <c r="J810" i="1"/>
  <c r="I810" i="1"/>
  <c r="H810" i="1"/>
  <c r="J829" i="1"/>
  <c r="I829" i="1"/>
  <c r="H829" i="1"/>
  <c r="I832" i="1"/>
  <c r="J843" i="1"/>
  <c r="H856" i="1"/>
  <c r="J860" i="1"/>
  <c r="I860" i="1"/>
  <c r="H860" i="1"/>
  <c r="J864" i="1"/>
  <c r="I703" i="1"/>
  <c r="J704" i="1"/>
  <c r="I711" i="1"/>
  <c r="J712" i="1"/>
  <c r="I719" i="1"/>
  <c r="J720" i="1"/>
  <c r="I727" i="1"/>
  <c r="J728" i="1"/>
  <c r="I735" i="1"/>
  <c r="J736" i="1"/>
  <c r="I743" i="1"/>
  <c r="J744" i="1"/>
  <c r="I751" i="1"/>
  <c r="J752" i="1"/>
  <c r="I759" i="1"/>
  <c r="J760" i="1"/>
  <c r="H766" i="1"/>
  <c r="J770" i="1"/>
  <c r="I774" i="1"/>
  <c r="H800" i="1"/>
  <c r="J804" i="1"/>
  <c r="I804" i="1"/>
  <c r="H804" i="1"/>
  <c r="J809" i="1"/>
  <c r="I809" i="1"/>
  <c r="H809" i="1"/>
  <c r="J819" i="1"/>
  <c r="H831" i="1"/>
  <c r="J834" i="1"/>
  <c r="I834" i="1"/>
  <c r="H834" i="1"/>
  <c r="J838" i="1"/>
  <c r="I838" i="1"/>
  <c r="I840" i="1"/>
  <c r="J851" i="1"/>
  <c r="J951" i="1"/>
  <c r="H951" i="1"/>
  <c r="J703" i="1"/>
  <c r="J711" i="1"/>
  <c r="J719" i="1"/>
  <c r="J727" i="1"/>
  <c r="J735" i="1"/>
  <c r="J743" i="1"/>
  <c r="J751" i="1"/>
  <c r="J759" i="1"/>
  <c r="J766" i="1"/>
  <c r="H769" i="1"/>
  <c r="H776" i="1"/>
  <c r="H791" i="1"/>
  <c r="J791" i="1"/>
  <c r="J813" i="1"/>
  <c r="I813" i="1"/>
  <c r="H813" i="1"/>
  <c r="I816" i="1"/>
  <c r="J828" i="1"/>
  <c r="I828" i="1"/>
  <c r="H828" i="1"/>
  <c r="J833" i="1"/>
  <c r="I833" i="1"/>
  <c r="H833" i="1"/>
  <c r="J837" i="1"/>
  <c r="I837" i="1"/>
  <c r="H837" i="1"/>
  <c r="H839" i="1"/>
  <c r="J842" i="1"/>
  <c r="I842" i="1"/>
  <c r="H842" i="1"/>
  <c r="J846" i="1"/>
  <c r="I846" i="1"/>
  <c r="I848" i="1"/>
  <c r="J859" i="1"/>
  <c r="J863" i="1"/>
  <c r="I863" i="1"/>
  <c r="H863" i="1"/>
  <c r="J868" i="1"/>
  <c r="I868" i="1"/>
  <c r="H868" i="1"/>
  <c r="J876" i="1"/>
  <c r="I876" i="1"/>
  <c r="H882" i="1"/>
  <c r="J882" i="1"/>
  <c r="J769" i="1"/>
  <c r="J779" i="1"/>
  <c r="H779" i="1"/>
  <c r="I792" i="1"/>
  <c r="H799" i="1"/>
  <c r="J799" i="1"/>
  <c r="J803" i="1"/>
  <c r="H815" i="1"/>
  <c r="J818" i="1"/>
  <c r="I818" i="1"/>
  <c r="H818" i="1"/>
  <c r="J841" i="1"/>
  <c r="I841" i="1"/>
  <c r="H841" i="1"/>
  <c r="J845" i="1"/>
  <c r="I845" i="1"/>
  <c r="H845" i="1"/>
  <c r="H847" i="1"/>
  <c r="J850" i="1"/>
  <c r="I850" i="1"/>
  <c r="H850" i="1"/>
  <c r="J854" i="1"/>
  <c r="I854" i="1"/>
  <c r="I856" i="1"/>
  <c r="H864" i="1"/>
  <c r="J894" i="1"/>
  <c r="I894" i="1"/>
  <c r="H894" i="1"/>
  <c r="I907" i="1"/>
  <c r="H907" i="1"/>
  <c r="J907" i="1"/>
  <c r="J788" i="1"/>
  <c r="I788" i="1"/>
  <c r="H788" i="1"/>
  <c r="J789" i="1"/>
  <c r="I789" i="1"/>
  <c r="H789" i="1"/>
  <c r="J794" i="1"/>
  <c r="I794" i="1"/>
  <c r="H794" i="1"/>
  <c r="I800" i="1"/>
  <c r="J812" i="1"/>
  <c r="I812" i="1"/>
  <c r="H812" i="1"/>
  <c r="J817" i="1"/>
  <c r="I817" i="1"/>
  <c r="H817" i="1"/>
  <c r="J849" i="1"/>
  <c r="I849" i="1"/>
  <c r="H849" i="1"/>
  <c r="J853" i="1"/>
  <c r="I853" i="1"/>
  <c r="H853" i="1"/>
  <c r="H855" i="1"/>
  <c r="J858" i="1"/>
  <c r="I858" i="1"/>
  <c r="H858" i="1"/>
  <c r="J875" i="1"/>
  <c r="I943" i="1"/>
  <c r="J943" i="1"/>
  <c r="H943" i="1"/>
  <c r="I780" i="1"/>
  <c r="J781" i="1"/>
  <c r="I781" i="1"/>
  <c r="H781" i="1"/>
  <c r="J787" i="1"/>
  <c r="I787" i="1"/>
  <c r="H787" i="1"/>
  <c r="J793" i="1"/>
  <c r="I793" i="1"/>
  <c r="H793" i="1"/>
  <c r="J802" i="1"/>
  <c r="I802" i="1"/>
  <c r="H802" i="1"/>
  <c r="J816" i="1"/>
  <c r="J821" i="1"/>
  <c r="I821" i="1"/>
  <c r="H821" i="1"/>
  <c r="I824" i="1"/>
  <c r="I831" i="1"/>
  <c r="J836" i="1"/>
  <c r="I836" i="1"/>
  <c r="H836" i="1"/>
  <c r="J857" i="1"/>
  <c r="I857" i="1"/>
  <c r="H857" i="1"/>
  <c r="J861" i="1"/>
  <c r="I861" i="1"/>
  <c r="H861" i="1"/>
  <c r="I870" i="1"/>
  <c r="J870" i="1"/>
  <c r="H870" i="1"/>
  <c r="I790" i="1"/>
  <c r="I798" i="1"/>
  <c r="I806" i="1"/>
  <c r="J807" i="1"/>
  <c r="I814" i="1"/>
  <c r="J815" i="1"/>
  <c r="I822" i="1"/>
  <c r="J823" i="1"/>
  <c r="I830" i="1"/>
  <c r="J831" i="1"/>
  <c r="J839" i="1"/>
  <c r="J847" i="1"/>
  <c r="J855" i="1"/>
  <c r="J862" i="1"/>
  <c r="H865" i="1"/>
  <c r="J872" i="1"/>
  <c r="I874" i="1"/>
  <c r="H881" i="1"/>
  <c r="H883" i="1"/>
  <c r="J890" i="1"/>
  <c r="H890" i="1"/>
  <c r="J895" i="1"/>
  <c r="I895" i="1"/>
  <c r="H895" i="1"/>
  <c r="I901" i="1"/>
  <c r="H901" i="1"/>
  <c r="J901" i="1"/>
  <c r="J910" i="1"/>
  <c r="I910" i="1"/>
  <c r="H910" i="1"/>
  <c r="J921" i="1"/>
  <c r="I921" i="1"/>
  <c r="J922" i="1"/>
  <c r="H922" i="1"/>
  <c r="H924" i="1"/>
  <c r="J924" i="1"/>
  <c r="I924" i="1"/>
  <c r="I933" i="1"/>
  <c r="H933" i="1"/>
  <c r="J933" i="1"/>
  <c r="J790" i="1"/>
  <c r="J798" i="1"/>
  <c r="J806" i="1"/>
  <c r="J814" i="1"/>
  <c r="J822" i="1"/>
  <c r="J830" i="1"/>
  <c r="I865" i="1"/>
  <c r="I893" i="1"/>
  <c r="H893" i="1"/>
  <c r="J897" i="1"/>
  <c r="I897" i="1"/>
  <c r="I915" i="1"/>
  <c r="H915" i="1"/>
  <c r="H795" i="1"/>
  <c r="H803" i="1"/>
  <c r="H811" i="1"/>
  <c r="H819" i="1"/>
  <c r="H827" i="1"/>
  <c r="H835" i="1"/>
  <c r="H843" i="1"/>
  <c r="H851" i="1"/>
  <c r="H859" i="1"/>
  <c r="H867" i="1"/>
  <c r="J881" i="1"/>
  <c r="I883" i="1"/>
  <c r="H884" i="1"/>
  <c r="J884" i="1"/>
  <c r="I885" i="1"/>
  <c r="H885" i="1"/>
  <c r="J886" i="1"/>
  <c r="I886" i="1"/>
  <c r="H886" i="1"/>
  <c r="H892" i="1"/>
  <c r="J892" i="1"/>
  <c r="J898" i="1"/>
  <c r="H898" i="1"/>
  <c r="H900" i="1"/>
  <c r="J900" i="1"/>
  <c r="I900" i="1"/>
  <c r="I909" i="1"/>
  <c r="H909" i="1"/>
  <c r="J909" i="1"/>
  <c r="J918" i="1"/>
  <c r="I918" i="1"/>
  <c r="H918" i="1"/>
  <c r="J929" i="1"/>
  <c r="I929" i="1"/>
  <c r="J930" i="1"/>
  <c r="H932" i="1"/>
  <c r="J932" i="1"/>
  <c r="I932" i="1"/>
  <c r="H970" i="1"/>
  <c r="J970" i="1"/>
  <c r="I970" i="1"/>
  <c r="I979" i="1"/>
  <c r="H979" i="1"/>
  <c r="J979" i="1"/>
  <c r="I795" i="1"/>
  <c r="I803" i="1"/>
  <c r="I811" i="1"/>
  <c r="I819" i="1"/>
  <c r="I827" i="1"/>
  <c r="I835" i="1"/>
  <c r="I843" i="1"/>
  <c r="I851" i="1"/>
  <c r="I859" i="1"/>
  <c r="I864" i="1"/>
  <c r="I867" i="1"/>
  <c r="I871" i="1"/>
  <c r="J877" i="1"/>
  <c r="I923" i="1"/>
  <c r="H923" i="1"/>
  <c r="H977" i="1"/>
  <c r="J977" i="1"/>
  <c r="H873" i="1"/>
  <c r="I875" i="1"/>
  <c r="J879" i="1"/>
  <c r="I879" i="1"/>
  <c r="H879" i="1"/>
  <c r="J887" i="1"/>
  <c r="I887" i="1"/>
  <c r="H887" i="1"/>
  <c r="I891" i="1"/>
  <c r="J905" i="1"/>
  <c r="I905" i="1"/>
  <c r="J906" i="1"/>
  <c r="H906" i="1"/>
  <c r="H908" i="1"/>
  <c r="J908" i="1"/>
  <c r="I908" i="1"/>
  <c r="I917" i="1"/>
  <c r="H917" i="1"/>
  <c r="J917" i="1"/>
  <c r="I922" i="1"/>
  <c r="J926" i="1"/>
  <c r="I926" i="1"/>
  <c r="H926" i="1"/>
  <c r="J927" i="1"/>
  <c r="J937" i="1"/>
  <c r="I937" i="1"/>
  <c r="J938" i="1"/>
  <c r="J940" i="1"/>
  <c r="I940" i="1"/>
  <c r="H940" i="1"/>
  <c r="J944" i="1"/>
  <c r="H944" i="1"/>
  <c r="I944" i="1"/>
  <c r="J948" i="1"/>
  <c r="I948" i="1"/>
  <c r="H948" i="1"/>
  <c r="J984" i="1"/>
  <c r="H984" i="1"/>
  <c r="I984" i="1"/>
  <c r="I1005" i="1"/>
  <c r="H1005" i="1"/>
  <c r="J1005" i="1"/>
  <c r="H866" i="1"/>
  <c r="J871" i="1"/>
  <c r="I873" i="1"/>
  <c r="I877" i="1"/>
  <c r="H877" i="1"/>
  <c r="I899" i="1"/>
  <c r="H899" i="1"/>
  <c r="I931" i="1"/>
  <c r="H931" i="1"/>
  <c r="J941" i="1"/>
  <c r="I941" i="1"/>
  <c r="H941" i="1"/>
  <c r="J889" i="1"/>
  <c r="I889" i="1"/>
  <c r="J902" i="1"/>
  <c r="I902" i="1"/>
  <c r="H902" i="1"/>
  <c r="J913" i="1"/>
  <c r="I913" i="1"/>
  <c r="J914" i="1"/>
  <c r="H914" i="1"/>
  <c r="H916" i="1"/>
  <c r="J916" i="1"/>
  <c r="I916" i="1"/>
  <c r="I925" i="1"/>
  <c r="H925" i="1"/>
  <c r="J925" i="1"/>
  <c r="J934" i="1"/>
  <c r="I934" i="1"/>
  <c r="H934" i="1"/>
  <c r="I939" i="1"/>
  <c r="J939" i="1"/>
  <c r="H939" i="1"/>
  <c r="J945" i="1"/>
  <c r="H962" i="1"/>
  <c r="J962" i="1"/>
  <c r="I962" i="1"/>
  <c r="H969" i="1"/>
  <c r="I971" i="1"/>
  <c r="H971" i="1"/>
  <c r="J971" i="1"/>
  <c r="J980" i="1"/>
  <c r="I980" i="1"/>
  <c r="H980" i="1"/>
  <c r="J998" i="1"/>
  <c r="I998" i="1"/>
  <c r="H998" i="1"/>
  <c r="I1038" i="1"/>
  <c r="H1038" i="1"/>
  <c r="H930" i="1"/>
  <c r="H938" i="1"/>
  <c r="J966" i="1"/>
  <c r="I966" i="1"/>
  <c r="H966" i="1"/>
  <c r="J976" i="1"/>
  <c r="H976" i="1"/>
  <c r="I989" i="1"/>
  <c r="J989" i="1"/>
  <c r="H989" i="1"/>
  <c r="J1008" i="1"/>
  <c r="I1008" i="1"/>
  <c r="H1008" i="1"/>
  <c r="I947" i="1"/>
  <c r="I950" i="1"/>
  <c r="J974" i="1"/>
  <c r="I974" i="1"/>
  <c r="H974" i="1"/>
  <c r="H985" i="1"/>
  <c r="I880" i="1"/>
  <c r="I888" i="1"/>
  <c r="I896" i="1"/>
  <c r="H903" i="1"/>
  <c r="I904" i="1"/>
  <c r="H911" i="1"/>
  <c r="I912" i="1"/>
  <c r="H919" i="1"/>
  <c r="I920" i="1"/>
  <c r="H927" i="1"/>
  <c r="I928" i="1"/>
  <c r="H935" i="1"/>
  <c r="I936" i="1"/>
  <c r="J949" i="1"/>
  <c r="I949" i="1"/>
  <c r="J950" i="1"/>
  <c r="H950" i="1"/>
  <c r="I952" i="1"/>
  <c r="I954" i="1"/>
  <c r="J958" i="1"/>
  <c r="I958" i="1"/>
  <c r="H958" i="1"/>
  <c r="J964" i="1"/>
  <c r="I964" i="1"/>
  <c r="H964" i="1"/>
  <c r="H978" i="1"/>
  <c r="J978" i="1"/>
  <c r="I978" i="1"/>
  <c r="J1024" i="1"/>
  <c r="I1024" i="1"/>
  <c r="H1024" i="1"/>
  <c r="I903" i="1"/>
  <c r="I911" i="1"/>
  <c r="I919" i="1"/>
  <c r="I927" i="1"/>
  <c r="I935" i="1"/>
  <c r="I945" i="1"/>
  <c r="J952" i="1"/>
  <c r="H952" i="1"/>
  <c r="H954" i="1"/>
  <c r="J954" i="1"/>
  <c r="J956" i="1"/>
  <c r="I956" i="1"/>
  <c r="H956" i="1"/>
  <c r="J957" i="1"/>
  <c r="I957" i="1"/>
  <c r="H957" i="1"/>
  <c r="J960" i="1"/>
  <c r="H960" i="1"/>
  <c r="J982" i="1"/>
  <c r="I982" i="1"/>
  <c r="H982" i="1"/>
  <c r="I1021" i="1"/>
  <c r="H1021" i="1"/>
  <c r="J1021" i="1"/>
  <c r="I953" i="1"/>
  <c r="I955" i="1"/>
  <c r="H955" i="1"/>
  <c r="H961" i="1"/>
  <c r="I963" i="1"/>
  <c r="H963" i="1"/>
  <c r="J963" i="1"/>
  <c r="I968" i="1"/>
  <c r="J972" i="1"/>
  <c r="I972" i="1"/>
  <c r="H972" i="1"/>
  <c r="J985" i="1"/>
  <c r="I986" i="1"/>
  <c r="H986" i="1"/>
  <c r="J986" i="1"/>
  <c r="I991" i="1"/>
  <c r="J993" i="1"/>
  <c r="I993" i="1"/>
  <c r="H993" i="1"/>
  <c r="H946" i="1"/>
  <c r="J946" i="1"/>
  <c r="J968" i="1"/>
  <c r="H968" i="1"/>
  <c r="J990" i="1"/>
  <c r="I990" i="1"/>
  <c r="H990" i="1"/>
  <c r="H1040" i="1"/>
  <c r="I1040" i="1"/>
  <c r="J1040" i="1"/>
  <c r="I997" i="1"/>
  <c r="J1017" i="1"/>
  <c r="I1017" i="1"/>
  <c r="H1017" i="1"/>
  <c r="J1039" i="1"/>
  <c r="I1041" i="1"/>
  <c r="H1041" i="1"/>
  <c r="J1041" i="1"/>
  <c r="I961" i="1"/>
  <c r="I969" i="1"/>
  <c r="I977" i="1"/>
  <c r="I985" i="1"/>
  <c r="J994" i="1"/>
  <c r="I994" i="1"/>
  <c r="J999" i="1"/>
  <c r="H999" i="1"/>
  <c r="I1000" i="1"/>
  <c r="H1000" i="1"/>
  <c r="J1001" i="1"/>
  <c r="I1001" i="1"/>
  <c r="H1001" i="1"/>
  <c r="J1009" i="1"/>
  <c r="I1009" i="1"/>
  <c r="H1009" i="1"/>
  <c r="I1011" i="1"/>
  <c r="I1013" i="1"/>
  <c r="H1013" i="1"/>
  <c r="J1016" i="1"/>
  <c r="I1016" i="1"/>
  <c r="H1016" i="1"/>
  <c r="I1019" i="1"/>
  <c r="J1025" i="1"/>
  <c r="I1025" i="1"/>
  <c r="H1025" i="1"/>
  <c r="J1028" i="1"/>
  <c r="I1028" i="1"/>
  <c r="H1028" i="1"/>
  <c r="I1032" i="1"/>
  <c r="H1032" i="1"/>
  <c r="H1067" i="1"/>
  <c r="J1067" i="1"/>
  <c r="I1067" i="1"/>
  <c r="I951" i="1"/>
  <c r="I959" i="1"/>
  <c r="I967" i="1"/>
  <c r="I975" i="1"/>
  <c r="I983" i="1"/>
  <c r="I988" i="1"/>
  <c r="J1002" i="1"/>
  <c r="I1002" i="1"/>
  <c r="I1027" i="1"/>
  <c r="J1027" i="1"/>
  <c r="H1027" i="1"/>
  <c r="J1031" i="1"/>
  <c r="H965" i="1"/>
  <c r="H973" i="1"/>
  <c r="H981" i="1"/>
  <c r="J983" i="1"/>
  <c r="J988" i="1"/>
  <c r="I992" i="1"/>
  <c r="H992" i="1"/>
  <c r="H1012" i="1"/>
  <c r="J1012" i="1"/>
  <c r="J1015" i="1"/>
  <c r="I1015" i="1"/>
  <c r="H1015" i="1"/>
  <c r="I965" i="1"/>
  <c r="I973" i="1"/>
  <c r="I981" i="1"/>
  <c r="H987" i="1"/>
  <c r="J1007" i="1"/>
  <c r="I1007" i="1"/>
  <c r="H1007" i="1"/>
  <c r="J1023" i="1"/>
  <c r="I1023" i="1"/>
  <c r="H1023" i="1"/>
  <c r="I1039" i="1"/>
  <c r="I1055" i="1"/>
  <c r="H1055" i="1"/>
  <c r="J1055" i="1"/>
  <c r="I987" i="1"/>
  <c r="H997" i="1"/>
  <c r="J1014" i="1"/>
  <c r="I1014" i="1"/>
  <c r="H1014" i="1"/>
  <c r="I1026" i="1"/>
  <c r="H1045" i="1"/>
  <c r="H1070" i="1"/>
  <c r="J1070" i="1"/>
  <c r="I1070" i="1"/>
  <c r="H991" i="1"/>
  <c r="H996" i="1"/>
  <c r="J997" i="1"/>
  <c r="I999" i="1"/>
  <c r="I1003" i="1"/>
  <c r="J1004" i="1"/>
  <c r="J1006" i="1"/>
  <c r="I1006" i="1"/>
  <c r="H1006" i="1"/>
  <c r="J1020" i="1"/>
  <c r="J1022" i="1"/>
  <c r="I1022" i="1"/>
  <c r="H1022" i="1"/>
  <c r="H1026" i="1"/>
  <c r="J1026" i="1"/>
  <c r="J1030" i="1"/>
  <c r="J1038" i="1"/>
  <c r="I1053" i="1"/>
  <c r="H1053" i="1"/>
  <c r="H1010" i="1"/>
  <c r="H1018" i="1"/>
  <c r="H1029" i="1"/>
  <c r="J1034" i="1"/>
  <c r="H1034" i="1"/>
  <c r="I1047" i="1"/>
  <c r="H1047" i="1"/>
  <c r="J1051" i="1"/>
  <c r="I1051" i="1"/>
  <c r="H1051" i="1"/>
  <c r="I1074" i="1"/>
  <c r="H1074" i="1"/>
  <c r="J1074" i="1"/>
  <c r="I1077" i="1"/>
  <c r="H1077" i="1"/>
  <c r="J1077" i="1"/>
  <c r="J995" i="1"/>
  <c r="J1003" i="1"/>
  <c r="I1010" i="1"/>
  <c r="J1011" i="1"/>
  <c r="I1018" i="1"/>
  <c r="J1019" i="1"/>
  <c r="I1029" i="1"/>
  <c r="H1035" i="1"/>
  <c r="H1046" i="1"/>
  <c r="J1010" i="1"/>
  <c r="J1018" i="1"/>
  <c r="J1029" i="1"/>
  <c r="I1031" i="1"/>
  <c r="J1035" i="1"/>
  <c r="J1050" i="1"/>
  <c r="J1054" i="1"/>
  <c r="H1054" i="1"/>
  <c r="J1069" i="1"/>
  <c r="H1069" i="1"/>
  <c r="J1046" i="1"/>
  <c r="I1057" i="1"/>
  <c r="H1057" i="1"/>
  <c r="J1057" i="1"/>
  <c r="J1061" i="1"/>
  <c r="I1061" i="1"/>
  <c r="H1061" i="1"/>
  <c r="H1076" i="1"/>
  <c r="J1076" i="1"/>
  <c r="I1076" i="1"/>
  <c r="H1094" i="1"/>
  <c r="J1094" i="1"/>
  <c r="I1094" i="1"/>
  <c r="J1042" i="1"/>
  <c r="I1042" i="1"/>
  <c r="H1042" i="1"/>
  <c r="J1043" i="1"/>
  <c r="I1043" i="1"/>
  <c r="H1043" i="1"/>
  <c r="J1044" i="1"/>
  <c r="I1044" i="1"/>
  <c r="H1044" i="1"/>
  <c r="I1049" i="1"/>
  <c r="H1049" i="1"/>
  <c r="J1049" i="1"/>
  <c r="H1056" i="1"/>
  <c r="J1056" i="1"/>
  <c r="I1056" i="1"/>
  <c r="J1059" i="1"/>
  <c r="I1059" i="1"/>
  <c r="J1062" i="1"/>
  <c r="I1062" i="1"/>
  <c r="J1065" i="1"/>
  <c r="I1065" i="1"/>
  <c r="H1065" i="1"/>
  <c r="J1068" i="1"/>
  <c r="I1068" i="1"/>
  <c r="H1068" i="1"/>
  <c r="H1071" i="1"/>
  <c r="J1071" i="1"/>
  <c r="I1071" i="1"/>
  <c r="H1031" i="1"/>
  <c r="I1033" i="1"/>
  <c r="J1033" i="1"/>
  <c r="H1048" i="1"/>
  <c r="J1048" i="1"/>
  <c r="I1048" i="1"/>
  <c r="J1066" i="1"/>
  <c r="H1066" i="1"/>
  <c r="J1146" i="1"/>
  <c r="I1146" i="1"/>
  <c r="H1146" i="1"/>
  <c r="H1030" i="1"/>
  <c r="I1034" i="1"/>
  <c r="J1036" i="1"/>
  <c r="I1037" i="1"/>
  <c r="H1039" i="1"/>
  <c r="J1052" i="1"/>
  <c r="I1052" i="1"/>
  <c r="H1052" i="1"/>
  <c r="H1060" i="1"/>
  <c r="J1060" i="1"/>
  <c r="I1060" i="1"/>
  <c r="H1063" i="1"/>
  <c r="J1063" i="1"/>
  <c r="I1063" i="1"/>
  <c r="J1081" i="1"/>
  <c r="H1081" i="1"/>
  <c r="I1082" i="1"/>
  <c r="H1082" i="1"/>
  <c r="J1083" i="1"/>
  <c r="I1083" i="1"/>
  <c r="I1085" i="1"/>
  <c r="H1085" i="1"/>
  <c r="J1097" i="1"/>
  <c r="I1097" i="1"/>
  <c r="H1097" i="1"/>
  <c r="J1099" i="1"/>
  <c r="I1099" i="1"/>
  <c r="H1099" i="1"/>
  <c r="H1073" i="1"/>
  <c r="J1078" i="1"/>
  <c r="I1078" i="1"/>
  <c r="J1084" i="1"/>
  <c r="H1084" i="1"/>
  <c r="J1086" i="1"/>
  <c r="I1086" i="1"/>
  <c r="H1087" i="1"/>
  <c r="J1087" i="1"/>
  <c r="H1095" i="1"/>
  <c r="J1095" i="1"/>
  <c r="I1095" i="1"/>
  <c r="J1103" i="1"/>
  <c r="I1103" i="1"/>
  <c r="J1105" i="1"/>
  <c r="I1105" i="1"/>
  <c r="H1105" i="1"/>
  <c r="J1108" i="1"/>
  <c r="I1108" i="1"/>
  <c r="H1108" i="1"/>
  <c r="I1045" i="1"/>
  <c r="H1072" i="1"/>
  <c r="I1093" i="1"/>
  <c r="H1093" i="1"/>
  <c r="H1098" i="1"/>
  <c r="I1100" i="1"/>
  <c r="H1100" i="1"/>
  <c r="J1045" i="1"/>
  <c r="J1053" i="1"/>
  <c r="H1079" i="1"/>
  <c r="J1079" i="1"/>
  <c r="J1107" i="1"/>
  <c r="I1107" i="1"/>
  <c r="H1107" i="1"/>
  <c r="J1148" i="1"/>
  <c r="I1148" i="1"/>
  <c r="H1148" i="1"/>
  <c r="H1050" i="1"/>
  <c r="I1075" i="1"/>
  <c r="H1080" i="1"/>
  <c r="J1090" i="1"/>
  <c r="I1090" i="1"/>
  <c r="H1090" i="1"/>
  <c r="J1091" i="1"/>
  <c r="I1091" i="1"/>
  <c r="J1098" i="1"/>
  <c r="J1119" i="1"/>
  <c r="J1127" i="1"/>
  <c r="I1127" i="1"/>
  <c r="I1050" i="1"/>
  <c r="H1064" i="1"/>
  <c r="I1072" i="1"/>
  <c r="J1082" i="1"/>
  <c r="J1089" i="1"/>
  <c r="I1089" i="1"/>
  <c r="H1089" i="1"/>
  <c r="J1121" i="1"/>
  <c r="I1121" i="1"/>
  <c r="H1121" i="1"/>
  <c r="J1135" i="1"/>
  <c r="J1064" i="1"/>
  <c r="I1080" i="1"/>
  <c r="I1088" i="1"/>
  <c r="H1088" i="1"/>
  <c r="J1137" i="1"/>
  <c r="I1137" i="1"/>
  <c r="H1137" i="1"/>
  <c r="I1101" i="1"/>
  <c r="I1112" i="1"/>
  <c r="H1112" i="1"/>
  <c r="J1123" i="1"/>
  <c r="I1123" i="1"/>
  <c r="H1123" i="1"/>
  <c r="J1124" i="1"/>
  <c r="I1124" i="1"/>
  <c r="H1124" i="1"/>
  <c r="H1127" i="1"/>
  <c r="H1144" i="1"/>
  <c r="I1155" i="1"/>
  <c r="H1155" i="1"/>
  <c r="J1155" i="1"/>
  <c r="H1092" i="1"/>
  <c r="J1106" i="1"/>
  <c r="I1106" i="1"/>
  <c r="H1106" i="1"/>
  <c r="J1122" i="1"/>
  <c r="I1122" i="1"/>
  <c r="H1122" i="1"/>
  <c r="J1126" i="1"/>
  <c r="I1132" i="1"/>
  <c r="J1138" i="1"/>
  <c r="I1138" i="1"/>
  <c r="H1138" i="1"/>
  <c r="H1159" i="1"/>
  <c r="J1092" i="1"/>
  <c r="J1096" i="1"/>
  <c r="J1102" i="1"/>
  <c r="J1110" i="1"/>
  <c r="I1120" i="1"/>
  <c r="H1120" i="1"/>
  <c r="I1136" i="1"/>
  <c r="H1136" i="1"/>
  <c r="I1161" i="1"/>
  <c r="H1161" i="1"/>
  <c r="J1130" i="1"/>
  <c r="I1130" i="1"/>
  <c r="H1130" i="1"/>
  <c r="J1131" i="1"/>
  <c r="I1131" i="1"/>
  <c r="H1131" i="1"/>
  <c r="H1134" i="1"/>
  <c r="J1140" i="1"/>
  <c r="I1171" i="1"/>
  <c r="H1171" i="1"/>
  <c r="J1171" i="1"/>
  <c r="H1183" i="1"/>
  <c r="J1193" i="1"/>
  <c r="I1195" i="1"/>
  <c r="H1195" i="1"/>
  <c r="J1195" i="1"/>
  <c r="J1115" i="1"/>
  <c r="I1115" i="1"/>
  <c r="H1115" i="1"/>
  <c r="J1116" i="1"/>
  <c r="I1116" i="1"/>
  <c r="H1116" i="1"/>
  <c r="H1119" i="1"/>
  <c r="J1129" i="1"/>
  <c r="I1129" i="1"/>
  <c r="H1129" i="1"/>
  <c r="H1135" i="1"/>
  <c r="H1141" i="1"/>
  <c r="J1141" i="1"/>
  <c r="I1141" i="1"/>
  <c r="J1101" i="1"/>
  <c r="H1103" i="1"/>
  <c r="I1104" i="1"/>
  <c r="H1104" i="1"/>
  <c r="J1114" i="1"/>
  <c r="I1114" i="1"/>
  <c r="H1114" i="1"/>
  <c r="J1118" i="1"/>
  <c r="I1128" i="1"/>
  <c r="H1128" i="1"/>
  <c r="J1134" i="1"/>
  <c r="J1153" i="1"/>
  <c r="I1153" i="1"/>
  <c r="H1153" i="1"/>
  <c r="H1168" i="1"/>
  <c r="I1168" i="1"/>
  <c r="H1170" i="1"/>
  <c r="J1170" i="1"/>
  <c r="I1170" i="1"/>
  <c r="J1113" i="1"/>
  <c r="I1113" i="1"/>
  <c r="H1113" i="1"/>
  <c r="J1139" i="1"/>
  <c r="I1139" i="1"/>
  <c r="J1143" i="1"/>
  <c r="I1143" i="1"/>
  <c r="J1145" i="1"/>
  <c r="I1145" i="1"/>
  <c r="H1145" i="1"/>
  <c r="I1147" i="1"/>
  <c r="H1147" i="1"/>
  <c r="J1147" i="1"/>
  <c r="J1167" i="1"/>
  <c r="I1167" i="1"/>
  <c r="I1109" i="1"/>
  <c r="I1117" i="1"/>
  <c r="I1125" i="1"/>
  <c r="H1132" i="1"/>
  <c r="I1133" i="1"/>
  <c r="I1185" i="1"/>
  <c r="H1185" i="1"/>
  <c r="J1191" i="1"/>
  <c r="I1191" i="1"/>
  <c r="H1192" i="1"/>
  <c r="H1194" i="1"/>
  <c r="J1194" i="1"/>
  <c r="I1194" i="1"/>
  <c r="I1179" i="1"/>
  <c r="H1179" i="1"/>
  <c r="J1179" i="1"/>
  <c r="J1132" i="1"/>
  <c r="J1142" i="1"/>
  <c r="J1149" i="1"/>
  <c r="I1149" i="1"/>
  <c r="H1149" i="1"/>
  <c r="I1169" i="1"/>
  <c r="H1169" i="1"/>
  <c r="J1175" i="1"/>
  <c r="I1175" i="1"/>
  <c r="H1176" i="1"/>
  <c r="H1178" i="1"/>
  <c r="J1178" i="1"/>
  <c r="I1178" i="1"/>
  <c r="H1152" i="1"/>
  <c r="J1156" i="1"/>
  <c r="I1156" i="1"/>
  <c r="H1156" i="1"/>
  <c r="I1163" i="1"/>
  <c r="H1163" i="1"/>
  <c r="J1163" i="1"/>
  <c r="J1189" i="1"/>
  <c r="I1193" i="1"/>
  <c r="H1193" i="1"/>
  <c r="J1199" i="1"/>
  <c r="I1199" i="1"/>
  <c r="H1151" i="1"/>
  <c r="I1152" i="1"/>
  <c r="H1154" i="1"/>
  <c r="I1154" i="1"/>
  <c r="J1159" i="1"/>
  <c r="I1159" i="1"/>
  <c r="H1160" i="1"/>
  <c r="H1162" i="1"/>
  <c r="J1162" i="1"/>
  <c r="I1162" i="1"/>
  <c r="I1187" i="1"/>
  <c r="H1187" i="1"/>
  <c r="J1187" i="1"/>
  <c r="H1200" i="1"/>
  <c r="H1140" i="1"/>
  <c r="J1151" i="1"/>
  <c r="I1151" i="1"/>
  <c r="J1173" i="1"/>
  <c r="I1177" i="1"/>
  <c r="H1177" i="1"/>
  <c r="J1183" i="1"/>
  <c r="I1183" i="1"/>
  <c r="H1184" i="1"/>
  <c r="H1186" i="1"/>
  <c r="J1186" i="1"/>
  <c r="I1186" i="1"/>
  <c r="H1150" i="1"/>
  <c r="J1152" i="1"/>
  <c r="H1158" i="1"/>
  <c r="J1160" i="1"/>
  <c r="H1166" i="1"/>
  <c r="J1168" i="1"/>
  <c r="H1174" i="1"/>
  <c r="J1176" i="1"/>
  <c r="H1182" i="1"/>
  <c r="J1184" i="1"/>
  <c r="H1190" i="1"/>
  <c r="J1192" i="1"/>
  <c r="H1198" i="1"/>
  <c r="J1200" i="1"/>
  <c r="I1150" i="1"/>
  <c r="H1157" i="1"/>
  <c r="I1158" i="1"/>
  <c r="H1165" i="1"/>
  <c r="I1166" i="1"/>
  <c r="H1173" i="1"/>
  <c r="I1174" i="1"/>
  <c r="H1181" i="1"/>
  <c r="I1182" i="1"/>
  <c r="H1189" i="1"/>
  <c r="I1190" i="1"/>
  <c r="H1197" i="1"/>
  <c r="I1198" i="1"/>
  <c r="I1157" i="1"/>
  <c r="H1164" i="1"/>
  <c r="I1165" i="1"/>
  <c r="H1172" i="1"/>
  <c r="I1173" i="1"/>
  <c r="H1180" i="1"/>
  <c r="I1181" i="1"/>
  <c r="H1188" i="1"/>
  <c r="I1189" i="1"/>
  <c r="H1196" i="1"/>
  <c r="I1197" i="1"/>
  <c r="I1164" i="1"/>
  <c r="I1172" i="1"/>
  <c r="I1180" i="1"/>
  <c r="I1188" i="1"/>
  <c r="I1196" i="1"/>
  <c r="AG793" i="1"/>
  <c r="AH793" i="1" s="1"/>
  <c r="AG1095" i="1"/>
  <c r="AH1095" i="1" s="1"/>
  <c r="AG1017" i="1"/>
  <c r="AG853" i="1"/>
  <c r="AG806" i="1"/>
  <c r="AI806" i="1" s="1"/>
  <c r="AG960" i="1"/>
  <c r="AG79" i="1"/>
  <c r="AG921" i="1"/>
  <c r="AH921" i="1" s="1"/>
  <c r="AG748" i="1"/>
  <c r="AH748" i="1" s="1"/>
  <c r="AG770" i="1"/>
  <c r="AH770" i="1" s="1"/>
  <c r="AG1071" i="1"/>
  <c r="AH1071" i="1" s="1"/>
  <c r="AG969" i="1"/>
  <c r="AI969" i="1" s="1"/>
  <c r="AG1050" i="1"/>
  <c r="AI1050" i="1" s="1"/>
  <c r="AG1130" i="1"/>
  <c r="AI1130" i="1" s="1"/>
  <c r="AG752" i="1"/>
  <c r="AI752" i="1" s="1"/>
  <c r="AG937" i="1"/>
  <c r="AI937" i="1" s="1"/>
  <c r="AG981" i="1"/>
  <c r="AI981" i="1" s="1"/>
  <c r="AG1124" i="1"/>
  <c r="AG1170" i="1"/>
  <c r="AH1170" i="1" s="1"/>
  <c r="AG591" i="1"/>
  <c r="AI591" i="1" s="1"/>
  <c r="AG791" i="1"/>
  <c r="AI791" i="1" s="1"/>
  <c r="AG942" i="1"/>
  <c r="AI942" i="1" s="1"/>
  <c r="AG1187" i="1"/>
  <c r="AH1187" i="1" s="1"/>
  <c r="C1187" i="1" a="1"/>
  <c r="C1187" i="1" s="1"/>
  <c r="AG52" i="1"/>
  <c r="AH52" i="1" s="1"/>
  <c r="C52" i="1" a="1"/>
  <c r="C52" i="1" s="1"/>
  <c r="AG939" i="1"/>
  <c r="AI939" i="1" s="1"/>
  <c r="C939" i="1" a="1"/>
  <c r="C939" i="1" s="1"/>
  <c r="AG41" i="1"/>
  <c r="C41" i="1" a="1"/>
  <c r="C41" i="1" s="1"/>
  <c r="AG98" i="1"/>
  <c r="AH98" i="1" s="1"/>
  <c r="C98" i="1" a="1"/>
  <c r="C98" i="1" s="1"/>
  <c r="AG181" i="1"/>
  <c r="AH181" i="1" s="1"/>
  <c r="C181" i="1" a="1"/>
  <c r="C181" i="1" s="1"/>
  <c r="AG489" i="1"/>
  <c r="AI489" i="1" s="1"/>
  <c r="AG755" i="1"/>
  <c r="AI755" i="1" s="1"/>
  <c r="C755" i="1" a="1"/>
  <c r="C755" i="1" s="1"/>
  <c r="AG860" i="1"/>
  <c r="AI860" i="1" s="1"/>
  <c r="AG77" i="1"/>
  <c r="AI77" i="1" s="1"/>
  <c r="C77" i="1" a="1"/>
  <c r="C77" i="1" s="1"/>
  <c r="AG1178" i="1"/>
  <c r="AG327" i="1"/>
  <c r="C327" i="1" a="1"/>
  <c r="C327" i="1" s="1"/>
  <c r="S458" i="9"/>
  <c r="C458" i="1" a="1"/>
  <c r="C458" i="1" s="1"/>
  <c r="AG885" i="1"/>
  <c r="AH885" i="1" s="1"/>
  <c r="AG1068" i="1"/>
  <c r="AH1068" i="1" s="1"/>
  <c r="AG1089" i="1"/>
  <c r="AH1089" i="1" s="1"/>
  <c r="AG20" i="1"/>
  <c r="AH20" i="1" s="1"/>
  <c r="C20" i="1" a="1"/>
  <c r="C20" i="1" s="1"/>
  <c r="AG32" i="1"/>
  <c r="C32" i="1" a="1"/>
  <c r="C32" i="1" s="1"/>
  <c r="AG44" i="1"/>
  <c r="C44" i="1" a="1"/>
  <c r="C44" i="1" s="1"/>
  <c r="AG56" i="1"/>
  <c r="AH56" i="1" s="1"/>
  <c r="C56" i="1" a="1"/>
  <c r="C56" i="1" s="1"/>
  <c r="AG100" i="1"/>
  <c r="AI100" i="1" s="1"/>
  <c r="AG304" i="1"/>
  <c r="AI304" i="1" s="1"/>
  <c r="C304" i="1" a="1"/>
  <c r="C304" i="1" s="1"/>
  <c r="AG364" i="1"/>
  <c r="AI364" i="1" s="1"/>
  <c r="C364" i="1" a="1"/>
  <c r="C364" i="1" s="1"/>
  <c r="AG376" i="1"/>
  <c r="AI376" i="1" s="1"/>
  <c r="C376" i="1" a="1"/>
  <c r="C376" i="1" s="1"/>
  <c r="AG400" i="1"/>
  <c r="AH400" i="1" s="1"/>
  <c r="C400" i="1" a="1"/>
  <c r="C400" i="1" s="1"/>
  <c r="AG412" i="1"/>
  <c r="C412" i="1" a="1"/>
  <c r="C412" i="1" s="1"/>
  <c r="T436" i="9"/>
  <c r="C436" i="1" a="1"/>
  <c r="C436" i="1" s="1"/>
  <c r="AG448" i="1"/>
  <c r="AH448" i="1" s="1"/>
  <c r="C448" i="1" a="1"/>
  <c r="C448" i="1" s="1"/>
  <c r="AG458" i="1"/>
  <c r="AI458" i="1" s="1"/>
  <c r="O481" i="9"/>
  <c r="C481" i="1" a="1"/>
  <c r="C481" i="1" s="1"/>
  <c r="AG657" i="1"/>
  <c r="AI657" i="1" s="1"/>
  <c r="C657" i="1" a="1"/>
  <c r="C657" i="1" s="1"/>
  <c r="AG809" i="1"/>
  <c r="AG984" i="1"/>
  <c r="AG1026" i="1"/>
  <c r="AI1026" i="1" s="1"/>
  <c r="AG455" i="1"/>
  <c r="C455" i="1" a="1"/>
  <c r="C455" i="1" s="1"/>
  <c r="AG28" i="1"/>
  <c r="AI28" i="1" s="1"/>
  <c r="C28" i="1" a="1"/>
  <c r="C28" i="1" s="1"/>
  <c r="T444" i="9"/>
  <c r="C444" i="1" a="1"/>
  <c r="C444" i="1" s="1"/>
  <c r="T523" i="9"/>
  <c r="C523" i="1" a="1"/>
  <c r="C523" i="1" s="1"/>
  <c r="S478" i="9"/>
  <c r="C478" i="1" a="1"/>
  <c r="C478" i="1" s="1"/>
  <c r="AG134" i="1"/>
  <c r="C134" i="1" a="1"/>
  <c r="C134" i="1" s="1"/>
  <c r="AG242" i="1"/>
  <c r="AI242" i="1" s="1"/>
  <c r="C242" i="1" a="1"/>
  <c r="C242" i="1" s="1"/>
  <c r="S631" i="9"/>
  <c r="C631" i="1" a="1"/>
  <c r="C631" i="1" s="1"/>
  <c r="AG678" i="1"/>
  <c r="AH678" i="1" s="1"/>
  <c r="AG43" i="1"/>
  <c r="AH43" i="1" s="1"/>
  <c r="C43" i="1" a="1"/>
  <c r="C43" i="1" s="1"/>
  <c r="AG209" i="1"/>
  <c r="AH209" i="1" s="1"/>
  <c r="C209" i="1" a="1"/>
  <c r="C209" i="1" s="1"/>
  <c r="T459" i="9"/>
  <c r="C459" i="1" a="1"/>
  <c r="C459" i="1" s="1"/>
  <c r="AG516" i="1"/>
  <c r="AI516" i="1" s="1"/>
  <c r="C516" i="1" a="1"/>
  <c r="C516" i="1" s="1"/>
  <c r="AG438" i="1"/>
  <c r="AH438" i="1" s="1"/>
  <c r="C438" i="1" a="1"/>
  <c r="C438" i="1" s="1"/>
  <c r="N460" i="9"/>
  <c r="C460" i="1" a="1"/>
  <c r="C460" i="1" s="1"/>
  <c r="AG494" i="1"/>
  <c r="AI494" i="1" s="1"/>
  <c r="C494" i="1" a="1"/>
  <c r="C494" i="1" s="1"/>
  <c r="O517" i="9"/>
  <c r="C517" i="1" a="1"/>
  <c r="C517" i="1" s="1"/>
  <c r="O635" i="9"/>
  <c r="C635" i="1" a="1"/>
  <c r="C635" i="1" s="1"/>
  <c r="AG717" i="1"/>
  <c r="AH717" i="1" s="1"/>
  <c r="C717" i="1" a="1"/>
  <c r="C717" i="1" s="1"/>
  <c r="AG728" i="1"/>
  <c r="AI728" i="1" s="1"/>
  <c r="AG739" i="1"/>
  <c r="AH739" i="1" s="1"/>
  <c r="C739" i="1" a="1"/>
  <c r="C739" i="1" s="1"/>
  <c r="T780" i="9"/>
  <c r="C780" i="1" a="1"/>
  <c r="C780" i="1" s="1"/>
  <c r="AG833" i="1"/>
  <c r="AG966" i="1"/>
  <c r="AH966" i="1" s="1"/>
  <c r="C966" i="1" a="1"/>
  <c r="C966" i="1" s="1"/>
  <c r="AG1008" i="1"/>
  <c r="AG1125" i="1"/>
  <c r="C1125" i="1" a="1"/>
  <c r="C1125" i="1" s="1"/>
  <c r="AG109" i="1"/>
  <c r="AI109" i="1" s="1"/>
  <c r="C109" i="1" a="1"/>
  <c r="C109" i="1" s="1"/>
  <c r="AG145" i="1"/>
  <c r="AH145" i="1" s="1"/>
  <c r="C145" i="1" a="1"/>
  <c r="C145" i="1" s="1"/>
  <c r="AG277" i="1"/>
  <c r="AH277" i="1" s="1"/>
  <c r="C277" i="1" a="1"/>
  <c r="C277" i="1" s="1"/>
  <c r="AG313" i="1"/>
  <c r="AI313" i="1" s="1"/>
  <c r="C313" i="1" a="1"/>
  <c r="C313" i="1" s="1"/>
  <c r="AG445" i="1"/>
  <c r="AI445" i="1" s="1"/>
  <c r="C445" i="1" a="1"/>
  <c r="C445" i="1" s="1"/>
  <c r="AG918" i="1"/>
  <c r="AG561" i="1"/>
  <c r="AH561" i="1" s="1"/>
  <c r="C561" i="1" a="1"/>
  <c r="C561" i="1" s="1"/>
  <c r="T607" i="9"/>
  <c r="C607" i="1" a="1"/>
  <c r="C607" i="1" s="1"/>
  <c r="S655" i="9"/>
  <c r="C655" i="1" a="1"/>
  <c r="C655" i="1" s="1"/>
  <c r="AG88" i="1"/>
  <c r="AH88" i="1" s="1"/>
  <c r="AG291" i="1"/>
  <c r="C291" i="1" a="1"/>
  <c r="C291" i="1" s="1"/>
  <c r="N514" i="9"/>
  <c r="C514" i="1" a="1"/>
  <c r="C514" i="1" s="1"/>
  <c r="AG101" i="1"/>
  <c r="AH101" i="1" s="1"/>
  <c r="C101" i="1" a="1"/>
  <c r="C101" i="1" s="1"/>
  <c r="AG1070" i="1"/>
  <c r="AI1070" i="1" s="1"/>
  <c r="C1070" i="1" a="1"/>
  <c r="C1070" i="1" s="1"/>
  <c r="AG1181" i="1"/>
  <c r="AH1181" i="1" s="1"/>
  <c r="C1181" i="1" a="1"/>
  <c r="C1181" i="1" s="1"/>
  <c r="AG235" i="1"/>
  <c r="AH235" i="1" s="1"/>
  <c r="C235" i="1" a="1"/>
  <c r="C235" i="1" s="1"/>
  <c r="AG427" i="1"/>
  <c r="C427" i="1" a="1"/>
  <c r="C427" i="1" s="1"/>
  <c r="AG439" i="1"/>
  <c r="AH439" i="1" s="1"/>
  <c r="C439" i="1" a="1"/>
  <c r="C439" i="1" s="1"/>
  <c r="AG450" i="1"/>
  <c r="C450" i="1" a="1"/>
  <c r="C450" i="1" s="1"/>
  <c r="AG461" i="1"/>
  <c r="AI461" i="1" s="1"/>
  <c r="C461" i="1" a="1"/>
  <c r="C461" i="1" s="1"/>
  <c r="N484" i="9"/>
  <c r="C484" i="1" a="1"/>
  <c r="C484" i="1" s="1"/>
  <c r="AG507" i="1"/>
  <c r="AI507" i="1" s="1"/>
  <c r="C507" i="1" a="1"/>
  <c r="C507" i="1" s="1"/>
  <c r="AG600" i="1"/>
  <c r="C600" i="1" a="1"/>
  <c r="C600" i="1" s="1"/>
  <c r="AG901" i="1"/>
  <c r="AH901" i="1" s="1"/>
  <c r="C901" i="1" a="1"/>
  <c r="C901" i="1" s="1"/>
  <c r="AG1182" i="1"/>
  <c r="AG86" i="1"/>
  <c r="AI86" i="1" s="1"/>
  <c r="C86" i="1" a="1"/>
  <c r="C86" i="1" s="1"/>
  <c r="AG775" i="1"/>
  <c r="AH775" i="1" s="1"/>
  <c r="AG850" i="1"/>
  <c r="AH850" i="1" s="1"/>
  <c r="AG146" i="1"/>
  <c r="AI146" i="1" s="1"/>
  <c r="C146" i="1" a="1"/>
  <c r="C146" i="1" s="1"/>
  <c r="R467" i="9"/>
  <c r="C467" i="1" a="1"/>
  <c r="C467" i="1" s="1"/>
  <c r="M735" i="9"/>
  <c r="C735" i="1" a="1"/>
  <c r="C735" i="1" s="1"/>
  <c r="S679" i="9"/>
  <c r="C679" i="1" a="1"/>
  <c r="C679" i="1" s="1"/>
  <c r="O449" i="9"/>
  <c r="C449" i="1" a="1"/>
  <c r="C449" i="1" s="1"/>
  <c r="R505" i="9"/>
  <c r="C505" i="1" a="1"/>
  <c r="C505" i="1" s="1"/>
  <c r="AG779" i="1"/>
  <c r="AI779" i="1" s="1"/>
  <c r="C779" i="1" a="1"/>
  <c r="C779" i="1" s="1"/>
  <c r="AG34" i="1"/>
  <c r="AI34" i="1" s="1"/>
  <c r="C34" i="1" a="1"/>
  <c r="C34" i="1" s="1"/>
  <c r="AG80" i="1"/>
  <c r="C80" i="1" a="1"/>
  <c r="C80" i="1" s="1"/>
  <c r="AG59" i="1"/>
  <c r="C59" i="1" a="1"/>
  <c r="C59" i="1" s="1"/>
  <c r="AG92" i="1"/>
  <c r="AH92" i="1" s="1"/>
  <c r="C92" i="1" a="1"/>
  <c r="C92" i="1" s="1"/>
  <c r="AG248" i="1"/>
  <c r="AI248" i="1" s="1"/>
  <c r="C248" i="1" a="1"/>
  <c r="C248" i="1" s="1"/>
  <c r="AG451" i="1"/>
  <c r="AH451" i="1" s="1"/>
  <c r="C451" i="1" a="1"/>
  <c r="C451" i="1" s="1"/>
  <c r="AG462" i="1"/>
  <c r="AI462" i="1" s="1"/>
  <c r="C462" i="1" a="1"/>
  <c r="C462" i="1" s="1"/>
  <c r="AG485" i="1"/>
  <c r="AI485" i="1" s="1"/>
  <c r="C485" i="1" a="1"/>
  <c r="C485" i="1" s="1"/>
  <c r="S496" i="9"/>
  <c r="C496" i="1" a="1"/>
  <c r="C496" i="1" s="1"/>
  <c r="AG978" i="1"/>
  <c r="AI978" i="1" s="1"/>
  <c r="AG1062" i="1"/>
  <c r="AI1062" i="1" s="1"/>
  <c r="C1062" i="1" a="1"/>
  <c r="C1062" i="1" s="1"/>
  <c r="O535" i="9"/>
  <c r="C535" i="1" a="1"/>
  <c r="C535" i="1" s="1"/>
  <c r="AG217" i="1"/>
  <c r="AI217" i="1" s="1"/>
  <c r="C217" i="1" a="1"/>
  <c r="C217" i="1" s="1"/>
  <c r="AG456" i="1"/>
  <c r="AH456" i="1" s="1"/>
  <c r="C456" i="1" a="1"/>
  <c r="C456" i="1" s="1"/>
  <c r="AG512" i="1"/>
  <c r="AI512" i="1" s="1"/>
  <c r="AG457" i="1"/>
  <c r="C457" i="1" a="1"/>
  <c r="C457" i="1" s="1"/>
  <c r="AG766" i="1"/>
  <c r="AH766" i="1" s="1"/>
  <c r="AG1056" i="1"/>
  <c r="AI1056" i="1" s="1"/>
  <c r="AG1098" i="1"/>
  <c r="AH1098" i="1" s="1"/>
  <c r="C1098" i="1" a="1"/>
  <c r="C1098" i="1" s="1"/>
  <c r="AG1188" i="1"/>
  <c r="AI1188" i="1" s="1"/>
  <c r="AG113" i="1"/>
  <c r="AI113" i="1" s="1"/>
  <c r="C113" i="1" a="1"/>
  <c r="C113" i="1" s="1"/>
  <c r="AG161" i="1"/>
  <c r="C161" i="1" a="1"/>
  <c r="C161" i="1" s="1"/>
  <c r="AG437" i="1"/>
  <c r="AI437" i="1" s="1"/>
  <c r="C437" i="1" a="1"/>
  <c r="C437" i="1" s="1"/>
  <c r="AG70" i="1"/>
  <c r="C70" i="1" a="1"/>
  <c r="C70" i="1" s="1"/>
  <c r="AG35" i="1"/>
  <c r="AH35" i="1" s="1"/>
  <c r="C35" i="1" a="1"/>
  <c r="C35" i="1" s="1"/>
  <c r="AG71" i="1"/>
  <c r="AI71" i="1" s="1"/>
  <c r="C71" i="1" a="1"/>
  <c r="C71" i="1" s="1"/>
  <c r="AG163" i="1"/>
  <c r="AI163" i="1" s="1"/>
  <c r="C163" i="1" a="1"/>
  <c r="C163" i="1" s="1"/>
  <c r="AG128" i="1"/>
  <c r="C128" i="1" a="1"/>
  <c r="C128" i="1" s="1"/>
  <c r="AG37" i="1"/>
  <c r="AI37" i="1" s="1"/>
  <c r="C37" i="1" a="1"/>
  <c r="C37" i="1" s="1"/>
  <c r="AG441" i="1"/>
  <c r="AI441" i="1" s="1"/>
  <c r="C441" i="1" a="1"/>
  <c r="C441" i="1" s="1"/>
  <c r="AG463" i="1"/>
  <c r="AI463" i="1" s="1"/>
  <c r="C463" i="1" a="1"/>
  <c r="C463" i="1" s="1"/>
  <c r="N520" i="9"/>
  <c r="C520" i="1" a="1"/>
  <c r="C520" i="1" s="1"/>
  <c r="N532" i="9"/>
  <c r="C532" i="1" a="1"/>
  <c r="C532" i="1" s="1"/>
  <c r="AG567" i="1"/>
  <c r="AI567" i="1" s="1"/>
  <c r="AG696" i="1"/>
  <c r="AI696" i="1" s="1"/>
  <c r="AG730" i="1"/>
  <c r="AH730" i="1" s="1"/>
  <c r="AG782" i="1"/>
  <c r="AG847" i="1"/>
  <c r="AI847" i="1" s="1"/>
  <c r="AG1020" i="1"/>
  <c r="AI1020" i="1" s="1"/>
  <c r="AG1041" i="1"/>
  <c r="AI1041" i="1" s="1"/>
  <c r="AG170" i="1"/>
  <c r="AI170" i="1" s="1"/>
  <c r="C170" i="1" a="1"/>
  <c r="C170" i="1" s="1"/>
  <c r="N538" i="9"/>
  <c r="C538" i="1" a="1"/>
  <c r="C538" i="1" s="1"/>
  <c r="AG125" i="1"/>
  <c r="AI125" i="1" s="1"/>
  <c r="C125" i="1" a="1"/>
  <c r="C125" i="1" s="1"/>
  <c r="AG173" i="1"/>
  <c r="AH173" i="1" s="1"/>
  <c r="C173" i="1" a="1"/>
  <c r="C173" i="1" s="1"/>
  <c r="AG91" i="1"/>
  <c r="C91" i="1" a="1"/>
  <c r="C91" i="1" s="1"/>
  <c r="AG176" i="1"/>
  <c r="AH176" i="1" s="1"/>
  <c r="C176" i="1" a="1"/>
  <c r="C176" i="1" s="1"/>
  <c r="AG38" i="1"/>
  <c r="AH38" i="1" s="1"/>
  <c r="C38" i="1" a="1"/>
  <c r="C38" i="1" s="1"/>
  <c r="AG50" i="1"/>
  <c r="AI50" i="1" s="1"/>
  <c r="C50" i="1" a="1"/>
  <c r="C50" i="1" s="1"/>
  <c r="AG73" i="1"/>
  <c r="AH73" i="1" s="1"/>
  <c r="AG95" i="1"/>
  <c r="AH95" i="1" s="1"/>
  <c r="C95" i="1" a="1"/>
  <c r="C95" i="1" s="1"/>
  <c r="AG322" i="1"/>
  <c r="AH322" i="1" s="1"/>
  <c r="C322" i="1" a="1"/>
  <c r="C322" i="1" s="1"/>
  <c r="AG346" i="1"/>
  <c r="AH346" i="1" s="1"/>
  <c r="C346" i="1" a="1"/>
  <c r="C346" i="1" s="1"/>
  <c r="AG418" i="1"/>
  <c r="AH418" i="1" s="1"/>
  <c r="C418" i="1" a="1"/>
  <c r="C418" i="1" s="1"/>
  <c r="T442" i="9"/>
  <c r="C442" i="1" a="1"/>
  <c r="C442" i="1" s="1"/>
  <c r="R453" i="9"/>
  <c r="C453" i="1" a="1"/>
  <c r="C453" i="1" s="1"/>
  <c r="S464" i="9"/>
  <c r="C464" i="1" a="1"/>
  <c r="C464" i="1" s="1"/>
  <c r="R487" i="9"/>
  <c r="C487" i="1" a="1"/>
  <c r="C487" i="1" s="1"/>
  <c r="AG615" i="1"/>
  <c r="AI615" i="1" s="1"/>
  <c r="C615" i="1" a="1"/>
  <c r="C615" i="1" s="1"/>
  <c r="AG1175" i="1"/>
  <c r="AH1175" i="1" s="1"/>
  <c r="C1175" i="1" a="1"/>
  <c r="C1175" i="1" s="1"/>
  <c r="AG64" i="1"/>
  <c r="AI64" i="1" s="1"/>
  <c r="C64" i="1" a="1"/>
  <c r="C64" i="1" s="1"/>
  <c r="AG1044" i="1"/>
  <c r="AI1044" i="1" s="1"/>
  <c r="C1044" i="1" a="1"/>
  <c r="C1044" i="1" s="1"/>
  <c r="AG17" i="1"/>
  <c r="AH17" i="1" s="1"/>
  <c r="C17" i="1" a="1"/>
  <c r="C17" i="1" s="1"/>
  <c r="AG1014" i="1"/>
  <c r="AI1014" i="1" s="1"/>
  <c r="AG1097" i="1"/>
  <c r="AG122" i="1"/>
  <c r="C122" i="1" a="1"/>
  <c r="C122" i="1" s="1"/>
  <c r="AG158" i="1"/>
  <c r="AI158" i="1" s="1"/>
  <c r="C158" i="1" a="1"/>
  <c r="C158" i="1" s="1"/>
  <c r="AG194" i="1"/>
  <c r="AI194" i="1" s="1"/>
  <c r="C194" i="1" a="1"/>
  <c r="C194" i="1" s="1"/>
  <c r="S502" i="9"/>
  <c r="C502" i="1" a="1"/>
  <c r="C502" i="1" s="1"/>
  <c r="AG940" i="1"/>
  <c r="AI940" i="1" s="1"/>
  <c r="AG993" i="1"/>
  <c r="AI993" i="1" s="1"/>
  <c r="T435" i="9"/>
  <c r="C435" i="1" a="1"/>
  <c r="C435" i="1" s="1"/>
  <c r="AG74" i="1"/>
  <c r="C74" i="1" a="1"/>
  <c r="C74" i="1" s="1"/>
  <c r="AG131" i="1"/>
  <c r="AI131" i="1" s="1"/>
  <c r="C131" i="1" a="1"/>
  <c r="C131" i="1" s="1"/>
  <c r="AG155" i="1"/>
  <c r="AI155" i="1" s="1"/>
  <c r="C155" i="1" a="1"/>
  <c r="C155" i="1" s="1"/>
  <c r="AG215" i="1"/>
  <c r="AH215" i="1" s="1"/>
  <c r="C215" i="1" a="1"/>
  <c r="C215" i="1" s="1"/>
  <c r="AG239" i="1"/>
  <c r="C239" i="1" a="1"/>
  <c r="C239" i="1" s="1"/>
  <c r="AG443" i="1"/>
  <c r="AI443" i="1" s="1"/>
  <c r="C443" i="1" a="1"/>
  <c r="C443" i="1" s="1"/>
  <c r="AG454" i="1"/>
  <c r="AH454" i="1" s="1"/>
  <c r="C454" i="1" a="1"/>
  <c r="C454" i="1" s="1"/>
  <c r="AG464" i="1"/>
  <c r="AH464" i="1" s="1"/>
  <c r="O499" i="9"/>
  <c r="C499" i="1" a="1"/>
  <c r="C499" i="1" s="1"/>
  <c r="AG743" i="1"/>
  <c r="AI743" i="1" s="1"/>
  <c r="AG764" i="1"/>
  <c r="AI764" i="1" s="1"/>
  <c r="AG815" i="1"/>
  <c r="AI815" i="1" s="1"/>
  <c r="AG849" i="1"/>
  <c r="C849" i="1" a="1"/>
  <c r="C849" i="1" s="1"/>
  <c r="AG1032" i="1"/>
  <c r="AI1032" i="1" s="1"/>
  <c r="AG1086" i="1"/>
  <c r="AG14" i="1"/>
  <c r="AH14" i="1" s="1"/>
  <c r="C14" i="1" a="1"/>
  <c r="C14" i="1" s="1"/>
  <c r="AG8" i="1"/>
  <c r="AI8" i="1" s="1"/>
  <c r="C8" i="1" a="1"/>
  <c r="C8" i="1" s="1"/>
  <c r="AG16" i="1"/>
  <c r="AH16" i="1" s="1"/>
  <c r="C16" i="1" a="1"/>
  <c r="C16" i="1" s="1"/>
  <c r="AG10" i="1"/>
  <c r="AI10" i="1" s="1"/>
  <c r="C10" i="1" a="1"/>
  <c r="C10" i="1" s="1"/>
  <c r="AG11" i="1"/>
  <c r="AI11" i="1" s="1"/>
  <c r="C11" i="1" a="1"/>
  <c r="C11" i="1" s="1"/>
  <c r="AG4" i="1"/>
  <c r="AI4" i="1" s="1"/>
  <c r="C4" i="1" a="1"/>
  <c r="C4" i="1" s="1"/>
  <c r="O676" i="9"/>
  <c r="M676" i="9"/>
  <c r="N676" i="9"/>
  <c r="M635" i="9"/>
  <c r="N454" i="9"/>
  <c r="M454" i="9"/>
  <c r="O454" i="9"/>
  <c r="AG502" i="1"/>
  <c r="AI502" i="1" s="1"/>
  <c r="S459" i="9"/>
  <c r="T457" i="9"/>
  <c r="S457" i="9"/>
  <c r="R457" i="9"/>
  <c r="AG444" i="1"/>
  <c r="AH444" i="1" s="1"/>
  <c r="AG487" i="1"/>
  <c r="AH487" i="1" s="1"/>
  <c r="AG665" i="1"/>
  <c r="AG506" i="1"/>
  <c r="AI506" i="1" s="1"/>
  <c r="AG551" i="1"/>
  <c r="AI551" i="1" s="1"/>
  <c r="AG596" i="1"/>
  <c r="AI596" i="1" s="1"/>
  <c r="AG618" i="1"/>
  <c r="AI618" i="1" s="1"/>
  <c r="AG825" i="1"/>
  <c r="AH825" i="1" s="1"/>
  <c r="AG1043" i="1"/>
  <c r="AI1043" i="1" s="1"/>
  <c r="AG1161" i="1"/>
  <c r="AH1161" i="1" s="1"/>
  <c r="AG1193" i="1"/>
  <c r="AI1193" i="1" s="1"/>
  <c r="AG447" i="1"/>
  <c r="AG688" i="1"/>
  <c r="AH688" i="1" s="1"/>
  <c r="AG723" i="1"/>
  <c r="AG754" i="1"/>
  <c r="AH754" i="1" s="1"/>
  <c r="AG1035" i="1"/>
  <c r="AH1035" i="1" s="1"/>
  <c r="AG867" i="1"/>
  <c r="AH867" i="1" s="1"/>
  <c r="AG973" i="1"/>
  <c r="AH973" i="1" s="1"/>
  <c r="AG1077" i="1"/>
  <c r="AG531" i="1"/>
  <c r="AI531" i="1" s="1"/>
  <c r="AG589" i="1"/>
  <c r="AG611" i="1"/>
  <c r="AG633" i="1"/>
  <c r="AI633" i="1" s="1"/>
  <c r="AG786" i="1"/>
  <c r="AH786" i="1" s="1"/>
  <c r="AG817" i="1"/>
  <c r="AG900" i="1"/>
  <c r="AI900" i="1" s="1"/>
  <c r="AG933" i="1"/>
  <c r="AI933" i="1" s="1"/>
  <c r="AG500" i="1"/>
  <c r="AH500" i="1" s="1"/>
  <c r="AG746" i="1"/>
  <c r="AH746" i="1" s="1"/>
  <c r="AG913" i="1"/>
  <c r="AH913" i="1" s="1"/>
  <c r="AG965" i="1"/>
  <c r="AI965" i="1" s="1"/>
  <c r="AG1069" i="1"/>
  <c r="AI1069" i="1" s="1"/>
  <c r="AG1154" i="1"/>
  <c r="AI1154" i="1" s="1"/>
  <c r="AG1186" i="1"/>
  <c r="AI1186" i="1" s="1"/>
  <c r="AG1140" i="1"/>
  <c r="AI1140" i="1" s="1"/>
  <c r="AG955" i="1"/>
  <c r="AH955" i="1" s="1"/>
  <c r="AG1167" i="1"/>
  <c r="AH1167" i="1" s="1"/>
  <c r="AG440" i="1"/>
  <c r="AG470" i="1"/>
  <c r="AI470" i="1" s="1"/>
  <c r="AG522" i="1"/>
  <c r="AH522" i="1" s="1"/>
  <c r="AG778" i="1"/>
  <c r="AH778" i="1" s="1"/>
  <c r="AG477" i="1"/>
  <c r="AI477" i="1" s="1"/>
  <c r="AG581" i="1"/>
  <c r="AG603" i="1"/>
  <c r="AI603" i="1" s="1"/>
  <c r="AG648" i="1"/>
  <c r="AH648" i="1" s="1"/>
  <c r="AG681" i="1"/>
  <c r="AG716" i="1"/>
  <c r="AH716" i="1" s="1"/>
  <c r="AG738" i="1"/>
  <c r="AH738" i="1" s="1"/>
  <c r="AG861" i="1"/>
  <c r="AI861" i="1" s="1"/>
  <c r="AG1061" i="1"/>
  <c r="AI1061" i="1" s="1"/>
  <c r="AG1200" i="1"/>
  <c r="AI1200" i="1" s="1"/>
  <c r="AG1174" i="1"/>
  <c r="AI1174" i="1" s="1"/>
  <c r="AG452" i="1"/>
  <c r="AI452" i="1" s="1"/>
  <c r="AG514" i="1"/>
  <c r="AH514" i="1" s="1"/>
  <c r="AG801" i="1"/>
  <c r="AH801" i="1" s="1"/>
  <c r="AG946" i="1"/>
  <c r="AH946" i="1" s="1"/>
  <c r="AG1051" i="1"/>
  <c r="AH1051" i="1" s="1"/>
  <c r="AH1062" i="1"/>
  <c r="AG1084" i="1"/>
  <c r="AG446" i="1"/>
  <c r="AH446" i="1" s="1"/>
  <c r="AG493" i="1"/>
  <c r="AH493" i="1" s="1"/>
  <c r="AG906" i="1"/>
  <c r="AH906" i="1" s="1"/>
  <c r="AG1000" i="1"/>
  <c r="AH1000" i="1" s="1"/>
  <c r="AG541" i="1"/>
  <c r="AH541" i="1" s="1"/>
  <c r="AG572" i="1"/>
  <c r="AI572" i="1" s="1"/>
  <c r="AG707" i="1"/>
  <c r="AH707" i="1" s="1"/>
  <c r="AG762" i="1"/>
  <c r="AH762" i="1" s="1"/>
  <c r="AG835" i="1"/>
  <c r="AI835" i="1" s="1"/>
  <c r="AG1105" i="1"/>
  <c r="AG1018" i="1"/>
  <c r="AI1018" i="1" s="1"/>
  <c r="AG465" i="1"/>
  <c r="AG478" i="1"/>
  <c r="AH478" i="1" s="1"/>
  <c r="AG486" i="1"/>
  <c r="AG501" i="1"/>
  <c r="AH501" i="1" s="1"/>
  <c r="AG515" i="1"/>
  <c r="AI515" i="1" s="1"/>
  <c r="AG532" i="1"/>
  <c r="AH532" i="1" s="1"/>
  <c r="AG553" i="1"/>
  <c r="AH553" i="1" s="1"/>
  <c r="AG563" i="1"/>
  <c r="AI563" i="1" s="1"/>
  <c r="AG582" i="1"/>
  <c r="AI582" i="1" s="1"/>
  <c r="AG590" i="1"/>
  <c r="AI590" i="1" s="1"/>
  <c r="AG604" i="1"/>
  <c r="AI604" i="1" s="1"/>
  <c r="AG612" i="1"/>
  <c r="AI612" i="1" s="1"/>
  <c r="AG649" i="1"/>
  <c r="AI649" i="1" s="1"/>
  <c r="AG674" i="1"/>
  <c r="AG682" i="1"/>
  <c r="AI682" i="1" s="1"/>
  <c r="AG690" i="1"/>
  <c r="AG698" i="1"/>
  <c r="AH698" i="1" s="1"/>
  <c r="AG709" i="1"/>
  <c r="AG732" i="1"/>
  <c r="AH732" i="1" s="1"/>
  <c r="AG747" i="1"/>
  <c r="AH747" i="1" s="1"/>
  <c r="AG771" i="1"/>
  <c r="AH771" i="1" s="1"/>
  <c r="AG795" i="1"/>
  <c r="AH795" i="1" s="1"/>
  <c r="AG802" i="1"/>
  <c r="AH802" i="1" s="1"/>
  <c r="AG827" i="1"/>
  <c r="AI827" i="1" s="1"/>
  <c r="AG856" i="1"/>
  <c r="AG862" i="1"/>
  <c r="AI862" i="1" s="1"/>
  <c r="AG868" i="1"/>
  <c r="AG874" i="1"/>
  <c r="AH874" i="1" s="1"/>
  <c r="AG907" i="1"/>
  <c r="AG914" i="1"/>
  <c r="AG920" i="1"/>
  <c r="AI920" i="1" s="1"/>
  <c r="AG935" i="1"/>
  <c r="AG983" i="1"/>
  <c r="AI983" i="1" s="1"/>
  <c r="AG992" i="1"/>
  <c r="AI992" i="1" s="1"/>
  <c r="AG1010" i="1"/>
  <c r="AH1010" i="1" s="1"/>
  <c r="AG1019" i="1"/>
  <c r="AI1019" i="1" s="1"/>
  <c r="AG1027" i="1"/>
  <c r="AH1027" i="1" s="1"/>
  <c r="AG1036" i="1"/>
  <c r="AI1036" i="1" s="1"/>
  <c r="AG1085" i="1"/>
  <c r="AI1085" i="1" s="1"/>
  <c r="AG1091" i="1"/>
  <c r="AI1091" i="1" s="1"/>
  <c r="AG1132" i="1"/>
  <c r="AH1132" i="1" s="1"/>
  <c r="AG1142" i="1"/>
  <c r="AI1142" i="1" s="1"/>
  <c r="AG1168" i="1"/>
  <c r="AG542" i="1"/>
  <c r="AI542" i="1" s="1"/>
  <c r="AG673" i="1"/>
  <c r="AH673" i="1" s="1"/>
  <c r="AG731" i="1"/>
  <c r="AI731" i="1" s="1"/>
  <c r="AG787" i="1"/>
  <c r="AH787" i="1" s="1"/>
  <c r="AG991" i="1"/>
  <c r="AH991" i="1" s="1"/>
  <c r="AG435" i="1"/>
  <c r="AI435" i="1" s="1"/>
  <c r="AG453" i="1"/>
  <c r="AI453" i="1" s="1"/>
  <c r="AG459" i="1"/>
  <c r="AI459" i="1" s="1"/>
  <c r="AG471" i="1"/>
  <c r="AI471" i="1" s="1"/>
  <c r="AG479" i="1"/>
  <c r="AI479" i="1" s="1"/>
  <c r="AG508" i="1"/>
  <c r="AI508" i="1" s="1"/>
  <c r="AG523" i="1"/>
  <c r="AH523" i="1" s="1"/>
  <c r="AG533" i="1"/>
  <c r="AI533" i="1" s="1"/>
  <c r="AG543" i="1"/>
  <c r="AI543" i="1" s="1"/>
  <c r="AG554" i="1"/>
  <c r="AI554" i="1" s="1"/>
  <c r="AG564" i="1"/>
  <c r="AH564" i="1" s="1"/>
  <c r="AG574" i="1"/>
  <c r="AH574" i="1" s="1"/>
  <c r="AG583" i="1"/>
  <c r="AI583" i="1" s="1"/>
  <c r="AG598" i="1"/>
  <c r="AI598" i="1" s="1"/>
  <c r="AG605" i="1"/>
  <c r="AG613" i="1"/>
  <c r="AG620" i="1"/>
  <c r="AI620" i="1" s="1"/>
  <c r="AG627" i="1"/>
  <c r="AI627" i="1" s="1"/>
  <c r="AG635" i="1"/>
  <c r="AG642" i="1"/>
  <c r="AI642" i="1" s="1"/>
  <c r="AG650" i="1"/>
  <c r="AH650" i="1" s="1"/>
  <c r="AG658" i="1"/>
  <c r="AI658" i="1" s="1"/>
  <c r="AG666" i="1"/>
  <c r="AI666" i="1" s="1"/>
  <c r="AG683" i="1"/>
  <c r="AG699" i="1"/>
  <c r="AG718" i="1"/>
  <c r="AI718" i="1" s="1"/>
  <c r="AG724" i="1"/>
  <c r="AI724" i="1" s="1"/>
  <c r="AG733" i="1"/>
  <c r="AI733" i="1" s="1"/>
  <c r="AG740" i="1"/>
  <c r="AI740" i="1" s="1"/>
  <c r="AG756" i="1"/>
  <c r="AH756" i="1" s="1"/>
  <c r="AG772" i="1"/>
  <c r="AG788" i="1"/>
  <c r="AG796" i="1"/>
  <c r="AH796" i="1" s="1"/>
  <c r="AG803" i="1"/>
  <c r="AH803" i="1" s="1"/>
  <c r="AG811" i="1"/>
  <c r="AG818" i="1"/>
  <c r="AI818" i="1" s="1"/>
  <c r="AG828" i="1"/>
  <c r="AI828" i="1" s="1"/>
  <c r="AG836" i="1"/>
  <c r="AG843" i="1"/>
  <c r="AI843" i="1" s="1"/>
  <c r="AG863" i="1"/>
  <c r="AG875" i="1"/>
  <c r="AH875" i="1" s="1"/>
  <c r="AG882" i="1"/>
  <c r="AI882" i="1" s="1"/>
  <c r="AG889" i="1"/>
  <c r="AH889" i="1" s="1"/>
  <c r="AG894" i="1"/>
  <c r="AI894" i="1" s="1"/>
  <c r="AG927" i="1"/>
  <c r="AI927" i="1" s="1"/>
  <c r="AG948" i="1"/>
  <c r="AI948" i="1" s="1"/>
  <c r="AG957" i="1"/>
  <c r="AH957" i="1" s="1"/>
  <c r="AG975" i="1"/>
  <c r="AH975" i="1" s="1"/>
  <c r="AG1002" i="1"/>
  <c r="AG1011" i="1"/>
  <c r="AG1028" i="1"/>
  <c r="AI1028" i="1" s="1"/>
  <c r="AG1037" i="1"/>
  <c r="AI1037" i="1" s="1"/>
  <c r="AG1045" i="1"/>
  <c r="AI1045" i="1" s="1"/>
  <c r="AG1053" i="1"/>
  <c r="AI1053" i="1" s="1"/>
  <c r="AG1078" i="1"/>
  <c r="AG1092" i="1"/>
  <c r="AH1092" i="1" s="1"/>
  <c r="AG1099" i="1"/>
  <c r="AG1106" i="1"/>
  <c r="AI1106" i="1" s="1"/>
  <c r="AG1112" i="1"/>
  <c r="AI1112" i="1" s="1"/>
  <c r="AG1118" i="1"/>
  <c r="AI1118" i="1" s="1"/>
  <c r="AG1126" i="1"/>
  <c r="AG1133" i="1"/>
  <c r="AI1133" i="1" s="1"/>
  <c r="AG1143" i="1"/>
  <c r="AH1143" i="1" s="1"/>
  <c r="AG1149" i="1"/>
  <c r="AI1149" i="1" s="1"/>
  <c r="AG1155" i="1"/>
  <c r="AI1155" i="1" s="1"/>
  <c r="AG1176" i="1"/>
  <c r="AI1176" i="1" s="1"/>
  <c r="AG1194" i="1"/>
  <c r="AH1194" i="1" s="1"/>
  <c r="J454" i="9"/>
  <c r="AG697" i="1"/>
  <c r="AH697" i="1" s="1"/>
  <c r="AG974" i="1"/>
  <c r="AH974" i="1" s="1"/>
  <c r="AG1131" i="1"/>
  <c r="AH1131" i="1" s="1"/>
  <c r="AG466" i="1"/>
  <c r="AH466" i="1" s="1"/>
  <c r="AG472" i="1"/>
  <c r="AH472" i="1" s="1"/>
  <c r="AG495" i="1"/>
  <c r="AI495" i="1" s="1"/>
  <c r="AG524" i="1"/>
  <c r="AI524" i="1" s="1"/>
  <c r="AG534" i="1"/>
  <c r="AI534" i="1" s="1"/>
  <c r="AG544" i="1"/>
  <c r="AH544" i="1" s="1"/>
  <c r="AG565" i="1"/>
  <c r="AH565" i="1" s="1"/>
  <c r="AG575" i="1"/>
  <c r="AI575" i="1" s="1"/>
  <c r="AG584" i="1"/>
  <c r="AG599" i="1"/>
  <c r="AG621" i="1"/>
  <c r="AG628" i="1"/>
  <c r="AI628" i="1" s="1"/>
  <c r="AG643" i="1"/>
  <c r="AG659" i="1"/>
  <c r="AH659" i="1" s="1"/>
  <c r="AG667" i="1"/>
  <c r="AI667" i="1" s="1"/>
  <c r="AG691" i="1"/>
  <c r="AI691" i="1" s="1"/>
  <c r="AG710" i="1"/>
  <c r="AG719" i="1"/>
  <c r="AH719" i="1" s="1"/>
  <c r="AG725" i="1"/>
  <c r="AG741" i="1"/>
  <c r="AH741" i="1" s="1"/>
  <c r="AG780" i="1"/>
  <c r="AH780" i="1" s="1"/>
  <c r="AG804" i="1"/>
  <c r="AH804" i="1" s="1"/>
  <c r="AG819" i="1"/>
  <c r="AH819" i="1" s="1"/>
  <c r="AG829" i="1"/>
  <c r="AH829" i="1" s="1"/>
  <c r="AG844" i="1"/>
  <c r="AI844" i="1" s="1"/>
  <c r="AG857" i="1"/>
  <c r="AH857" i="1" s="1"/>
  <c r="AG869" i="1"/>
  <c r="AG876" i="1"/>
  <c r="AI876" i="1" s="1"/>
  <c r="AG890" i="1"/>
  <c r="AG895" i="1"/>
  <c r="AG902" i="1"/>
  <c r="AG908" i="1"/>
  <c r="AI908" i="1" s="1"/>
  <c r="AG949" i="1"/>
  <c r="AI949" i="1" s="1"/>
  <c r="AG958" i="1"/>
  <c r="AI958" i="1" s="1"/>
  <c r="AG967" i="1"/>
  <c r="AI967" i="1" s="1"/>
  <c r="AG976" i="1"/>
  <c r="AI976" i="1" s="1"/>
  <c r="AG1012" i="1"/>
  <c r="AI1012" i="1" s="1"/>
  <c r="AG1046" i="1"/>
  <c r="AI1046" i="1" s="1"/>
  <c r="AG1054" i="1"/>
  <c r="AI1054" i="1" s="1"/>
  <c r="AG1063" i="1"/>
  <c r="AH1063" i="1" s="1"/>
  <c r="AG1093" i="1"/>
  <c r="AI1093" i="1" s="1"/>
  <c r="AG1119" i="1"/>
  <c r="AI1119" i="1" s="1"/>
  <c r="AG1144" i="1"/>
  <c r="AG1150" i="1"/>
  <c r="AI1150" i="1" s="1"/>
  <c r="AG1156" i="1"/>
  <c r="AI1156" i="1" s="1"/>
  <c r="AG1177" i="1"/>
  <c r="AG1195" i="1"/>
  <c r="AH1195" i="1" s="1"/>
  <c r="AG562" i="1"/>
  <c r="AH562" i="1" s="1"/>
  <c r="AG619" i="1"/>
  <c r="AG708" i="1"/>
  <c r="AH708" i="1" s="1"/>
  <c r="AG873" i="1"/>
  <c r="AI873" i="1" s="1"/>
  <c r="AG919" i="1"/>
  <c r="AI919" i="1" s="1"/>
  <c r="AG1001" i="1"/>
  <c r="AI1001" i="1" s="1"/>
  <c r="AG436" i="1"/>
  <c r="AG442" i="1"/>
  <c r="AG460" i="1"/>
  <c r="AH460" i="1" s="1"/>
  <c r="AG480" i="1"/>
  <c r="AH480" i="1" s="1"/>
  <c r="AG488" i="1"/>
  <c r="AH488" i="1" s="1"/>
  <c r="AG509" i="1"/>
  <c r="AI509" i="1" s="1"/>
  <c r="AG517" i="1"/>
  <c r="AH517" i="1" s="1"/>
  <c r="AG535" i="1"/>
  <c r="AI535" i="1" s="1"/>
  <c r="AG545" i="1"/>
  <c r="AI545" i="1" s="1"/>
  <c r="AG555" i="1"/>
  <c r="AI555" i="1" s="1"/>
  <c r="AG566" i="1"/>
  <c r="AI566" i="1" s="1"/>
  <c r="AG592" i="1"/>
  <c r="AG606" i="1"/>
  <c r="AI606" i="1" s="1"/>
  <c r="AG614" i="1"/>
  <c r="AI614" i="1" s="1"/>
  <c r="AG629" i="1"/>
  <c r="AG636" i="1"/>
  <c r="AI636" i="1" s="1"/>
  <c r="AG651" i="1"/>
  <c r="AI651" i="1" s="1"/>
  <c r="AG668" i="1"/>
  <c r="AG675" i="1"/>
  <c r="AI675" i="1" s="1"/>
  <c r="AG692" i="1"/>
  <c r="AG700" i="1"/>
  <c r="AI700" i="1" s="1"/>
  <c r="AG734" i="1"/>
  <c r="AG742" i="1"/>
  <c r="AI742" i="1" s="1"/>
  <c r="AG749" i="1"/>
  <c r="AH749" i="1" s="1"/>
  <c r="AG757" i="1"/>
  <c r="AH757" i="1" s="1"/>
  <c r="AG765" i="1"/>
  <c r="AH765" i="1" s="1"/>
  <c r="AG781" i="1"/>
  <c r="AH781" i="1" s="1"/>
  <c r="AG789" i="1"/>
  <c r="AH789" i="1" s="1"/>
  <c r="AG797" i="1"/>
  <c r="AG805" i="1"/>
  <c r="AH805" i="1" s="1"/>
  <c r="AG812" i="1"/>
  <c r="AI812" i="1" s="1"/>
  <c r="AG830" i="1"/>
  <c r="AI830" i="1" s="1"/>
  <c r="AG837" i="1"/>
  <c r="AI837" i="1" s="1"/>
  <c r="AG845" i="1"/>
  <c r="AG858" i="1"/>
  <c r="AI858" i="1" s="1"/>
  <c r="AG877" i="1"/>
  <c r="AG883" i="1"/>
  <c r="AG922" i="1"/>
  <c r="AH922" i="1" s="1"/>
  <c r="AG928" i="1"/>
  <c r="AI928" i="1" s="1"/>
  <c r="AG936" i="1"/>
  <c r="AI936" i="1" s="1"/>
  <c r="AG941" i="1"/>
  <c r="AI941" i="1" s="1"/>
  <c r="AG950" i="1"/>
  <c r="AI950" i="1" s="1"/>
  <c r="AG959" i="1"/>
  <c r="AI959" i="1" s="1"/>
  <c r="AG968" i="1"/>
  <c r="AI968" i="1" s="1"/>
  <c r="AG977" i="1"/>
  <c r="AH977" i="1" s="1"/>
  <c r="AG985" i="1"/>
  <c r="AI985" i="1" s="1"/>
  <c r="AG994" i="1"/>
  <c r="AI994" i="1" s="1"/>
  <c r="AG1003" i="1"/>
  <c r="AH1003" i="1" s="1"/>
  <c r="AG1013" i="1"/>
  <c r="AI1013" i="1" s="1"/>
  <c r="AG1021" i="1"/>
  <c r="AH1021" i="1" s="1"/>
  <c r="AG1029" i="1"/>
  <c r="AI1029" i="1" s="1"/>
  <c r="AG1038" i="1"/>
  <c r="AG1055" i="1"/>
  <c r="AI1055" i="1" s="1"/>
  <c r="AG1064" i="1"/>
  <c r="AI1064" i="1" s="1"/>
  <c r="AG1072" i="1"/>
  <c r="AG1087" i="1"/>
  <c r="AG1094" i="1"/>
  <c r="AH1094" i="1" s="1"/>
  <c r="AG1107" i="1"/>
  <c r="AH1107" i="1" s="1"/>
  <c r="AG1113" i="1"/>
  <c r="AH1113" i="1" s="1"/>
  <c r="AG1120" i="1"/>
  <c r="AG1134" i="1"/>
  <c r="AH1134" i="1" s="1"/>
  <c r="AG1163" i="1"/>
  <c r="AI1163" i="1" s="1"/>
  <c r="AG1169" i="1"/>
  <c r="AH1169" i="1" s="1"/>
  <c r="AG1183" i="1"/>
  <c r="AG1189" i="1"/>
  <c r="AG641" i="1"/>
  <c r="AG689" i="1"/>
  <c r="AH689" i="1" s="1"/>
  <c r="AG763" i="1"/>
  <c r="AG794" i="1"/>
  <c r="AH794" i="1" s="1"/>
  <c r="AG947" i="1"/>
  <c r="AH947" i="1" s="1"/>
  <c r="AG1052" i="1"/>
  <c r="AI1052" i="1" s="1"/>
  <c r="AG467" i="1"/>
  <c r="AG473" i="1"/>
  <c r="AI473" i="1" s="1"/>
  <c r="AG481" i="1"/>
  <c r="AH481" i="1" s="1"/>
  <c r="AG496" i="1"/>
  <c r="AG503" i="1"/>
  <c r="AG510" i="1"/>
  <c r="AH510" i="1" s="1"/>
  <c r="AG518" i="1"/>
  <c r="AI518" i="1" s="1"/>
  <c r="AG525" i="1"/>
  <c r="AI525" i="1" s="1"/>
  <c r="AG536" i="1"/>
  <c r="AI536" i="1" s="1"/>
  <c r="AG546" i="1"/>
  <c r="AI546" i="1" s="1"/>
  <c r="AG556" i="1"/>
  <c r="AH556" i="1" s="1"/>
  <c r="AG576" i="1"/>
  <c r="AI576" i="1" s="1"/>
  <c r="AG585" i="1"/>
  <c r="AI585" i="1" s="1"/>
  <c r="AG607" i="1"/>
  <c r="AG622" i="1"/>
  <c r="AI622" i="1" s="1"/>
  <c r="AG637" i="1"/>
  <c r="AG644" i="1"/>
  <c r="AI644" i="1" s="1"/>
  <c r="AG652" i="1"/>
  <c r="AH652" i="1" s="1"/>
  <c r="AG660" i="1"/>
  <c r="AI660" i="1" s="1"/>
  <c r="AG676" i="1"/>
  <c r="AI676" i="1" s="1"/>
  <c r="AG684" i="1"/>
  <c r="AI684" i="1" s="1"/>
  <c r="AG701" i="1"/>
  <c r="AI701" i="1" s="1"/>
  <c r="AG711" i="1"/>
  <c r="AI711" i="1" s="1"/>
  <c r="AG720" i="1"/>
  <c r="AG726" i="1"/>
  <c r="AI726" i="1" s="1"/>
  <c r="AG750" i="1"/>
  <c r="AH750" i="1" s="1"/>
  <c r="AG758" i="1"/>
  <c r="AI758" i="1" s="1"/>
  <c r="AG773" i="1"/>
  <c r="AI773" i="1" s="1"/>
  <c r="AG790" i="1"/>
  <c r="AG813" i="1"/>
  <c r="AH813" i="1" s="1"/>
  <c r="AG820" i="1"/>
  <c r="AH820" i="1" s="1"/>
  <c r="AG831" i="1"/>
  <c r="AH831" i="1" s="1"/>
  <c r="AG838" i="1"/>
  <c r="AI838" i="1" s="1"/>
  <c r="AG851" i="1"/>
  <c r="AI851" i="1" s="1"/>
  <c r="AG859" i="1"/>
  <c r="AG864" i="1"/>
  <c r="AI864" i="1" s="1"/>
  <c r="AG870" i="1"/>
  <c r="AI870" i="1" s="1"/>
  <c r="AG896" i="1"/>
  <c r="AI896" i="1" s="1"/>
  <c r="AG909" i="1"/>
  <c r="AH909" i="1" s="1"/>
  <c r="AG915" i="1"/>
  <c r="AI915" i="1" s="1"/>
  <c r="AG923" i="1"/>
  <c r="AG929" i="1"/>
  <c r="AH929" i="1" s="1"/>
  <c r="AG951" i="1"/>
  <c r="AH951" i="1" s="1"/>
  <c r="AG986" i="1"/>
  <c r="AI986" i="1" s="1"/>
  <c r="AG995" i="1"/>
  <c r="AH995" i="1" s="1"/>
  <c r="AG1004" i="1"/>
  <c r="AH1004" i="1" s="1"/>
  <c r="AG1022" i="1"/>
  <c r="AI1022" i="1" s="1"/>
  <c r="AG1030" i="1"/>
  <c r="AI1030" i="1" s="1"/>
  <c r="AG1047" i="1"/>
  <c r="AI1047" i="1" s="1"/>
  <c r="AG1065" i="1"/>
  <c r="AI1065" i="1" s="1"/>
  <c r="AG1079" i="1"/>
  <c r="AI1079" i="1" s="1"/>
  <c r="AG1100" i="1"/>
  <c r="AI1100" i="1" s="1"/>
  <c r="AG1108" i="1"/>
  <c r="AG1114" i="1"/>
  <c r="AG1127" i="1"/>
  <c r="AI1127" i="1" s="1"/>
  <c r="AG1135" i="1"/>
  <c r="AI1135" i="1" s="1"/>
  <c r="AG1151" i="1"/>
  <c r="AI1151" i="1" s="1"/>
  <c r="AG1157" i="1"/>
  <c r="AI1157" i="1" s="1"/>
  <c r="AG1164" i="1"/>
  <c r="AH1164" i="1" s="1"/>
  <c r="AG1196" i="1"/>
  <c r="AI1196" i="1" s="1"/>
  <c r="AG573" i="1"/>
  <c r="AG855" i="1"/>
  <c r="AH855" i="1" s="1"/>
  <c r="AG934" i="1"/>
  <c r="AH934" i="1" s="1"/>
  <c r="AG1141" i="1"/>
  <c r="AI1141" i="1" s="1"/>
  <c r="AG474" i="1"/>
  <c r="AH474" i="1" s="1"/>
  <c r="AG482" i="1"/>
  <c r="AI482" i="1" s="1"/>
  <c r="AG511" i="1"/>
  <c r="AH511" i="1" s="1"/>
  <c r="AG519" i="1"/>
  <c r="AG526" i="1"/>
  <c r="AH526" i="1" s="1"/>
  <c r="AG547" i="1"/>
  <c r="AH547" i="1" s="1"/>
  <c r="AG557" i="1"/>
  <c r="AI557" i="1" s="1"/>
  <c r="AG577" i="1"/>
  <c r="AG586" i="1"/>
  <c r="AG593" i="1"/>
  <c r="AG623" i="1"/>
  <c r="AG630" i="1"/>
  <c r="AI630" i="1" s="1"/>
  <c r="AG645" i="1"/>
  <c r="AG653" i="1"/>
  <c r="AH653" i="1" s="1"/>
  <c r="AG661" i="1"/>
  <c r="AH661" i="1" s="1"/>
  <c r="AG677" i="1"/>
  <c r="AH677" i="1" s="1"/>
  <c r="AG685" i="1"/>
  <c r="AI685" i="1" s="1"/>
  <c r="AG702" i="1"/>
  <c r="AI702" i="1" s="1"/>
  <c r="AG712" i="1"/>
  <c r="AI712" i="1" s="1"/>
  <c r="AG727" i="1"/>
  <c r="AI727" i="1" s="1"/>
  <c r="AG735" i="1"/>
  <c r="AH735" i="1" s="1"/>
  <c r="AG751" i="1"/>
  <c r="AI751" i="1" s="1"/>
  <c r="AG759" i="1"/>
  <c r="AI759" i="1" s="1"/>
  <c r="AG774" i="1"/>
  <c r="AH774" i="1" s="1"/>
  <c r="AG798" i="1"/>
  <c r="AH798" i="1" s="1"/>
  <c r="AG814" i="1"/>
  <c r="AH814" i="1" s="1"/>
  <c r="AG821" i="1"/>
  <c r="AH821" i="1" s="1"/>
  <c r="AG832" i="1"/>
  <c r="AH832" i="1" s="1"/>
  <c r="AG839" i="1"/>
  <c r="AH839" i="1" s="1"/>
  <c r="AG846" i="1"/>
  <c r="AI846" i="1" s="1"/>
  <c r="AG852" i="1"/>
  <c r="AI852" i="1" s="1"/>
  <c r="AG884" i="1"/>
  <c r="AI884" i="1" s="1"/>
  <c r="AG897" i="1"/>
  <c r="AH897" i="1" s="1"/>
  <c r="AG910" i="1"/>
  <c r="AG952" i="1"/>
  <c r="AH952" i="1" s="1"/>
  <c r="AG987" i="1"/>
  <c r="AH987" i="1" s="1"/>
  <c r="AG1031" i="1"/>
  <c r="AI1031" i="1" s="1"/>
  <c r="AG1039" i="1"/>
  <c r="AH1039" i="1" s="1"/>
  <c r="AG1048" i="1"/>
  <c r="AI1048" i="1" s="1"/>
  <c r="AG1066" i="1"/>
  <c r="AI1066" i="1" s="1"/>
  <c r="AG1073" i="1"/>
  <c r="AI1073" i="1" s="1"/>
  <c r="AG1080" i="1"/>
  <c r="AH1080" i="1" s="1"/>
  <c r="AG1101" i="1"/>
  <c r="AH1101" i="1" s="1"/>
  <c r="AG1128" i="1"/>
  <c r="AI1128" i="1" s="1"/>
  <c r="AG1136" i="1"/>
  <c r="AI1136" i="1" s="1"/>
  <c r="AG1145" i="1"/>
  <c r="AH1145" i="1" s="1"/>
  <c r="AG1165" i="1"/>
  <c r="AG1197" i="1"/>
  <c r="AI1197" i="1" s="1"/>
  <c r="AG626" i="1"/>
  <c r="AH626" i="1" s="1"/>
  <c r="AG810" i="1"/>
  <c r="AH810" i="1" s="1"/>
  <c r="AG888" i="1"/>
  <c r="AI888" i="1" s="1"/>
  <c r="AG982" i="1"/>
  <c r="AI982" i="1" s="1"/>
  <c r="AH449" i="1"/>
  <c r="AG468" i="1"/>
  <c r="AH468" i="1" s="1"/>
  <c r="AG475" i="1"/>
  <c r="AH475" i="1" s="1"/>
  <c r="AG483" i="1"/>
  <c r="AG490" i="1"/>
  <c r="AH490" i="1" s="1"/>
  <c r="AG497" i="1"/>
  <c r="AI497" i="1" s="1"/>
  <c r="AG504" i="1"/>
  <c r="AI504" i="1" s="1"/>
  <c r="AG527" i="1"/>
  <c r="AI527" i="1" s="1"/>
  <c r="AG537" i="1"/>
  <c r="AI537" i="1" s="1"/>
  <c r="AG548" i="1"/>
  <c r="AI548" i="1" s="1"/>
  <c r="AG558" i="1"/>
  <c r="AI558" i="1" s="1"/>
  <c r="AG568" i="1"/>
  <c r="AH568" i="1" s="1"/>
  <c r="AG601" i="1"/>
  <c r="AG608" i="1"/>
  <c r="AG616" i="1"/>
  <c r="AG631" i="1"/>
  <c r="AG638" i="1"/>
  <c r="AI638" i="1" s="1"/>
  <c r="AG654" i="1"/>
  <c r="AG662" i="1"/>
  <c r="AI662" i="1" s="1"/>
  <c r="AG669" i="1"/>
  <c r="AI669" i="1" s="1"/>
  <c r="AG686" i="1"/>
  <c r="AG693" i="1"/>
  <c r="AI693" i="1" s="1"/>
  <c r="AG703" i="1"/>
  <c r="AI703" i="1" s="1"/>
  <c r="AG713" i="1"/>
  <c r="AG721" i="1"/>
  <c r="AG736" i="1"/>
  <c r="AG760" i="1"/>
  <c r="AI760" i="1" s="1"/>
  <c r="AG767" i="1"/>
  <c r="AI767" i="1" s="1"/>
  <c r="AG783" i="1"/>
  <c r="AH783" i="1" s="1"/>
  <c r="AG799" i="1"/>
  <c r="AG822" i="1"/>
  <c r="AH822" i="1" s="1"/>
  <c r="AG840" i="1"/>
  <c r="AI840" i="1" s="1"/>
  <c r="AG865" i="1"/>
  <c r="AG871" i="1"/>
  <c r="AG878" i="1"/>
  <c r="AI878" i="1" s="1"/>
  <c r="AG891" i="1"/>
  <c r="AH891" i="1" s="1"/>
  <c r="AG898" i="1"/>
  <c r="AG903" i="1"/>
  <c r="AI903" i="1" s="1"/>
  <c r="AG916" i="1"/>
  <c r="AI916" i="1" s="1"/>
  <c r="AG924" i="1"/>
  <c r="AH924" i="1" s="1"/>
  <c r="AG930" i="1"/>
  <c r="AI930" i="1" s="1"/>
  <c r="AG943" i="1"/>
  <c r="AI943" i="1" s="1"/>
  <c r="AG953" i="1"/>
  <c r="AI953" i="1" s="1"/>
  <c r="AG961" i="1"/>
  <c r="AH961" i="1" s="1"/>
  <c r="AG970" i="1"/>
  <c r="AH970" i="1" s="1"/>
  <c r="AG988" i="1"/>
  <c r="AI988" i="1" s="1"/>
  <c r="AG996" i="1"/>
  <c r="AH996" i="1" s="1"/>
  <c r="AG1005" i="1"/>
  <c r="AI1005" i="1" s="1"/>
  <c r="AG1023" i="1"/>
  <c r="AH1023" i="1" s="1"/>
  <c r="AG1040" i="1"/>
  <c r="AI1040" i="1" s="1"/>
  <c r="AG1049" i="1"/>
  <c r="AI1049" i="1" s="1"/>
  <c r="AG1057" i="1"/>
  <c r="AI1057" i="1" s="1"/>
  <c r="AG1067" i="1"/>
  <c r="AI1067" i="1" s="1"/>
  <c r="AG1074" i="1"/>
  <c r="AH1074" i="1" s="1"/>
  <c r="AG1081" i="1"/>
  <c r="AG1088" i="1"/>
  <c r="AI1088" i="1" s="1"/>
  <c r="AI1095" i="1"/>
  <c r="AG1102" i="1"/>
  <c r="AI1102" i="1" s="1"/>
  <c r="AG1115" i="1"/>
  <c r="AI1115" i="1" s="1"/>
  <c r="AG1121" i="1"/>
  <c r="AI1121" i="1" s="1"/>
  <c r="AG1129" i="1"/>
  <c r="AG1137" i="1"/>
  <c r="AI1137" i="1" s="1"/>
  <c r="AG1152" i="1"/>
  <c r="AH1152" i="1" s="1"/>
  <c r="AG1158" i="1"/>
  <c r="AI1158" i="1" s="1"/>
  <c r="AG1171" i="1"/>
  <c r="AI1171" i="1" s="1"/>
  <c r="AG1198" i="1"/>
  <c r="AG826" i="1"/>
  <c r="AH826" i="1" s="1"/>
  <c r="AG881" i="1"/>
  <c r="AH881" i="1" s="1"/>
  <c r="AG1009" i="1"/>
  <c r="AI1009" i="1" s="1"/>
  <c r="AG1162" i="1"/>
  <c r="AG520" i="1"/>
  <c r="AH520" i="1" s="1"/>
  <c r="AG528" i="1"/>
  <c r="AH528" i="1" s="1"/>
  <c r="AG538" i="1"/>
  <c r="AH538" i="1" s="1"/>
  <c r="AG559" i="1"/>
  <c r="AG569" i="1"/>
  <c r="AH569" i="1" s="1"/>
  <c r="AG578" i="1"/>
  <c r="AH578" i="1" s="1"/>
  <c r="AG587" i="1"/>
  <c r="AG594" i="1"/>
  <c r="AI594" i="1" s="1"/>
  <c r="AG646" i="1"/>
  <c r="AI646" i="1" s="1"/>
  <c r="AG663" i="1"/>
  <c r="AG670" i="1"/>
  <c r="AH670" i="1" s="1"/>
  <c r="AG694" i="1"/>
  <c r="AI694" i="1" s="1"/>
  <c r="AG704" i="1"/>
  <c r="AH704" i="1" s="1"/>
  <c r="AG744" i="1"/>
  <c r="AH744" i="1" s="1"/>
  <c r="AG768" i="1"/>
  <c r="AI768" i="1" s="1"/>
  <c r="AG807" i="1"/>
  <c r="AH807" i="1" s="1"/>
  <c r="AG823" i="1"/>
  <c r="AH823" i="1" s="1"/>
  <c r="AG841" i="1"/>
  <c r="AI841" i="1" s="1"/>
  <c r="AG911" i="1"/>
  <c r="AG917" i="1"/>
  <c r="AG931" i="1"/>
  <c r="AG944" i="1"/>
  <c r="AI944" i="1" s="1"/>
  <c r="AG962" i="1"/>
  <c r="AI962" i="1" s="1"/>
  <c r="AG971" i="1"/>
  <c r="AI971" i="1" s="1"/>
  <c r="AG979" i="1"/>
  <c r="AH979" i="1" s="1"/>
  <c r="AG989" i="1"/>
  <c r="AH989" i="1" s="1"/>
  <c r="AG997" i="1"/>
  <c r="AI997" i="1" s="1"/>
  <c r="AG1006" i="1"/>
  <c r="AH1006" i="1" s="1"/>
  <c r="AG1015" i="1"/>
  <c r="AH1015" i="1" s="1"/>
  <c r="AG1024" i="1"/>
  <c r="AH1024" i="1" s="1"/>
  <c r="AG1058" i="1"/>
  <c r="AI1058" i="1" s="1"/>
  <c r="AG1075" i="1"/>
  <c r="AG1096" i="1"/>
  <c r="AG1103" i="1"/>
  <c r="AH1103" i="1" s="1"/>
  <c r="AG1109" i="1"/>
  <c r="AI1109" i="1" s="1"/>
  <c r="AG1122" i="1"/>
  <c r="AI1122" i="1" s="1"/>
  <c r="AG1138" i="1"/>
  <c r="AI1138" i="1" s="1"/>
  <c r="AG1146" i="1"/>
  <c r="AI1146" i="1" s="1"/>
  <c r="AG1153" i="1"/>
  <c r="AG1159" i="1"/>
  <c r="AH1159" i="1" s="1"/>
  <c r="AG1179" i="1"/>
  <c r="AH1179" i="1" s="1"/>
  <c r="AG1184" i="1"/>
  <c r="AI1184" i="1" s="1"/>
  <c r="AG1190" i="1"/>
  <c r="AI1190" i="1" s="1"/>
  <c r="AG552" i="1"/>
  <c r="AH552" i="1" s="1"/>
  <c r="AG634" i="1"/>
  <c r="AG956" i="1"/>
  <c r="AH956" i="1" s="1"/>
  <c r="AG1148" i="1"/>
  <c r="AI1148" i="1" s="1"/>
  <c r="AG469" i="1"/>
  <c r="AG476" i="1"/>
  <c r="AG484" i="1"/>
  <c r="AH484" i="1" s="1"/>
  <c r="AG491" i="1"/>
  <c r="AH491" i="1" s="1"/>
  <c r="AG498" i="1"/>
  <c r="AI498" i="1" s="1"/>
  <c r="AG505" i="1"/>
  <c r="AG529" i="1"/>
  <c r="AH529" i="1" s="1"/>
  <c r="AG539" i="1"/>
  <c r="AI539" i="1" s="1"/>
  <c r="AG549" i="1"/>
  <c r="AI549" i="1" s="1"/>
  <c r="AG560" i="1"/>
  <c r="AI560" i="1" s="1"/>
  <c r="AG570" i="1"/>
  <c r="AH570" i="1" s="1"/>
  <c r="AG579" i="1"/>
  <c r="AI579" i="1" s="1"/>
  <c r="AG595" i="1"/>
  <c r="AG602" i="1"/>
  <c r="AG609" i="1"/>
  <c r="AI609" i="1" s="1"/>
  <c r="AG617" i="1"/>
  <c r="AG624" i="1"/>
  <c r="AI624" i="1" s="1"/>
  <c r="AG632" i="1"/>
  <c r="AG639" i="1"/>
  <c r="AI639" i="1" s="1"/>
  <c r="AG647" i="1"/>
  <c r="AG655" i="1"/>
  <c r="AH655" i="1" s="1"/>
  <c r="AG671" i="1"/>
  <c r="AI671" i="1" s="1"/>
  <c r="AG679" i="1"/>
  <c r="AH679" i="1" s="1"/>
  <c r="AG695" i="1"/>
  <c r="AH695" i="1" s="1"/>
  <c r="AG705" i="1"/>
  <c r="AI705" i="1" s="1"/>
  <c r="AG714" i="1"/>
  <c r="AI714" i="1" s="1"/>
  <c r="AG722" i="1"/>
  <c r="AG729" i="1"/>
  <c r="AH729" i="1" s="1"/>
  <c r="AG745" i="1"/>
  <c r="AG761" i="1"/>
  <c r="AG769" i="1"/>
  <c r="AH769" i="1" s="1"/>
  <c r="AG776" i="1"/>
  <c r="AI776" i="1" s="1"/>
  <c r="AG784" i="1"/>
  <c r="AH784" i="1" s="1"/>
  <c r="AG792" i="1"/>
  <c r="AH792" i="1" s="1"/>
  <c r="AG808" i="1"/>
  <c r="AH808" i="1" s="1"/>
  <c r="AG824" i="1"/>
  <c r="AG866" i="1"/>
  <c r="AG879" i="1"/>
  <c r="AI879" i="1" s="1"/>
  <c r="AG886" i="1"/>
  <c r="AI886" i="1" s="1"/>
  <c r="AG892" i="1"/>
  <c r="AH892" i="1" s="1"/>
  <c r="AG899" i="1"/>
  <c r="AG904" i="1"/>
  <c r="AI904" i="1" s="1"/>
  <c r="AG925" i="1"/>
  <c r="AI925" i="1" s="1"/>
  <c r="AG938" i="1"/>
  <c r="AG954" i="1"/>
  <c r="AG963" i="1"/>
  <c r="AH963" i="1" s="1"/>
  <c r="AG980" i="1"/>
  <c r="AI980" i="1" s="1"/>
  <c r="AG998" i="1"/>
  <c r="AI998" i="1" s="1"/>
  <c r="AG1007" i="1"/>
  <c r="AI1007" i="1" s="1"/>
  <c r="AG1016" i="1"/>
  <c r="AI1016" i="1" s="1"/>
  <c r="AG1025" i="1"/>
  <c r="AH1025" i="1" s="1"/>
  <c r="AG1033" i="1"/>
  <c r="AI1033" i="1" s="1"/>
  <c r="AG1059" i="1"/>
  <c r="AI1059" i="1" s="1"/>
  <c r="AG1082" i="1"/>
  <c r="AI1082" i="1" s="1"/>
  <c r="AG1110" i="1"/>
  <c r="AI1110" i="1" s="1"/>
  <c r="AG1116" i="1"/>
  <c r="AI1116" i="1" s="1"/>
  <c r="AG1123" i="1"/>
  <c r="AI1123" i="1" s="1"/>
  <c r="AG1147" i="1"/>
  <c r="AG1172" i="1"/>
  <c r="AI1172" i="1" s="1"/>
  <c r="AG1180" i="1"/>
  <c r="AG1191" i="1"/>
  <c r="AI1191" i="1" s="1"/>
  <c r="AG597" i="1"/>
  <c r="AG492" i="1"/>
  <c r="AH492" i="1" s="1"/>
  <c r="AG499" i="1"/>
  <c r="AH499" i="1" s="1"/>
  <c r="AG513" i="1"/>
  <c r="AH513" i="1" s="1"/>
  <c r="AG521" i="1"/>
  <c r="AG530" i="1"/>
  <c r="AI530" i="1" s="1"/>
  <c r="AG540" i="1"/>
  <c r="AH540" i="1" s="1"/>
  <c r="AG550" i="1"/>
  <c r="AH550" i="1" s="1"/>
  <c r="AG571" i="1"/>
  <c r="AH571" i="1" s="1"/>
  <c r="AG580" i="1"/>
  <c r="AI580" i="1" s="1"/>
  <c r="AG588" i="1"/>
  <c r="AI588" i="1" s="1"/>
  <c r="AG610" i="1"/>
  <c r="AH610" i="1" s="1"/>
  <c r="AG625" i="1"/>
  <c r="AG640" i="1"/>
  <c r="AG656" i="1"/>
  <c r="AG664" i="1"/>
  <c r="AI664" i="1" s="1"/>
  <c r="AG672" i="1"/>
  <c r="AG680" i="1"/>
  <c r="AH680" i="1" s="1"/>
  <c r="AG687" i="1"/>
  <c r="AI687" i="1" s="1"/>
  <c r="AG706" i="1"/>
  <c r="AI706" i="1" s="1"/>
  <c r="AG715" i="1"/>
  <c r="AI715" i="1" s="1"/>
  <c r="AG737" i="1"/>
  <c r="AH737" i="1" s="1"/>
  <c r="AG753" i="1"/>
  <c r="AH753" i="1" s="1"/>
  <c r="AG777" i="1"/>
  <c r="AI777" i="1" s="1"/>
  <c r="AG785" i="1"/>
  <c r="AI785" i="1" s="1"/>
  <c r="AG800" i="1"/>
  <c r="AH800" i="1" s="1"/>
  <c r="AG816" i="1"/>
  <c r="AH816" i="1" s="1"/>
  <c r="AG834" i="1"/>
  <c r="AH834" i="1" s="1"/>
  <c r="AG842" i="1"/>
  <c r="AG848" i="1"/>
  <c r="AG854" i="1"/>
  <c r="AG872" i="1"/>
  <c r="AG880" i="1"/>
  <c r="AG887" i="1"/>
  <c r="AG893" i="1"/>
  <c r="AG905" i="1"/>
  <c r="AI905" i="1" s="1"/>
  <c r="AG912" i="1"/>
  <c r="AH912" i="1" s="1"/>
  <c r="AG926" i="1"/>
  <c r="AG932" i="1"/>
  <c r="AI932" i="1" s="1"/>
  <c r="AG945" i="1"/>
  <c r="AH945" i="1" s="1"/>
  <c r="AG964" i="1"/>
  <c r="AH964" i="1" s="1"/>
  <c r="AG972" i="1"/>
  <c r="AH972" i="1" s="1"/>
  <c r="AG990" i="1"/>
  <c r="AG999" i="1"/>
  <c r="AH999" i="1" s="1"/>
  <c r="AG1034" i="1"/>
  <c r="AH1034" i="1" s="1"/>
  <c r="AG1042" i="1"/>
  <c r="AI1042" i="1" s="1"/>
  <c r="AG1060" i="1"/>
  <c r="AI1060" i="1" s="1"/>
  <c r="AG1076" i="1"/>
  <c r="AI1076" i="1" s="1"/>
  <c r="AG1083" i="1"/>
  <c r="AH1083" i="1" s="1"/>
  <c r="AG1090" i="1"/>
  <c r="AG1104" i="1"/>
  <c r="AH1104" i="1" s="1"/>
  <c r="AG1111" i="1"/>
  <c r="AG1117" i="1"/>
  <c r="AG1139" i="1"/>
  <c r="AH1139" i="1" s="1"/>
  <c r="AG1160" i="1"/>
  <c r="AI1160" i="1" s="1"/>
  <c r="AG1166" i="1"/>
  <c r="AI1166" i="1" s="1"/>
  <c r="AG1173" i="1"/>
  <c r="AI1173" i="1" s="1"/>
  <c r="AG1185" i="1"/>
  <c r="AI1185" i="1" s="1"/>
  <c r="AG1192" i="1"/>
  <c r="AI1192" i="1" s="1"/>
  <c r="AG1199" i="1"/>
  <c r="AI1199" i="1" s="1"/>
  <c r="AH32" i="1"/>
  <c r="AH41" i="1"/>
  <c r="AH34" i="1"/>
  <c r="AI91" i="1"/>
  <c r="AH70" i="1"/>
  <c r="AI70" i="1"/>
  <c r="AH242" i="1"/>
  <c r="AG54" i="1"/>
  <c r="AI54" i="1" s="1"/>
  <c r="AG90" i="1"/>
  <c r="AI90" i="1" s="1"/>
  <c r="AG6" i="1"/>
  <c r="AI6" i="1" s="1"/>
  <c r="AG13" i="1"/>
  <c r="AI13" i="1" s="1"/>
  <c r="AG27" i="1"/>
  <c r="AG48" i="1"/>
  <c r="AI48" i="1" s="1"/>
  <c r="AG55" i="1"/>
  <c r="AH55" i="1" s="1"/>
  <c r="AG62" i="1"/>
  <c r="AI62" i="1" s="1"/>
  <c r="AG84" i="1"/>
  <c r="AI84" i="1" s="1"/>
  <c r="AG108" i="1"/>
  <c r="AI108" i="1" s="1"/>
  <c r="AG117" i="1"/>
  <c r="AI117" i="1" s="1"/>
  <c r="AG165" i="1"/>
  <c r="AI165" i="1" s="1"/>
  <c r="AG204" i="1"/>
  <c r="AH204" i="1" s="1"/>
  <c r="AG223" i="1"/>
  <c r="AH223" i="1" s="1"/>
  <c r="AG271" i="1"/>
  <c r="AI271" i="1" s="1"/>
  <c r="AG311" i="1"/>
  <c r="AH311" i="1" s="1"/>
  <c r="AG49" i="1"/>
  <c r="AI49" i="1" s="1"/>
  <c r="AG137" i="1"/>
  <c r="AI137" i="1" s="1"/>
  <c r="AG205" i="1"/>
  <c r="AI205" i="1" s="1"/>
  <c r="AG384" i="1"/>
  <c r="AI384" i="1" s="1"/>
  <c r="AG21" i="1"/>
  <c r="AH128" i="1"/>
  <c r="AG138" i="1"/>
  <c r="AH138" i="1" s="1"/>
  <c r="AG148" i="1"/>
  <c r="AG225" i="1"/>
  <c r="AH225" i="1" s="1"/>
  <c r="AG262" i="1"/>
  <c r="AI262" i="1" s="1"/>
  <c r="AG283" i="1"/>
  <c r="AH283" i="1" s="1"/>
  <c r="AG293" i="1"/>
  <c r="AH293" i="1" s="1"/>
  <c r="AG332" i="1"/>
  <c r="AI332" i="1" s="1"/>
  <c r="AG352" i="1"/>
  <c r="AI352" i="1" s="1"/>
  <c r="AG396" i="1"/>
  <c r="AH396" i="1" s="1"/>
  <c r="AG406" i="1"/>
  <c r="AH406" i="1" s="1"/>
  <c r="AG63" i="1"/>
  <c r="AH63" i="1" s="1"/>
  <c r="AG118" i="1"/>
  <c r="AH118" i="1" s="1"/>
  <c r="AG147" i="1"/>
  <c r="AH147" i="1" s="1"/>
  <c r="AG272" i="1"/>
  <c r="AG373" i="1"/>
  <c r="AH373" i="1" s="1"/>
  <c r="AG15" i="1"/>
  <c r="AG57" i="1"/>
  <c r="AI57" i="1" s="1"/>
  <c r="AH79" i="1"/>
  <c r="AG93" i="1"/>
  <c r="AH93" i="1" s="1"/>
  <c r="AG120" i="1"/>
  <c r="AI120" i="1" s="1"/>
  <c r="AG139" i="1"/>
  <c r="AH139" i="1" s="1"/>
  <c r="AG186" i="1"/>
  <c r="AI186" i="1" s="1"/>
  <c r="AG226" i="1"/>
  <c r="AG263" i="1"/>
  <c r="AG294" i="1"/>
  <c r="AI294" i="1" s="1"/>
  <c r="AG85" i="1"/>
  <c r="AI85" i="1" s="1"/>
  <c r="AG36" i="1"/>
  <c r="AI36" i="1" s="1"/>
  <c r="AG51" i="1"/>
  <c r="AH51" i="1" s="1"/>
  <c r="AG58" i="1"/>
  <c r="AI58" i="1" s="1"/>
  <c r="AG72" i="1"/>
  <c r="AI72" i="1" s="1"/>
  <c r="AI79" i="1"/>
  <c r="AG87" i="1"/>
  <c r="AI87" i="1" s="1"/>
  <c r="AG94" i="1"/>
  <c r="AI94" i="1" s="1"/>
  <c r="AG102" i="1"/>
  <c r="AI102" i="1" s="1"/>
  <c r="AG110" i="1"/>
  <c r="AI110" i="1" s="1"/>
  <c r="AG130" i="1"/>
  <c r="AI130" i="1" s="1"/>
  <c r="AG140" i="1"/>
  <c r="AI140" i="1" s="1"/>
  <c r="AG150" i="1"/>
  <c r="AH150" i="1" s="1"/>
  <c r="AG169" i="1"/>
  <c r="AI169" i="1" s="1"/>
  <c r="AG187" i="1"/>
  <c r="AI187" i="1" s="1"/>
  <c r="AG208" i="1"/>
  <c r="AH208" i="1" s="1"/>
  <c r="AG254" i="1"/>
  <c r="AG344" i="1"/>
  <c r="AI344" i="1" s="1"/>
  <c r="AG387" i="1"/>
  <c r="AI387" i="1" s="1"/>
  <c r="AG9" i="1"/>
  <c r="AG22" i="1"/>
  <c r="AI22" i="1" s="1"/>
  <c r="AG29" i="1"/>
  <c r="AI29" i="1" s="1"/>
  <c r="AG65" i="1"/>
  <c r="AI65" i="1" s="1"/>
  <c r="AG103" i="1"/>
  <c r="AI103" i="1" s="1"/>
  <c r="AG151" i="1"/>
  <c r="AH151" i="1" s="1"/>
  <c r="AG197" i="1"/>
  <c r="AI197" i="1" s="1"/>
  <c r="AG227" i="1"/>
  <c r="AG255" i="1"/>
  <c r="AH255" i="1" s="1"/>
  <c r="AG265" i="1"/>
  <c r="AH265" i="1" s="1"/>
  <c r="AG305" i="1"/>
  <c r="AI305" i="1" s="1"/>
  <c r="AG355" i="1"/>
  <c r="AI355" i="1" s="1"/>
  <c r="AH376" i="1"/>
  <c r="AG184" i="1"/>
  <c r="AI184" i="1" s="1"/>
  <c r="AG3" i="1"/>
  <c r="AG30" i="1"/>
  <c r="AI30" i="1" s="1"/>
  <c r="AH44" i="1"/>
  <c r="AH59" i="1"/>
  <c r="AG66" i="1"/>
  <c r="AI66" i="1" s="1"/>
  <c r="AH80" i="1"/>
  <c r="AG112" i="1"/>
  <c r="AI112" i="1" s="1"/>
  <c r="AH122" i="1"/>
  <c r="AH131" i="1"/>
  <c r="AG142" i="1"/>
  <c r="AI142" i="1" s="1"/>
  <c r="AG189" i="1"/>
  <c r="AI189" i="1" s="1"/>
  <c r="AG246" i="1"/>
  <c r="AI246" i="1" s="1"/>
  <c r="AG256" i="1"/>
  <c r="AI256" i="1" s="1"/>
  <c r="AG286" i="1"/>
  <c r="AG429" i="1"/>
  <c r="AH429" i="1" s="1"/>
  <c r="AG42" i="1"/>
  <c r="AI42" i="1" s="1"/>
  <c r="AG23" i="1"/>
  <c r="AH23" i="1" s="1"/>
  <c r="AG31" i="1"/>
  <c r="AI31" i="1" s="1"/>
  <c r="AG45" i="1"/>
  <c r="AI45" i="1" s="1"/>
  <c r="AI52" i="1"/>
  <c r="AG60" i="1"/>
  <c r="AH60" i="1" s="1"/>
  <c r="AG67" i="1"/>
  <c r="AG81" i="1"/>
  <c r="AI81" i="1" s="1"/>
  <c r="AG96" i="1"/>
  <c r="AI96" i="1" s="1"/>
  <c r="AG104" i="1"/>
  <c r="AI104" i="1" s="1"/>
  <c r="AG123" i="1"/>
  <c r="AH123" i="1" s="1"/>
  <c r="AG143" i="1"/>
  <c r="AI143" i="1" s="1"/>
  <c r="AH161" i="1"/>
  <c r="AG171" i="1"/>
  <c r="AI171" i="1" s="1"/>
  <c r="AG179" i="1"/>
  <c r="AI179" i="1" s="1"/>
  <c r="AG190" i="1"/>
  <c r="AH190" i="1" s="1"/>
  <c r="AI209" i="1"/>
  <c r="AG218" i="1"/>
  <c r="AG326" i="1"/>
  <c r="AG367" i="1"/>
  <c r="AH367" i="1" s="1"/>
  <c r="AG378" i="1"/>
  <c r="AI378" i="1" s="1"/>
  <c r="AG302" i="1"/>
  <c r="AH302" i="1" s="1"/>
  <c r="AH74" i="1"/>
  <c r="AG97" i="1"/>
  <c r="AI97" i="1" s="1"/>
  <c r="AG105" i="1"/>
  <c r="AI105" i="1" s="1"/>
  <c r="AG154" i="1"/>
  <c r="AH154" i="1" s="1"/>
  <c r="AG172" i="1"/>
  <c r="AH172" i="1" s="1"/>
  <c r="AG200" i="1"/>
  <c r="AG219" i="1"/>
  <c r="AH219" i="1" s="1"/>
  <c r="AG230" i="1"/>
  <c r="AI230" i="1" s="1"/>
  <c r="AH239" i="1"/>
  <c r="AG258" i="1"/>
  <c r="AI258" i="1" s="1"/>
  <c r="AG288" i="1"/>
  <c r="AI288" i="1" s="1"/>
  <c r="AG317" i="1"/>
  <c r="AG358" i="1"/>
  <c r="AG7" i="1"/>
  <c r="AH7" i="1" s="1"/>
  <c r="AG78" i="1"/>
  <c r="AI78" i="1" s="1"/>
  <c r="AG166" i="1"/>
  <c r="AI166" i="1" s="1"/>
  <c r="AG24" i="1"/>
  <c r="AI24" i="1" s="1"/>
  <c r="AG18" i="1"/>
  <c r="AI18" i="1" s="1"/>
  <c r="AG25" i="1"/>
  <c r="AH25" i="1" s="1"/>
  <c r="AG39" i="1"/>
  <c r="AH39" i="1" s="1"/>
  <c r="AG46" i="1"/>
  <c r="AH46" i="1" s="1"/>
  <c r="AG53" i="1"/>
  <c r="AI53" i="1" s="1"/>
  <c r="AG61" i="1"/>
  <c r="AG68" i="1"/>
  <c r="AI68" i="1" s="1"/>
  <c r="AG75" i="1"/>
  <c r="AI75" i="1" s="1"/>
  <c r="AG82" i="1"/>
  <c r="AH82" i="1" s="1"/>
  <c r="AG89" i="1"/>
  <c r="AI89" i="1" s="1"/>
  <c r="AG106" i="1"/>
  <c r="AI106" i="1" s="1"/>
  <c r="AG114" i="1"/>
  <c r="AI114" i="1" s="1"/>
  <c r="AG201" i="1"/>
  <c r="AI201" i="1" s="1"/>
  <c r="AG220" i="1"/>
  <c r="AI220" i="1" s="1"/>
  <c r="AG268" i="1"/>
  <c r="AH268" i="1" s="1"/>
  <c r="AG289" i="1"/>
  <c r="AI289" i="1" s="1"/>
  <c r="AG252" i="1"/>
  <c r="AH252" i="1" s="1"/>
  <c r="AG331" i="1"/>
  <c r="AG19" i="1"/>
  <c r="AI19" i="1" s="1"/>
  <c r="AG69" i="1"/>
  <c r="AI69" i="1" s="1"/>
  <c r="AG115" i="1"/>
  <c r="AI115" i="1" s="1"/>
  <c r="AH134" i="1"/>
  <c r="AG202" i="1"/>
  <c r="AI202" i="1" s="1"/>
  <c r="AG232" i="1"/>
  <c r="AG249" i="1"/>
  <c r="AH249" i="1" s="1"/>
  <c r="AG279" i="1"/>
  <c r="AI279" i="1" s="1"/>
  <c r="AG299" i="1"/>
  <c r="AG328" i="1"/>
  <c r="AG339" i="1"/>
  <c r="AI339" i="1" s="1"/>
  <c r="AG360" i="1"/>
  <c r="AI360" i="1" s="1"/>
  <c r="AG370" i="1"/>
  <c r="AH370" i="1" s="1"/>
  <c r="AH11" i="1"/>
  <c r="AG33" i="1"/>
  <c r="AI33" i="1" s="1"/>
  <c r="AG40" i="1"/>
  <c r="AI40" i="1" s="1"/>
  <c r="AG76" i="1"/>
  <c r="AI76" i="1" s="1"/>
  <c r="AG5" i="1"/>
  <c r="AI5" i="1" s="1"/>
  <c r="AG12" i="1"/>
  <c r="AI12" i="1" s="1"/>
  <c r="AG26" i="1"/>
  <c r="AI26" i="1" s="1"/>
  <c r="AG47" i="1"/>
  <c r="AI47" i="1" s="1"/>
  <c r="AG83" i="1"/>
  <c r="AI83" i="1" s="1"/>
  <c r="AG99" i="1"/>
  <c r="AG107" i="1"/>
  <c r="AI107" i="1" s="1"/>
  <c r="AG126" i="1"/>
  <c r="AH126" i="1" s="1"/>
  <c r="AG164" i="1"/>
  <c r="AI173" i="1"/>
  <c r="AG182" i="1"/>
  <c r="AG212" i="1"/>
  <c r="AI212" i="1" s="1"/>
  <c r="AG233" i="1"/>
  <c r="AI233" i="1" s="1"/>
  <c r="AG280" i="1"/>
  <c r="AI280" i="1" s="1"/>
  <c r="AG320" i="1"/>
  <c r="AH320" i="1" s="1"/>
  <c r="AG349" i="1"/>
  <c r="AI349" i="1" s="1"/>
  <c r="AG382" i="1"/>
  <c r="AI382" i="1" s="1"/>
  <c r="AG393" i="1"/>
  <c r="AI393" i="1" s="1"/>
  <c r="AG403" i="1"/>
  <c r="AH403" i="1" s="1"/>
  <c r="AG423" i="1"/>
  <c r="AI423" i="1" s="1"/>
  <c r="AG135" i="1"/>
  <c r="AH135" i="1" s="1"/>
  <c r="AG159" i="1"/>
  <c r="AG174" i="1"/>
  <c r="AI174" i="1" s="1"/>
  <c r="AG198" i="1"/>
  <c r="AI198" i="1" s="1"/>
  <c r="AG213" i="1"/>
  <c r="AI213" i="1" s="1"/>
  <c r="AG243" i="1"/>
  <c r="AH243" i="1" s="1"/>
  <c r="AG250" i="1"/>
  <c r="AH250" i="1" s="1"/>
  <c r="AG281" i="1"/>
  <c r="AG290" i="1"/>
  <c r="AG296" i="1"/>
  <c r="AI296" i="1" s="1"/>
  <c r="AG306" i="1"/>
  <c r="AI306" i="1" s="1"/>
  <c r="AG314" i="1"/>
  <c r="AI314" i="1" s="1"/>
  <c r="AG323" i="1"/>
  <c r="AI323" i="1" s="1"/>
  <c r="AG347" i="1"/>
  <c r="AG356" i="1"/>
  <c r="AG362" i="1"/>
  <c r="AI362" i="1" s="1"/>
  <c r="AG371" i="1"/>
  <c r="AG379" i="1"/>
  <c r="AI379" i="1" s="1"/>
  <c r="AG388" i="1"/>
  <c r="AG410" i="1"/>
  <c r="AI410" i="1" s="1"/>
  <c r="AG416" i="1"/>
  <c r="AI416" i="1" s="1"/>
  <c r="AG127" i="1"/>
  <c r="AH127" i="1" s="1"/>
  <c r="AG144" i="1"/>
  <c r="AH144" i="1" s="1"/>
  <c r="AG152" i="1"/>
  <c r="AI152" i="1" s="1"/>
  <c r="AG160" i="1"/>
  <c r="AI160" i="1" s="1"/>
  <c r="AG167" i="1"/>
  <c r="AI167" i="1" s="1"/>
  <c r="AG175" i="1"/>
  <c r="AI175" i="1" s="1"/>
  <c r="AG206" i="1"/>
  <c r="AI206" i="1" s="1"/>
  <c r="AG214" i="1"/>
  <c r="AH214" i="1" s="1"/>
  <c r="AG221" i="1"/>
  <c r="AI221" i="1" s="1"/>
  <c r="AG228" i="1"/>
  <c r="AI228" i="1" s="1"/>
  <c r="AG257" i="1"/>
  <c r="AG273" i="1"/>
  <c r="AH273" i="1" s="1"/>
  <c r="AG297" i="1"/>
  <c r="AH297" i="1" s="1"/>
  <c r="AG307" i="1"/>
  <c r="AH307" i="1" s="1"/>
  <c r="AG315" i="1"/>
  <c r="AI315" i="1" s="1"/>
  <c r="AG324" i="1"/>
  <c r="AI324" i="1" s="1"/>
  <c r="AG340" i="1"/>
  <c r="AG363" i="1"/>
  <c r="AH363" i="1" s="1"/>
  <c r="AG380" i="1"/>
  <c r="AI380" i="1" s="1"/>
  <c r="AG397" i="1"/>
  <c r="AG404" i="1"/>
  <c r="AG411" i="1"/>
  <c r="AG417" i="1"/>
  <c r="AG424" i="1"/>
  <c r="AG430" i="1"/>
  <c r="AI430" i="1" s="1"/>
  <c r="AG111" i="1"/>
  <c r="AG119" i="1"/>
  <c r="AI119" i="1" s="1"/>
  <c r="AG136" i="1"/>
  <c r="AH136" i="1" s="1"/>
  <c r="AG153" i="1"/>
  <c r="AI153" i="1" s="1"/>
  <c r="AG168" i="1"/>
  <c r="AH168" i="1" s="1"/>
  <c r="AG183" i="1"/>
  <c r="AI183" i="1" s="1"/>
  <c r="AG191" i="1"/>
  <c r="AG199" i="1"/>
  <c r="AH199" i="1" s="1"/>
  <c r="AG207" i="1"/>
  <c r="AI207" i="1" s="1"/>
  <c r="AG222" i="1"/>
  <c r="AI222" i="1" s="1"/>
  <c r="AG229" i="1"/>
  <c r="AG236" i="1"/>
  <c r="AG244" i="1"/>
  <c r="AG251" i="1"/>
  <c r="AI251" i="1" s="1"/>
  <c r="AG264" i="1"/>
  <c r="AG274" i="1"/>
  <c r="AG282" i="1"/>
  <c r="AI282" i="1" s="1"/>
  <c r="AG298" i="1"/>
  <c r="AI298" i="1" s="1"/>
  <c r="AG308" i="1"/>
  <c r="AG316" i="1"/>
  <c r="AI316" i="1" s="1"/>
  <c r="AG325" i="1"/>
  <c r="AI325" i="1" s="1"/>
  <c r="AG348" i="1"/>
  <c r="AI348" i="1" s="1"/>
  <c r="AG357" i="1"/>
  <c r="AG372" i="1"/>
  <c r="AI372" i="1" s="1"/>
  <c r="AG381" i="1"/>
  <c r="AI381" i="1" s="1"/>
  <c r="AG389" i="1"/>
  <c r="AG405" i="1"/>
  <c r="AG431" i="1"/>
  <c r="AI431" i="1" s="1"/>
  <c r="AI418" i="1"/>
  <c r="AG425" i="1"/>
  <c r="AG432" i="1"/>
  <c r="AH432" i="1" s="1"/>
  <c r="AG121" i="1"/>
  <c r="AI121" i="1" s="1"/>
  <c r="AG129" i="1"/>
  <c r="AH129" i="1" s="1"/>
  <c r="AG162" i="1"/>
  <c r="AI162" i="1" s="1"/>
  <c r="AG177" i="1"/>
  <c r="AG192" i="1"/>
  <c r="AH192" i="1" s="1"/>
  <c r="AG216" i="1"/>
  <c r="AG237" i="1"/>
  <c r="AI237" i="1" s="1"/>
  <c r="AG266" i="1"/>
  <c r="AH266" i="1" s="1"/>
  <c r="AG275" i="1"/>
  <c r="AH275" i="1" s="1"/>
  <c r="AG284" i="1"/>
  <c r="AG292" i="1"/>
  <c r="AG309" i="1"/>
  <c r="AH309" i="1" s="1"/>
  <c r="AG333" i="1"/>
  <c r="AI333" i="1" s="1"/>
  <c r="AG341" i="1"/>
  <c r="AG350" i="1"/>
  <c r="AG365" i="1"/>
  <c r="AG374" i="1"/>
  <c r="AI374" i="1" s="1"/>
  <c r="AG390" i="1"/>
  <c r="AH390" i="1" s="1"/>
  <c r="AG398" i="1"/>
  <c r="AI398" i="1" s="1"/>
  <c r="AH412" i="1"/>
  <c r="AG419" i="1"/>
  <c r="AG178" i="1"/>
  <c r="AI178" i="1" s="1"/>
  <c r="AG185" i="1"/>
  <c r="AI185" i="1" s="1"/>
  <c r="AG193" i="1"/>
  <c r="AG224" i="1"/>
  <c r="AI224" i="1" s="1"/>
  <c r="AG231" i="1"/>
  <c r="AI231" i="1" s="1"/>
  <c r="AG238" i="1"/>
  <c r="AH238" i="1" s="1"/>
  <c r="AG245" i="1"/>
  <c r="AG253" i="1"/>
  <c r="AG259" i="1"/>
  <c r="AG267" i="1"/>
  <c r="AH267" i="1" s="1"/>
  <c r="AG276" i="1"/>
  <c r="AI276" i="1" s="1"/>
  <c r="AG285" i="1"/>
  <c r="AH285" i="1" s="1"/>
  <c r="AG300" i="1"/>
  <c r="AG310" i="1"/>
  <c r="AG318" i="1"/>
  <c r="AG334" i="1"/>
  <c r="AI334" i="1" s="1"/>
  <c r="AG342" i="1"/>
  <c r="AI342" i="1" s="1"/>
  <c r="AG375" i="1"/>
  <c r="AI375" i="1" s="1"/>
  <c r="AG383" i="1"/>
  <c r="AG391" i="1"/>
  <c r="AI391" i="1" s="1"/>
  <c r="AG399" i="1"/>
  <c r="AI399" i="1" s="1"/>
  <c r="AG407" i="1"/>
  <c r="AI412" i="1"/>
  <c r="AG426" i="1"/>
  <c r="AI426" i="1" s="1"/>
  <c r="AG433" i="1"/>
  <c r="AG301" i="1"/>
  <c r="AH301" i="1" s="1"/>
  <c r="AG319" i="1"/>
  <c r="AH319" i="1" s="1"/>
  <c r="AG335" i="1"/>
  <c r="AG343" i="1"/>
  <c r="AH343" i="1" s="1"/>
  <c r="AG351" i="1"/>
  <c r="AG359" i="1"/>
  <c r="AI359" i="1" s="1"/>
  <c r="AG366" i="1"/>
  <c r="AG392" i="1"/>
  <c r="AG413" i="1"/>
  <c r="AI413" i="1" s="1"/>
  <c r="AG420" i="1"/>
  <c r="AH420" i="1" s="1"/>
  <c r="AG408" i="1"/>
  <c r="AH408" i="1" s="1"/>
  <c r="AG414" i="1"/>
  <c r="AI414" i="1" s="1"/>
  <c r="AG434" i="1"/>
  <c r="AH434" i="1" s="1"/>
  <c r="AG124" i="1"/>
  <c r="AG132" i="1"/>
  <c r="AH132" i="1" s="1"/>
  <c r="AG156" i="1"/>
  <c r="AH156" i="1" s="1"/>
  <c r="AG180" i="1"/>
  <c r="AG195" i="1"/>
  <c r="AH195" i="1" s="1"/>
  <c r="AG210" i="1"/>
  <c r="AH210" i="1" s="1"/>
  <c r="AG240" i="1"/>
  <c r="AG247" i="1"/>
  <c r="AI247" i="1" s="1"/>
  <c r="AG260" i="1"/>
  <c r="AH260" i="1" s="1"/>
  <c r="AG269" i="1"/>
  <c r="AH269" i="1" s="1"/>
  <c r="AG303" i="1"/>
  <c r="AG312" i="1"/>
  <c r="AI312" i="1" s="1"/>
  <c r="AG321" i="1"/>
  <c r="AI321" i="1" s="1"/>
  <c r="AG336" i="1"/>
  <c r="AG345" i="1"/>
  <c r="AG353" i="1"/>
  <c r="AG385" i="1"/>
  <c r="AI385" i="1" s="1"/>
  <c r="AG401" i="1"/>
  <c r="AG421" i="1"/>
  <c r="AH421" i="1" s="1"/>
  <c r="AH427" i="1"/>
  <c r="AG116" i="1"/>
  <c r="AI116" i="1" s="1"/>
  <c r="AG133" i="1"/>
  <c r="AG141" i="1"/>
  <c r="AI141" i="1" s="1"/>
  <c r="AG149" i="1"/>
  <c r="AI149" i="1" s="1"/>
  <c r="AG157" i="1"/>
  <c r="AI157" i="1" s="1"/>
  <c r="AG188" i="1"/>
  <c r="AI188" i="1" s="1"/>
  <c r="AG196" i="1"/>
  <c r="AI196" i="1" s="1"/>
  <c r="AG203" i="1"/>
  <c r="AI203" i="1" s="1"/>
  <c r="AG211" i="1"/>
  <c r="AI211" i="1" s="1"/>
  <c r="AG234" i="1"/>
  <c r="AH234" i="1" s="1"/>
  <c r="AG241" i="1"/>
  <c r="AH241" i="1" s="1"/>
  <c r="AG261" i="1"/>
  <c r="AI261" i="1" s="1"/>
  <c r="AG270" i="1"/>
  <c r="AI270" i="1" s="1"/>
  <c r="AG278" i="1"/>
  <c r="AI278" i="1" s="1"/>
  <c r="AG287" i="1"/>
  <c r="AI287" i="1" s="1"/>
  <c r="AG295" i="1"/>
  <c r="AG329" i="1"/>
  <c r="AH329" i="1" s="1"/>
  <c r="AG337" i="1"/>
  <c r="AH337" i="1" s="1"/>
  <c r="AG361" i="1"/>
  <c r="AG368" i="1"/>
  <c r="AH368" i="1" s="1"/>
  <c r="AG386" i="1"/>
  <c r="AG394" i="1"/>
  <c r="AG409" i="1"/>
  <c r="AG415" i="1"/>
  <c r="AG422" i="1"/>
  <c r="AI427" i="1"/>
  <c r="AH313" i="1"/>
  <c r="AG330" i="1"/>
  <c r="AI330" i="1" s="1"/>
  <c r="AG338" i="1"/>
  <c r="AH338" i="1" s="1"/>
  <c r="AI346" i="1"/>
  <c r="AG354" i="1"/>
  <c r="AI354" i="1" s="1"/>
  <c r="AG369" i="1"/>
  <c r="AH369" i="1" s="1"/>
  <c r="AG377" i="1"/>
  <c r="AI377" i="1" s="1"/>
  <c r="AG395" i="1"/>
  <c r="AI395" i="1" s="1"/>
  <c r="AG402" i="1"/>
  <c r="AI402" i="1" s="1"/>
  <c r="AG428" i="1"/>
  <c r="AI428" i="1" s="1"/>
  <c r="AI150" i="1"/>
  <c r="AI74" i="1"/>
  <c r="AI101" i="1"/>
  <c r="AI128" i="1"/>
  <c r="AI464" i="1"/>
  <c r="AH441" i="1"/>
  <c r="AI44" i="1"/>
  <c r="AI80" i="1"/>
  <c r="AI134" i="1"/>
  <c r="AI161" i="1"/>
  <c r="AI291" i="1"/>
  <c r="AH291" i="1"/>
  <c r="AI327" i="1"/>
  <c r="AH327" i="1"/>
  <c r="AI455" i="1"/>
  <c r="AH455" i="1"/>
  <c r="AI32" i="1"/>
  <c r="AI41" i="1"/>
  <c r="AI59" i="1"/>
  <c r="AH91" i="1"/>
  <c r="AI95" i="1"/>
  <c r="AI122" i="1"/>
  <c r="AI239" i="1"/>
  <c r="AI450" i="1"/>
  <c r="AH450" i="1"/>
  <c r="AI486" i="1"/>
  <c r="AH486" i="1"/>
  <c r="AH533" i="1"/>
  <c r="AI565" i="1"/>
  <c r="AI517" i="1"/>
  <c r="AH567" i="1"/>
  <c r="AI600" i="1"/>
  <c r="AH600" i="1"/>
  <c r="AH457" i="1"/>
  <c r="AI457" i="1"/>
  <c r="AH559" i="1"/>
  <c r="AI559" i="1"/>
  <c r="AH463" i="1"/>
  <c r="AH742" i="1"/>
  <c r="AH591" i="1"/>
  <c r="AH846" i="1"/>
  <c r="AI659" i="1"/>
  <c r="AI782" i="1"/>
  <c r="AH782" i="1"/>
  <c r="AI809" i="1"/>
  <c r="AH809" i="1"/>
  <c r="AH1011" i="1"/>
  <c r="AI1011" i="1"/>
  <c r="AH833" i="1"/>
  <c r="AI833" i="1"/>
  <c r="AI829" i="1"/>
  <c r="AI853" i="1"/>
  <c r="AH853" i="1"/>
  <c r="AI793" i="1"/>
  <c r="AI781" i="1"/>
  <c r="AH1086" i="1"/>
  <c r="AI1086" i="1"/>
  <c r="AI849" i="1"/>
  <c r="AH849" i="1"/>
  <c r="AI1008" i="1"/>
  <c r="AH1008" i="1"/>
  <c r="AI1017" i="1"/>
  <c r="AH1017" i="1"/>
  <c r="AH959" i="1"/>
  <c r="AI984" i="1"/>
  <c r="AH984" i="1"/>
  <c r="AI1010" i="1"/>
  <c r="AH927" i="1"/>
  <c r="AI960" i="1"/>
  <c r="AH960" i="1"/>
  <c r="AI1097" i="1"/>
  <c r="AH1097" i="1"/>
  <c r="AI1145" i="1"/>
  <c r="AI961" i="1"/>
  <c r="AH940" i="1"/>
  <c r="AI1124" i="1"/>
  <c r="AH1124" i="1"/>
  <c r="AI1131" i="1"/>
  <c r="AI918" i="1"/>
  <c r="AH918" i="1"/>
  <c r="AI1143" i="1"/>
  <c r="AI1175" i="1"/>
  <c r="AI1125" i="1"/>
  <c r="AH1125" i="1"/>
  <c r="AH1041" i="1"/>
  <c r="AI1182" i="1"/>
  <c r="AH1182" i="1"/>
  <c r="AI1178" i="1"/>
  <c r="AH1178" i="1"/>
  <c r="Q1" i="1"/>
  <c r="K1" i="1"/>
  <c r="AF2" i="1"/>
  <c r="C2" i="1" s="1" a="1"/>
  <c r="C2" i="1" s="1"/>
  <c r="AI719" i="1" l="1"/>
  <c r="AH527" i="1"/>
  <c r="AI1194" i="1"/>
  <c r="AH1197" i="1"/>
  <c r="AI814" i="1"/>
  <c r="AI874" i="1"/>
  <c r="AH701" i="1"/>
  <c r="AH435" i="1"/>
  <c r="AH884" i="1"/>
  <c r="AI795" i="1"/>
  <c r="AH638" i="1"/>
  <c r="AI553" i="1"/>
  <c r="AH1069" i="1"/>
  <c r="AI786" i="1"/>
  <c r="AI650" i="1"/>
  <c r="AH585" i="1"/>
  <c r="AH103" i="1"/>
  <c r="AH1093" i="1"/>
  <c r="AH751" i="1"/>
  <c r="AH557" i="1"/>
  <c r="AI661" i="1"/>
  <c r="AI17" i="1"/>
  <c r="AH752" i="1"/>
  <c r="AH615" i="1"/>
  <c r="AI707" i="1"/>
  <c r="AH718" i="1"/>
  <c r="AI14" i="1"/>
  <c r="R523" i="9"/>
  <c r="AI922" i="1"/>
  <c r="S523" i="9"/>
  <c r="AH536" i="1"/>
  <c r="AH860" i="1"/>
  <c r="AH548" i="1"/>
  <c r="AI921" i="1"/>
  <c r="AH696" i="1"/>
  <c r="AH937" i="1"/>
  <c r="AH1088" i="1"/>
  <c r="AI679" i="1"/>
  <c r="AH506" i="1"/>
  <c r="AI825" i="1"/>
  <c r="R496" i="9"/>
  <c r="AH142" i="1"/>
  <c r="AI891" i="1"/>
  <c r="AH1190" i="1"/>
  <c r="AI974" i="1"/>
  <c r="T679" i="9"/>
  <c r="T496" i="9"/>
  <c r="AH916" i="1"/>
  <c r="AH477" i="1"/>
  <c r="AH1151" i="1"/>
  <c r="AI803" i="1"/>
  <c r="AI995" i="1"/>
  <c r="AI822" i="1"/>
  <c r="AH758" i="1"/>
  <c r="AH470" i="1"/>
  <c r="AH1199" i="1"/>
  <c r="AI1003" i="1"/>
  <c r="AI396" i="1"/>
  <c r="AI147" i="1"/>
  <c r="AI225" i="1"/>
  <c r="AH271" i="1"/>
  <c r="AH1166" i="1"/>
  <c r="AH930" i="1"/>
  <c r="AH878" i="1"/>
  <c r="AH1148" i="1"/>
  <c r="AH646" i="1"/>
  <c r="AI541" i="1"/>
  <c r="AH1121" i="1"/>
  <c r="AI529" i="1"/>
  <c r="AI1103" i="1"/>
  <c r="AI456" i="1"/>
  <c r="R679" i="9"/>
  <c r="AH1013" i="1"/>
  <c r="AI370" i="1"/>
  <c r="AI1179" i="1"/>
  <c r="AH976" i="1"/>
  <c r="AI488" i="1"/>
  <c r="AH1192" i="1"/>
  <c r="AH1141" i="1"/>
  <c r="AH936" i="1"/>
  <c r="AH1052" i="1"/>
  <c r="AI689" i="1"/>
  <c r="AI480" i="1"/>
  <c r="AI875" i="1"/>
  <c r="AH1055" i="1"/>
  <c r="AI957" i="1"/>
  <c r="AI783" i="1"/>
  <c r="AH1047" i="1"/>
  <c r="AI787" i="1"/>
  <c r="AI1195" i="1"/>
  <c r="AI1164" i="1"/>
  <c r="AH759" i="1"/>
  <c r="AH535" i="1"/>
  <c r="AI487" i="1"/>
  <c r="AH497" i="1"/>
  <c r="AH1106" i="1"/>
  <c r="AH873" i="1"/>
  <c r="AH1150" i="1"/>
  <c r="AI821" i="1"/>
  <c r="AH1019" i="1"/>
  <c r="AI784" i="1"/>
  <c r="AI514" i="1"/>
  <c r="AH524" i="1"/>
  <c r="AH66" i="1"/>
  <c r="AI966" i="1"/>
  <c r="N735" i="9"/>
  <c r="AH1046" i="1"/>
  <c r="AH724" i="1"/>
  <c r="AH378" i="1"/>
  <c r="AI492" i="1"/>
  <c r="AI802" i="1"/>
  <c r="AI1167" i="1"/>
  <c r="AI1000" i="1"/>
  <c r="AH658" i="1"/>
  <c r="AH620" i="1"/>
  <c r="AH644" i="1"/>
  <c r="AH48" i="1"/>
  <c r="AI466" i="1"/>
  <c r="AH1185" i="1"/>
  <c r="AH879" i="1"/>
  <c r="AI540" i="1"/>
  <c r="AH563" i="1"/>
  <c r="AH471" i="1"/>
  <c r="AH543" i="1"/>
  <c r="AI23" i="1"/>
  <c r="AH1149" i="1"/>
  <c r="AH932" i="1"/>
  <c r="AH948" i="1"/>
  <c r="AI762" i="1"/>
  <c r="AI913" i="1"/>
  <c r="AH579" i="1"/>
  <c r="AI562" i="1"/>
  <c r="AH928" i="1"/>
  <c r="AH1029" i="1"/>
  <c r="AI1161" i="1"/>
  <c r="AH1070" i="1"/>
  <c r="AH791" i="1"/>
  <c r="AI775" i="1"/>
  <c r="AH684" i="1"/>
  <c r="AI523" i="1"/>
  <c r="AH109" i="1"/>
  <c r="AH102" i="1"/>
  <c r="AH158" i="1"/>
  <c r="J499" i="9"/>
  <c r="AI770" i="1"/>
  <c r="AH675" i="1"/>
  <c r="AI35" i="1"/>
  <c r="AH1135" i="1"/>
  <c r="AH1056" i="1"/>
  <c r="AI889" i="1"/>
  <c r="AI748" i="1"/>
  <c r="AI438" i="1"/>
  <c r="AH461" i="1"/>
  <c r="AH994" i="1"/>
  <c r="AH876" i="1"/>
  <c r="AH767" i="1"/>
  <c r="AI390" i="1"/>
  <c r="AH502" i="1"/>
  <c r="AI741" i="1"/>
  <c r="AH1076" i="1"/>
  <c r="AH1048" i="1"/>
  <c r="AH858" i="1"/>
  <c r="AI996" i="1"/>
  <c r="AH986" i="1"/>
  <c r="AH958" i="1"/>
  <c r="AH1059" i="1"/>
  <c r="AH217" i="1"/>
  <c r="AI181" i="1"/>
  <c r="R607" i="9"/>
  <c r="AH896" i="1"/>
  <c r="AI987" i="1"/>
  <c r="AH840" i="1"/>
  <c r="AI750" i="1"/>
  <c r="S607" i="9"/>
  <c r="AH1146" i="1"/>
  <c r="AI796" i="1"/>
  <c r="AH8" i="1"/>
  <c r="AI500" i="1"/>
  <c r="AI648" i="1"/>
  <c r="AI989" i="1"/>
  <c r="AH1137" i="1"/>
  <c r="AI1024" i="1"/>
  <c r="AH339" i="1"/>
  <c r="AH1057" i="1"/>
  <c r="AH967" i="1"/>
  <c r="AH968" i="1"/>
  <c r="AI951" i="1"/>
  <c r="AH903" i="1"/>
  <c r="AI972" i="1"/>
  <c r="AI716" i="1"/>
  <c r="AI749" i="1"/>
  <c r="AI490" i="1"/>
  <c r="AH37" i="1"/>
  <c r="AH115" i="1"/>
  <c r="AH777" i="1"/>
  <c r="AH844" i="1"/>
  <c r="AH830" i="1"/>
  <c r="AH430" i="1"/>
  <c r="AI501" i="1"/>
  <c r="AI810" i="1"/>
  <c r="AH4" i="1"/>
  <c r="AH494" i="1"/>
  <c r="AH1200" i="1"/>
  <c r="AH920" i="1"/>
  <c r="AH1018" i="1"/>
  <c r="AH445" i="1"/>
  <c r="AH372" i="1"/>
  <c r="AH459" i="1"/>
  <c r="AI756" i="1"/>
  <c r="AH711" i="1"/>
  <c r="AH636" i="1"/>
  <c r="AI909" i="1"/>
  <c r="AI320" i="1"/>
  <c r="AI1132" i="1"/>
  <c r="AH639" i="1"/>
  <c r="AH321" i="1"/>
  <c r="AH1085" i="1"/>
  <c r="AH1066" i="1"/>
  <c r="AH682" i="1"/>
  <c r="AI491" i="1"/>
  <c r="AH1032" i="1"/>
  <c r="AH382" i="1"/>
  <c r="AI789" i="1"/>
  <c r="AI273" i="1"/>
  <c r="AI434" i="1"/>
  <c r="AH806" i="1"/>
  <c r="AH1174" i="1"/>
  <c r="AI794" i="1"/>
  <c r="AH900" i="1"/>
  <c r="AI857" i="1"/>
  <c r="AI329" i="1"/>
  <c r="AI522" i="1"/>
  <c r="AI139" i="1"/>
  <c r="AH509" i="1"/>
  <c r="AH861" i="1"/>
  <c r="AI975" i="1"/>
  <c r="AI897" i="1"/>
  <c r="AI550" i="1"/>
  <c r="AI1139" i="1"/>
  <c r="AI973" i="1"/>
  <c r="AH1091" i="1"/>
  <c r="AI823" i="1"/>
  <c r="AH452" i="1"/>
  <c r="AI260" i="1"/>
  <c r="AH112" i="1"/>
  <c r="AH838" i="1"/>
  <c r="AH596" i="1"/>
  <c r="AH1109" i="1"/>
  <c r="AI945" i="1"/>
  <c r="AH258" i="1"/>
  <c r="AH178" i="1"/>
  <c r="AH1079" i="1"/>
  <c r="AH1022" i="1"/>
  <c r="AI561" i="1"/>
  <c r="AI56" i="1"/>
  <c r="AI1021" i="1"/>
  <c r="AI746" i="1"/>
  <c r="AH671" i="1"/>
  <c r="AH399" i="1"/>
  <c r="AI129" i="1"/>
  <c r="AH1184" i="1"/>
  <c r="AH985" i="1"/>
  <c r="AH905" i="1"/>
  <c r="AH714" i="1"/>
  <c r="AI532" i="1"/>
  <c r="AH566" i="1"/>
  <c r="AH1196" i="1"/>
  <c r="AH1136" i="1"/>
  <c r="AI1092" i="1"/>
  <c r="AH827" i="1"/>
  <c r="AH1133" i="1"/>
  <c r="AH894" i="1"/>
  <c r="AH1110" i="1"/>
  <c r="AH1036" i="1"/>
  <c r="AI744" i="1"/>
  <c r="AI538" i="1"/>
  <c r="AH642" i="1"/>
  <c r="AH1033" i="1"/>
  <c r="AH812" i="1"/>
  <c r="AI737" i="1"/>
  <c r="AI1071" i="1"/>
  <c r="AH740" i="1"/>
  <c r="AH660" i="1"/>
  <c r="AH325" i="1"/>
  <c r="AH1154" i="1"/>
  <c r="AI1063" i="1"/>
  <c r="AH348" i="1"/>
  <c r="AI708" i="1"/>
  <c r="AI1187" i="1"/>
  <c r="AH1163" i="1"/>
  <c r="AH950" i="1"/>
  <c r="AH870" i="1"/>
  <c r="AH988" i="1"/>
  <c r="AI839" i="1"/>
  <c r="AH518" i="1"/>
  <c r="AH614" i="1"/>
  <c r="AI544" i="1"/>
  <c r="AH160" i="1"/>
  <c r="AH944" i="1"/>
  <c r="AI1039" i="1"/>
  <c r="AI792" i="1"/>
  <c r="AH886" i="1"/>
  <c r="AH685" i="1"/>
  <c r="AH539" i="1"/>
  <c r="AH590" i="1"/>
  <c r="AH1001" i="1"/>
  <c r="AI1107" i="1"/>
  <c r="AH949" i="1"/>
  <c r="AI1080" i="1"/>
  <c r="AH676" i="1"/>
  <c r="AH760" i="1"/>
  <c r="AH588" i="1"/>
  <c r="AH555" i="1"/>
  <c r="AI338" i="1"/>
  <c r="AI1113" i="1"/>
  <c r="AH669" i="1"/>
  <c r="AI1025" i="1"/>
  <c r="AH551" i="1"/>
  <c r="AH598" i="1"/>
  <c r="M460" i="9"/>
  <c r="AH969" i="1"/>
  <c r="AH531" i="1"/>
  <c r="AH1191" i="1"/>
  <c r="AI739" i="1"/>
  <c r="AI1181" i="1"/>
  <c r="AI1051" i="1"/>
  <c r="AH1188" i="1"/>
  <c r="AI1035" i="1"/>
  <c r="AH603" i="1"/>
  <c r="AH1043" i="1"/>
  <c r="AH304" i="1"/>
  <c r="AH942" i="1"/>
  <c r="AI429" i="1"/>
  <c r="AI16" i="1"/>
  <c r="S16" i="9" s="1"/>
  <c r="AH580" i="1"/>
  <c r="AI493" i="1"/>
  <c r="AH146" i="1"/>
  <c r="AH743" i="1"/>
  <c r="AI1089" i="1"/>
  <c r="AH1123" i="1"/>
  <c r="AI947" i="1"/>
  <c r="AH851" i="1"/>
  <c r="AH667" i="1"/>
  <c r="AH453" i="1"/>
  <c r="AI678" i="1"/>
  <c r="AH618" i="1"/>
  <c r="AH113" i="1"/>
  <c r="AI277" i="1"/>
  <c r="AH908" i="1"/>
  <c r="AH755" i="1"/>
  <c r="AH163" i="1"/>
  <c r="S780" i="9"/>
  <c r="AI754" i="1"/>
  <c r="AH731" i="1"/>
  <c r="AH764" i="1"/>
  <c r="AI484" i="1"/>
  <c r="AH1050" i="1"/>
  <c r="T453" i="9"/>
  <c r="R780" i="9"/>
  <c r="R435" i="9"/>
  <c r="AH1140" i="1"/>
  <c r="AH1100" i="1"/>
  <c r="AI732" i="1"/>
  <c r="AH202" i="1"/>
  <c r="O538" i="9"/>
  <c r="AI934" i="1"/>
  <c r="AH1030" i="1"/>
  <c r="AH702" i="1"/>
  <c r="AH612" i="1"/>
  <c r="AI215" i="1"/>
  <c r="AH1172" i="1"/>
  <c r="AH1044" i="1"/>
  <c r="AI513" i="1"/>
  <c r="AH1053" i="1"/>
  <c r="AH953" i="1"/>
  <c r="AH933" i="1"/>
  <c r="AI780" i="1"/>
  <c r="AI460" i="1"/>
  <c r="O532" i="9"/>
  <c r="AI1101" i="1"/>
  <c r="AI511" i="1"/>
  <c r="AH364" i="1"/>
  <c r="AH583" i="1"/>
  <c r="AH507" i="1"/>
  <c r="R502" i="9"/>
  <c r="AI1034" i="1"/>
  <c r="AI570" i="1"/>
  <c r="AI569" i="1"/>
  <c r="AI51" i="1"/>
  <c r="AI39" i="1"/>
  <c r="AI144" i="1"/>
  <c r="S453" i="9"/>
  <c r="O460" i="9"/>
  <c r="M481" i="9"/>
  <c r="N481" i="9"/>
  <c r="AI43" i="1"/>
  <c r="T43" i="9" s="1"/>
  <c r="H460" i="9"/>
  <c r="AH117" i="1"/>
  <c r="AH1176" i="1"/>
  <c r="AI999" i="1"/>
  <c r="AI924" i="1"/>
  <c r="AH785" i="1"/>
  <c r="AH606" i="1"/>
  <c r="AI243" i="1"/>
  <c r="AH108" i="1"/>
  <c r="AH334" i="1"/>
  <c r="AH30" i="1"/>
  <c r="AH105" i="1"/>
  <c r="AH31" i="1"/>
  <c r="AH58" i="1"/>
  <c r="S467" i="9"/>
  <c r="M538" i="9"/>
  <c r="M532" i="9"/>
  <c r="AH1171" i="1"/>
  <c r="AH1058" i="1"/>
  <c r="AH776" i="1"/>
  <c r="AI528" i="1"/>
  <c r="AI234" i="1"/>
  <c r="AH324" i="1"/>
  <c r="AH187" i="1"/>
  <c r="AH50" i="1"/>
  <c r="AI20" i="1"/>
  <c r="AI1068" i="1"/>
  <c r="AH462" i="1"/>
  <c r="AH779" i="1"/>
  <c r="T467" i="9"/>
  <c r="R464" i="9"/>
  <c r="AH414" i="1"/>
  <c r="AH1130" i="1"/>
  <c r="AH1173" i="1"/>
  <c r="AI1006" i="1"/>
  <c r="AI680" i="1"/>
  <c r="AH342" i="1"/>
  <c r="AH489" i="1"/>
  <c r="AI451" i="1"/>
  <c r="AH691" i="1"/>
  <c r="AH279" i="1"/>
  <c r="AI63" i="1"/>
  <c r="AI73" i="1"/>
  <c r="AI250" i="1"/>
  <c r="T464" i="9"/>
  <c r="AH1142" i="1"/>
  <c r="AI1152" i="1"/>
  <c r="AH54" i="1"/>
  <c r="AH515" i="1"/>
  <c r="AH256" i="1"/>
  <c r="AH125" i="1"/>
  <c r="S444" i="9"/>
  <c r="T655" i="9"/>
  <c r="AH815" i="1"/>
  <c r="AH1073" i="1"/>
  <c r="AH1138" i="1"/>
  <c r="AH835" i="1"/>
  <c r="AI804" i="1"/>
  <c r="AH662" i="1"/>
  <c r="AH207" i="1"/>
  <c r="AH36" i="1"/>
  <c r="AI309" i="1"/>
  <c r="J481" i="9"/>
  <c r="R444" i="9"/>
  <c r="R655" i="9"/>
  <c r="AI1083" i="1"/>
  <c r="AH1118" i="1"/>
  <c r="AH904" i="1"/>
  <c r="AH1042" i="1"/>
  <c r="AH609" i="1"/>
  <c r="AI571" i="1"/>
  <c r="AI249" i="1"/>
  <c r="AH220" i="1"/>
  <c r="AH40" i="1"/>
  <c r="AI88" i="1"/>
  <c r="O88" i="9" s="1"/>
  <c r="AI235" i="1"/>
  <c r="I538" i="9"/>
  <c r="AH458" i="1"/>
  <c r="T502" i="9"/>
  <c r="AI126" i="1"/>
  <c r="AH121" i="1"/>
  <c r="AH1061" i="1"/>
  <c r="AI757" i="1"/>
  <c r="AH189" i="1"/>
  <c r="AH165" i="1"/>
  <c r="AH169" i="1"/>
  <c r="AH727" i="1"/>
  <c r="AH504" i="1"/>
  <c r="H532" i="9"/>
  <c r="AI92" i="1"/>
  <c r="AI901" i="1"/>
  <c r="S435" i="9"/>
  <c r="AI979" i="1"/>
  <c r="AH971" i="1"/>
  <c r="AI816" i="1"/>
  <c r="AH443" i="1"/>
  <c r="AH384" i="1"/>
  <c r="AH231" i="1"/>
  <c r="AH385" i="1"/>
  <c r="AH247" i="1"/>
  <c r="AI322" i="1"/>
  <c r="R322" i="9" s="1"/>
  <c r="AH1045" i="1"/>
  <c r="AH943" i="1"/>
  <c r="AH705" i="1"/>
  <c r="AH498" i="1"/>
  <c r="AH77" i="1"/>
  <c r="AH512" i="1"/>
  <c r="M499" i="9"/>
  <c r="AH980" i="1"/>
  <c r="AI729" i="1"/>
  <c r="AH1160" i="1"/>
  <c r="AI1170" i="1"/>
  <c r="AI1015" i="1"/>
  <c r="AI970" i="1"/>
  <c r="AI855" i="1"/>
  <c r="AH1016" i="1"/>
  <c r="AH864" i="1"/>
  <c r="AI929" i="1"/>
  <c r="AH939" i="1"/>
  <c r="AI655" i="1"/>
  <c r="AI478" i="1"/>
  <c r="AI574" i="1"/>
  <c r="AI195" i="1"/>
  <c r="AH387" i="1"/>
  <c r="AH75" i="1"/>
  <c r="AI673" i="1"/>
  <c r="AH49" i="1"/>
  <c r="AI400" i="1"/>
  <c r="S487" i="9"/>
  <c r="O735" i="9"/>
  <c r="AH1049" i="1"/>
  <c r="AH1082" i="1"/>
  <c r="AH993" i="1"/>
  <c r="AH843" i="1"/>
  <c r="AI730" i="1"/>
  <c r="AI695" i="1"/>
  <c r="AH715" i="1"/>
  <c r="AH473" i="1"/>
  <c r="AI568" i="1"/>
  <c r="AH333" i="1"/>
  <c r="AH847" i="1"/>
  <c r="T487" i="9"/>
  <c r="AH530" i="1"/>
  <c r="AI1169" i="1"/>
  <c r="AH1009" i="1"/>
  <c r="AH1127" i="1"/>
  <c r="AI1074" i="1"/>
  <c r="AH982" i="1"/>
  <c r="AH1119" i="1"/>
  <c r="AH1007" i="1"/>
  <c r="AI807" i="1"/>
  <c r="AH818" i="1"/>
  <c r="AH726" i="1"/>
  <c r="AI520" i="1"/>
  <c r="AH186" i="1"/>
  <c r="AH315" i="1"/>
  <c r="AH87" i="1"/>
  <c r="AI475" i="1"/>
  <c r="AH482" i="1"/>
  <c r="AH508" i="1"/>
  <c r="AH211" i="1"/>
  <c r="AH1014" i="1"/>
  <c r="AI454" i="1"/>
  <c r="AH1158" i="1"/>
  <c r="AI955" i="1"/>
  <c r="AI704" i="1"/>
  <c r="AH706" i="1"/>
  <c r="AI626" i="1"/>
  <c r="AH558" i="1"/>
  <c r="AH622" i="1"/>
  <c r="AH375" i="1"/>
  <c r="AH205" i="1"/>
  <c r="R478" i="9"/>
  <c r="M517" i="9"/>
  <c r="O514" i="9"/>
  <c r="AH485" i="1"/>
  <c r="AH1115" i="1"/>
  <c r="AI867" i="1"/>
  <c r="AH981" i="1"/>
  <c r="AH1040" i="1"/>
  <c r="AH1065" i="1"/>
  <c r="AI831" i="1"/>
  <c r="AH773" i="1"/>
  <c r="AI798" i="1"/>
  <c r="AH694" i="1"/>
  <c r="AI653" i="1"/>
  <c r="AH664" i="1"/>
  <c r="AI735" i="1"/>
  <c r="AI610" i="1"/>
  <c r="AI439" i="1"/>
  <c r="AH289" i="1"/>
  <c r="AH141" i="1"/>
  <c r="AH19" i="1"/>
  <c r="AH86" i="1"/>
  <c r="AH437" i="1"/>
  <c r="T478" i="9"/>
  <c r="N517" i="9"/>
  <c r="M514" i="9"/>
  <c r="AI1104" i="1"/>
  <c r="AI834" i="1"/>
  <c r="AH657" i="1"/>
  <c r="AI578" i="1"/>
  <c r="AI547" i="1"/>
  <c r="AH262" i="1"/>
  <c r="AI311" i="1"/>
  <c r="AI552" i="1"/>
  <c r="AH166" i="1"/>
  <c r="AH13" i="1"/>
  <c r="AI444" i="1"/>
  <c r="AH925" i="1"/>
  <c r="AI474" i="1"/>
  <c r="J735" i="9"/>
  <c r="AH194" i="1"/>
  <c r="N499" i="9"/>
  <c r="O484" i="9"/>
  <c r="AH1067" i="1"/>
  <c r="AH997" i="1"/>
  <c r="AH1060" i="1"/>
  <c r="AI765" i="1"/>
  <c r="AI946" i="1"/>
  <c r="AH628" i="1"/>
  <c r="AH549" i="1"/>
  <c r="AI468" i="1"/>
  <c r="AI499" i="1"/>
  <c r="AI446" i="1"/>
  <c r="AI138" i="1"/>
  <c r="AI367" i="1"/>
  <c r="AI223" i="1"/>
  <c r="AH71" i="1"/>
  <c r="M484" i="9"/>
  <c r="R631" i="9"/>
  <c r="AH198" i="1"/>
  <c r="AH155" i="1"/>
  <c r="AI1094" i="1"/>
  <c r="AI1027" i="1"/>
  <c r="AI991" i="1"/>
  <c r="AH862" i="1"/>
  <c r="AH888" i="1"/>
  <c r="AI747" i="1"/>
  <c r="AH919" i="1"/>
  <c r="AI964" i="1"/>
  <c r="AI800" i="1"/>
  <c r="AH828" i="1"/>
  <c r="AI805" i="1"/>
  <c r="AH693" i="1"/>
  <c r="AH624" i="1"/>
  <c r="AH630" i="1"/>
  <c r="AH96" i="1"/>
  <c r="AI204" i="1"/>
  <c r="AI448" i="1"/>
  <c r="AI38" i="1"/>
  <c r="AH170" i="1"/>
  <c r="AI145" i="1"/>
  <c r="AH248" i="1"/>
  <c r="S505" i="9"/>
  <c r="R442" i="9"/>
  <c r="R459" i="9"/>
  <c r="T631" i="9"/>
  <c r="AH1054" i="1"/>
  <c r="AH728" i="1"/>
  <c r="AH572" i="1"/>
  <c r="AH354" i="1"/>
  <c r="AI564" i="1"/>
  <c r="AI269" i="1"/>
  <c r="AI98" i="1"/>
  <c r="AH228" i="1"/>
  <c r="T505" i="9"/>
  <c r="S442" i="9"/>
  <c r="AI774" i="1"/>
  <c r="AI808" i="1"/>
  <c r="AI912" i="1"/>
  <c r="AH64" i="1"/>
  <c r="AH1156" i="1"/>
  <c r="AI738" i="1"/>
  <c r="AH1155" i="1"/>
  <c r="AI813" i="1"/>
  <c r="AI977" i="1"/>
  <c r="AI1134" i="1"/>
  <c r="AI1004" i="1"/>
  <c r="AH882" i="1"/>
  <c r="AI956" i="1"/>
  <c r="AI885" i="1"/>
  <c r="AH768" i="1"/>
  <c r="AI771" i="1"/>
  <c r="AI778" i="1"/>
  <c r="AI769" i="1"/>
  <c r="AH733" i="1"/>
  <c r="AI717" i="1"/>
  <c r="AI472" i="1"/>
  <c r="AH546" i="1"/>
  <c r="AH294" i="1"/>
  <c r="AI176" i="1"/>
  <c r="R458" i="9"/>
  <c r="S436" i="9"/>
  <c r="N635" i="9"/>
  <c r="AH852" i="1"/>
  <c r="AH965" i="1"/>
  <c r="AH1031" i="1"/>
  <c r="AI698" i="1"/>
  <c r="AH627" i="1"/>
  <c r="AH594" i="1"/>
  <c r="AH534" i="1"/>
  <c r="AH582" i="1"/>
  <c r="AI266" i="1"/>
  <c r="AH174" i="1"/>
  <c r="AH90" i="1"/>
  <c r="AI275" i="1"/>
  <c r="AH261" i="1"/>
  <c r="AH130" i="1"/>
  <c r="AH175" i="1"/>
  <c r="T458" i="9"/>
  <c r="R436" i="9"/>
  <c r="AI892" i="1"/>
  <c r="AI952" i="1"/>
  <c r="AH1037" i="1"/>
  <c r="AH1112" i="1"/>
  <c r="AH992" i="1"/>
  <c r="AI832" i="1"/>
  <c r="AH575" i="1"/>
  <c r="AH479" i="1"/>
  <c r="AH537" i="1"/>
  <c r="AH381" i="1"/>
  <c r="AH100" i="1"/>
  <c r="AH153" i="1"/>
  <c r="AH184" i="1"/>
  <c r="AH978" i="1"/>
  <c r="AI850" i="1"/>
  <c r="AH1026" i="1"/>
  <c r="M449" i="9"/>
  <c r="AH1122" i="1"/>
  <c r="AI906" i="1"/>
  <c r="AH1157" i="1"/>
  <c r="AH962" i="1"/>
  <c r="AH1020" i="1"/>
  <c r="AH1028" i="1"/>
  <c r="AH983" i="1"/>
  <c r="AI1023" i="1"/>
  <c r="AI1098" i="1"/>
  <c r="AH1005" i="1"/>
  <c r="AH649" i="1"/>
  <c r="AI652" i="1"/>
  <c r="AI766" i="1"/>
  <c r="AI697" i="1"/>
  <c r="AH1193" i="1"/>
  <c r="AH666" i="1"/>
  <c r="AH78" i="1"/>
  <c r="AH280" i="1"/>
  <c r="AH81" i="1"/>
  <c r="AH237" i="1"/>
  <c r="AH28" i="1"/>
  <c r="O520" i="9"/>
  <c r="M535" i="9"/>
  <c r="N449" i="9"/>
  <c r="H484" i="9"/>
  <c r="AI881" i="1"/>
  <c r="AH915" i="1"/>
  <c r="AI801" i="1"/>
  <c r="AI963" i="1"/>
  <c r="AI826" i="1"/>
  <c r="AH1064" i="1"/>
  <c r="AH554" i="1"/>
  <c r="AH33" i="1"/>
  <c r="M520" i="9"/>
  <c r="N535" i="9"/>
  <c r="AH941" i="1"/>
  <c r="AH1186" i="1"/>
  <c r="AI677" i="1"/>
  <c r="AH542" i="1"/>
  <c r="AI510" i="1"/>
  <c r="AH516" i="1"/>
  <c r="AH10" i="1"/>
  <c r="H4" i="9"/>
  <c r="I484" i="9"/>
  <c r="R1138" i="9"/>
  <c r="T1138" i="9"/>
  <c r="S1138" i="9"/>
  <c r="T684" i="9"/>
  <c r="S684" i="9"/>
  <c r="R684" i="9"/>
  <c r="T1039" i="9"/>
  <c r="S1039" i="9"/>
  <c r="R1039" i="9"/>
  <c r="T708" i="9"/>
  <c r="S708" i="9"/>
  <c r="R708" i="9"/>
  <c r="T1188" i="9"/>
  <c r="S1188" i="9"/>
  <c r="R1188" i="9"/>
  <c r="T788" i="9"/>
  <c r="S788" i="9"/>
  <c r="R788" i="9"/>
  <c r="T861" i="9"/>
  <c r="S861" i="9"/>
  <c r="R861" i="9"/>
  <c r="R926" i="9"/>
  <c r="S926" i="9"/>
  <c r="T926" i="9"/>
  <c r="T715" i="9"/>
  <c r="S715" i="9"/>
  <c r="R715" i="9"/>
  <c r="T872" i="9"/>
  <c r="S872" i="9"/>
  <c r="R872" i="9"/>
  <c r="T824" i="9"/>
  <c r="S824" i="9"/>
  <c r="R824" i="9"/>
  <c r="T705" i="9"/>
  <c r="S705" i="9"/>
  <c r="R705" i="9"/>
  <c r="T1068" i="9"/>
  <c r="S1068" i="9"/>
  <c r="R1068" i="9"/>
  <c r="T1015" i="9"/>
  <c r="S1015" i="9"/>
  <c r="R1015" i="9"/>
  <c r="T979" i="9"/>
  <c r="S979" i="9"/>
  <c r="R979" i="9"/>
  <c r="T1009" i="9"/>
  <c r="S1009" i="9"/>
  <c r="R1009" i="9"/>
  <c r="T1184" i="9"/>
  <c r="S1184" i="9"/>
  <c r="R1184" i="9"/>
  <c r="T1129" i="9"/>
  <c r="S1129" i="9"/>
  <c r="R1129" i="9"/>
  <c r="T1081" i="9"/>
  <c r="S1081" i="9"/>
  <c r="R1081" i="9"/>
  <c r="T988" i="9"/>
  <c r="S988" i="9"/>
  <c r="R988" i="9"/>
  <c r="T943" i="9"/>
  <c r="S943" i="9"/>
  <c r="R943" i="9"/>
  <c r="R982" i="9"/>
  <c r="T982" i="9"/>
  <c r="S982" i="9"/>
  <c r="T717" i="9"/>
  <c r="S717" i="9"/>
  <c r="R717" i="9"/>
  <c r="T1048" i="9"/>
  <c r="S1048" i="9"/>
  <c r="R1048" i="9"/>
  <c r="T1135" i="9"/>
  <c r="S1135" i="9"/>
  <c r="R1135" i="9"/>
  <c r="R986" i="9"/>
  <c r="T986" i="9"/>
  <c r="S986" i="9"/>
  <c r="R942" i="9"/>
  <c r="S942" i="9"/>
  <c r="T942" i="9"/>
  <c r="T896" i="9"/>
  <c r="S896" i="9"/>
  <c r="R896" i="9"/>
  <c r="S750" i="9"/>
  <c r="R750" i="9"/>
  <c r="T750" i="9"/>
  <c r="R874" i="9"/>
  <c r="T874" i="9"/>
  <c r="S874" i="9"/>
  <c r="T1079" i="9"/>
  <c r="S1079" i="9"/>
  <c r="R1079" i="9"/>
  <c r="R994" i="9"/>
  <c r="T994" i="9"/>
  <c r="S994" i="9"/>
  <c r="S858" i="9"/>
  <c r="R858" i="9"/>
  <c r="T858" i="9"/>
  <c r="T820" i="9"/>
  <c r="S820" i="9"/>
  <c r="R820" i="9"/>
  <c r="T779" i="9"/>
  <c r="S779" i="9"/>
  <c r="R779" i="9"/>
  <c r="T1144" i="9"/>
  <c r="S1144" i="9"/>
  <c r="R1144" i="9"/>
  <c r="T1093" i="9"/>
  <c r="S1093" i="9"/>
  <c r="R1093" i="9"/>
  <c r="R1038" i="9"/>
  <c r="S1038" i="9"/>
  <c r="T1038" i="9"/>
  <c r="R958" i="9"/>
  <c r="T958" i="9"/>
  <c r="S958" i="9"/>
  <c r="T719" i="9"/>
  <c r="S719" i="9"/>
  <c r="R719" i="9"/>
  <c r="T1131" i="9"/>
  <c r="S1131" i="9"/>
  <c r="R1131" i="9"/>
  <c r="T1143" i="9"/>
  <c r="S1143" i="9"/>
  <c r="R1143" i="9"/>
  <c r="T1099" i="9"/>
  <c r="S1099" i="9"/>
  <c r="R1099" i="9"/>
  <c r="T940" i="9"/>
  <c r="S940" i="9"/>
  <c r="R940" i="9"/>
  <c r="T796" i="9"/>
  <c r="S796" i="9"/>
  <c r="R796" i="9"/>
  <c r="S718" i="9"/>
  <c r="R718" i="9"/>
  <c r="T718" i="9"/>
  <c r="R1010" i="9"/>
  <c r="T1010" i="9"/>
  <c r="S1010" i="9"/>
  <c r="T975" i="9"/>
  <c r="S975" i="9"/>
  <c r="R975" i="9"/>
  <c r="R882" i="9"/>
  <c r="T882" i="9"/>
  <c r="S882" i="9"/>
  <c r="T732" i="9"/>
  <c r="S732" i="9"/>
  <c r="R732" i="9"/>
  <c r="S723" i="9"/>
  <c r="T723" i="9"/>
  <c r="R723" i="9"/>
  <c r="H735" i="9"/>
  <c r="T1185" i="9"/>
  <c r="S1185" i="9"/>
  <c r="R1185" i="9"/>
  <c r="T904" i="9"/>
  <c r="S904" i="9"/>
  <c r="R904" i="9"/>
  <c r="T840" i="9"/>
  <c r="S840" i="9"/>
  <c r="R840" i="9"/>
  <c r="T1088" i="9"/>
  <c r="S1088" i="9"/>
  <c r="R1088" i="9"/>
  <c r="T855" i="9"/>
  <c r="S855" i="9"/>
  <c r="R855" i="9"/>
  <c r="T1095" i="9"/>
  <c r="S1095" i="9"/>
  <c r="R1095" i="9"/>
  <c r="R1022" i="9"/>
  <c r="T1022" i="9"/>
  <c r="S1022" i="9"/>
  <c r="S838" i="9"/>
  <c r="R838" i="9"/>
  <c r="T838" i="9"/>
  <c r="S790" i="9"/>
  <c r="R790" i="9"/>
  <c r="T790" i="9"/>
  <c r="S794" i="9"/>
  <c r="R794" i="9"/>
  <c r="T794" i="9"/>
  <c r="T1183" i="9"/>
  <c r="S1183" i="9"/>
  <c r="R1183" i="9"/>
  <c r="T1120" i="9"/>
  <c r="S1120" i="9"/>
  <c r="R1120" i="9"/>
  <c r="T828" i="9"/>
  <c r="S828" i="9"/>
  <c r="R828" i="9"/>
  <c r="T1169" i="9"/>
  <c r="S1169" i="9"/>
  <c r="R1169" i="9"/>
  <c r="T1029" i="9"/>
  <c r="S1029" i="9"/>
  <c r="R1029" i="9"/>
  <c r="T876" i="9"/>
  <c r="S876" i="9"/>
  <c r="R876" i="9"/>
  <c r="T829" i="9"/>
  <c r="S829" i="9"/>
  <c r="R829" i="9"/>
  <c r="S659" i="9"/>
  <c r="T659" i="9"/>
  <c r="R659" i="9"/>
  <c r="T1011" i="9"/>
  <c r="S1011" i="9"/>
  <c r="R1011" i="9"/>
  <c r="T748" i="9"/>
  <c r="S748" i="9"/>
  <c r="R748" i="9"/>
  <c r="T1168" i="9"/>
  <c r="S1168" i="9"/>
  <c r="R1168" i="9"/>
  <c r="S843" i="9"/>
  <c r="R843" i="9"/>
  <c r="T843" i="9"/>
  <c r="T795" i="9"/>
  <c r="S795" i="9"/>
  <c r="R795" i="9"/>
  <c r="S762" i="9"/>
  <c r="R762" i="9"/>
  <c r="T762" i="9"/>
  <c r="T681" i="9"/>
  <c r="S681" i="9"/>
  <c r="R681" i="9"/>
  <c r="T1069" i="9"/>
  <c r="S1069" i="9"/>
  <c r="R1069" i="9"/>
  <c r="T1193" i="9"/>
  <c r="S1193" i="9"/>
  <c r="R1193" i="9"/>
  <c r="T665" i="9"/>
  <c r="S665" i="9"/>
  <c r="R665" i="9"/>
  <c r="I735" i="9"/>
  <c r="T1111" i="9"/>
  <c r="S1111" i="9"/>
  <c r="R1111" i="9"/>
  <c r="T1076" i="9"/>
  <c r="S1076" i="9"/>
  <c r="R1076" i="9"/>
  <c r="T887" i="9"/>
  <c r="S887" i="9"/>
  <c r="R887" i="9"/>
  <c r="T816" i="9"/>
  <c r="S816" i="9"/>
  <c r="R816" i="9"/>
  <c r="T777" i="9"/>
  <c r="S777" i="9"/>
  <c r="R777" i="9"/>
  <c r="T849" i="9"/>
  <c r="S849" i="9"/>
  <c r="R849" i="9"/>
  <c r="T1139" i="9"/>
  <c r="S1139" i="9"/>
  <c r="R1139" i="9"/>
  <c r="R866" i="9"/>
  <c r="T866" i="9"/>
  <c r="S866" i="9"/>
  <c r="R1058" i="9"/>
  <c r="T1058" i="9"/>
  <c r="S1058" i="9"/>
  <c r="R1006" i="9"/>
  <c r="T1006" i="9"/>
  <c r="S1006" i="9"/>
  <c r="T971" i="9"/>
  <c r="S971" i="9"/>
  <c r="R971" i="9"/>
  <c r="T931" i="9"/>
  <c r="S931" i="9"/>
  <c r="R931" i="9"/>
  <c r="R966" i="9"/>
  <c r="S966" i="9"/>
  <c r="T966" i="9"/>
  <c r="T1171" i="9"/>
  <c r="S1171" i="9"/>
  <c r="R1171" i="9"/>
  <c r="T885" i="9"/>
  <c r="S885" i="9"/>
  <c r="R885" i="9"/>
  <c r="S678" i="9"/>
  <c r="R678" i="9"/>
  <c r="T678" i="9"/>
  <c r="R1178" i="9"/>
  <c r="T1178" i="9"/>
  <c r="S1178" i="9"/>
  <c r="T1136" i="9"/>
  <c r="S1136" i="9"/>
  <c r="R1136" i="9"/>
  <c r="R878" i="9"/>
  <c r="S878" i="9"/>
  <c r="T878" i="9"/>
  <c r="T839" i="9"/>
  <c r="S839" i="9"/>
  <c r="R839" i="9"/>
  <c r="S798" i="9"/>
  <c r="R798" i="9"/>
  <c r="T798" i="9"/>
  <c r="T653" i="9"/>
  <c r="S653" i="9"/>
  <c r="R653" i="9"/>
  <c r="R978" i="9"/>
  <c r="T978" i="9"/>
  <c r="S978" i="9"/>
  <c r="T937" i="9"/>
  <c r="S937" i="9"/>
  <c r="R937" i="9"/>
  <c r="R870" i="9"/>
  <c r="S870" i="9"/>
  <c r="T870" i="9"/>
  <c r="T676" i="9"/>
  <c r="S676" i="9"/>
  <c r="R676" i="9"/>
  <c r="T1072" i="9"/>
  <c r="S1072" i="9"/>
  <c r="R1072" i="9"/>
  <c r="T1021" i="9"/>
  <c r="S1021" i="9"/>
  <c r="R1021" i="9"/>
  <c r="T915" i="9"/>
  <c r="S915" i="9"/>
  <c r="R915" i="9"/>
  <c r="T812" i="9"/>
  <c r="S812" i="9"/>
  <c r="R812" i="9"/>
  <c r="T755" i="9"/>
  <c r="S755" i="9"/>
  <c r="R755" i="9"/>
  <c r="R902" i="9"/>
  <c r="T902" i="9"/>
  <c r="S902" i="9"/>
  <c r="T757" i="9"/>
  <c r="S757" i="9"/>
  <c r="R757" i="9"/>
  <c r="T1133" i="9"/>
  <c r="S1133" i="9"/>
  <c r="R1133" i="9"/>
  <c r="T1045" i="9"/>
  <c r="S1045" i="9"/>
  <c r="R1045" i="9"/>
  <c r="S850" i="9"/>
  <c r="R850" i="9"/>
  <c r="T850" i="9"/>
  <c r="R1118" i="9"/>
  <c r="S1118" i="9"/>
  <c r="T1118" i="9"/>
  <c r="T1053" i="9"/>
  <c r="S1053" i="9"/>
  <c r="R1053" i="9"/>
  <c r="T957" i="9"/>
  <c r="S957" i="9"/>
  <c r="R957" i="9"/>
  <c r="R914" i="9"/>
  <c r="T914" i="9"/>
  <c r="S914" i="9"/>
  <c r="T836" i="9"/>
  <c r="S836" i="9"/>
  <c r="R836" i="9"/>
  <c r="S674" i="9"/>
  <c r="R674" i="9"/>
  <c r="T674" i="9"/>
  <c r="S802" i="9"/>
  <c r="R802" i="9"/>
  <c r="T802" i="9"/>
  <c r="T1051" i="9"/>
  <c r="S1051" i="9"/>
  <c r="R1051" i="9"/>
  <c r="T817" i="9"/>
  <c r="S817" i="9"/>
  <c r="R817" i="9"/>
  <c r="T688" i="9"/>
  <c r="S688" i="9"/>
  <c r="R688" i="9"/>
  <c r="J484" i="9"/>
  <c r="T735" i="9"/>
  <c r="S735" i="9"/>
  <c r="R735" i="9"/>
  <c r="T972" i="9"/>
  <c r="S972" i="9"/>
  <c r="R972" i="9"/>
  <c r="T892" i="9"/>
  <c r="S892" i="9"/>
  <c r="R892" i="9"/>
  <c r="T1080" i="9"/>
  <c r="S1080" i="9"/>
  <c r="R1080" i="9"/>
  <c r="T1012" i="9"/>
  <c r="S1012" i="9"/>
  <c r="R1012" i="9"/>
  <c r="T921" i="9"/>
  <c r="S921" i="9"/>
  <c r="R921" i="9"/>
  <c r="T709" i="9"/>
  <c r="S709" i="9"/>
  <c r="R709" i="9"/>
  <c r="R1026" i="9"/>
  <c r="T1026" i="9"/>
  <c r="S1026" i="9"/>
  <c r="T964" i="9"/>
  <c r="S964" i="9"/>
  <c r="R964" i="9"/>
  <c r="T912" i="9"/>
  <c r="S912" i="9"/>
  <c r="R912" i="9"/>
  <c r="S706" i="9"/>
  <c r="R706" i="9"/>
  <c r="T706" i="9"/>
  <c r="T664" i="9"/>
  <c r="S664" i="9"/>
  <c r="R664" i="9"/>
  <c r="T1123" i="9"/>
  <c r="S1123" i="9"/>
  <c r="R1123" i="9"/>
  <c r="T1059" i="9"/>
  <c r="S1059" i="9"/>
  <c r="R1059" i="9"/>
  <c r="T1007" i="9"/>
  <c r="S1007" i="9"/>
  <c r="R1007" i="9"/>
  <c r="T899" i="9"/>
  <c r="S899" i="9"/>
  <c r="R899" i="9"/>
  <c r="T808" i="9"/>
  <c r="S808" i="9"/>
  <c r="R808" i="9"/>
  <c r="T1172" i="9"/>
  <c r="S1172" i="9"/>
  <c r="R1172" i="9"/>
  <c r="T1096" i="9"/>
  <c r="S1096" i="9"/>
  <c r="R1096" i="9"/>
  <c r="S694" i="9"/>
  <c r="R694" i="9"/>
  <c r="T694" i="9"/>
  <c r="R1162" i="9"/>
  <c r="T1162" i="9"/>
  <c r="S1162" i="9"/>
  <c r="T881" i="9"/>
  <c r="S881" i="9"/>
  <c r="R881" i="9"/>
  <c r="T1115" i="9"/>
  <c r="S1115" i="9"/>
  <c r="R1115" i="9"/>
  <c r="R970" i="9"/>
  <c r="T970" i="9"/>
  <c r="S970" i="9"/>
  <c r="T791" i="9"/>
  <c r="S791" i="9"/>
  <c r="R791" i="9"/>
  <c r="T713" i="9"/>
  <c r="S713" i="9"/>
  <c r="R713" i="9"/>
  <c r="S662" i="9"/>
  <c r="R662" i="9"/>
  <c r="T662" i="9"/>
  <c r="T939" i="9"/>
  <c r="S939" i="9"/>
  <c r="R939" i="9"/>
  <c r="T697" i="9"/>
  <c r="S697" i="9"/>
  <c r="R697" i="9"/>
  <c r="T1165" i="9"/>
  <c r="S1165" i="9"/>
  <c r="R1165" i="9"/>
  <c r="T1128" i="9"/>
  <c r="S1128" i="9"/>
  <c r="R1128" i="9"/>
  <c r="T903" i="9"/>
  <c r="S903" i="9"/>
  <c r="R903" i="9"/>
  <c r="T871" i="9"/>
  <c r="S871" i="9"/>
  <c r="R871" i="9"/>
  <c r="T832" i="9"/>
  <c r="S832" i="9"/>
  <c r="R832" i="9"/>
  <c r="T727" i="9"/>
  <c r="S727" i="9"/>
  <c r="R727" i="9"/>
  <c r="T657" i="9"/>
  <c r="S657" i="9"/>
  <c r="R657" i="9"/>
  <c r="R1114" i="9"/>
  <c r="T1114" i="9"/>
  <c r="S1114" i="9"/>
  <c r="T1065" i="9"/>
  <c r="S1065" i="9"/>
  <c r="R1065" i="9"/>
  <c r="R1014" i="9"/>
  <c r="S1014" i="9"/>
  <c r="T1014" i="9"/>
  <c r="T969" i="9"/>
  <c r="S969" i="9"/>
  <c r="R969" i="9"/>
  <c r="T831" i="9"/>
  <c r="S831" i="9"/>
  <c r="R831" i="9"/>
  <c r="S782" i="9"/>
  <c r="R782" i="9"/>
  <c r="T782" i="9"/>
  <c r="T763" i="9"/>
  <c r="S763" i="9"/>
  <c r="R763" i="9"/>
  <c r="T909" i="9"/>
  <c r="S909" i="9"/>
  <c r="R909" i="9"/>
  <c r="T845" i="9"/>
  <c r="S845" i="9"/>
  <c r="R845" i="9"/>
  <c r="T773" i="9"/>
  <c r="S773" i="9"/>
  <c r="R773" i="9"/>
  <c r="T668" i="9"/>
  <c r="S668" i="9"/>
  <c r="R668" i="9"/>
  <c r="T1001" i="9"/>
  <c r="S1001" i="9"/>
  <c r="R1001" i="9"/>
  <c r="T1163" i="9"/>
  <c r="S1163" i="9"/>
  <c r="R1163" i="9"/>
  <c r="T1119" i="9"/>
  <c r="S1119" i="9"/>
  <c r="R1119" i="9"/>
  <c r="T949" i="9"/>
  <c r="S949" i="9"/>
  <c r="R949" i="9"/>
  <c r="T869" i="9"/>
  <c r="S869" i="9"/>
  <c r="R869" i="9"/>
  <c r="T819" i="9"/>
  <c r="S819" i="9"/>
  <c r="R819" i="9"/>
  <c r="T1037" i="9"/>
  <c r="S1037" i="9"/>
  <c r="R1037" i="9"/>
  <c r="T772" i="9"/>
  <c r="S772" i="9"/>
  <c r="R772" i="9"/>
  <c r="T1181" i="9"/>
  <c r="S1181" i="9"/>
  <c r="R1181" i="9"/>
  <c r="T1155" i="9"/>
  <c r="S1155" i="9"/>
  <c r="R1155" i="9"/>
  <c r="T1112" i="9"/>
  <c r="S1112" i="9"/>
  <c r="R1112" i="9"/>
  <c r="T1036" i="9"/>
  <c r="S1036" i="9"/>
  <c r="R1036" i="9"/>
  <c r="R1002" i="9"/>
  <c r="T1002" i="9"/>
  <c r="S1002" i="9"/>
  <c r="T948" i="9"/>
  <c r="S948" i="9"/>
  <c r="R948" i="9"/>
  <c r="T868" i="9"/>
  <c r="S868" i="9"/>
  <c r="R868" i="9"/>
  <c r="T707" i="9"/>
  <c r="S707" i="9"/>
  <c r="R707" i="9"/>
  <c r="R1174" i="9"/>
  <c r="T1174" i="9"/>
  <c r="S1174" i="9"/>
  <c r="T1161" i="9"/>
  <c r="S1161" i="9"/>
  <c r="R1161" i="9"/>
  <c r="H676" i="9"/>
  <c r="T672" i="9"/>
  <c r="S672" i="9"/>
  <c r="R672" i="9"/>
  <c r="T1103" i="9"/>
  <c r="S1103" i="9"/>
  <c r="R1103" i="9"/>
  <c r="T760" i="9"/>
  <c r="S760" i="9"/>
  <c r="R760" i="9"/>
  <c r="S742" i="9"/>
  <c r="R742" i="9"/>
  <c r="T742" i="9"/>
  <c r="R918" i="9"/>
  <c r="S918" i="9"/>
  <c r="T918" i="9"/>
  <c r="T695" i="9"/>
  <c r="S695" i="9"/>
  <c r="R695" i="9"/>
  <c r="T1175" i="9"/>
  <c r="S1175" i="9"/>
  <c r="R1175" i="9"/>
  <c r="R974" i="9"/>
  <c r="S974" i="9"/>
  <c r="T974" i="9"/>
  <c r="S699" i="9"/>
  <c r="T699" i="9"/>
  <c r="R699" i="9"/>
  <c r="T1017" i="9"/>
  <c r="S1017" i="9"/>
  <c r="R1017" i="9"/>
  <c r="T880" i="9"/>
  <c r="S880" i="9"/>
  <c r="R880" i="9"/>
  <c r="S770" i="9"/>
  <c r="R770" i="9"/>
  <c r="T770" i="9"/>
  <c r="T963" i="9"/>
  <c r="S963" i="9"/>
  <c r="R963" i="9"/>
  <c r="T769" i="9"/>
  <c r="S769" i="9"/>
  <c r="R769" i="9"/>
  <c r="R1122" i="9"/>
  <c r="T1122" i="9"/>
  <c r="S1122" i="9"/>
  <c r="R1050" i="9"/>
  <c r="T1050" i="9"/>
  <c r="S1050" i="9"/>
  <c r="T997" i="9"/>
  <c r="S997" i="9"/>
  <c r="R997" i="9"/>
  <c r="T925" i="9"/>
  <c r="S925" i="9"/>
  <c r="R925" i="9"/>
  <c r="T879" i="9"/>
  <c r="S879" i="9"/>
  <c r="R879" i="9"/>
  <c r="T768" i="9"/>
  <c r="S768" i="9"/>
  <c r="R768" i="9"/>
  <c r="T833" i="9"/>
  <c r="S833" i="9"/>
  <c r="R833" i="9"/>
  <c r="T752" i="9"/>
  <c r="S752" i="9"/>
  <c r="R752" i="9"/>
  <c r="T897" i="9"/>
  <c r="S897" i="9"/>
  <c r="R897" i="9"/>
  <c r="S774" i="9"/>
  <c r="R774" i="9"/>
  <c r="T774" i="9"/>
  <c r="R1170" i="9"/>
  <c r="T1170" i="9"/>
  <c r="S1170" i="9"/>
  <c r="T1004" i="9"/>
  <c r="S1004" i="9"/>
  <c r="R1004" i="9"/>
  <c r="S726" i="9"/>
  <c r="R726" i="9"/>
  <c r="T726" i="9"/>
  <c r="T1125" i="9"/>
  <c r="S1125" i="9"/>
  <c r="R1125" i="9"/>
  <c r="T1157" i="9"/>
  <c r="S1157" i="9"/>
  <c r="R1157" i="9"/>
  <c r="T1064" i="9"/>
  <c r="S1064" i="9"/>
  <c r="R1064" i="9"/>
  <c r="T720" i="9"/>
  <c r="S720" i="9"/>
  <c r="R720" i="9"/>
  <c r="T895" i="9"/>
  <c r="S895" i="9"/>
  <c r="R895" i="9"/>
  <c r="R1182" i="9"/>
  <c r="S1182" i="9"/>
  <c r="T1182" i="9"/>
  <c r="R1126" i="9"/>
  <c r="T1126" i="9"/>
  <c r="S1126" i="9"/>
  <c r="T993" i="9"/>
  <c r="S993" i="9"/>
  <c r="R993" i="9"/>
  <c r="T683" i="9"/>
  <c r="S683" i="9"/>
  <c r="R683" i="9"/>
  <c r="T992" i="9"/>
  <c r="S992" i="9"/>
  <c r="R992" i="9"/>
  <c r="T907" i="9"/>
  <c r="S907" i="9"/>
  <c r="R907" i="9"/>
  <c r="T827" i="9"/>
  <c r="S827" i="9"/>
  <c r="R827" i="9"/>
  <c r="S666" i="9"/>
  <c r="R666" i="9"/>
  <c r="T666" i="9"/>
  <c r="T1000" i="9"/>
  <c r="S1000" i="9"/>
  <c r="R1000" i="9"/>
  <c r="R946" i="9"/>
  <c r="T946" i="9"/>
  <c r="S946" i="9"/>
  <c r="T1167" i="9"/>
  <c r="S1167" i="9"/>
  <c r="R1167" i="9"/>
  <c r="S786" i="9"/>
  <c r="R786" i="9"/>
  <c r="T786" i="9"/>
  <c r="T1035" i="9"/>
  <c r="S1035" i="9"/>
  <c r="R1035" i="9"/>
  <c r="I532" i="9"/>
  <c r="I676" i="9"/>
  <c r="T1173" i="9"/>
  <c r="S1173" i="9"/>
  <c r="R1173" i="9"/>
  <c r="T737" i="9"/>
  <c r="S737" i="9"/>
  <c r="R737" i="9"/>
  <c r="T1179" i="9"/>
  <c r="S1179" i="9"/>
  <c r="R1179" i="9"/>
  <c r="T807" i="9"/>
  <c r="S807" i="9"/>
  <c r="R807" i="9"/>
  <c r="T721" i="9"/>
  <c r="S721" i="9"/>
  <c r="R721" i="9"/>
  <c r="T996" i="9"/>
  <c r="S996" i="9"/>
  <c r="R996" i="9"/>
  <c r="T1044" i="9"/>
  <c r="S1044" i="9"/>
  <c r="R1044" i="9"/>
  <c r="T1040" i="9"/>
  <c r="S1040" i="9"/>
  <c r="R1040" i="9"/>
  <c r="T929" i="9"/>
  <c r="S929" i="9"/>
  <c r="R929" i="9"/>
  <c r="R1134" i="9"/>
  <c r="S1134" i="9"/>
  <c r="T1134" i="9"/>
  <c r="S710" i="9"/>
  <c r="R710" i="9"/>
  <c r="T710" i="9"/>
  <c r="T673" i="9"/>
  <c r="S673" i="9"/>
  <c r="R673" i="9"/>
  <c r="T867" i="9"/>
  <c r="S867" i="9"/>
  <c r="R867" i="9"/>
  <c r="T1097" i="9"/>
  <c r="S1097" i="9"/>
  <c r="R1097" i="9"/>
  <c r="T1060" i="9"/>
  <c r="S1060" i="9"/>
  <c r="R1060" i="9"/>
  <c r="T809" i="9"/>
  <c r="S809" i="9"/>
  <c r="R809" i="9"/>
  <c r="T753" i="9"/>
  <c r="S753" i="9"/>
  <c r="R753" i="9"/>
  <c r="T1033" i="9"/>
  <c r="S1033" i="9"/>
  <c r="R1033" i="9"/>
  <c r="S854" i="9"/>
  <c r="R854" i="9"/>
  <c r="T854" i="9"/>
  <c r="S722" i="9"/>
  <c r="R722" i="9"/>
  <c r="T722" i="9"/>
  <c r="T687" i="9"/>
  <c r="S687" i="9"/>
  <c r="R687" i="9"/>
  <c r="T956" i="9"/>
  <c r="S956" i="9"/>
  <c r="R956" i="9"/>
  <c r="T704" i="9"/>
  <c r="S704" i="9"/>
  <c r="R704" i="9"/>
  <c r="R962" i="9"/>
  <c r="T962" i="9"/>
  <c r="S962" i="9"/>
  <c r="R1198" i="9"/>
  <c r="T1198" i="9"/>
  <c r="S1198" i="9"/>
  <c r="T1067" i="9"/>
  <c r="S1067" i="9"/>
  <c r="R1067" i="9"/>
  <c r="T1032" i="9"/>
  <c r="S1032" i="9"/>
  <c r="R1032" i="9"/>
  <c r="T924" i="9"/>
  <c r="S924" i="9"/>
  <c r="R924" i="9"/>
  <c r="T783" i="9"/>
  <c r="S783" i="9"/>
  <c r="R783" i="9"/>
  <c r="T888" i="9"/>
  <c r="S888" i="9"/>
  <c r="R888" i="9"/>
  <c r="T1073" i="9"/>
  <c r="S1073" i="9"/>
  <c r="R1073" i="9"/>
  <c r="T1031" i="9"/>
  <c r="S1031" i="9"/>
  <c r="R1031" i="9"/>
  <c r="T952" i="9"/>
  <c r="S952" i="9"/>
  <c r="R952" i="9"/>
  <c r="T865" i="9"/>
  <c r="S865" i="9"/>
  <c r="R865" i="9"/>
  <c r="T677" i="9"/>
  <c r="S677" i="9"/>
  <c r="R677" i="9"/>
  <c r="T1164" i="9"/>
  <c r="S1164" i="9"/>
  <c r="R1164" i="9"/>
  <c r="T859" i="9"/>
  <c r="S859" i="9"/>
  <c r="R859" i="9"/>
  <c r="R1094" i="9"/>
  <c r="S1094" i="9"/>
  <c r="T1094" i="9"/>
  <c r="T1013" i="9"/>
  <c r="S1013" i="9"/>
  <c r="R1013" i="9"/>
  <c r="T977" i="9"/>
  <c r="S977" i="9"/>
  <c r="R977" i="9"/>
  <c r="T941" i="9"/>
  <c r="S941" i="9"/>
  <c r="R941" i="9"/>
  <c r="T805" i="9"/>
  <c r="S805" i="9"/>
  <c r="R805" i="9"/>
  <c r="T765" i="9"/>
  <c r="S765" i="9"/>
  <c r="R765" i="9"/>
  <c r="T1156" i="9"/>
  <c r="S1156" i="9"/>
  <c r="R1156" i="9"/>
  <c r="R1054" i="9"/>
  <c r="T1054" i="9"/>
  <c r="S1054" i="9"/>
  <c r="T976" i="9"/>
  <c r="S976" i="9"/>
  <c r="R976" i="9"/>
  <c r="T936" i="9"/>
  <c r="S936" i="9"/>
  <c r="R936" i="9"/>
  <c r="T804" i="9"/>
  <c r="S804" i="9"/>
  <c r="R804" i="9"/>
  <c r="T691" i="9"/>
  <c r="S691" i="9"/>
  <c r="R691" i="9"/>
  <c r="R1086" i="9"/>
  <c r="S1086" i="9"/>
  <c r="T1086" i="9"/>
  <c r="T733" i="9"/>
  <c r="S733" i="9"/>
  <c r="R733" i="9"/>
  <c r="T991" i="9"/>
  <c r="S991" i="9"/>
  <c r="R991" i="9"/>
  <c r="T1149" i="9"/>
  <c r="S1149" i="9"/>
  <c r="R1149" i="9"/>
  <c r="R1106" i="9"/>
  <c r="T1106" i="9"/>
  <c r="S1106" i="9"/>
  <c r="T935" i="9"/>
  <c r="S935" i="9"/>
  <c r="R935" i="9"/>
  <c r="T771" i="9"/>
  <c r="S771" i="9"/>
  <c r="R771" i="9"/>
  <c r="S698" i="9"/>
  <c r="R698" i="9"/>
  <c r="T698" i="9"/>
  <c r="S738" i="9"/>
  <c r="R738" i="9"/>
  <c r="T738" i="9"/>
  <c r="T965" i="9"/>
  <c r="S965" i="9"/>
  <c r="R965" i="9"/>
  <c r="J676" i="9"/>
  <c r="T1016" i="9"/>
  <c r="S1016" i="9"/>
  <c r="R1016" i="9"/>
  <c r="T1148" i="9"/>
  <c r="S1148" i="9"/>
  <c r="R1148" i="9"/>
  <c r="T799" i="9"/>
  <c r="S799" i="9"/>
  <c r="R799" i="9"/>
  <c r="T693" i="9"/>
  <c r="S693" i="9"/>
  <c r="R693" i="9"/>
  <c r="T1180" i="9"/>
  <c r="S1180" i="9"/>
  <c r="R1180" i="9"/>
  <c r="T784" i="9"/>
  <c r="S784" i="9"/>
  <c r="R784" i="9"/>
  <c r="T685" i="9"/>
  <c r="S685" i="9"/>
  <c r="R685" i="9"/>
  <c r="R950" i="9"/>
  <c r="T950" i="9"/>
  <c r="S950" i="9"/>
  <c r="T1140" i="9"/>
  <c r="S1140" i="9"/>
  <c r="R1140" i="9"/>
  <c r="R1130" i="9"/>
  <c r="T1130" i="9"/>
  <c r="S1130" i="9"/>
  <c r="T1008" i="9"/>
  <c r="S1008" i="9"/>
  <c r="R1008" i="9"/>
  <c r="T696" i="9"/>
  <c r="S696" i="9"/>
  <c r="R696" i="9"/>
  <c r="T656" i="9"/>
  <c r="S656" i="9"/>
  <c r="R656" i="9"/>
  <c r="R1166" i="9"/>
  <c r="S1166" i="9"/>
  <c r="T1166" i="9"/>
  <c r="R998" i="9"/>
  <c r="S998" i="9"/>
  <c r="T998" i="9"/>
  <c r="T800" i="9"/>
  <c r="S800" i="9"/>
  <c r="R800" i="9"/>
  <c r="T1159" i="9"/>
  <c r="S1159" i="9"/>
  <c r="R1159" i="9"/>
  <c r="T1089" i="9"/>
  <c r="S1089" i="9"/>
  <c r="R1089" i="9"/>
  <c r="T1041" i="9"/>
  <c r="S1041" i="9"/>
  <c r="R1041" i="9"/>
  <c r="T917" i="9"/>
  <c r="S917" i="9"/>
  <c r="R917" i="9"/>
  <c r="T841" i="9"/>
  <c r="S841" i="9"/>
  <c r="R841" i="9"/>
  <c r="S670" i="9"/>
  <c r="R670" i="9"/>
  <c r="T670" i="9"/>
  <c r="R1146" i="9"/>
  <c r="T1146" i="9"/>
  <c r="S1146" i="9"/>
  <c r="R1102" i="9"/>
  <c r="T1102" i="9"/>
  <c r="S1102" i="9"/>
  <c r="T961" i="9"/>
  <c r="S961" i="9"/>
  <c r="R961" i="9"/>
  <c r="S822" i="9"/>
  <c r="R822" i="9"/>
  <c r="T822" i="9"/>
  <c r="T703" i="9"/>
  <c r="S703" i="9"/>
  <c r="R703" i="9"/>
  <c r="R1158" i="9"/>
  <c r="S1158" i="9"/>
  <c r="T1158" i="9"/>
  <c r="T1121" i="9"/>
  <c r="S1121" i="9"/>
  <c r="R1121" i="9"/>
  <c r="T712" i="9"/>
  <c r="S712" i="9"/>
  <c r="R712" i="9"/>
  <c r="T1141" i="9"/>
  <c r="S1141" i="9"/>
  <c r="R1141" i="9"/>
  <c r="T1108" i="9"/>
  <c r="S1108" i="9"/>
  <c r="R1108" i="9"/>
  <c r="T1056" i="9"/>
  <c r="S1056" i="9"/>
  <c r="R1056" i="9"/>
  <c r="T960" i="9"/>
  <c r="S960" i="9"/>
  <c r="R960" i="9"/>
  <c r="T923" i="9"/>
  <c r="S923" i="9"/>
  <c r="R923" i="9"/>
  <c r="S766" i="9"/>
  <c r="R766" i="9"/>
  <c r="T766" i="9"/>
  <c r="T1052" i="9"/>
  <c r="S1052" i="9"/>
  <c r="R1052" i="9"/>
  <c r="T689" i="9"/>
  <c r="S689" i="9"/>
  <c r="R689" i="9"/>
  <c r="T1196" i="9"/>
  <c r="S1196" i="9"/>
  <c r="R1196" i="9"/>
  <c r="T877" i="9"/>
  <c r="S877" i="9"/>
  <c r="R877" i="9"/>
  <c r="T837" i="9"/>
  <c r="S837" i="9"/>
  <c r="R837" i="9"/>
  <c r="T700" i="9"/>
  <c r="S700" i="9"/>
  <c r="R700" i="9"/>
  <c r="T660" i="9"/>
  <c r="S660" i="9"/>
  <c r="R660" i="9"/>
  <c r="T857" i="9"/>
  <c r="S857" i="9"/>
  <c r="R857" i="9"/>
  <c r="S734" i="9"/>
  <c r="R734" i="9"/>
  <c r="T734" i="9"/>
  <c r="T1176" i="9"/>
  <c r="S1176" i="9"/>
  <c r="R1176" i="9"/>
  <c r="T984" i="9"/>
  <c r="S984" i="9"/>
  <c r="R984" i="9"/>
  <c r="T1027" i="9"/>
  <c r="S1027" i="9"/>
  <c r="R1027" i="9"/>
  <c r="R862" i="9"/>
  <c r="T862" i="9"/>
  <c r="S862" i="9"/>
  <c r="T1105" i="9"/>
  <c r="S1105" i="9"/>
  <c r="R1105" i="9"/>
  <c r="S778" i="9"/>
  <c r="R778" i="9"/>
  <c r="T778" i="9"/>
  <c r="R1186" i="9"/>
  <c r="T1186" i="9"/>
  <c r="S1186" i="9"/>
  <c r="T1043" i="9"/>
  <c r="S1043" i="9"/>
  <c r="R1043" i="9"/>
  <c r="T981" i="9"/>
  <c r="S981" i="9"/>
  <c r="R981" i="9"/>
  <c r="T741" i="9"/>
  <c r="S741" i="9"/>
  <c r="R741" i="9"/>
  <c r="T740" i="9"/>
  <c r="S740" i="9"/>
  <c r="R740" i="9"/>
  <c r="R1090" i="9"/>
  <c r="T1090" i="9"/>
  <c r="S1090" i="9"/>
  <c r="T905" i="9"/>
  <c r="S905" i="9"/>
  <c r="R905" i="9"/>
  <c r="T1199" i="9"/>
  <c r="S1199" i="9"/>
  <c r="R1199" i="9"/>
  <c r="R1110" i="9"/>
  <c r="S1110" i="9"/>
  <c r="T1110" i="9"/>
  <c r="R886" i="9"/>
  <c r="T886" i="9"/>
  <c r="S886" i="9"/>
  <c r="T901" i="9"/>
  <c r="S901" i="9"/>
  <c r="R901" i="9"/>
  <c r="T1116" i="9"/>
  <c r="S1116" i="9"/>
  <c r="R1116" i="9"/>
  <c r="R1098" i="9"/>
  <c r="T1098" i="9"/>
  <c r="S1098" i="9"/>
  <c r="S826" i="9"/>
  <c r="R826" i="9"/>
  <c r="T826" i="9"/>
  <c r="T860" i="9"/>
  <c r="S860" i="9"/>
  <c r="R860" i="9"/>
  <c r="T736" i="9"/>
  <c r="S736" i="9"/>
  <c r="R736" i="9"/>
  <c r="S654" i="9"/>
  <c r="R654" i="9"/>
  <c r="T654" i="9"/>
  <c r="T1152" i="9"/>
  <c r="S1152" i="9"/>
  <c r="R1152" i="9"/>
  <c r="T852" i="9"/>
  <c r="S852" i="9"/>
  <c r="R852" i="9"/>
  <c r="T821" i="9"/>
  <c r="S821" i="9"/>
  <c r="R821" i="9"/>
  <c r="T759" i="9"/>
  <c r="S759" i="9"/>
  <c r="R759" i="9"/>
  <c r="T669" i="9"/>
  <c r="S669" i="9"/>
  <c r="R669" i="9"/>
  <c r="T919" i="9"/>
  <c r="S919" i="9"/>
  <c r="R919" i="9"/>
  <c r="T995" i="9"/>
  <c r="S995" i="9"/>
  <c r="R995" i="9"/>
  <c r="T813" i="9"/>
  <c r="S813" i="9"/>
  <c r="R813" i="9"/>
  <c r="T1151" i="9"/>
  <c r="S1151" i="9"/>
  <c r="R1151" i="9"/>
  <c r="T1055" i="9"/>
  <c r="S1055" i="9"/>
  <c r="R1055" i="9"/>
  <c r="T1195" i="9"/>
  <c r="S1195" i="9"/>
  <c r="R1195" i="9"/>
  <c r="R1150" i="9"/>
  <c r="T1150" i="9"/>
  <c r="S1150" i="9"/>
  <c r="T1113" i="9"/>
  <c r="S1113" i="9"/>
  <c r="R1113" i="9"/>
  <c r="R890" i="9"/>
  <c r="T890" i="9"/>
  <c r="S890" i="9"/>
  <c r="R1078" i="9"/>
  <c r="T1078" i="9"/>
  <c r="S1078" i="9"/>
  <c r="T1028" i="9"/>
  <c r="S1028" i="9"/>
  <c r="R1028" i="9"/>
  <c r="T875" i="9"/>
  <c r="S875" i="9"/>
  <c r="R875" i="9"/>
  <c r="T764" i="9"/>
  <c r="S764" i="9"/>
  <c r="R764" i="9"/>
  <c r="T724" i="9"/>
  <c r="S724" i="9"/>
  <c r="R724" i="9"/>
  <c r="R1142" i="9"/>
  <c r="S1142" i="9"/>
  <c r="T1142" i="9"/>
  <c r="T1091" i="9"/>
  <c r="S1091" i="9"/>
  <c r="R1091" i="9"/>
  <c r="T983" i="9"/>
  <c r="S983" i="9"/>
  <c r="R983" i="9"/>
  <c r="R894" i="9"/>
  <c r="S894" i="9"/>
  <c r="T894" i="9"/>
  <c r="S818" i="9"/>
  <c r="R818" i="9"/>
  <c r="T818" i="9"/>
  <c r="S690" i="9"/>
  <c r="R690" i="9"/>
  <c r="T690" i="9"/>
  <c r="T1200" i="9"/>
  <c r="S1200" i="9"/>
  <c r="R1200" i="9"/>
  <c r="T933" i="9"/>
  <c r="S933" i="9"/>
  <c r="R933" i="9"/>
  <c r="S754" i="9"/>
  <c r="R754" i="9"/>
  <c r="T754" i="9"/>
  <c r="R1082" i="9"/>
  <c r="T1082" i="9"/>
  <c r="S1082" i="9"/>
  <c r="R1074" i="9"/>
  <c r="T1074" i="9"/>
  <c r="S1074" i="9"/>
  <c r="T1063" i="9"/>
  <c r="S1063" i="9"/>
  <c r="R1063" i="9"/>
  <c r="T1192" i="9"/>
  <c r="S1192" i="9"/>
  <c r="R1192" i="9"/>
  <c r="T1124" i="9"/>
  <c r="S1124" i="9"/>
  <c r="R1124" i="9"/>
  <c r="R1042" i="9"/>
  <c r="T1042" i="9"/>
  <c r="S1042" i="9"/>
  <c r="T999" i="9"/>
  <c r="S999" i="9"/>
  <c r="R999" i="9"/>
  <c r="T932" i="9"/>
  <c r="S932" i="9"/>
  <c r="R932" i="9"/>
  <c r="T793" i="9"/>
  <c r="S793" i="9"/>
  <c r="R793" i="9"/>
  <c r="T1191" i="9"/>
  <c r="S1191" i="9"/>
  <c r="R1191" i="9"/>
  <c r="T1160" i="9"/>
  <c r="S1160" i="9"/>
  <c r="R1160" i="9"/>
  <c r="T1025" i="9"/>
  <c r="S1025" i="9"/>
  <c r="R1025" i="9"/>
  <c r="T945" i="9"/>
  <c r="S945" i="9"/>
  <c r="R945" i="9"/>
  <c r="S842" i="9"/>
  <c r="R842" i="9"/>
  <c r="T842" i="9"/>
  <c r="T792" i="9"/>
  <c r="S792" i="9"/>
  <c r="R792" i="9"/>
  <c r="T745" i="9"/>
  <c r="S745" i="9"/>
  <c r="R745" i="9"/>
  <c r="S714" i="9"/>
  <c r="R714" i="9"/>
  <c r="T714" i="9"/>
  <c r="T1075" i="9"/>
  <c r="S1075" i="9"/>
  <c r="R1075" i="9"/>
  <c r="T1024" i="9"/>
  <c r="S1024" i="9"/>
  <c r="R1024" i="9"/>
  <c r="T989" i="9"/>
  <c r="S989" i="9"/>
  <c r="R989" i="9"/>
  <c r="R954" i="9"/>
  <c r="T954" i="9"/>
  <c r="S954" i="9"/>
  <c r="T761" i="9"/>
  <c r="S761" i="9"/>
  <c r="R761" i="9"/>
  <c r="T1137" i="9"/>
  <c r="S1137" i="9"/>
  <c r="R1137" i="9"/>
  <c r="T1057" i="9"/>
  <c r="S1057" i="9"/>
  <c r="R1057" i="9"/>
  <c r="T953" i="9"/>
  <c r="S953" i="9"/>
  <c r="R953" i="9"/>
  <c r="T775" i="9"/>
  <c r="S775" i="9"/>
  <c r="R775" i="9"/>
  <c r="T1187" i="9"/>
  <c r="S1187" i="9"/>
  <c r="R1187" i="9"/>
  <c r="S810" i="9"/>
  <c r="R810" i="9"/>
  <c r="T810" i="9"/>
  <c r="R1066" i="9"/>
  <c r="T1066" i="9"/>
  <c r="S1066" i="9"/>
  <c r="T1023" i="9"/>
  <c r="S1023" i="9"/>
  <c r="R1023" i="9"/>
  <c r="R930" i="9"/>
  <c r="T930" i="9"/>
  <c r="S930" i="9"/>
  <c r="T891" i="9"/>
  <c r="S891" i="9"/>
  <c r="R891" i="9"/>
  <c r="T951" i="9"/>
  <c r="S951" i="9"/>
  <c r="R951" i="9"/>
  <c r="T851" i="9"/>
  <c r="S851" i="9"/>
  <c r="R851" i="9"/>
  <c r="S758" i="9"/>
  <c r="R758" i="9"/>
  <c r="T758" i="9"/>
  <c r="T711" i="9"/>
  <c r="S711" i="9"/>
  <c r="R711" i="9"/>
  <c r="T1087" i="9"/>
  <c r="S1087" i="9"/>
  <c r="R1087" i="9"/>
  <c r="T1003" i="9"/>
  <c r="S1003" i="9"/>
  <c r="R1003" i="9"/>
  <c r="T968" i="9"/>
  <c r="S968" i="9"/>
  <c r="R968" i="9"/>
  <c r="T873" i="9"/>
  <c r="S873" i="9"/>
  <c r="R873" i="9"/>
  <c r="R1046" i="9"/>
  <c r="S1046" i="9"/>
  <c r="T1046" i="9"/>
  <c r="T928" i="9"/>
  <c r="S928" i="9"/>
  <c r="R928" i="9"/>
  <c r="T844" i="9"/>
  <c r="S844" i="9"/>
  <c r="R844" i="9"/>
  <c r="T725" i="9"/>
  <c r="S725" i="9"/>
  <c r="R725" i="9"/>
  <c r="T675" i="9"/>
  <c r="S675" i="9"/>
  <c r="R675" i="9"/>
  <c r="S658" i="9"/>
  <c r="R658" i="9"/>
  <c r="T658" i="9"/>
  <c r="S787" i="9"/>
  <c r="T787" i="9"/>
  <c r="R787" i="9"/>
  <c r="T927" i="9"/>
  <c r="S927" i="9"/>
  <c r="R927" i="9"/>
  <c r="T889" i="9"/>
  <c r="S889" i="9"/>
  <c r="R889" i="9"/>
  <c r="T747" i="9"/>
  <c r="S747" i="9"/>
  <c r="R747" i="9"/>
  <c r="R906" i="9"/>
  <c r="T906" i="9"/>
  <c r="S906" i="9"/>
  <c r="T801" i="9"/>
  <c r="S801" i="9"/>
  <c r="R801" i="9"/>
  <c r="T1077" i="9"/>
  <c r="S1077" i="9"/>
  <c r="R1077" i="9"/>
  <c r="R1034" i="9"/>
  <c r="T1034" i="9"/>
  <c r="S1034" i="9"/>
  <c r="T893" i="9"/>
  <c r="S893" i="9"/>
  <c r="R893" i="9"/>
  <c r="T848" i="9"/>
  <c r="S848" i="9"/>
  <c r="R848" i="9"/>
  <c r="T680" i="9"/>
  <c r="S680" i="9"/>
  <c r="R680" i="9"/>
  <c r="R990" i="9"/>
  <c r="S990" i="9"/>
  <c r="T990" i="9"/>
  <c r="T671" i="9"/>
  <c r="S671" i="9"/>
  <c r="R671" i="9"/>
  <c r="T1153" i="9"/>
  <c r="S1153" i="9"/>
  <c r="R1153" i="9"/>
  <c r="T1109" i="9"/>
  <c r="S1109" i="9"/>
  <c r="R1109" i="9"/>
  <c r="T911" i="9"/>
  <c r="S911" i="9"/>
  <c r="R911" i="9"/>
  <c r="T823" i="9"/>
  <c r="S823" i="9"/>
  <c r="R823" i="9"/>
  <c r="T663" i="9"/>
  <c r="S663" i="9"/>
  <c r="R663" i="9"/>
  <c r="R1062" i="9"/>
  <c r="S1062" i="9"/>
  <c r="T1062" i="9"/>
  <c r="R1190" i="9"/>
  <c r="T1190" i="9"/>
  <c r="S1190" i="9"/>
  <c r="T853" i="9"/>
  <c r="S853" i="9"/>
  <c r="R853" i="9"/>
  <c r="S815" i="9"/>
  <c r="T815" i="9"/>
  <c r="R815" i="9"/>
  <c r="S686" i="9"/>
  <c r="R686" i="9"/>
  <c r="T686" i="9"/>
  <c r="T1145" i="9"/>
  <c r="S1145" i="9"/>
  <c r="R1145" i="9"/>
  <c r="T1101" i="9"/>
  <c r="S1101" i="9"/>
  <c r="R1101" i="9"/>
  <c r="S702" i="9"/>
  <c r="R702" i="9"/>
  <c r="T702" i="9"/>
  <c r="R934" i="9"/>
  <c r="T934" i="9"/>
  <c r="S934" i="9"/>
  <c r="T1100" i="9"/>
  <c r="S1100" i="9"/>
  <c r="R1100" i="9"/>
  <c r="R1030" i="9"/>
  <c r="T1030" i="9"/>
  <c r="S1030" i="9"/>
  <c r="T947" i="9"/>
  <c r="S947" i="9"/>
  <c r="R947" i="9"/>
  <c r="T1189" i="9"/>
  <c r="S1189" i="9"/>
  <c r="R1189" i="9"/>
  <c r="R922" i="9"/>
  <c r="T922" i="9"/>
  <c r="S922" i="9"/>
  <c r="T864" i="9"/>
  <c r="S864" i="9"/>
  <c r="R864" i="9"/>
  <c r="S830" i="9"/>
  <c r="R830" i="9"/>
  <c r="T830" i="9"/>
  <c r="T789" i="9"/>
  <c r="S789" i="9"/>
  <c r="R789" i="9"/>
  <c r="T749" i="9"/>
  <c r="S749" i="9"/>
  <c r="R749" i="9"/>
  <c r="T692" i="9"/>
  <c r="S692" i="9"/>
  <c r="R692" i="9"/>
  <c r="T1107" i="9"/>
  <c r="S1107" i="9"/>
  <c r="R1107" i="9"/>
  <c r="T967" i="9"/>
  <c r="S967" i="9"/>
  <c r="R967" i="9"/>
  <c r="T797" i="9"/>
  <c r="S797" i="9"/>
  <c r="R797" i="9"/>
  <c r="T803" i="9"/>
  <c r="S803" i="9"/>
  <c r="R803" i="9"/>
  <c r="T756" i="9"/>
  <c r="S756" i="9"/>
  <c r="R756" i="9"/>
  <c r="T1019" i="9"/>
  <c r="S1019" i="9"/>
  <c r="R1019" i="9"/>
  <c r="T856" i="9"/>
  <c r="S856" i="9"/>
  <c r="R856" i="9"/>
  <c r="T811" i="9"/>
  <c r="S811" i="9"/>
  <c r="R811" i="9"/>
  <c r="T1084" i="9"/>
  <c r="S1084" i="9"/>
  <c r="R1084" i="9"/>
  <c r="T716" i="9"/>
  <c r="S716" i="9"/>
  <c r="R716" i="9"/>
  <c r="T955" i="9"/>
  <c r="S955" i="9"/>
  <c r="R955" i="9"/>
  <c r="T913" i="9"/>
  <c r="S913" i="9"/>
  <c r="R913" i="9"/>
  <c r="T825" i="9"/>
  <c r="S825" i="9"/>
  <c r="R825" i="9"/>
  <c r="H535" i="9"/>
  <c r="T776" i="9"/>
  <c r="S776" i="9"/>
  <c r="R776" i="9"/>
  <c r="R910" i="9"/>
  <c r="T910" i="9"/>
  <c r="S910" i="9"/>
  <c r="T781" i="9"/>
  <c r="S781" i="9"/>
  <c r="R781" i="9"/>
  <c r="T729" i="9"/>
  <c r="S729" i="9"/>
  <c r="R729" i="9"/>
  <c r="T987" i="9"/>
  <c r="S987" i="9"/>
  <c r="R987" i="9"/>
  <c r="T743" i="9"/>
  <c r="S743" i="9"/>
  <c r="R743" i="9"/>
  <c r="T985" i="9"/>
  <c r="S985" i="9"/>
  <c r="R985" i="9"/>
  <c r="T1092" i="9"/>
  <c r="S1092" i="9"/>
  <c r="R1092" i="9"/>
  <c r="S746" i="9"/>
  <c r="R746" i="9"/>
  <c r="T746" i="9"/>
  <c r="T1117" i="9"/>
  <c r="S1117" i="9"/>
  <c r="R1117" i="9"/>
  <c r="T1083" i="9"/>
  <c r="S1083" i="9"/>
  <c r="R1083" i="9"/>
  <c r="T785" i="9"/>
  <c r="S785" i="9"/>
  <c r="R785" i="9"/>
  <c r="S730" i="9"/>
  <c r="R730" i="9"/>
  <c r="T730" i="9"/>
  <c r="T1147" i="9"/>
  <c r="S1147" i="9"/>
  <c r="R1147" i="9"/>
  <c r="T1104" i="9"/>
  <c r="S1104" i="9"/>
  <c r="R1104" i="9"/>
  <c r="T980" i="9"/>
  <c r="S980" i="9"/>
  <c r="R980" i="9"/>
  <c r="R938" i="9"/>
  <c r="T938" i="9"/>
  <c r="S938" i="9"/>
  <c r="S834" i="9"/>
  <c r="R834" i="9"/>
  <c r="T834" i="9"/>
  <c r="T739" i="9"/>
  <c r="S739" i="9"/>
  <c r="R739" i="9"/>
  <c r="T944" i="9"/>
  <c r="S944" i="9"/>
  <c r="R944" i="9"/>
  <c r="T744" i="9"/>
  <c r="S744" i="9"/>
  <c r="R744" i="9"/>
  <c r="T1049" i="9"/>
  <c r="S1049" i="9"/>
  <c r="R1049" i="9"/>
  <c r="R898" i="9"/>
  <c r="T898" i="9"/>
  <c r="S898" i="9"/>
  <c r="T847" i="9"/>
  <c r="S847" i="9"/>
  <c r="R847" i="9"/>
  <c r="T767" i="9"/>
  <c r="S767" i="9"/>
  <c r="R767" i="9"/>
  <c r="T728" i="9"/>
  <c r="S728" i="9"/>
  <c r="R728" i="9"/>
  <c r="R1070" i="9"/>
  <c r="S1070" i="9"/>
  <c r="T1070" i="9"/>
  <c r="T1197" i="9"/>
  <c r="S1197" i="9"/>
  <c r="R1197" i="9"/>
  <c r="T1005" i="9"/>
  <c r="S1005" i="9"/>
  <c r="R1005" i="9"/>
  <c r="T916" i="9"/>
  <c r="S916" i="9"/>
  <c r="R916" i="9"/>
  <c r="T884" i="9"/>
  <c r="S884" i="9"/>
  <c r="R884" i="9"/>
  <c r="S846" i="9"/>
  <c r="R846" i="9"/>
  <c r="T846" i="9"/>
  <c r="S814" i="9"/>
  <c r="R814" i="9"/>
  <c r="T814" i="9"/>
  <c r="S751" i="9"/>
  <c r="T751" i="9"/>
  <c r="R751" i="9"/>
  <c r="T661" i="9"/>
  <c r="S661" i="9"/>
  <c r="R661" i="9"/>
  <c r="S806" i="9"/>
  <c r="R806" i="9"/>
  <c r="T806" i="9"/>
  <c r="T701" i="9"/>
  <c r="S701" i="9"/>
  <c r="R701" i="9"/>
  <c r="T1127" i="9"/>
  <c r="S1127" i="9"/>
  <c r="R1127" i="9"/>
  <c r="T1047" i="9"/>
  <c r="S1047" i="9"/>
  <c r="R1047" i="9"/>
  <c r="T959" i="9"/>
  <c r="S959" i="9"/>
  <c r="R959" i="9"/>
  <c r="T1177" i="9"/>
  <c r="S1177" i="9"/>
  <c r="R1177" i="9"/>
  <c r="T908" i="9"/>
  <c r="S908" i="9"/>
  <c r="R908" i="9"/>
  <c r="T883" i="9"/>
  <c r="S883" i="9"/>
  <c r="R883" i="9"/>
  <c r="T667" i="9"/>
  <c r="S667" i="9"/>
  <c r="R667" i="9"/>
  <c r="T1071" i="9"/>
  <c r="S1071" i="9"/>
  <c r="R1071" i="9"/>
  <c r="T1020" i="9"/>
  <c r="S1020" i="9"/>
  <c r="R1020" i="9"/>
  <c r="T863" i="9"/>
  <c r="S863" i="9"/>
  <c r="R863" i="9"/>
  <c r="T731" i="9"/>
  <c r="S731" i="9"/>
  <c r="R731" i="9"/>
  <c r="R1194" i="9"/>
  <c r="T1194" i="9"/>
  <c r="S1194" i="9"/>
  <c r="T1132" i="9"/>
  <c r="S1132" i="9"/>
  <c r="R1132" i="9"/>
  <c r="T1085" i="9"/>
  <c r="S1085" i="9"/>
  <c r="R1085" i="9"/>
  <c r="T920" i="9"/>
  <c r="S920" i="9"/>
  <c r="R920" i="9"/>
  <c r="S682" i="9"/>
  <c r="R682" i="9"/>
  <c r="T682" i="9"/>
  <c r="R1018" i="9"/>
  <c r="T1018" i="9"/>
  <c r="S1018" i="9"/>
  <c r="T835" i="9"/>
  <c r="S835" i="9"/>
  <c r="R835" i="9"/>
  <c r="T1061" i="9"/>
  <c r="S1061" i="9"/>
  <c r="R1061" i="9"/>
  <c r="R1154" i="9"/>
  <c r="T1154" i="9"/>
  <c r="S1154" i="9"/>
  <c r="T900" i="9"/>
  <c r="S900" i="9"/>
  <c r="R900" i="9"/>
  <c r="T973" i="9"/>
  <c r="S973" i="9"/>
  <c r="R973" i="9"/>
  <c r="J1059" i="9"/>
  <c r="I1059" i="9"/>
  <c r="H1059" i="9"/>
  <c r="O1059" i="9"/>
  <c r="N1059" i="9"/>
  <c r="M1059" i="9"/>
  <c r="J970" i="9"/>
  <c r="I970" i="9"/>
  <c r="H970" i="9"/>
  <c r="O970" i="9"/>
  <c r="N970" i="9"/>
  <c r="M970" i="9"/>
  <c r="J727" i="9"/>
  <c r="I727" i="9"/>
  <c r="H727" i="9"/>
  <c r="O727" i="9"/>
  <c r="N727" i="9"/>
  <c r="M727" i="9"/>
  <c r="J978" i="9"/>
  <c r="I978" i="9"/>
  <c r="H978" i="9"/>
  <c r="O978" i="9"/>
  <c r="N978" i="9"/>
  <c r="M978" i="9"/>
  <c r="J949" i="9"/>
  <c r="I949" i="9"/>
  <c r="H949" i="9"/>
  <c r="N949" i="9"/>
  <c r="M949" i="9"/>
  <c r="O949" i="9"/>
  <c r="J707" i="9"/>
  <c r="I707" i="9"/>
  <c r="H707" i="9"/>
  <c r="O707" i="9"/>
  <c r="N707" i="9"/>
  <c r="M707" i="9"/>
  <c r="J981" i="9"/>
  <c r="I981" i="9"/>
  <c r="H981" i="9"/>
  <c r="N981" i="9"/>
  <c r="M981" i="9"/>
  <c r="O981" i="9"/>
  <c r="J918" i="9"/>
  <c r="I918" i="9"/>
  <c r="H918" i="9"/>
  <c r="N918" i="9"/>
  <c r="M918" i="9"/>
  <c r="O918" i="9"/>
  <c r="J1180" i="9"/>
  <c r="I1180" i="9"/>
  <c r="H1180" i="9"/>
  <c r="O1180" i="9"/>
  <c r="N1180" i="9"/>
  <c r="M1180" i="9"/>
  <c r="J972" i="9"/>
  <c r="I972" i="9"/>
  <c r="H972" i="9"/>
  <c r="O972" i="9"/>
  <c r="N972" i="9"/>
  <c r="M972" i="9"/>
  <c r="J776" i="9"/>
  <c r="I776" i="9"/>
  <c r="H776" i="9"/>
  <c r="O776" i="9"/>
  <c r="N776" i="9"/>
  <c r="M776" i="9"/>
  <c r="I729" i="9"/>
  <c r="H729" i="9"/>
  <c r="J729" i="9"/>
  <c r="O729" i="9"/>
  <c r="N729" i="9"/>
  <c r="M729" i="9"/>
  <c r="J695" i="9"/>
  <c r="I695" i="9"/>
  <c r="H695" i="9"/>
  <c r="O695" i="9"/>
  <c r="N695" i="9"/>
  <c r="M695" i="9"/>
  <c r="J1179" i="9"/>
  <c r="I1179" i="9"/>
  <c r="H1179" i="9"/>
  <c r="O1179" i="9"/>
  <c r="N1179" i="9"/>
  <c r="M1179" i="9"/>
  <c r="J1138" i="9"/>
  <c r="I1138" i="9"/>
  <c r="H1138" i="9"/>
  <c r="M1138" i="9"/>
  <c r="N1138" i="9"/>
  <c r="O1138" i="9"/>
  <c r="J892" i="9"/>
  <c r="I892" i="9"/>
  <c r="H892" i="9"/>
  <c r="N892" i="9"/>
  <c r="M892" i="9"/>
  <c r="O892" i="9"/>
  <c r="J1175" i="9"/>
  <c r="I1175" i="9"/>
  <c r="H1175" i="9"/>
  <c r="O1175" i="9"/>
  <c r="N1175" i="9"/>
  <c r="M1175" i="9"/>
  <c r="J1074" i="9"/>
  <c r="I1074" i="9"/>
  <c r="H1074" i="9"/>
  <c r="M1074" i="9"/>
  <c r="N1074" i="9"/>
  <c r="O1074" i="9"/>
  <c r="J1040" i="9"/>
  <c r="I1040" i="9"/>
  <c r="H1040" i="9"/>
  <c r="M1040" i="9"/>
  <c r="N1040" i="9"/>
  <c r="O1040" i="9"/>
  <c r="J840" i="9"/>
  <c r="I840" i="9"/>
  <c r="H840" i="9"/>
  <c r="O840" i="9"/>
  <c r="N840" i="9"/>
  <c r="M840" i="9"/>
  <c r="J760" i="9"/>
  <c r="I760" i="9"/>
  <c r="H760" i="9"/>
  <c r="O760" i="9"/>
  <c r="N760" i="9"/>
  <c r="M760" i="9"/>
  <c r="J1080" i="9"/>
  <c r="I1080" i="9"/>
  <c r="H1080" i="9"/>
  <c r="M1080" i="9"/>
  <c r="N1080" i="9"/>
  <c r="O1080" i="9"/>
  <c r="J1039" i="9"/>
  <c r="I1039" i="9"/>
  <c r="H1039" i="9"/>
  <c r="O1039" i="9"/>
  <c r="N1039" i="9"/>
  <c r="M1039" i="9"/>
  <c r="J987" i="9"/>
  <c r="I987" i="9"/>
  <c r="H987" i="9"/>
  <c r="N987" i="9"/>
  <c r="M987" i="9"/>
  <c r="O987" i="9"/>
  <c r="I685" i="9"/>
  <c r="H685" i="9"/>
  <c r="J685" i="9"/>
  <c r="O685" i="9"/>
  <c r="N685" i="9"/>
  <c r="M685" i="9"/>
  <c r="J743" i="9"/>
  <c r="I743" i="9"/>
  <c r="H743" i="9"/>
  <c r="O743" i="9"/>
  <c r="N743" i="9"/>
  <c r="M743" i="9"/>
  <c r="J985" i="9"/>
  <c r="H985" i="9"/>
  <c r="I985" i="9"/>
  <c r="N985" i="9"/>
  <c r="M985" i="9"/>
  <c r="O985" i="9"/>
  <c r="J950" i="9"/>
  <c r="I950" i="9"/>
  <c r="H950" i="9"/>
  <c r="O950" i="9"/>
  <c r="N950" i="9"/>
  <c r="M950" i="9"/>
  <c r="J1169" i="9"/>
  <c r="I1169" i="9"/>
  <c r="O1169" i="9"/>
  <c r="H1169" i="9"/>
  <c r="N1169" i="9"/>
  <c r="M1169" i="9"/>
  <c r="J1134" i="9"/>
  <c r="I1134" i="9"/>
  <c r="H1134" i="9"/>
  <c r="M1134" i="9"/>
  <c r="N1134" i="9"/>
  <c r="O1134" i="9"/>
  <c r="J1063" i="9"/>
  <c r="I1063" i="9"/>
  <c r="H1063" i="9"/>
  <c r="O1063" i="9"/>
  <c r="N1063" i="9"/>
  <c r="M1063" i="9"/>
  <c r="J1029" i="9"/>
  <c r="I1029" i="9"/>
  <c r="H1029" i="9"/>
  <c r="O1029" i="9"/>
  <c r="N1029" i="9"/>
  <c r="M1029" i="9"/>
  <c r="J710" i="9"/>
  <c r="I710" i="9"/>
  <c r="H710" i="9"/>
  <c r="N710" i="9"/>
  <c r="M710" i="9"/>
  <c r="O710" i="9"/>
  <c r="J974" i="9"/>
  <c r="I974" i="9"/>
  <c r="H974" i="9"/>
  <c r="O974" i="9"/>
  <c r="N974" i="9"/>
  <c r="M974" i="9"/>
  <c r="J1188" i="9"/>
  <c r="I1188" i="9"/>
  <c r="H1188" i="9"/>
  <c r="O1188" i="9"/>
  <c r="N1188" i="9"/>
  <c r="M1188" i="9"/>
  <c r="J1092" i="9"/>
  <c r="I1092" i="9"/>
  <c r="H1092" i="9"/>
  <c r="M1092" i="9"/>
  <c r="N1092" i="9"/>
  <c r="O1092" i="9"/>
  <c r="J921" i="9"/>
  <c r="I921" i="9"/>
  <c r="H921" i="9"/>
  <c r="N921" i="9"/>
  <c r="M921" i="9"/>
  <c r="O921" i="9"/>
  <c r="J740" i="9"/>
  <c r="I740" i="9"/>
  <c r="H740" i="9"/>
  <c r="O740" i="9"/>
  <c r="N740" i="9"/>
  <c r="M740" i="9"/>
  <c r="J699" i="9"/>
  <c r="I699" i="9"/>
  <c r="H699" i="9"/>
  <c r="O699" i="9"/>
  <c r="N699" i="9"/>
  <c r="M699" i="9"/>
  <c r="I673" i="9"/>
  <c r="H673" i="9"/>
  <c r="J673" i="9"/>
  <c r="O673" i="9"/>
  <c r="N673" i="9"/>
  <c r="M673" i="9"/>
  <c r="I709" i="9"/>
  <c r="H709" i="9"/>
  <c r="J709" i="9"/>
  <c r="O709" i="9"/>
  <c r="N709" i="9"/>
  <c r="M709" i="9"/>
  <c r="J1077" i="9"/>
  <c r="I1077" i="9"/>
  <c r="H1077" i="9"/>
  <c r="O1077" i="9"/>
  <c r="N1077" i="9"/>
  <c r="M1077" i="9"/>
  <c r="J706" i="9"/>
  <c r="I706" i="9"/>
  <c r="H706" i="9"/>
  <c r="N706" i="9"/>
  <c r="M706" i="9"/>
  <c r="O706" i="9"/>
  <c r="J971" i="9"/>
  <c r="I971" i="9"/>
  <c r="H971" i="9"/>
  <c r="N971" i="9"/>
  <c r="M971" i="9"/>
  <c r="O971" i="9"/>
  <c r="J1065" i="9"/>
  <c r="I1065" i="9"/>
  <c r="H1065" i="9"/>
  <c r="O1065" i="9"/>
  <c r="N1065" i="9"/>
  <c r="M1065" i="9"/>
  <c r="J812" i="9"/>
  <c r="I812" i="9"/>
  <c r="H812" i="9"/>
  <c r="O812" i="9"/>
  <c r="N812" i="9"/>
  <c r="M812" i="9"/>
  <c r="J1181" i="9"/>
  <c r="O1181" i="9"/>
  <c r="N1181" i="9"/>
  <c r="I1181" i="9"/>
  <c r="H1181" i="9"/>
  <c r="M1181" i="9"/>
  <c r="I681" i="9"/>
  <c r="H681" i="9"/>
  <c r="J681" i="9"/>
  <c r="O681" i="9"/>
  <c r="N681" i="9"/>
  <c r="M681" i="9"/>
  <c r="J913" i="9"/>
  <c r="H913" i="9"/>
  <c r="I913" i="9"/>
  <c r="N913" i="9"/>
  <c r="M913" i="9"/>
  <c r="O913" i="9"/>
  <c r="J880" i="9"/>
  <c r="I880" i="9"/>
  <c r="H880" i="9"/>
  <c r="N880" i="9"/>
  <c r="M880" i="9"/>
  <c r="O880" i="9"/>
  <c r="J770" i="9"/>
  <c r="I770" i="9"/>
  <c r="H770" i="9"/>
  <c r="O770" i="9"/>
  <c r="N770" i="9"/>
  <c r="M770" i="9"/>
  <c r="J963" i="9"/>
  <c r="I963" i="9"/>
  <c r="H963" i="9"/>
  <c r="N963" i="9"/>
  <c r="M963" i="9"/>
  <c r="O963" i="9"/>
  <c r="I769" i="9"/>
  <c r="H769" i="9"/>
  <c r="J769" i="9"/>
  <c r="O769" i="9"/>
  <c r="N769" i="9"/>
  <c r="M769" i="9"/>
  <c r="J1044" i="9"/>
  <c r="I1044" i="9"/>
  <c r="H1044" i="9"/>
  <c r="M1044" i="9"/>
  <c r="N1044" i="9"/>
  <c r="O1044" i="9"/>
  <c r="J1122" i="9"/>
  <c r="I1122" i="9"/>
  <c r="H1122" i="9"/>
  <c r="M1122" i="9"/>
  <c r="N1122" i="9"/>
  <c r="O1122" i="9"/>
  <c r="J1050" i="9"/>
  <c r="I1050" i="9"/>
  <c r="H1050" i="9"/>
  <c r="M1050" i="9"/>
  <c r="N1050" i="9"/>
  <c r="O1050" i="9"/>
  <c r="J925" i="9"/>
  <c r="I925" i="9"/>
  <c r="H925" i="9"/>
  <c r="N925" i="9"/>
  <c r="M925" i="9"/>
  <c r="O925" i="9"/>
  <c r="J879" i="9"/>
  <c r="I879" i="9"/>
  <c r="H879" i="9"/>
  <c r="N879" i="9"/>
  <c r="M879" i="9"/>
  <c r="O879" i="9"/>
  <c r="J784" i="9"/>
  <c r="I784" i="9"/>
  <c r="H784" i="9"/>
  <c r="O784" i="9"/>
  <c r="N784" i="9"/>
  <c r="M784" i="9"/>
  <c r="I833" i="9"/>
  <c r="H833" i="9"/>
  <c r="J833" i="9"/>
  <c r="O833" i="9"/>
  <c r="N833" i="9"/>
  <c r="M833" i="9"/>
  <c r="J752" i="9"/>
  <c r="I752" i="9"/>
  <c r="H752" i="9"/>
  <c r="O752" i="9"/>
  <c r="N752" i="9"/>
  <c r="M752" i="9"/>
  <c r="J774" i="9"/>
  <c r="H774" i="9"/>
  <c r="I774" i="9"/>
  <c r="O774" i="9"/>
  <c r="M774" i="9"/>
  <c r="N774" i="9"/>
  <c r="J1170" i="9"/>
  <c r="I1170" i="9"/>
  <c r="H1170" i="9"/>
  <c r="O1170" i="9"/>
  <c r="N1170" i="9"/>
  <c r="M1170" i="9"/>
  <c r="J929" i="9"/>
  <c r="I929" i="9"/>
  <c r="H929" i="9"/>
  <c r="N929" i="9"/>
  <c r="M929" i="9"/>
  <c r="O929" i="9"/>
  <c r="J726" i="9"/>
  <c r="H726" i="9"/>
  <c r="I726" i="9"/>
  <c r="O726" i="9"/>
  <c r="M726" i="9"/>
  <c r="N726" i="9"/>
  <c r="J1125" i="9"/>
  <c r="I1125" i="9"/>
  <c r="H1125" i="9"/>
  <c r="O1125" i="9"/>
  <c r="N1125" i="9"/>
  <c r="M1125" i="9"/>
  <c r="J1064" i="9"/>
  <c r="I1064" i="9"/>
  <c r="H1064" i="9"/>
  <c r="M1064" i="9"/>
  <c r="N1064" i="9"/>
  <c r="O1064" i="9"/>
  <c r="J720" i="9"/>
  <c r="I720" i="9"/>
  <c r="H720" i="9"/>
  <c r="O720" i="9"/>
  <c r="N720" i="9"/>
  <c r="M720" i="9"/>
  <c r="J1012" i="9"/>
  <c r="I1012" i="9"/>
  <c r="H1012" i="9"/>
  <c r="O1012" i="9"/>
  <c r="N1012" i="9"/>
  <c r="M1012" i="9"/>
  <c r="J895" i="9"/>
  <c r="I895" i="9"/>
  <c r="H895" i="9"/>
  <c r="N895" i="9"/>
  <c r="M895" i="9"/>
  <c r="O895" i="9"/>
  <c r="I741" i="9"/>
  <c r="H741" i="9"/>
  <c r="J741" i="9"/>
  <c r="O741" i="9"/>
  <c r="N741" i="9"/>
  <c r="M741" i="9"/>
  <c r="J1182" i="9"/>
  <c r="I1182" i="9"/>
  <c r="H1182" i="9"/>
  <c r="O1182" i="9"/>
  <c r="N1182" i="9"/>
  <c r="M1182" i="9"/>
  <c r="J993" i="9"/>
  <c r="I993" i="9"/>
  <c r="H993" i="9"/>
  <c r="N993" i="9"/>
  <c r="M993" i="9"/>
  <c r="O993" i="9"/>
  <c r="J907" i="9"/>
  <c r="I907" i="9"/>
  <c r="H907" i="9"/>
  <c r="N907" i="9"/>
  <c r="M907" i="9"/>
  <c r="O907" i="9"/>
  <c r="J827" i="9"/>
  <c r="I827" i="9"/>
  <c r="H827" i="9"/>
  <c r="O827" i="9"/>
  <c r="N827" i="9"/>
  <c r="M827" i="9"/>
  <c r="J788" i="9"/>
  <c r="I788" i="9"/>
  <c r="H788" i="9"/>
  <c r="O788" i="9"/>
  <c r="N788" i="9"/>
  <c r="M788" i="9"/>
  <c r="J666" i="9"/>
  <c r="I666" i="9"/>
  <c r="H666" i="9"/>
  <c r="N666" i="9"/>
  <c r="M666" i="9"/>
  <c r="O666" i="9"/>
  <c r="J1000" i="9"/>
  <c r="I1000" i="9"/>
  <c r="H1000" i="9"/>
  <c r="O1000" i="9"/>
  <c r="N1000" i="9"/>
  <c r="M1000" i="9"/>
  <c r="J1154" i="9"/>
  <c r="I1154" i="9"/>
  <c r="H1154" i="9"/>
  <c r="M1154" i="9"/>
  <c r="N1154" i="9"/>
  <c r="O1154" i="9"/>
  <c r="J900" i="9"/>
  <c r="I900" i="9"/>
  <c r="H900" i="9"/>
  <c r="N900" i="9"/>
  <c r="M900" i="9"/>
  <c r="O900" i="9"/>
  <c r="J973" i="9"/>
  <c r="I973" i="9"/>
  <c r="H973" i="9"/>
  <c r="N973" i="9"/>
  <c r="M973" i="9"/>
  <c r="O973" i="9"/>
  <c r="I825" i="9"/>
  <c r="H825" i="9"/>
  <c r="J825" i="9"/>
  <c r="O825" i="9"/>
  <c r="N825" i="9"/>
  <c r="M825" i="9"/>
  <c r="J899" i="9"/>
  <c r="I899" i="9"/>
  <c r="H899" i="9"/>
  <c r="N899" i="9"/>
  <c r="M899" i="9"/>
  <c r="O899" i="9"/>
  <c r="J1115" i="9"/>
  <c r="I1115" i="9"/>
  <c r="H1115" i="9"/>
  <c r="O1115" i="9"/>
  <c r="N1115" i="9"/>
  <c r="M1115" i="9"/>
  <c r="J871" i="9"/>
  <c r="I871" i="9"/>
  <c r="H871" i="9"/>
  <c r="O871" i="9"/>
  <c r="N871" i="9"/>
  <c r="M871" i="9"/>
  <c r="J831" i="9"/>
  <c r="I831" i="9"/>
  <c r="H831" i="9"/>
  <c r="O831" i="9"/>
  <c r="N831" i="9"/>
  <c r="M831" i="9"/>
  <c r="I845" i="9"/>
  <c r="H845" i="9"/>
  <c r="J845" i="9"/>
  <c r="O845" i="9"/>
  <c r="N845" i="9"/>
  <c r="M845" i="9"/>
  <c r="J1133" i="9"/>
  <c r="I1133" i="9"/>
  <c r="H1133" i="9"/>
  <c r="O1133" i="9"/>
  <c r="N1133" i="9"/>
  <c r="M1133" i="9"/>
  <c r="J868" i="9"/>
  <c r="I868" i="9"/>
  <c r="H868" i="9"/>
  <c r="O868" i="9"/>
  <c r="N868" i="9"/>
  <c r="M868" i="9"/>
  <c r="J955" i="9"/>
  <c r="I955" i="9"/>
  <c r="H955" i="9"/>
  <c r="N955" i="9"/>
  <c r="M955" i="9"/>
  <c r="O955" i="9"/>
  <c r="J1097" i="9"/>
  <c r="I1097" i="9"/>
  <c r="H1097" i="9"/>
  <c r="O1097" i="9"/>
  <c r="N1097" i="9"/>
  <c r="M1097" i="9"/>
  <c r="J1060" i="9"/>
  <c r="I1060" i="9"/>
  <c r="H1060" i="9"/>
  <c r="M1060" i="9"/>
  <c r="N1060" i="9"/>
  <c r="O1060" i="9"/>
  <c r="J964" i="9"/>
  <c r="I964" i="9"/>
  <c r="H964" i="9"/>
  <c r="O964" i="9"/>
  <c r="N964" i="9"/>
  <c r="M964" i="9"/>
  <c r="J912" i="9"/>
  <c r="I912" i="9"/>
  <c r="H912" i="9"/>
  <c r="N912" i="9"/>
  <c r="M912" i="9"/>
  <c r="O912" i="9"/>
  <c r="I809" i="9"/>
  <c r="H809" i="9"/>
  <c r="J809" i="9"/>
  <c r="O809" i="9"/>
  <c r="N809" i="9"/>
  <c r="M809" i="9"/>
  <c r="J854" i="9"/>
  <c r="I854" i="9"/>
  <c r="H854" i="9"/>
  <c r="O854" i="9"/>
  <c r="N854" i="9"/>
  <c r="M854" i="9"/>
  <c r="J808" i="9"/>
  <c r="I808" i="9"/>
  <c r="H808" i="9"/>
  <c r="O808" i="9"/>
  <c r="N808" i="9"/>
  <c r="M808" i="9"/>
  <c r="J722" i="9"/>
  <c r="I722" i="9"/>
  <c r="H722" i="9"/>
  <c r="O722" i="9"/>
  <c r="N722" i="9"/>
  <c r="M722" i="9"/>
  <c r="J687" i="9"/>
  <c r="I687" i="9"/>
  <c r="H687" i="9"/>
  <c r="O687" i="9"/>
  <c r="N687" i="9"/>
  <c r="M687" i="9"/>
  <c r="J956" i="9"/>
  <c r="I956" i="9"/>
  <c r="H956" i="9"/>
  <c r="O956" i="9"/>
  <c r="N956" i="9"/>
  <c r="M956" i="9"/>
  <c r="J1172" i="9"/>
  <c r="I1172" i="9"/>
  <c r="H1172" i="9"/>
  <c r="O1172" i="9"/>
  <c r="N1172" i="9"/>
  <c r="M1172" i="9"/>
  <c r="J962" i="9"/>
  <c r="I962" i="9"/>
  <c r="H962" i="9"/>
  <c r="O962" i="9"/>
  <c r="N962" i="9"/>
  <c r="M962" i="9"/>
  <c r="J1162" i="9"/>
  <c r="I1162" i="9"/>
  <c r="H1162" i="9"/>
  <c r="M1162" i="9"/>
  <c r="N1162" i="9"/>
  <c r="O1162" i="9"/>
  <c r="J881" i="9"/>
  <c r="I881" i="9"/>
  <c r="H881" i="9"/>
  <c r="N881" i="9"/>
  <c r="M881" i="9"/>
  <c r="O881" i="9"/>
  <c r="J1067" i="9"/>
  <c r="I1067" i="9"/>
  <c r="H1067" i="9"/>
  <c r="O1067" i="9"/>
  <c r="N1067" i="9"/>
  <c r="M1067" i="9"/>
  <c r="J1032" i="9"/>
  <c r="I1032" i="9"/>
  <c r="H1032" i="9"/>
  <c r="M1032" i="9"/>
  <c r="N1032" i="9"/>
  <c r="O1032" i="9"/>
  <c r="J924" i="9"/>
  <c r="I924" i="9"/>
  <c r="H924" i="9"/>
  <c r="N924" i="9"/>
  <c r="M924" i="9"/>
  <c r="O924" i="9"/>
  <c r="J783" i="9"/>
  <c r="I783" i="9"/>
  <c r="H783" i="9"/>
  <c r="O783" i="9"/>
  <c r="N783" i="9"/>
  <c r="M783" i="9"/>
  <c r="J662" i="9"/>
  <c r="I662" i="9"/>
  <c r="H662" i="9"/>
  <c r="N662" i="9"/>
  <c r="M662" i="9"/>
  <c r="O662" i="9"/>
  <c r="J888" i="9"/>
  <c r="I888" i="9"/>
  <c r="H888" i="9"/>
  <c r="N888" i="9"/>
  <c r="M888" i="9"/>
  <c r="O888" i="9"/>
  <c r="J1128" i="9"/>
  <c r="I1128" i="9"/>
  <c r="H1128" i="9"/>
  <c r="M1128" i="9"/>
  <c r="N1128" i="9"/>
  <c r="O1128" i="9"/>
  <c r="J1073" i="9"/>
  <c r="I1073" i="9"/>
  <c r="H1073" i="9"/>
  <c r="O1073" i="9"/>
  <c r="N1073" i="9"/>
  <c r="M1073" i="9"/>
  <c r="J1031" i="9"/>
  <c r="I1031" i="9"/>
  <c r="H1031" i="9"/>
  <c r="O1031" i="9"/>
  <c r="N1031" i="9"/>
  <c r="M1031" i="9"/>
  <c r="J952" i="9"/>
  <c r="I952" i="9"/>
  <c r="H952" i="9"/>
  <c r="O952" i="9"/>
  <c r="N952" i="9"/>
  <c r="M952" i="9"/>
  <c r="J865" i="9"/>
  <c r="H865" i="9"/>
  <c r="I865" i="9"/>
  <c r="O865" i="9"/>
  <c r="N865" i="9"/>
  <c r="M865" i="9"/>
  <c r="J832" i="9"/>
  <c r="I832" i="9"/>
  <c r="H832" i="9"/>
  <c r="O832" i="9"/>
  <c r="N832" i="9"/>
  <c r="M832" i="9"/>
  <c r="I677" i="9"/>
  <c r="H677" i="9"/>
  <c r="J677" i="9"/>
  <c r="O677" i="9"/>
  <c r="N677" i="9"/>
  <c r="M677" i="9"/>
  <c r="J969" i="9"/>
  <c r="I969" i="9"/>
  <c r="H969" i="9"/>
  <c r="N969" i="9"/>
  <c r="M969" i="9"/>
  <c r="O969" i="9"/>
  <c r="J1094" i="9"/>
  <c r="I1094" i="9"/>
  <c r="H1094" i="9"/>
  <c r="M1094" i="9"/>
  <c r="N1094" i="9"/>
  <c r="O1094" i="9"/>
  <c r="J1013" i="9"/>
  <c r="I1013" i="9"/>
  <c r="H1013" i="9"/>
  <c r="N1013" i="9"/>
  <c r="M1013" i="9"/>
  <c r="O1013" i="9"/>
  <c r="J977" i="9"/>
  <c r="I977" i="9"/>
  <c r="H977" i="9"/>
  <c r="N977" i="9"/>
  <c r="M977" i="9"/>
  <c r="O977" i="9"/>
  <c r="J941" i="9"/>
  <c r="I941" i="9"/>
  <c r="H941" i="9"/>
  <c r="N941" i="9"/>
  <c r="M941" i="9"/>
  <c r="O941" i="9"/>
  <c r="I805" i="9"/>
  <c r="H805" i="9"/>
  <c r="J805" i="9"/>
  <c r="O805" i="9"/>
  <c r="N805" i="9"/>
  <c r="M805" i="9"/>
  <c r="I765" i="9"/>
  <c r="H765" i="9"/>
  <c r="J765" i="9"/>
  <c r="O765" i="9"/>
  <c r="N765" i="9"/>
  <c r="M765" i="9"/>
  <c r="J1156" i="9"/>
  <c r="I1156" i="9"/>
  <c r="H1156" i="9"/>
  <c r="M1156" i="9"/>
  <c r="N1156" i="9"/>
  <c r="O1156" i="9"/>
  <c r="J1119" i="9"/>
  <c r="I1119" i="9"/>
  <c r="H1119" i="9"/>
  <c r="O1119" i="9"/>
  <c r="N1119" i="9"/>
  <c r="M1119" i="9"/>
  <c r="J1054" i="9"/>
  <c r="I1054" i="9"/>
  <c r="H1054" i="9"/>
  <c r="M1054" i="9"/>
  <c r="N1054" i="9"/>
  <c r="O1054" i="9"/>
  <c r="J691" i="9"/>
  <c r="I691" i="9"/>
  <c r="H691" i="9"/>
  <c r="O691" i="9"/>
  <c r="N691" i="9"/>
  <c r="M691" i="9"/>
  <c r="I697" i="9"/>
  <c r="H697" i="9"/>
  <c r="J697" i="9"/>
  <c r="O697" i="9"/>
  <c r="N697" i="9"/>
  <c r="M697" i="9"/>
  <c r="J1086" i="9"/>
  <c r="I1086" i="9"/>
  <c r="H1086" i="9"/>
  <c r="M1086" i="9"/>
  <c r="N1086" i="9"/>
  <c r="O1086" i="9"/>
  <c r="J1037" i="9"/>
  <c r="I1037" i="9"/>
  <c r="H1037" i="9"/>
  <c r="O1037" i="9"/>
  <c r="N1037" i="9"/>
  <c r="M1037" i="9"/>
  <c r="J828" i="9"/>
  <c r="I828" i="9"/>
  <c r="H828" i="9"/>
  <c r="O828" i="9"/>
  <c r="N828" i="9"/>
  <c r="M828" i="9"/>
  <c r="J772" i="9"/>
  <c r="I772" i="9"/>
  <c r="H772" i="9"/>
  <c r="O772" i="9"/>
  <c r="N772" i="9"/>
  <c r="M772" i="9"/>
  <c r="I733" i="9"/>
  <c r="H733" i="9"/>
  <c r="J733" i="9"/>
  <c r="O733" i="9"/>
  <c r="N733" i="9"/>
  <c r="M733" i="9"/>
  <c r="J991" i="9"/>
  <c r="I991" i="9"/>
  <c r="H991" i="9"/>
  <c r="N991" i="9"/>
  <c r="M991" i="9"/>
  <c r="O991" i="9"/>
  <c r="J1149" i="9"/>
  <c r="I1149" i="9"/>
  <c r="H1149" i="9"/>
  <c r="O1149" i="9"/>
  <c r="N1149" i="9"/>
  <c r="M1149" i="9"/>
  <c r="J1106" i="9"/>
  <c r="I1106" i="9"/>
  <c r="H1106" i="9"/>
  <c r="M1106" i="9"/>
  <c r="N1106" i="9"/>
  <c r="O1106" i="9"/>
  <c r="J935" i="9"/>
  <c r="I935" i="9"/>
  <c r="H935" i="9"/>
  <c r="N935" i="9"/>
  <c r="M935" i="9"/>
  <c r="O935" i="9"/>
  <c r="J771" i="9"/>
  <c r="I771" i="9"/>
  <c r="H771" i="9"/>
  <c r="O771" i="9"/>
  <c r="N771" i="9"/>
  <c r="M771" i="9"/>
  <c r="J698" i="9"/>
  <c r="I698" i="9"/>
  <c r="H698" i="9"/>
  <c r="N698" i="9"/>
  <c r="M698" i="9"/>
  <c r="O698" i="9"/>
  <c r="J861" i="9"/>
  <c r="I861" i="9"/>
  <c r="H861" i="9"/>
  <c r="O861" i="9"/>
  <c r="N861" i="9"/>
  <c r="M861" i="9"/>
  <c r="J723" i="9"/>
  <c r="I723" i="9"/>
  <c r="H723" i="9"/>
  <c r="O723" i="9"/>
  <c r="N723" i="9"/>
  <c r="M723" i="9"/>
  <c r="J1006" i="9"/>
  <c r="I1006" i="9"/>
  <c r="H1006" i="9"/>
  <c r="O1006" i="9"/>
  <c r="N1006" i="9"/>
  <c r="M1006" i="9"/>
  <c r="J791" i="9"/>
  <c r="I791" i="9"/>
  <c r="H791" i="9"/>
  <c r="O791" i="9"/>
  <c r="N791" i="9"/>
  <c r="M791" i="9"/>
  <c r="J1014" i="9"/>
  <c r="I1014" i="9"/>
  <c r="H1014" i="9"/>
  <c r="O1014" i="9"/>
  <c r="N1014" i="9"/>
  <c r="M1014" i="9"/>
  <c r="J1163" i="9"/>
  <c r="I1163" i="9"/>
  <c r="H1163" i="9"/>
  <c r="N1163" i="9"/>
  <c r="O1163" i="9"/>
  <c r="M1163" i="9"/>
  <c r="J1130" i="9"/>
  <c r="I1130" i="9"/>
  <c r="H1130" i="9"/>
  <c r="M1130" i="9"/>
  <c r="N1130" i="9"/>
  <c r="O1130" i="9"/>
  <c r="J1017" i="9"/>
  <c r="I1017" i="9"/>
  <c r="H1017" i="9"/>
  <c r="N1017" i="9"/>
  <c r="M1017" i="9"/>
  <c r="O1017" i="9"/>
  <c r="J696" i="9"/>
  <c r="I696" i="9"/>
  <c r="H696" i="9"/>
  <c r="N696" i="9"/>
  <c r="M696" i="9"/>
  <c r="O696" i="9"/>
  <c r="J656" i="9"/>
  <c r="I656" i="9"/>
  <c r="H656" i="9"/>
  <c r="N656" i="9"/>
  <c r="M656" i="9"/>
  <c r="O656" i="9"/>
  <c r="J1166" i="9"/>
  <c r="I1166" i="9"/>
  <c r="H1166" i="9"/>
  <c r="O1166" i="9"/>
  <c r="N1166" i="9"/>
  <c r="M1166" i="9"/>
  <c r="J998" i="9"/>
  <c r="I998" i="9"/>
  <c r="H998" i="9"/>
  <c r="O998" i="9"/>
  <c r="N998" i="9"/>
  <c r="M998" i="9"/>
  <c r="J1159" i="9"/>
  <c r="I1159" i="9"/>
  <c r="H1159" i="9"/>
  <c r="O1159" i="9"/>
  <c r="N1159" i="9"/>
  <c r="M1159" i="9"/>
  <c r="J1089" i="9"/>
  <c r="I1089" i="9"/>
  <c r="H1089" i="9"/>
  <c r="O1089" i="9"/>
  <c r="N1089" i="9"/>
  <c r="M1089" i="9"/>
  <c r="J1041" i="9"/>
  <c r="I1041" i="9"/>
  <c r="H1041" i="9"/>
  <c r="O1041" i="9"/>
  <c r="N1041" i="9"/>
  <c r="M1041" i="9"/>
  <c r="J997" i="9"/>
  <c r="I997" i="9"/>
  <c r="H997" i="9"/>
  <c r="N997" i="9"/>
  <c r="M997" i="9"/>
  <c r="O997" i="9"/>
  <c r="J917" i="9"/>
  <c r="I917" i="9"/>
  <c r="N917" i="9"/>
  <c r="M917" i="9"/>
  <c r="H917" i="9"/>
  <c r="O917" i="9"/>
  <c r="I841" i="9"/>
  <c r="H841" i="9"/>
  <c r="J841" i="9"/>
  <c r="O841" i="9"/>
  <c r="N841" i="9"/>
  <c r="M841" i="9"/>
  <c r="J768" i="9"/>
  <c r="I768" i="9"/>
  <c r="H768" i="9"/>
  <c r="O768" i="9"/>
  <c r="N768" i="9"/>
  <c r="M768" i="9"/>
  <c r="J670" i="9"/>
  <c r="I670" i="9"/>
  <c r="H670" i="9"/>
  <c r="N670" i="9"/>
  <c r="M670" i="9"/>
  <c r="O670" i="9"/>
  <c r="J1146" i="9"/>
  <c r="I1146" i="9"/>
  <c r="H1146" i="9"/>
  <c r="M1146" i="9"/>
  <c r="N1146" i="9"/>
  <c r="O1146" i="9"/>
  <c r="J1102" i="9"/>
  <c r="I1102" i="9"/>
  <c r="H1102" i="9"/>
  <c r="M1102" i="9"/>
  <c r="N1102" i="9"/>
  <c r="O1102" i="9"/>
  <c r="J961" i="9"/>
  <c r="H961" i="9"/>
  <c r="I961" i="9"/>
  <c r="N961" i="9"/>
  <c r="M961" i="9"/>
  <c r="O961" i="9"/>
  <c r="J822" i="9"/>
  <c r="H822" i="9"/>
  <c r="I822" i="9"/>
  <c r="O822" i="9"/>
  <c r="N822" i="9"/>
  <c r="M822" i="9"/>
  <c r="J703" i="9"/>
  <c r="I703" i="9"/>
  <c r="H703" i="9"/>
  <c r="O703" i="9"/>
  <c r="N703" i="9"/>
  <c r="M703" i="9"/>
  <c r="J1158" i="9"/>
  <c r="I1158" i="9"/>
  <c r="H1158" i="9"/>
  <c r="M1158" i="9"/>
  <c r="N1158" i="9"/>
  <c r="O1158" i="9"/>
  <c r="J897" i="9"/>
  <c r="I897" i="9"/>
  <c r="H897" i="9"/>
  <c r="N897" i="9"/>
  <c r="M897" i="9"/>
  <c r="O897" i="9"/>
  <c r="J712" i="9"/>
  <c r="I712" i="9"/>
  <c r="H712" i="9"/>
  <c r="O712" i="9"/>
  <c r="N712" i="9"/>
  <c r="M712" i="9"/>
  <c r="J1141" i="9"/>
  <c r="I1141" i="9"/>
  <c r="H1141" i="9"/>
  <c r="O1141" i="9"/>
  <c r="N1141" i="9"/>
  <c r="M1141" i="9"/>
  <c r="J1108" i="9"/>
  <c r="I1108" i="9"/>
  <c r="H1108" i="9"/>
  <c r="M1108" i="9"/>
  <c r="N1108" i="9"/>
  <c r="O1108" i="9"/>
  <c r="J1056" i="9"/>
  <c r="I1056" i="9"/>
  <c r="H1056" i="9"/>
  <c r="M1056" i="9"/>
  <c r="N1056" i="9"/>
  <c r="O1056" i="9"/>
  <c r="J1004" i="9"/>
  <c r="I1004" i="9"/>
  <c r="H1004" i="9"/>
  <c r="O1004" i="9"/>
  <c r="N1004" i="9"/>
  <c r="M1004" i="9"/>
  <c r="J960" i="9"/>
  <c r="I960" i="9"/>
  <c r="H960" i="9"/>
  <c r="O960" i="9"/>
  <c r="N960" i="9"/>
  <c r="M960" i="9"/>
  <c r="J923" i="9"/>
  <c r="I923" i="9"/>
  <c r="H923" i="9"/>
  <c r="N923" i="9"/>
  <c r="M923" i="9"/>
  <c r="O923" i="9"/>
  <c r="J766" i="9"/>
  <c r="I766" i="9"/>
  <c r="H766" i="9"/>
  <c r="O766" i="9"/>
  <c r="M766" i="9"/>
  <c r="N766" i="9"/>
  <c r="J1052" i="9"/>
  <c r="I1052" i="9"/>
  <c r="H1052" i="9"/>
  <c r="M1052" i="9"/>
  <c r="N1052" i="9"/>
  <c r="O1052" i="9"/>
  <c r="I689" i="9"/>
  <c r="H689" i="9"/>
  <c r="J689" i="9"/>
  <c r="O689" i="9"/>
  <c r="N689" i="9"/>
  <c r="M689" i="9"/>
  <c r="J1157" i="9"/>
  <c r="I1157" i="9"/>
  <c r="H1157" i="9"/>
  <c r="O1157" i="9"/>
  <c r="N1157" i="9"/>
  <c r="M1157" i="9"/>
  <c r="J877" i="9"/>
  <c r="I877" i="9"/>
  <c r="H877" i="9"/>
  <c r="N877" i="9"/>
  <c r="M877" i="9"/>
  <c r="O877" i="9"/>
  <c r="I837" i="9"/>
  <c r="H837" i="9"/>
  <c r="J837" i="9"/>
  <c r="O837" i="9"/>
  <c r="N837" i="9"/>
  <c r="M837" i="9"/>
  <c r="J700" i="9"/>
  <c r="I700" i="9"/>
  <c r="H700" i="9"/>
  <c r="N700" i="9"/>
  <c r="M700" i="9"/>
  <c r="O700" i="9"/>
  <c r="J660" i="9"/>
  <c r="I660" i="9"/>
  <c r="H660" i="9"/>
  <c r="N660" i="9"/>
  <c r="M660" i="9"/>
  <c r="O660" i="9"/>
  <c r="J919" i="9"/>
  <c r="I919" i="9"/>
  <c r="H919" i="9"/>
  <c r="N919" i="9"/>
  <c r="M919" i="9"/>
  <c r="O919" i="9"/>
  <c r="I857" i="9"/>
  <c r="H857" i="9"/>
  <c r="J857" i="9"/>
  <c r="O857" i="9"/>
  <c r="N857" i="9"/>
  <c r="M857" i="9"/>
  <c r="J734" i="9"/>
  <c r="I734" i="9"/>
  <c r="H734" i="9"/>
  <c r="O734" i="9"/>
  <c r="M734" i="9"/>
  <c r="N734" i="9"/>
  <c r="J1176" i="9"/>
  <c r="I1176" i="9"/>
  <c r="H1176" i="9"/>
  <c r="O1176" i="9"/>
  <c r="N1176" i="9"/>
  <c r="M1176" i="9"/>
  <c r="J1126" i="9"/>
  <c r="I1126" i="9"/>
  <c r="H1126" i="9"/>
  <c r="M1126" i="9"/>
  <c r="N1126" i="9"/>
  <c r="O1126" i="9"/>
  <c r="J984" i="9"/>
  <c r="I984" i="9"/>
  <c r="H984" i="9"/>
  <c r="O984" i="9"/>
  <c r="N984" i="9"/>
  <c r="M984" i="9"/>
  <c r="J1027" i="9"/>
  <c r="I1027" i="9"/>
  <c r="H1027" i="9"/>
  <c r="O1027" i="9"/>
  <c r="N1027" i="9"/>
  <c r="M1027" i="9"/>
  <c r="J992" i="9"/>
  <c r="I992" i="9"/>
  <c r="H992" i="9"/>
  <c r="O992" i="9"/>
  <c r="N992" i="9"/>
  <c r="M992" i="9"/>
  <c r="J862" i="9"/>
  <c r="I862" i="9"/>
  <c r="H862" i="9"/>
  <c r="O862" i="9"/>
  <c r="N862" i="9"/>
  <c r="M862" i="9"/>
  <c r="J1105" i="9"/>
  <c r="H1105" i="9"/>
  <c r="O1105" i="9"/>
  <c r="N1105" i="9"/>
  <c r="M1105" i="9"/>
  <c r="I1105" i="9"/>
  <c r="J1051" i="9"/>
  <c r="I1051" i="9"/>
  <c r="H1051" i="9"/>
  <c r="O1051" i="9"/>
  <c r="N1051" i="9"/>
  <c r="M1051" i="9"/>
  <c r="J1069" i="9"/>
  <c r="I1069" i="9"/>
  <c r="H1069" i="9"/>
  <c r="O1069" i="9"/>
  <c r="N1069" i="9"/>
  <c r="M1069" i="9"/>
  <c r="J1096" i="9"/>
  <c r="I1096" i="9"/>
  <c r="H1096" i="9"/>
  <c r="M1096" i="9"/>
  <c r="N1096" i="9"/>
  <c r="O1096" i="9"/>
  <c r="J939" i="9"/>
  <c r="I939" i="9"/>
  <c r="H939" i="9"/>
  <c r="N939" i="9"/>
  <c r="M939" i="9"/>
  <c r="O939" i="9"/>
  <c r="J819" i="9"/>
  <c r="I819" i="9"/>
  <c r="H819" i="9"/>
  <c r="O819" i="9"/>
  <c r="N819" i="9"/>
  <c r="M819" i="9"/>
  <c r="J1155" i="9"/>
  <c r="I1155" i="9"/>
  <c r="H1155" i="9"/>
  <c r="O1155" i="9"/>
  <c r="N1155" i="9"/>
  <c r="M1155" i="9"/>
  <c r="J1090" i="9"/>
  <c r="I1090" i="9"/>
  <c r="H1090" i="9"/>
  <c r="M1090" i="9"/>
  <c r="N1090" i="9"/>
  <c r="O1090" i="9"/>
  <c r="J905" i="9"/>
  <c r="I905" i="9"/>
  <c r="H905" i="9"/>
  <c r="N905" i="9"/>
  <c r="M905" i="9"/>
  <c r="O905" i="9"/>
  <c r="I753" i="9"/>
  <c r="H753" i="9"/>
  <c r="J753" i="9"/>
  <c r="O753" i="9"/>
  <c r="N753" i="9"/>
  <c r="M753" i="9"/>
  <c r="J1199" i="9"/>
  <c r="I1199" i="9"/>
  <c r="H1199" i="9"/>
  <c r="O1199" i="9"/>
  <c r="N1199" i="9"/>
  <c r="M1199" i="9"/>
  <c r="J1110" i="9"/>
  <c r="I1110" i="9"/>
  <c r="H1110" i="9"/>
  <c r="M1110" i="9"/>
  <c r="N1110" i="9"/>
  <c r="O1110" i="9"/>
  <c r="J1033" i="9"/>
  <c r="H1033" i="9"/>
  <c r="O1033" i="9"/>
  <c r="N1033" i="9"/>
  <c r="M1033" i="9"/>
  <c r="I1033" i="9"/>
  <c r="J886" i="9"/>
  <c r="I886" i="9"/>
  <c r="H886" i="9"/>
  <c r="N886" i="9"/>
  <c r="M886" i="9"/>
  <c r="O886" i="9"/>
  <c r="J679" i="9"/>
  <c r="I679" i="9"/>
  <c r="H679" i="9"/>
  <c r="O679" i="9"/>
  <c r="N679" i="9"/>
  <c r="M679" i="9"/>
  <c r="J1116" i="9"/>
  <c r="I1116" i="9"/>
  <c r="H1116" i="9"/>
  <c r="M1116" i="9"/>
  <c r="N1116" i="9"/>
  <c r="O1116" i="9"/>
  <c r="J1098" i="9"/>
  <c r="I1098" i="9"/>
  <c r="H1098" i="9"/>
  <c r="M1098" i="9"/>
  <c r="N1098" i="9"/>
  <c r="O1098" i="9"/>
  <c r="J826" i="9"/>
  <c r="I826" i="9"/>
  <c r="H826" i="9"/>
  <c r="O826" i="9"/>
  <c r="N826" i="9"/>
  <c r="M826" i="9"/>
  <c r="J1198" i="9"/>
  <c r="I1198" i="9"/>
  <c r="H1198" i="9"/>
  <c r="O1198" i="9"/>
  <c r="N1198" i="9"/>
  <c r="M1198" i="9"/>
  <c r="J860" i="9"/>
  <c r="I860" i="9"/>
  <c r="H860" i="9"/>
  <c r="O860" i="9"/>
  <c r="N860" i="9"/>
  <c r="M860" i="9"/>
  <c r="J736" i="9"/>
  <c r="I736" i="9"/>
  <c r="H736" i="9"/>
  <c r="O736" i="9"/>
  <c r="N736" i="9"/>
  <c r="M736" i="9"/>
  <c r="J654" i="9"/>
  <c r="H654" i="9"/>
  <c r="I654" i="9"/>
  <c r="N654" i="9"/>
  <c r="M654" i="9"/>
  <c r="O654" i="9"/>
  <c r="J852" i="9"/>
  <c r="I852" i="9"/>
  <c r="H852" i="9"/>
  <c r="O852" i="9"/>
  <c r="N852" i="9"/>
  <c r="M852" i="9"/>
  <c r="I821" i="9"/>
  <c r="H821" i="9"/>
  <c r="J821" i="9"/>
  <c r="O821" i="9"/>
  <c r="N821" i="9"/>
  <c r="M821" i="9"/>
  <c r="J759" i="9"/>
  <c r="I759" i="9"/>
  <c r="H759" i="9"/>
  <c r="O759" i="9"/>
  <c r="N759" i="9"/>
  <c r="M759" i="9"/>
  <c r="J1164" i="9"/>
  <c r="I1164" i="9"/>
  <c r="H1164" i="9"/>
  <c r="O1164" i="9"/>
  <c r="N1164" i="9"/>
  <c r="M1164" i="9"/>
  <c r="J859" i="9"/>
  <c r="I859" i="9"/>
  <c r="H859" i="9"/>
  <c r="O859" i="9"/>
  <c r="N859" i="9"/>
  <c r="M859" i="9"/>
  <c r="I813" i="9"/>
  <c r="H813" i="9"/>
  <c r="J813" i="9"/>
  <c r="O813" i="9"/>
  <c r="N813" i="9"/>
  <c r="M813" i="9"/>
  <c r="J1151" i="9"/>
  <c r="I1151" i="9"/>
  <c r="H1151" i="9"/>
  <c r="O1151" i="9"/>
  <c r="N1151" i="9"/>
  <c r="M1151" i="9"/>
  <c r="J1055" i="9"/>
  <c r="I1055" i="9"/>
  <c r="H1055" i="9"/>
  <c r="O1055" i="9"/>
  <c r="N1055" i="9"/>
  <c r="M1055" i="9"/>
  <c r="J1195" i="9"/>
  <c r="I1195" i="9"/>
  <c r="H1195" i="9"/>
  <c r="O1195" i="9"/>
  <c r="N1195" i="9"/>
  <c r="M1195" i="9"/>
  <c r="J1113" i="9"/>
  <c r="I1113" i="9"/>
  <c r="H1113" i="9"/>
  <c r="O1113" i="9"/>
  <c r="N1113" i="9"/>
  <c r="M1113" i="9"/>
  <c r="J976" i="9"/>
  <c r="I976" i="9"/>
  <c r="H976" i="9"/>
  <c r="O976" i="9"/>
  <c r="N976" i="9"/>
  <c r="M976" i="9"/>
  <c r="J936" i="9"/>
  <c r="I936" i="9"/>
  <c r="H936" i="9"/>
  <c r="O936" i="9"/>
  <c r="N936" i="9"/>
  <c r="M936" i="9"/>
  <c r="J890" i="9"/>
  <c r="I890" i="9"/>
  <c r="H890" i="9"/>
  <c r="N890" i="9"/>
  <c r="M890" i="9"/>
  <c r="O890" i="9"/>
  <c r="J804" i="9"/>
  <c r="I804" i="9"/>
  <c r="H804" i="9"/>
  <c r="O804" i="9"/>
  <c r="N804" i="9"/>
  <c r="M804" i="9"/>
  <c r="J683" i="9"/>
  <c r="I683" i="9"/>
  <c r="H683" i="9"/>
  <c r="O683" i="9"/>
  <c r="N683" i="9"/>
  <c r="M683" i="9"/>
  <c r="J1078" i="9"/>
  <c r="I1078" i="9"/>
  <c r="H1078" i="9"/>
  <c r="M1078" i="9"/>
  <c r="N1078" i="9"/>
  <c r="O1078" i="9"/>
  <c r="J1028" i="9"/>
  <c r="I1028" i="9"/>
  <c r="H1028" i="9"/>
  <c r="O1028" i="9"/>
  <c r="N1028" i="9"/>
  <c r="M1028" i="9"/>
  <c r="J875" i="9"/>
  <c r="I875" i="9"/>
  <c r="H875" i="9"/>
  <c r="N875" i="9"/>
  <c r="M875" i="9"/>
  <c r="O875" i="9"/>
  <c r="J764" i="9"/>
  <c r="I764" i="9"/>
  <c r="H764" i="9"/>
  <c r="O764" i="9"/>
  <c r="N764" i="9"/>
  <c r="M764" i="9"/>
  <c r="J1142" i="9"/>
  <c r="I1142" i="9"/>
  <c r="H1142" i="9"/>
  <c r="M1142" i="9"/>
  <c r="N1142" i="9"/>
  <c r="O1142" i="9"/>
  <c r="J1091" i="9"/>
  <c r="I1091" i="9"/>
  <c r="H1091" i="9"/>
  <c r="O1091" i="9"/>
  <c r="N1091" i="9"/>
  <c r="M1091" i="9"/>
  <c r="J894" i="9"/>
  <c r="I894" i="9"/>
  <c r="H894" i="9"/>
  <c r="N894" i="9"/>
  <c r="M894" i="9"/>
  <c r="O894" i="9"/>
  <c r="J818" i="9"/>
  <c r="I818" i="9"/>
  <c r="H818" i="9"/>
  <c r="O818" i="9"/>
  <c r="N818" i="9"/>
  <c r="M818" i="9"/>
  <c r="I817" i="9"/>
  <c r="H817" i="9"/>
  <c r="J817" i="9"/>
  <c r="O817" i="9"/>
  <c r="N817" i="9"/>
  <c r="M817" i="9"/>
  <c r="J688" i="9"/>
  <c r="I688" i="9"/>
  <c r="H688" i="9"/>
  <c r="N688" i="9"/>
  <c r="M688" i="9"/>
  <c r="O688" i="9"/>
  <c r="I665" i="9"/>
  <c r="H665" i="9"/>
  <c r="J665" i="9"/>
  <c r="O665" i="9"/>
  <c r="N665" i="9"/>
  <c r="M665" i="9"/>
  <c r="J1192" i="9"/>
  <c r="I1192" i="9"/>
  <c r="H1192" i="9"/>
  <c r="O1192" i="9"/>
  <c r="N1192" i="9"/>
  <c r="M1192" i="9"/>
  <c r="J1124" i="9"/>
  <c r="I1124" i="9"/>
  <c r="H1124" i="9"/>
  <c r="M1124" i="9"/>
  <c r="N1124" i="9"/>
  <c r="O1124" i="9"/>
  <c r="J1008" i="9"/>
  <c r="I1008" i="9"/>
  <c r="H1008" i="9"/>
  <c r="O1008" i="9"/>
  <c r="N1008" i="9"/>
  <c r="M1008" i="9"/>
  <c r="J932" i="9"/>
  <c r="I932" i="9"/>
  <c r="H932" i="9"/>
  <c r="O932" i="9"/>
  <c r="N932" i="9"/>
  <c r="M932" i="9"/>
  <c r="I793" i="9"/>
  <c r="H793" i="9"/>
  <c r="J793" i="9"/>
  <c r="O793" i="9"/>
  <c r="N793" i="9"/>
  <c r="M793" i="9"/>
  <c r="J708" i="9"/>
  <c r="I708" i="9"/>
  <c r="H708" i="9"/>
  <c r="N708" i="9"/>
  <c r="M708" i="9"/>
  <c r="O708" i="9"/>
  <c r="J1160" i="9"/>
  <c r="I1160" i="9"/>
  <c r="H1160" i="9"/>
  <c r="M1160" i="9"/>
  <c r="N1160" i="9"/>
  <c r="O1160" i="9"/>
  <c r="J945" i="9"/>
  <c r="I945" i="9"/>
  <c r="H945" i="9"/>
  <c r="N945" i="9"/>
  <c r="M945" i="9"/>
  <c r="O945" i="9"/>
  <c r="J842" i="9"/>
  <c r="I842" i="9"/>
  <c r="H842" i="9"/>
  <c r="O842" i="9"/>
  <c r="N842" i="9"/>
  <c r="M842" i="9"/>
  <c r="J800" i="9"/>
  <c r="I800" i="9"/>
  <c r="H800" i="9"/>
  <c r="O800" i="9"/>
  <c r="N800" i="9"/>
  <c r="M800" i="9"/>
  <c r="J714" i="9"/>
  <c r="I714" i="9"/>
  <c r="H714" i="9"/>
  <c r="O714" i="9"/>
  <c r="N714" i="9"/>
  <c r="M714" i="9"/>
  <c r="J1075" i="9"/>
  <c r="I1075" i="9"/>
  <c r="H1075" i="9"/>
  <c r="O1075" i="9"/>
  <c r="N1075" i="9"/>
  <c r="M1075" i="9"/>
  <c r="J1024" i="9"/>
  <c r="I1024" i="9"/>
  <c r="H1024" i="9"/>
  <c r="O1024" i="9"/>
  <c r="N1024" i="9"/>
  <c r="M1024" i="9"/>
  <c r="J989" i="9"/>
  <c r="I989" i="9"/>
  <c r="H989" i="9"/>
  <c r="N989" i="9"/>
  <c r="M989" i="9"/>
  <c r="O989" i="9"/>
  <c r="J954" i="9"/>
  <c r="I954" i="9"/>
  <c r="H954" i="9"/>
  <c r="O954" i="9"/>
  <c r="N954" i="9"/>
  <c r="M954" i="9"/>
  <c r="I761" i="9"/>
  <c r="H761" i="9"/>
  <c r="J761" i="9"/>
  <c r="O761" i="9"/>
  <c r="N761" i="9"/>
  <c r="M761" i="9"/>
  <c r="J1137" i="9"/>
  <c r="I1137" i="9"/>
  <c r="H1137" i="9"/>
  <c r="O1137" i="9"/>
  <c r="N1137" i="9"/>
  <c r="M1137" i="9"/>
  <c r="J1057" i="9"/>
  <c r="H1057" i="9"/>
  <c r="O1057" i="9"/>
  <c r="N1057" i="9"/>
  <c r="M1057" i="9"/>
  <c r="I1057" i="9"/>
  <c r="J775" i="9"/>
  <c r="I775" i="9"/>
  <c r="H775" i="9"/>
  <c r="O775" i="9"/>
  <c r="N775" i="9"/>
  <c r="M775" i="9"/>
  <c r="J1187" i="9"/>
  <c r="I1187" i="9"/>
  <c r="H1187" i="9"/>
  <c r="O1187" i="9"/>
  <c r="N1187" i="9"/>
  <c r="M1187" i="9"/>
  <c r="J810" i="9"/>
  <c r="I810" i="9"/>
  <c r="H810" i="9"/>
  <c r="O810" i="9"/>
  <c r="N810" i="9"/>
  <c r="M810" i="9"/>
  <c r="J1121" i="9"/>
  <c r="I1121" i="9"/>
  <c r="H1121" i="9"/>
  <c r="O1121" i="9"/>
  <c r="N1121" i="9"/>
  <c r="M1121" i="9"/>
  <c r="J1066" i="9"/>
  <c r="I1066" i="9"/>
  <c r="H1066" i="9"/>
  <c r="M1066" i="9"/>
  <c r="N1066" i="9"/>
  <c r="O1066" i="9"/>
  <c r="J1023" i="9"/>
  <c r="I1023" i="9"/>
  <c r="H1023" i="9"/>
  <c r="N1023" i="9"/>
  <c r="M1023" i="9"/>
  <c r="O1023" i="9"/>
  <c r="J930" i="9"/>
  <c r="I930" i="9"/>
  <c r="H930" i="9"/>
  <c r="N930" i="9"/>
  <c r="M930" i="9"/>
  <c r="O930" i="9"/>
  <c r="J891" i="9"/>
  <c r="I891" i="9"/>
  <c r="H891" i="9"/>
  <c r="N891" i="9"/>
  <c r="M891" i="9"/>
  <c r="O891" i="9"/>
  <c r="J951" i="9"/>
  <c r="I951" i="9"/>
  <c r="H951" i="9"/>
  <c r="N951" i="9"/>
  <c r="M951" i="9"/>
  <c r="O951" i="9"/>
  <c r="J758" i="9"/>
  <c r="I758" i="9"/>
  <c r="H758" i="9"/>
  <c r="O758" i="9"/>
  <c r="M758" i="9"/>
  <c r="N758" i="9"/>
  <c r="J711" i="9"/>
  <c r="I711" i="9"/>
  <c r="H711" i="9"/>
  <c r="O711" i="9"/>
  <c r="N711" i="9"/>
  <c r="M711" i="9"/>
  <c r="J1196" i="9"/>
  <c r="I1196" i="9"/>
  <c r="H1196" i="9"/>
  <c r="O1196" i="9"/>
  <c r="N1196" i="9"/>
  <c r="M1196" i="9"/>
  <c r="J1087" i="9"/>
  <c r="I1087" i="9"/>
  <c r="H1087" i="9"/>
  <c r="O1087" i="9"/>
  <c r="N1087" i="9"/>
  <c r="M1087" i="9"/>
  <c r="J1003" i="9"/>
  <c r="I1003" i="9"/>
  <c r="H1003" i="9"/>
  <c r="N1003" i="9"/>
  <c r="M1003" i="9"/>
  <c r="O1003" i="9"/>
  <c r="J968" i="9"/>
  <c r="I968" i="9"/>
  <c r="H968" i="9"/>
  <c r="O968" i="9"/>
  <c r="N968" i="9"/>
  <c r="M968" i="9"/>
  <c r="J873" i="9"/>
  <c r="I873" i="9"/>
  <c r="H873" i="9"/>
  <c r="N873" i="9"/>
  <c r="M873" i="9"/>
  <c r="O873" i="9"/>
  <c r="J1046" i="9"/>
  <c r="I1046" i="9"/>
  <c r="H1046" i="9"/>
  <c r="M1046" i="9"/>
  <c r="N1046" i="9"/>
  <c r="O1046" i="9"/>
  <c r="J928" i="9"/>
  <c r="I928" i="9"/>
  <c r="H928" i="9"/>
  <c r="N928" i="9"/>
  <c r="M928" i="9"/>
  <c r="O928" i="9"/>
  <c r="I725" i="9"/>
  <c r="H725" i="9"/>
  <c r="J725" i="9"/>
  <c r="O725" i="9"/>
  <c r="N725" i="9"/>
  <c r="M725" i="9"/>
  <c r="J675" i="9"/>
  <c r="I675" i="9"/>
  <c r="H675" i="9"/>
  <c r="O675" i="9"/>
  <c r="N675" i="9"/>
  <c r="M675" i="9"/>
  <c r="J658" i="9"/>
  <c r="I658" i="9"/>
  <c r="H658" i="9"/>
  <c r="N658" i="9"/>
  <c r="M658" i="9"/>
  <c r="O658" i="9"/>
  <c r="J787" i="9"/>
  <c r="I787" i="9"/>
  <c r="H787" i="9"/>
  <c r="O787" i="9"/>
  <c r="N787" i="9"/>
  <c r="M787" i="9"/>
  <c r="J927" i="9"/>
  <c r="I927" i="9"/>
  <c r="H927" i="9"/>
  <c r="N927" i="9"/>
  <c r="M927" i="9"/>
  <c r="O927" i="9"/>
  <c r="J747" i="9"/>
  <c r="I747" i="9"/>
  <c r="H747" i="9"/>
  <c r="O747" i="9"/>
  <c r="N747" i="9"/>
  <c r="M747" i="9"/>
  <c r="J906" i="9"/>
  <c r="I906" i="9"/>
  <c r="H906" i="9"/>
  <c r="N906" i="9"/>
  <c r="M906" i="9"/>
  <c r="O906" i="9"/>
  <c r="J1174" i="9"/>
  <c r="I1174" i="9"/>
  <c r="H1174" i="9"/>
  <c r="O1174" i="9"/>
  <c r="N1174" i="9"/>
  <c r="M1174" i="9"/>
  <c r="J746" i="9"/>
  <c r="I746" i="9"/>
  <c r="H746" i="9"/>
  <c r="O746" i="9"/>
  <c r="N746" i="9"/>
  <c r="M746" i="9"/>
  <c r="J867" i="9"/>
  <c r="I867" i="9"/>
  <c r="H867" i="9"/>
  <c r="O867" i="9"/>
  <c r="N867" i="9"/>
  <c r="M867" i="9"/>
  <c r="J1193" i="9"/>
  <c r="I1193" i="9"/>
  <c r="O1193" i="9"/>
  <c r="H1193" i="9"/>
  <c r="N1193" i="9"/>
  <c r="M1193" i="9"/>
  <c r="J1026" i="9"/>
  <c r="I1026" i="9"/>
  <c r="H1026" i="9"/>
  <c r="O1026" i="9"/>
  <c r="N1026" i="9"/>
  <c r="M1026" i="9"/>
  <c r="J1123" i="9"/>
  <c r="I1123" i="9"/>
  <c r="H1123" i="9"/>
  <c r="O1123" i="9"/>
  <c r="N1123" i="9"/>
  <c r="M1123" i="9"/>
  <c r="J782" i="9"/>
  <c r="I782" i="9"/>
  <c r="H782" i="9"/>
  <c r="O782" i="9"/>
  <c r="N782" i="9"/>
  <c r="M782" i="9"/>
  <c r="J909" i="9"/>
  <c r="I909" i="9"/>
  <c r="H909" i="9"/>
  <c r="N909" i="9"/>
  <c r="M909" i="9"/>
  <c r="O909" i="9"/>
  <c r="J869" i="9"/>
  <c r="I869" i="9"/>
  <c r="H869" i="9"/>
  <c r="O869" i="9"/>
  <c r="N869" i="9"/>
  <c r="M869" i="9"/>
  <c r="J1002" i="9"/>
  <c r="I1002" i="9"/>
  <c r="H1002" i="9"/>
  <c r="O1002" i="9"/>
  <c r="N1002" i="9"/>
  <c r="M1002" i="9"/>
  <c r="J848" i="9"/>
  <c r="I848" i="9"/>
  <c r="H848" i="9"/>
  <c r="O848" i="9"/>
  <c r="N848" i="9"/>
  <c r="M848" i="9"/>
  <c r="J680" i="9"/>
  <c r="I680" i="9"/>
  <c r="H680" i="9"/>
  <c r="N680" i="9"/>
  <c r="M680" i="9"/>
  <c r="O680" i="9"/>
  <c r="J990" i="9"/>
  <c r="I990" i="9"/>
  <c r="H990" i="9"/>
  <c r="O990" i="9"/>
  <c r="N990" i="9"/>
  <c r="M990" i="9"/>
  <c r="J671" i="9"/>
  <c r="I671" i="9"/>
  <c r="H671" i="9"/>
  <c r="O671" i="9"/>
  <c r="N671" i="9"/>
  <c r="M671" i="9"/>
  <c r="J901" i="9"/>
  <c r="I901" i="9"/>
  <c r="H901" i="9"/>
  <c r="N901" i="9"/>
  <c r="M901" i="9"/>
  <c r="O901" i="9"/>
  <c r="J1153" i="9"/>
  <c r="H1153" i="9"/>
  <c r="I1153" i="9"/>
  <c r="O1153" i="9"/>
  <c r="N1153" i="9"/>
  <c r="M1153" i="9"/>
  <c r="J1109" i="9"/>
  <c r="I1109" i="9"/>
  <c r="O1109" i="9"/>
  <c r="N1109" i="9"/>
  <c r="H1109" i="9"/>
  <c r="M1109" i="9"/>
  <c r="J911" i="9"/>
  <c r="I911" i="9"/>
  <c r="H911" i="9"/>
  <c r="N911" i="9"/>
  <c r="M911" i="9"/>
  <c r="O911" i="9"/>
  <c r="J823" i="9"/>
  <c r="I823" i="9"/>
  <c r="H823" i="9"/>
  <c r="O823" i="9"/>
  <c r="N823" i="9"/>
  <c r="M823" i="9"/>
  <c r="J663" i="9"/>
  <c r="I663" i="9"/>
  <c r="H663" i="9"/>
  <c r="O663" i="9"/>
  <c r="N663" i="9"/>
  <c r="M663" i="9"/>
  <c r="J1062" i="9"/>
  <c r="I1062" i="9"/>
  <c r="H1062" i="9"/>
  <c r="M1062" i="9"/>
  <c r="N1062" i="9"/>
  <c r="O1062" i="9"/>
  <c r="J1190" i="9"/>
  <c r="I1190" i="9"/>
  <c r="H1190" i="9"/>
  <c r="O1190" i="9"/>
  <c r="N1190" i="9"/>
  <c r="M1190" i="9"/>
  <c r="I853" i="9"/>
  <c r="H853" i="9"/>
  <c r="J853" i="9"/>
  <c r="O853" i="9"/>
  <c r="N853" i="9"/>
  <c r="M853" i="9"/>
  <c r="J815" i="9"/>
  <c r="I815" i="9"/>
  <c r="H815" i="9"/>
  <c r="O815" i="9"/>
  <c r="N815" i="9"/>
  <c r="M815" i="9"/>
  <c r="J1152" i="9"/>
  <c r="I1152" i="9"/>
  <c r="H1152" i="9"/>
  <c r="M1152" i="9"/>
  <c r="N1152" i="9"/>
  <c r="O1152" i="9"/>
  <c r="J1101" i="9"/>
  <c r="I1101" i="9"/>
  <c r="H1101" i="9"/>
  <c r="O1101" i="9"/>
  <c r="N1101" i="9"/>
  <c r="M1101" i="9"/>
  <c r="J702" i="9"/>
  <c r="H702" i="9"/>
  <c r="I702" i="9"/>
  <c r="N702" i="9"/>
  <c r="M702" i="9"/>
  <c r="O702" i="9"/>
  <c r="I669" i="9"/>
  <c r="H669" i="9"/>
  <c r="J669" i="9"/>
  <c r="O669" i="9"/>
  <c r="N669" i="9"/>
  <c r="M669" i="9"/>
  <c r="J934" i="9"/>
  <c r="I934" i="9"/>
  <c r="H934" i="9"/>
  <c r="O934" i="9"/>
  <c r="N934" i="9"/>
  <c r="M934" i="9"/>
  <c r="J1100" i="9"/>
  <c r="I1100" i="9"/>
  <c r="H1100" i="9"/>
  <c r="M1100" i="9"/>
  <c r="N1100" i="9"/>
  <c r="O1100" i="9"/>
  <c r="J1030" i="9"/>
  <c r="I1030" i="9"/>
  <c r="H1030" i="9"/>
  <c r="M1030" i="9"/>
  <c r="N1030" i="9"/>
  <c r="O1030" i="9"/>
  <c r="J995" i="9"/>
  <c r="I995" i="9"/>
  <c r="H995" i="9"/>
  <c r="N995" i="9"/>
  <c r="M995" i="9"/>
  <c r="O995" i="9"/>
  <c r="J947" i="9"/>
  <c r="I947" i="9"/>
  <c r="H947" i="9"/>
  <c r="N947" i="9"/>
  <c r="M947" i="9"/>
  <c r="O947" i="9"/>
  <c r="J1189" i="9"/>
  <c r="O1189" i="9"/>
  <c r="N1189" i="9"/>
  <c r="I1189" i="9"/>
  <c r="H1189" i="9"/>
  <c r="M1189" i="9"/>
  <c r="J864" i="9"/>
  <c r="I864" i="9"/>
  <c r="H864" i="9"/>
  <c r="O864" i="9"/>
  <c r="N864" i="9"/>
  <c r="M864" i="9"/>
  <c r="J830" i="9"/>
  <c r="I830" i="9"/>
  <c r="H830" i="9"/>
  <c r="O830" i="9"/>
  <c r="N830" i="9"/>
  <c r="M830" i="9"/>
  <c r="I789" i="9"/>
  <c r="H789" i="9"/>
  <c r="J789" i="9"/>
  <c r="O789" i="9"/>
  <c r="N789" i="9"/>
  <c r="M789" i="9"/>
  <c r="I749" i="9"/>
  <c r="H749" i="9"/>
  <c r="J749" i="9"/>
  <c r="O749" i="9"/>
  <c r="N749" i="9"/>
  <c r="M749" i="9"/>
  <c r="J692" i="9"/>
  <c r="I692" i="9"/>
  <c r="H692" i="9"/>
  <c r="N692" i="9"/>
  <c r="M692" i="9"/>
  <c r="O692" i="9"/>
  <c r="J1150" i="9"/>
  <c r="I1150" i="9"/>
  <c r="H1150" i="9"/>
  <c r="M1150" i="9"/>
  <c r="N1150" i="9"/>
  <c r="O1150" i="9"/>
  <c r="J1107" i="9"/>
  <c r="I1107" i="9"/>
  <c r="H1107" i="9"/>
  <c r="O1107" i="9"/>
  <c r="N1107" i="9"/>
  <c r="M1107" i="9"/>
  <c r="J967" i="9"/>
  <c r="I967" i="9"/>
  <c r="H967" i="9"/>
  <c r="N967" i="9"/>
  <c r="M967" i="9"/>
  <c r="O967" i="9"/>
  <c r="I797" i="9"/>
  <c r="H797" i="9"/>
  <c r="J797" i="9"/>
  <c r="O797" i="9"/>
  <c r="N797" i="9"/>
  <c r="M797" i="9"/>
  <c r="J803" i="9"/>
  <c r="I803" i="9"/>
  <c r="H803" i="9"/>
  <c r="O803" i="9"/>
  <c r="N803" i="9"/>
  <c r="M803" i="9"/>
  <c r="J756" i="9"/>
  <c r="I756" i="9"/>
  <c r="H756" i="9"/>
  <c r="O756" i="9"/>
  <c r="N756" i="9"/>
  <c r="M756" i="9"/>
  <c r="J724" i="9"/>
  <c r="I724" i="9"/>
  <c r="H724" i="9"/>
  <c r="O724" i="9"/>
  <c r="N724" i="9"/>
  <c r="M724" i="9"/>
  <c r="J1019" i="9"/>
  <c r="I1019" i="9"/>
  <c r="H1019" i="9"/>
  <c r="N1019" i="9"/>
  <c r="M1019" i="9"/>
  <c r="O1019" i="9"/>
  <c r="J983" i="9"/>
  <c r="I983" i="9"/>
  <c r="H983" i="9"/>
  <c r="N983" i="9"/>
  <c r="M983" i="9"/>
  <c r="O983" i="9"/>
  <c r="J856" i="9"/>
  <c r="I856" i="9"/>
  <c r="H856" i="9"/>
  <c r="O856" i="9"/>
  <c r="N856" i="9"/>
  <c r="M856" i="9"/>
  <c r="J811" i="9"/>
  <c r="I811" i="9"/>
  <c r="H811" i="9"/>
  <c r="O811" i="9"/>
  <c r="N811" i="9"/>
  <c r="M811" i="9"/>
  <c r="J946" i="9"/>
  <c r="I946" i="9"/>
  <c r="H946" i="9"/>
  <c r="O946" i="9"/>
  <c r="N946" i="9"/>
  <c r="M946" i="9"/>
  <c r="J778" i="9"/>
  <c r="I778" i="9"/>
  <c r="H778" i="9"/>
  <c r="O778" i="9"/>
  <c r="N778" i="9"/>
  <c r="M778" i="9"/>
  <c r="J966" i="9"/>
  <c r="I966" i="9"/>
  <c r="H966" i="9"/>
  <c r="O966" i="9"/>
  <c r="N966" i="9"/>
  <c r="M966" i="9"/>
  <c r="I713" i="9"/>
  <c r="H713" i="9"/>
  <c r="J713" i="9"/>
  <c r="O713" i="9"/>
  <c r="N713" i="9"/>
  <c r="M713" i="9"/>
  <c r="J1114" i="9"/>
  <c r="I1114" i="9"/>
  <c r="H1114" i="9"/>
  <c r="M1114" i="9"/>
  <c r="N1114" i="9"/>
  <c r="O1114" i="9"/>
  <c r="J1001" i="9"/>
  <c r="I1001" i="9"/>
  <c r="H1001" i="9"/>
  <c r="N1001" i="9"/>
  <c r="M1001" i="9"/>
  <c r="O1001" i="9"/>
  <c r="J836" i="9"/>
  <c r="I836" i="9"/>
  <c r="H836" i="9"/>
  <c r="O836" i="9"/>
  <c r="N836" i="9"/>
  <c r="M836" i="9"/>
  <c r="J1117" i="9"/>
  <c r="I1117" i="9"/>
  <c r="H1117" i="9"/>
  <c r="O1117" i="9"/>
  <c r="N1117" i="9"/>
  <c r="M1117" i="9"/>
  <c r="J1083" i="9"/>
  <c r="I1083" i="9"/>
  <c r="H1083" i="9"/>
  <c r="O1083" i="9"/>
  <c r="N1083" i="9"/>
  <c r="M1083" i="9"/>
  <c r="J1042" i="9"/>
  <c r="I1042" i="9"/>
  <c r="H1042" i="9"/>
  <c r="M1042" i="9"/>
  <c r="N1042" i="9"/>
  <c r="O1042" i="9"/>
  <c r="J999" i="9"/>
  <c r="I999" i="9"/>
  <c r="H999" i="9"/>
  <c r="N999" i="9"/>
  <c r="M999" i="9"/>
  <c r="O999" i="9"/>
  <c r="I785" i="9"/>
  <c r="H785" i="9"/>
  <c r="J785" i="9"/>
  <c r="O785" i="9"/>
  <c r="N785" i="9"/>
  <c r="M785" i="9"/>
  <c r="J730" i="9"/>
  <c r="I730" i="9"/>
  <c r="H730" i="9"/>
  <c r="O730" i="9"/>
  <c r="N730" i="9"/>
  <c r="M730" i="9"/>
  <c r="J1191" i="9"/>
  <c r="I1191" i="9"/>
  <c r="H1191" i="9"/>
  <c r="O1191" i="9"/>
  <c r="N1191" i="9"/>
  <c r="M1191" i="9"/>
  <c r="J1147" i="9"/>
  <c r="I1147" i="9"/>
  <c r="H1147" i="9"/>
  <c r="O1147" i="9"/>
  <c r="N1147" i="9"/>
  <c r="M1147" i="9"/>
  <c r="J1104" i="9"/>
  <c r="I1104" i="9"/>
  <c r="H1104" i="9"/>
  <c r="M1104" i="9"/>
  <c r="N1104" i="9"/>
  <c r="O1104" i="9"/>
  <c r="J1025" i="9"/>
  <c r="I1025" i="9"/>
  <c r="H1025" i="9"/>
  <c r="N1025" i="9"/>
  <c r="M1025" i="9"/>
  <c r="O1025" i="9"/>
  <c r="J938" i="9"/>
  <c r="I938" i="9"/>
  <c r="H938" i="9"/>
  <c r="O938" i="9"/>
  <c r="N938" i="9"/>
  <c r="M938" i="9"/>
  <c r="J834" i="9"/>
  <c r="I834" i="9"/>
  <c r="H834" i="9"/>
  <c r="O834" i="9"/>
  <c r="N834" i="9"/>
  <c r="M834" i="9"/>
  <c r="J792" i="9"/>
  <c r="I792" i="9"/>
  <c r="H792" i="9"/>
  <c r="O792" i="9"/>
  <c r="N792" i="9"/>
  <c r="M792" i="9"/>
  <c r="I745" i="9"/>
  <c r="H745" i="9"/>
  <c r="J745" i="9"/>
  <c r="O745" i="9"/>
  <c r="N745" i="9"/>
  <c r="M745" i="9"/>
  <c r="J739" i="9"/>
  <c r="I739" i="9"/>
  <c r="H739" i="9"/>
  <c r="O739" i="9"/>
  <c r="N739" i="9"/>
  <c r="M739" i="9"/>
  <c r="J944" i="9"/>
  <c r="I944" i="9"/>
  <c r="H944" i="9"/>
  <c r="O944" i="9"/>
  <c r="N944" i="9"/>
  <c r="M944" i="9"/>
  <c r="J744" i="9"/>
  <c r="I744" i="9"/>
  <c r="H744" i="9"/>
  <c r="O744" i="9"/>
  <c r="N744" i="9"/>
  <c r="M744" i="9"/>
  <c r="I701" i="9"/>
  <c r="H701" i="9"/>
  <c r="J701" i="9"/>
  <c r="O701" i="9"/>
  <c r="N701" i="9"/>
  <c r="M701" i="9"/>
  <c r="J953" i="9"/>
  <c r="I953" i="9"/>
  <c r="H953" i="9"/>
  <c r="N953" i="9"/>
  <c r="M953" i="9"/>
  <c r="O953" i="9"/>
  <c r="J898" i="9"/>
  <c r="I898" i="9"/>
  <c r="H898" i="9"/>
  <c r="N898" i="9"/>
  <c r="M898" i="9"/>
  <c r="O898" i="9"/>
  <c r="J767" i="9"/>
  <c r="I767" i="9"/>
  <c r="H767" i="9"/>
  <c r="O767" i="9"/>
  <c r="N767" i="9"/>
  <c r="M767" i="9"/>
  <c r="J728" i="9"/>
  <c r="I728" i="9"/>
  <c r="H728" i="9"/>
  <c r="O728" i="9"/>
  <c r="N728" i="9"/>
  <c r="M728" i="9"/>
  <c r="J1070" i="9"/>
  <c r="I1070" i="9"/>
  <c r="H1070" i="9"/>
  <c r="M1070" i="9"/>
  <c r="N1070" i="9"/>
  <c r="O1070" i="9"/>
  <c r="J1197" i="9"/>
  <c r="I1197" i="9"/>
  <c r="H1197" i="9"/>
  <c r="O1197" i="9"/>
  <c r="N1197" i="9"/>
  <c r="M1197" i="9"/>
  <c r="J1005" i="9"/>
  <c r="I1005" i="9"/>
  <c r="H1005" i="9"/>
  <c r="N1005" i="9"/>
  <c r="M1005" i="9"/>
  <c r="O1005" i="9"/>
  <c r="J916" i="9"/>
  <c r="I916" i="9"/>
  <c r="H916" i="9"/>
  <c r="N916" i="9"/>
  <c r="M916" i="9"/>
  <c r="O916" i="9"/>
  <c r="J884" i="9"/>
  <c r="I884" i="9"/>
  <c r="H884" i="9"/>
  <c r="N884" i="9"/>
  <c r="M884" i="9"/>
  <c r="O884" i="9"/>
  <c r="J846" i="9"/>
  <c r="H846" i="9"/>
  <c r="I846" i="9"/>
  <c r="O846" i="9"/>
  <c r="N846" i="9"/>
  <c r="M846" i="9"/>
  <c r="J814" i="9"/>
  <c r="I814" i="9"/>
  <c r="H814" i="9"/>
  <c r="O814" i="9"/>
  <c r="N814" i="9"/>
  <c r="M814" i="9"/>
  <c r="J751" i="9"/>
  <c r="I751" i="9"/>
  <c r="H751" i="9"/>
  <c r="O751" i="9"/>
  <c r="N751" i="9"/>
  <c r="M751" i="9"/>
  <c r="I661" i="9"/>
  <c r="H661" i="9"/>
  <c r="J661" i="9"/>
  <c r="O661" i="9"/>
  <c r="N661" i="9"/>
  <c r="M661" i="9"/>
  <c r="J851" i="9"/>
  <c r="I851" i="9"/>
  <c r="H851" i="9"/>
  <c r="O851" i="9"/>
  <c r="N851" i="9"/>
  <c r="M851" i="9"/>
  <c r="J806" i="9"/>
  <c r="I806" i="9"/>
  <c r="H806" i="9"/>
  <c r="O806" i="9"/>
  <c r="N806" i="9"/>
  <c r="M806" i="9"/>
  <c r="J1127" i="9"/>
  <c r="I1127" i="9"/>
  <c r="H1127" i="9"/>
  <c r="O1127" i="9"/>
  <c r="N1127" i="9"/>
  <c r="M1127" i="9"/>
  <c r="J1047" i="9"/>
  <c r="I1047" i="9"/>
  <c r="H1047" i="9"/>
  <c r="O1047" i="9"/>
  <c r="N1047" i="9"/>
  <c r="M1047" i="9"/>
  <c r="J1177" i="9"/>
  <c r="O1177" i="9"/>
  <c r="N1177" i="9"/>
  <c r="H1177" i="9"/>
  <c r="M1177" i="9"/>
  <c r="I1177" i="9"/>
  <c r="J908" i="9"/>
  <c r="I908" i="9"/>
  <c r="H908" i="9"/>
  <c r="N908" i="9"/>
  <c r="M908" i="9"/>
  <c r="O908" i="9"/>
  <c r="J883" i="9"/>
  <c r="I883" i="9"/>
  <c r="H883" i="9"/>
  <c r="N883" i="9"/>
  <c r="M883" i="9"/>
  <c r="O883" i="9"/>
  <c r="J844" i="9"/>
  <c r="I844" i="9"/>
  <c r="H844" i="9"/>
  <c r="O844" i="9"/>
  <c r="N844" i="9"/>
  <c r="M844" i="9"/>
  <c r="J667" i="9"/>
  <c r="I667" i="9"/>
  <c r="H667" i="9"/>
  <c r="O667" i="9"/>
  <c r="N667" i="9"/>
  <c r="M667" i="9"/>
  <c r="J1071" i="9"/>
  <c r="I1071" i="9"/>
  <c r="H1071" i="9"/>
  <c r="O1071" i="9"/>
  <c r="N1071" i="9"/>
  <c r="M1071" i="9"/>
  <c r="J1020" i="9"/>
  <c r="I1020" i="9"/>
  <c r="H1020" i="9"/>
  <c r="O1020" i="9"/>
  <c r="N1020" i="9"/>
  <c r="M1020" i="9"/>
  <c r="J863" i="9"/>
  <c r="I863" i="9"/>
  <c r="H863" i="9"/>
  <c r="O863" i="9"/>
  <c r="N863" i="9"/>
  <c r="M863" i="9"/>
  <c r="J1194" i="9"/>
  <c r="I1194" i="9"/>
  <c r="H1194" i="9"/>
  <c r="O1194" i="9"/>
  <c r="N1194" i="9"/>
  <c r="M1194" i="9"/>
  <c r="J1132" i="9"/>
  <c r="I1132" i="9"/>
  <c r="H1132" i="9"/>
  <c r="M1132" i="9"/>
  <c r="N1132" i="9"/>
  <c r="O1132" i="9"/>
  <c r="J1085" i="9"/>
  <c r="I1085" i="9"/>
  <c r="O1085" i="9"/>
  <c r="N1085" i="9"/>
  <c r="M1085" i="9"/>
  <c r="H1085" i="9"/>
  <c r="J920" i="9"/>
  <c r="I920" i="9"/>
  <c r="H920" i="9"/>
  <c r="N920" i="9"/>
  <c r="M920" i="9"/>
  <c r="O920" i="9"/>
  <c r="J889" i="9"/>
  <c r="H889" i="9"/>
  <c r="N889" i="9"/>
  <c r="M889" i="9"/>
  <c r="I889" i="9"/>
  <c r="O889" i="9"/>
  <c r="J682" i="9"/>
  <c r="I682" i="9"/>
  <c r="H682" i="9"/>
  <c r="N682" i="9"/>
  <c r="M682" i="9"/>
  <c r="O682" i="9"/>
  <c r="J1018" i="9"/>
  <c r="I1018" i="9"/>
  <c r="H1018" i="9"/>
  <c r="O1018" i="9"/>
  <c r="N1018" i="9"/>
  <c r="M1018" i="9"/>
  <c r="J835" i="9"/>
  <c r="I835" i="9"/>
  <c r="H835" i="9"/>
  <c r="O835" i="9"/>
  <c r="N835" i="9"/>
  <c r="M835" i="9"/>
  <c r="J1200" i="9"/>
  <c r="I1200" i="9"/>
  <c r="H1200" i="9"/>
  <c r="O1200" i="9"/>
  <c r="N1200" i="9"/>
  <c r="M1200" i="9"/>
  <c r="J738" i="9"/>
  <c r="I738" i="9"/>
  <c r="H738" i="9"/>
  <c r="O738" i="9"/>
  <c r="N738" i="9"/>
  <c r="M738" i="9"/>
  <c r="J1140" i="9"/>
  <c r="I1140" i="9"/>
  <c r="H1140" i="9"/>
  <c r="M1140" i="9"/>
  <c r="N1140" i="9"/>
  <c r="O1140" i="9"/>
  <c r="J786" i="9"/>
  <c r="I786" i="9"/>
  <c r="H786" i="9"/>
  <c r="O786" i="9"/>
  <c r="N786" i="9"/>
  <c r="M786" i="9"/>
  <c r="J1161" i="9"/>
  <c r="I1161" i="9"/>
  <c r="H1161" i="9"/>
  <c r="O1161" i="9"/>
  <c r="N1161" i="9"/>
  <c r="M1161" i="9"/>
  <c r="J1007" i="9"/>
  <c r="I1007" i="9"/>
  <c r="H1007" i="9"/>
  <c r="N1007" i="9"/>
  <c r="M1007" i="9"/>
  <c r="O1007" i="9"/>
  <c r="J1165" i="9"/>
  <c r="O1165" i="9"/>
  <c r="N1165" i="9"/>
  <c r="I1165" i="9"/>
  <c r="H1165" i="9"/>
  <c r="M1165" i="9"/>
  <c r="J870" i="9"/>
  <c r="I870" i="9"/>
  <c r="H870" i="9"/>
  <c r="O870" i="9"/>
  <c r="N870" i="9"/>
  <c r="M870" i="9"/>
  <c r="J668" i="9"/>
  <c r="I668" i="9"/>
  <c r="H668" i="9"/>
  <c r="N668" i="9"/>
  <c r="M668" i="9"/>
  <c r="O668" i="9"/>
  <c r="J1036" i="9"/>
  <c r="I1036" i="9"/>
  <c r="H1036" i="9"/>
  <c r="M1036" i="9"/>
  <c r="N1036" i="9"/>
  <c r="O1036" i="9"/>
  <c r="J926" i="9"/>
  <c r="I926" i="9"/>
  <c r="H926" i="9"/>
  <c r="N926" i="9"/>
  <c r="M926" i="9"/>
  <c r="O926" i="9"/>
  <c r="J893" i="9"/>
  <c r="I893" i="9"/>
  <c r="H893" i="9"/>
  <c r="N893" i="9"/>
  <c r="M893" i="9"/>
  <c r="O893" i="9"/>
  <c r="J872" i="9"/>
  <c r="I872" i="9"/>
  <c r="H872" i="9"/>
  <c r="O872" i="9"/>
  <c r="N872" i="9"/>
  <c r="M872" i="9"/>
  <c r="I705" i="9"/>
  <c r="H705" i="9"/>
  <c r="J705" i="9"/>
  <c r="O705" i="9"/>
  <c r="N705" i="9"/>
  <c r="M705" i="9"/>
  <c r="J1068" i="9"/>
  <c r="I1068" i="9"/>
  <c r="H1068" i="9"/>
  <c r="M1068" i="9"/>
  <c r="N1068" i="9"/>
  <c r="O1068" i="9"/>
  <c r="J1015" i="9"/>
  <c r="I1015" i="9"/>
  <c r="H1015" i="9"/>
  <c r="N1015" i="9"/>
  <c r="M1015" i="9"/>
  <c r="O1015" i="9"/>
  <c r="J979" i="9"/>
  <c r="I979" i="9"/>
  <c r="H979" i="9"/>
  <c r="N979" i="9"/>
  <c r="M979" i="9"/>
  <c r="O979" i="9"/>
  <c r="J1009" i="9"/>
  <c r="H1009" i="9"/>
  <c r="I1009" i="9"/>
  <c r="N1009" i="9"/>
  <c r="M1009" i="9"/>
  <c r="O1009" i="9"/>
  <c r="J659" i="9"/>
  <c r="I659" i="9"/>
  <c r="H659" i="9"/>
  <c r="O659" i="9"/>
  <c r="N659" i="9"/>
  <c r="M659" i="9"/>
  <c r="J1184" i="9"/>
  <c r="I1184" i="9"/>
  <c r="H1184" i="9"/>
  <c r="O1184" i="9"/>
  <c r="N1184" i="9"/>
  <c r="M1184" i="9"/>
  <c r="J1129" i="9"/>
  <c r="H1129" i="9"/>
  <c r="O1129" i="9"/>
  <c r="I1129" i="9"/>
  <c r="N1129" i="9"/>
  <c r="M1129" i="9"/>
  <c r="J1081" i="9"/>
  <c r="H1081" i="9"/>
  <c r="O1081" i="9"/>
  <c r="N1081" i="9"/>
  <c r="M1081" i="9"/>
  <c r="I1081" i="9"/>
  <c r="J988" i="9"/>
  <c r="I988" i="9"/>
  <c r="H988" i="9"/>
  <c r="O988" i="9"/>
  <c r="N988" i="9"/>
  <c r="M988" i="9"/>
  <c r="J686" i="9"/>
  <c r="I686" i="9"/>
  <c r="H686" i="9"/>
  <c r="N686" i="9"/>
  <c r="M686" i="9"/>
  <c r="O686" i="9"/>
  <c r="I717" i="9"/>
  <c r="H717" i="9"/>
  <c r="J717" i="9"/>
  <c r="O717" i="9"/>
  <c r="N717" i="9"/>
  <c r="M717" i="9"/>
  <c r="J1145" i="9"/>
  <c r="I1145" i="9"/>
  <c r="H1145" i="9"/>
  <c r="O1145" i="9"/>
  <c r="N1145" i="9"/>
  <c r="M1145" i="9"/>
  <c r="J1048" i="9"/>
  <c r="I1048" i="9"/>
  <c r="H1048" i="9"/>
  <c r="M1048" i="9"/>
  <c r="N1048" i="9"/>
  <c r="O1048" i="9"/>
  <c r="J1135" i="9"/>
  <c r="I1135" i="9"/>
  <c r="H1135" i="9"/>
  <c r="O1135" i="9"/>
  <c r="N1135" i="9"/>
  <c r="M1135" i="9"/>
  <c r="J986" i="9"/>
  <c r="I986" i="9"/>
  <c r="H986" i="9"/>
  <c r="O986" i="9"/>
  <c r="N986" i="9"/>
  <c r="M986" i="9"/>
  <c r="J942" i="9"/>
  <c r="I942" i="9"/>
  <c r="H942" i="9"/>
  <c r="O942" i="9"/>
  <c r="N942" i="9"/>
  <c r="M942" i="9"/>
  <c r="J896" i="9"/>
  <c r="I896" i="9"/>
  <c r="H896" i="9"/>
  <c r="N896" i="9"/>
  <c r="M896" i="9"/>
  <c r="O896" i="9"/>
  <c r="J750" i="9"/>
  <c r="H750" i="9"/>
  <c r="I750" i="9"/>
  <c r="O750" i="9"/>
  <c r="M750" i="9"/>
  <c r="N750" i="9"/>
  <c r="J1079" i="9"/>
  <c r="I1079" i="9"/>
  <c r="H1079" i="9"/>
  <c r="O1079" i="9"/>
  <c r="N1079" i="9"/>
  <c r="M1079" i="9"/>
  <c r="J994" i="9"/>
  <c r="I994" i="9"/>
  <c r="H994" i="9"/>
  <c r="O994" i="9"/>
  <c r="N994" i="9"/>
  <c r="M994" i="9"/>
  <c r="J922" i="9"/>
  <c r="I922" i="9"/>
  <c r="H922" i="9"/>
  <c r="N922" i="9"/>
  <c r="M922" i="9"/>
  <c r="O922" i="9"/>
  <c r="J858" i="9"/>
  <c r="I858" i="9"/>
  <c r="H858" i="9"/>
  <c r="O858" i="9"/>
  <c r="N858" i="9"/>
  <c r="M858" i="9"/>
  <c r="J779" i="9"/>
  <c r="I779" i="9"/>
  <c r="H779" i="9"/>
  <c r="O779" i="9"/>
  <c r="N779" i="9"/>
  <c r="M779" i="9"/>
  <c r="J1144" i="9"/>
  <c r="I1144" i="9"/>
  <c r="H1144" i="9"/>
  <c r="M1144" i="9"/>
  <c r="N1144" i="9"/>
  <c r="O1144" i="9"/>
  <c r="J1093" i="9"/>
  <c r="I1093" i="9"/>
  <c r="H1093" i="9"/>
  <c r="O1093" i="9"/>
  <c r="N1093" i="9"/>
  <c r="M1093" i="9"/>
  <c r="J1038" i="9"/>
  <c r="I1038" i="9"/>
  <c r="H1038" i="9"/>
  <c r="M1038" i="9"/>
  <c r="N1038" i="9"/>
  <c r="O1038" i="9"/>
  <c r="J780" i="9"/>
  <c r="I780" i="9"/>
  <c r="H780" i="9"/>
  <c r="O780" i="9"/>
  <c r="N780" i="9"/>
  <c r="M780" i="9"/>
  <c r="J719" i="9"/>
  <c r="I719" i="9"/>
  <c r="H719" i="9"/>
  <c r="O719" i="9"/>
  <c r="N719" i="9"/>
  <c r="M719" i="9"/>
  <c r="J1131" i="9"/>
  <c r="I1131" i="9"/>
  <c r="H1131" i="9"/>
  <c r="O1131" i="9"/>
  <c r="N1131" i="9"/>
  <c r="M1131" i="9"/>
  <c r="J1143" i="9"/>
  <c r="I1143" i="9"/>
  <c r="H1143" i="9"/>
  <c r="O1143" i="9"/>
  <c r="N1143" i="9"/>
  <c r="M1143" i="9"/>
  <c r="J1099" i="9"/>
  <c r="I1099" i="9"/>
  <c r="H1099" i="9"/>
  <c r="O1099" i="9"/>
  <c r="N1099" i="9"/>
  <c r="M1099" i="9"/>
  <c r="J940" i="9"/>
  <c r="I940" i="9"/>
  <c r="H940" i="9"/>
  <c r="O940" i="9"/>
  <c r="N940" i="9"/>
  <c r="M940" i="9"/>
  <c r="J718" i="9"/>
  <c r="I718" i="9"/>
  <c r="H718" i="9"/>
  <c r="O718" i="9"/>
  <c r="N718" i="9"/>
  <c r="M718" i="9"/>
  <c r="J975" i="9"/>
  <c r="I975" i="9"/>
  <c r="H975" i="9"/>
  <c r="N975" i="9"/>
  <c r="M975" i="9"/>
  <c r="O975" i="9"/>
  <c r="J882" i="9"/>
  <c r="I882" i="9"/>
  <c r="H882" i="9"/>
  <c r="N882" i="9"/>
  <c r="M882" i="9"/>
  <c r="O882" i="9"/>
  <c r="J732" i="9"/>
  <c r="I732" i="9"/>
  <c r="H732" i="9"/>
  <c r="O732" i="9"/>
  <c r="N732" i="9"/>
  <c r="M732" i="9"/>
  <c r="I801" i="9"/>
  <c r="H801" i="9"/>
  <c r="J801" i="9"/>
  <c r="O801" i="9"/>
  <c r="N801" i="9"/>
  <c r="M801" i="9"/>
  <c r="J965" i="9"/>
  <c r="I965" i="9"/>
  <c r="H965" i="9"/>
  <c r="N965" i="9"/>
  <c r="M965" i="9"/>
  <c r="O965" i="9"/>
  <c r="J816" i="9"/>
  <c r="I816" i="9"/>
  <c r="H816" i="9"/>
  <c r="O816" i="9"/>
  <c r="N816" i="9"/>
  <c r="M816" i="9"/>
  <c r="J694" i="9"/>
  <c r="I694" i="9"/>
  <c r="H694" i="9"/>
  <c r="N694" i="9"/>
  <c r="M694" i="9"/>
  <c r="O694" i="9"/>
  <c r="J885" i="9"/>
  <c r="I885" i="9"/>
  <c r="H885" i="9"/>
  <c r="N885" i="9"/>
  <c r="M885" i="9"/>
  <c r="O885" i="9"/>
  <c r="J903" i="9"/>
  <c r="I903" i="9"/>
  <c r="H903" i="9"/>
  <c r="N903" i="9"/>
  <c r="M903" i="9"/>
  <c r="O903" i="9"/>
  <c r="J763" i="9"/>
  <c r="I763" i="9"/>
  <c r="H763" i="9"/>
  <c r="O763" i="9"/>
  <c r="N763" i="9"/>
  <c r="M763" i="9"/>
  <c r="I773" i="9"/>
  <c r="H773" i="9"/>
  <c r="J773" i="9"/>
  <c r="O773" i="9"/>
  <c r="N773" i="9"/>
  <c r="M773" i="9"/>
  <c r="J948" i="9"/>
  <c r="I948" i="9"/>
  <c r="H948" i="9"/>
  <c r="O948" i="9"/>
  <c r="N948" i="9"/>
  <c r="M948" i="9"/>
  <c r="J1173" i="9"/>
  <c r="I1173" i="9"/>
  <c r="H1173" i="9"/>
  <c r="O1173" i="9"/>
  <c r="N1173" i="9"/>
  <c r="M1173" i="9"/>
  <c r="J1034" i="9"/>
  <c r="I1034" i="9"/>
  <c r="H1034" i="9"/>
  <c r="M1034" i="9"/>
  <c r="N1034" i="9"/>
  <c r="O1034" i="9"/>
  <c r="J672" i="9"/>
  <c r="I672" i="9"/>
  <c r="H672" i="9"/>
  <c r="N672" i="9"/>
  <c r="M672" i="9"/>
  <c r="O672" i="9"/>
  <c r="J1185" i="9"/>
  <c r="O1185" i="9"/>
  <c r="N1185" i="9"/>
  <c r="I1185" i="9"/>
  <c r="H1185" i="9"/>
  <c r="M1185" i="9"/>
  <c r="J1082" i="9"/>
  <c r="I1082" i="9"/>
  <c r="H1082" i="9"/>
  <c r="M1082" i="9"/>
  <c r="N1082" i="9"/>
  <c r="O1082" i="9"/>
  <c r="J1016" i="9"/>
  <c r="I1016" i="9"/>
  <c r="H1016" i="9"/>
  <c r="O1016" i="9"/>
  <c r="N1016" i="9"/>
  <c r="M1016" i="9"/>
  <c r="J980" i="9"/>
  <c r="I980" i="9"/>
  <c r="H980" i="9"/>
  <c r="O980" i="9"/>
  <c r="N980" i="9"/>
  <c r="M980" i="9"/>
  <c r="I737" i="9"/>
  <c r="H737" i="9"/>
  <c r="J737" i="9"/>
  <c r="O737" i="9"/>
  <c r="N737" i="9"/>
  <c r="M737" i="9"/>
  <c r="J655" i="9"/>
  <c r="I655" i="9"/>
  <c r="H655" i="9"/>
  <c r="O655" i="9"/>
  <c r="N655" i="9"/>
  <c r="M655" i="9"/>
  <c r="J1148" i="9"/>
  <c r="I1148" i="9"/>
  <c r="H1148" i="9"/>
  <c r="M1148" i="9"/>
  <c r="N1148" i="9"/>
  <c r="O1148" i="9"/>
  <c r="J1103" i="9"/>
  <c r="I1103" i="9"/>
  <c r="H1103" i="9"/>
  <c r="O1103" i="9"/>
  <c r="N1103" i="9"/>
  <c r="M1103" i="9"/>
  <c r="J904" i="9"/>
  <c r="I904" i="9"/>
  <c r="H904" i="9"/>
  <c r="N904" i="9"/>
  <c r="M904" i="9"/>
  <c r="O904" i="9"/>
  <c r="J807" i="9"/>
  <c r="I807" i="9"/>
  <c r="H807" i="9"/>
  <c r="O807" i="9"/>
  <c r="N807" i="9"/>
  <c r="M807" i="9"/>
  <c r="J1049" i="9"/>
  <c r="I1049" i="9"/>
  <c r="H1049" i="9"/>
  <c r="O1049" i="9"/>
  <c r="N1049" i="9"/>
  <c r="M1049" i="9"/>
  <c r="J847" i="9"/>
  <c r="I847" i="9"/>
  <c r="H847" i="9"/>
  <c r="O847" i="9"/>
  <c r="N847" i="9"/>
  <c r="M847" i="9"/>
  <c r="J799" i="9"/>
  <c r="I799" i="9"/>
  <c r="H799" i="9"/>
  <c r="O799" i="9"/>
  <c r="N799" i="9"/>
  <c r="M799" i="9"/>
  <c r="I721" i="9"/>
  <c r="H721" i="9"/>
  <c r="J721" i="9"/>
  <c r="O721" i="9"/>
  <c r="N721" i="9"/>
  <c r="M721" i="9"/>
  <c r="J1088" i="9"/>
  <c r="I1088" i="9"/>
  <c r="H1088" i="9"/>
  <c r="M1088" i="9"/>
  <c r="N1088" i="9"/>
  <c r="O1088" i="9"/>
  <c r="J996" i="9"/>
  <c r="I996" i="9"/>
  <c r="H996" i="9"/>
  <c r="O996" i="9"/>
  <c r="N996" i="9"/>
  <c r="M996" i="9"/>
  <c r="J910" i="9"/>
  <c r="I910" i="9"/>
  <c r="H910" i="9"/>
  <c r="N910" i="9"/>
  <c r="M910" i="9"/>
  <c r="O910" i="9"/>
  <c r="I693" i="9"/>
  <c r="H693" i="9"/>
  <c r="J693" i="9"/>
  <c r="O693" i="9"/>
  <c r="N693" i="9"/>
  <c r="M693" i="9"/>
  <c r="J855" i="9"/>
  <c r="I855" i="9"/>
  <c r="H855" i="9"/>
  <c r="O855" i="9"/>
  <c r="N855" i="9"/>
  <c r="M855" i="9"/>
  <c r="J1095" i="9"/>
  <c r="I1095" i="9"/>
  <c r="H1095" i="9"/>
  <c r="O1095" i="9"/>
  <c r="N1095" i="9"/>
  <c r="M1095" i="9"/>
  <c r="J1022" i="9"/>
  <c r="I1022" i="9"/>
  <c r="H1022" i="9"/>
  <c r="O1022" i="9"/>
  <c r="N1022" i="9"/>
  <c r="M1022" i="9"/>
  <c r="J838" i="9"/>
  <c r="I838" i="9"/>
  <c r="H838" i="9"/>
  <c r="O838" i="9"/>
  <c r="N838" i="9"/>
  <c r="M838" i="9"/>
  <c r="J790" i="9"/>
  <c r="I790" i="9"/>
  <c r="H790" i="9"/>
  <c r="O790" i="9"/>
  <c r="N790" i="9"/>
  <c r="M790" i="9"/>
  <c r="J794" i="9"/>
  <c r="I794" i="9"/>
  <c r="H794" i="9"/>
  <c r="O794" i="9"/>
  <c r="N794" i="9"/>
  <c r="M794" i="9"/>
  <c r="J1183" i="9"/>
  <c r="I1183" i="9"/>
  <c r="H1183" i="9"/>
  <c r="O1183" i="9"/>
  <c r="N1183" i="9"/>
  <c r="M1183" i="9"/>
  <c r="J1120" i="9"/>
  <c r="I1120" i="9"/>
  <c r="H1120" i="9"/>
  <c r="M1120" i="9"/>
  <c r="N1120" i="9"/>
  <c r="O1120" i="9"/>
  <c r="J959" i="9"/>
  <c r="I959" i="9"/>
  <c r="H959" i="9"/>
  <c r="N959" i="9"/>
  <c r="M959" i="9"/>
  <c r="O959" i="9"/>
  <c r="I781" i="9"/>
  <c r="H781" i="9"/>
  <c r="J781" i="9"/>
  <c r="O781" i="9"/>
  <c r="N781" i="9"/>
  <c r="M781" i="9"/>
  <c r="J742" i="9"/>
  <c r="I742" i="9"/>
  <c r="H742" i="9"/>
  <c r="O742" i="9"/>
  <c r="M742" i="9"/>
  <c r="N742" i="9"/>
  <c r="J684" i="9"/>
  <c r="I684" i="9"/>
  <c r="H684" i="9"/>
  <c r="N684" i="9"/>
  <c r="M684" i="9"/>
  <c r="O684" i="9"/>
  <c r="J876" i="9"/>
  <c r="I876" i="9"/>
  <c r="H876" i="9"/>
  <c r="N876" i="9"/>
  <c r="M876" i="9"/>
  <c r="O876" i="9"/>
  <c r="I829" i="9"/>
  <c r="H829" i="9"/>
  <c r="J829" i="9"/>
  <c r="O829" i="9"/>
  <c r="N829" i="9"/>
  <c r="M829" i="9"/>
  <c r="J1011" i="9"/>
  <c r="I1011" i="9"/>
  <c r="H1011" i="9"/>
  <c r="N1011" i="9"/>
  <c r="M1011" i="9"/>
  <c r="O1011" i="9"/>
  <c r="J748" i="9"/>
  <c r="I748" i="9"/>
  <c r="H748" i="9"/>
  <c r="O748" i="9"/>
  <c r="N748" i="9"/>
  <c r="M748" i="9"/>
  <c r="J731" i="9"/>
  <c r="I731" i="9"/>
  <c r="H731" i="9"/>
  <c r="O731" i="9"/>
  <c r="N731" i="9"/>
  <c r="M731" i="9"/>
  <c r="J1168" i="9"/>
  <c r="I1168" i="9"/>
  <c r="H1168" i="9"/>
  <c r="O1168" i="9"/>
  <c r="N1168" i="9"/>
  <c r="M1168" i="9"/>
  <c r="J843" i="9"/>
  <c r="I843" i="9"/>
  <c r="H843" i="9"/>
  <c r="O843" i="9"/>
  <c r="N843" i="9"/>
  <c r="M843" i="9"/>
  <c r="J795" i="9"/>
  <c r="I795" i="9"/>
  <c r="H795" i="9"/>
  <c r="O795" i="9"/>
  <c r="N795" i="9"/>
  <c r="M795" i="9"/>
  <c r="J762" i="9"/>
  <c r="I762" i="9"/>
  <c r="H762" i="9"/>
  <c r="O762" i="9"/>
  <c r="N762" i="9"/>
  <c r="M762" i="9"/>
  <c r="J1084" i="9"/>
  <c r="I1084" i="9"/>
  <c r="H1084" i="9"/>
  <c r="M1084" i="9"/>
  <c r="N1084" i="9"/>
  <c r="O1084" i="9"/>
  <c r="J716" i="9"/>
  <c r="I716" i="9"/>
  <c r="H716" i="9"/>
  <c r="O716" i="9"/>
  <c r="N716" i="9"/>
  <c r="M716" i="9"/>
  <c r="J1167" i="9"/>
  <c r="I1167" i="9"/>
  <c r="H1167" i="9"/>
  <c r="O1167" i="9"/>
  <c r="N1167" i="9"/>
  <c r="M1167" i="9"/>
  <c r="J1186" i="9"/>
  <c r="I1186" i="9"/>
  <c r="H1186" i="9"/>
  <c r="O1186" i="9"/>
  <c r="N1186" i="9"/>
  <c r="M1186" i="9"/>
  <c r="J1035" i="9"/>
  <c r="I1035" i="9"/>
  <c r="H1035" i="9"/>
  <c r="O1035" i="9"/>
  <c r="N1035" i="9"/>
  <c r="M1035" i="9"/>
  <c r="J664" i="9"/>
  <c r="I664" i="9"/>
  <c r="H664" i="9"/>
  <c r="N664" i="9"/>
  <c r="M664" i="9"/>
  <c r="O664" i="9"/>
  <c r="I657" i="9"/>
  <c r="H657" i="9"/>
  <c r="J657" i="9"/>
  <c r="O657" i="9"/>
  <c r="N657" i="9"/>
  <c r="M657" i="9"/>
  <c r="J1021" i="9"/>
  <c r="I1021" i="9"/>
  <c r="H1021" i="9"/>
  <c r="N1021" i="9"/>
  <c r="M1021" i="9"/>
  <c r="O1021" i="9"/>
  <c r="J1112" i="9"/>
  <c r="I1112" i="9"/>
  <c r="H1112" i="9"/>
  <c r="M1112" i="9"/>
  <c r="N1112" i="9"/>
  <c r="O1112" i="9"/>
  <c r="J1111" i="9"/>
  <c r="I1111" i="9"/>
  <c r="H1111" i="9"/>
  <c r="O1111" i="9"/>
  <c r="N1111" i="9"/>
  <c r="M1111" i="9"/>
  <c r="J1076" i="9"/>
  <c r="I1076" i="9"/>
  <c r="H1076" i="9"/>
  <c r="M1076" i="9"/>
  <c r="N1076" i="9"/>
  <c r="O1076" i="9"/>
  <c r="J887" i="9"/>
  <c r="I887" i="9"/>
  <c r="H887" i="9"/>
  <c r="N887" i="9"/>
  <c r="M887" i="9"/>
  <c r="O887" i="9"/>
  <c r="I777" i="9"/>
  <c r="H777" i="9"/>
  <c r="J777" i="9"/>
  <c r="O777" i="9"/>
  <c r="N777" i="9"/>
  <c r="M777" i="9"/>
  <c r="J715" i="9"/>
  <c r="I715" i="9"/>
  <c r="H715" i="9"/>
  <c r="O715" i="9"/>
  <c r="N715" i="9"/>
  <c r="M715" i="9"/>
  <c r="I849" i="9"/>
  <c r="H849" i="9"/>
  <c r="J849" i="9"/>
  <c r="O849" i="9"/>
  <c r="N849" i="9"/>
  <c r="M849" i="9"/>
  <c r="J1139" i="9"/>
  <c r="I1139" i="9"/>
  <c r="H1139" i="9"/>
  <c r="O1139" i="9"/>
  <c r="N1139" i="9"/>
  <c r="M1139" i="9"/>
  <c r="J866" i="9"/>
  <c r="I866" i="9"/>
  <c r="H866" i="9"/>
  <c r="O866" i="9"/>
  <c r="N866" i="9"/>
  <c r="M866" i="9"/>
  <c r="J824" i="9"/>
  <c r="I824" i="9"/>
  <c r="H824" i="9"/>
  <c r="O824" i="9"/>
  <c r="N824" i="9"/>
  <c r="M824" i="9"/>
  <c r="J1058" i="9"/>
  <c r="I1058" i="9"/>
  <c r="H1058" i="9"/>
  <c r="M1058" i="9"/>
  <c r="N1058" i="9"/>
  <c r="O1058" i="9"/>
  <c r="J931" i="9"/>
  <c r="I931" i="9"/>
  <c r="H931" i="9"/>
  <c r="N931" i="9"/>
  <c r="M931" i="9"/>
  <c r="O931" i="9"/>
  <c r="J704" i="9"/>
  <c r="I704" i="9"/>
  <c r="H704" i="9"/>
  <c r="N704" i="9"/>
  <c r="M704" i="9"/>
  <c r="O704" i="9"/>
  <c r="J1171" i="9"/>
  <c r="I1171" i="9"/>
  <c r="H1171" i="9"/>
  <c r="O1171" i="9"/>
  <c r="N1171" i="9"/>
  <c r="M1171" i="9"/>
  <c r="J943" i="9"/>
  <c r="I943" i="9"/>
  <c r="H943" i="9"/>
  <c r="N943" i="9"/>
  <c r="M943" i="9"/>
  <c r="O943" i="9"/>
  <c r="J678" i="9"/>
  <c r="H678" i="9"/>
  <c r="I678" i="9"/>
  <c r="N678" i="9"/>
  <c r="M678" i="9"/>
  <c r="O678" i="9"/>
  <c r="J982" i="9"/>
  <c r="I982" i="9"/>
  <c r="H982" i="9"/>
  <c r="O982" i="9"/>
  <c r="N982" i="9"/>
  <c r="M982" i="9"/>
  <c r="J1178" i="9"/>
  <c r="I1178" i="9"/>
  <c r="H1178" i="9"/>
  <c r="O1178" i="9"/>
  <c r="N1178" i="9"/>
  <c r="M1178" i="9"/>
  <c r="J1136" i="9"/>
  <c r="I1136" i="9"/>
  <c r="H1136" i="9"/>
  <c r="M1136" i="9"/>
  <c r="N1136" i="9"/>
  <c r="O1136" i="9"/>
  <c r="J878" i="9"/>
  <c r="I878" i="9"/>
  <c r="H878" i="9"/>
  <c r="N878" i="9"/>
  <c r="M878" i="9"/>
  <c r="O878" i="9"/>
  <c r="J839" i="9"/>
  <c r="I839" i="9"/>
  <c r="H839" i="9"/>
  <c r="O839" i="9"/>
  <c r="N839" i="9"/>
  <c r="M839" i="9"/>
  <c r="J798" i="9"/>
  <c r="H798" i="9"/>
  <c r="I798" i="9"/>
  <c r="O798" i="9"/>
  <c r="N798" i="9"/>
  <c r="M798" i="9"/>
  <c r="I653" i="9"/>
  <c r="H653" i="9"/>
  <c r="J653" i="9"/>
  <c r="O653" i="9"/>
  <c r="N653" i="9"/>
  <c r="M653" i="9"/>
  <c r="J937" i="9"/>
  <c r="H937" i="9"/>
  <c r="I937" i="9"/>
  <c r="N937" i="9"/>
  <c r="M937" i="9"/>
  <c r="O937" i="9"/>
  <c r="J690" i="9"/>
  <c r="I690" i="9"/>
  <c r="H690" i="9"/>
  <c r="N690" i="9"/>
  <c r="M690" i="9"/>
  <c r="O690" i="9"/>
  <c r="J1072" i="9"/>
  <c r="I1072" i="9"/>
  <c r="H1072" i="9"/>
  <c r="M1072" i="9"/>
  <c r="N1072" i="9"/>
  <c r="O1072" i="9"/>
  <c r="J915" i="9"/>
  <c r="I915" i="9"/>
  <c r="H915" i="9"/>
  <c r="N915" i="9"/>
  <c r="M915" i="9"/>
  <c r="O915" i="9"/>
  <c r="J820" i="9"/>
  <c r="I820" i="9"/>
  <c r="H820" i="9"/>
  <c r="O820" i="9"/>
  <c r="N820" i="9"/>
  <c r="M820" i="9"/>
  <c r="J755" i="9"/>
  <c r="I755" i="9"/>
  <c r="H755" i="9"/>
  <c r="O755" i="9"/>
  <c r="N755" i="9"/>
  <c r="M755" i="9"/>
  <c r="J958" i="9"/>
  <c r="I958" i="9"/>
  <c r="H958" i="9"/>
  <c r="O958" i="9"/>
  <c r="N958" i="9"/>
  <c r="M958" i="9"/>
  <c r="J902" i="9"/>
  <c r="I902" i="9"/>
  <c r="H902" i="9"/>
  <c r="N902" i="9"/>
  <c r="M902" i="9"/>
  <c r="O902" i="9"/>
  <c r="I757" i="9"/>
  <c r="H757" i="9"/>
  <c r="J757" i="9"/>
  <c r="O757" i="9"/>
  <c r="N757" i="9"/>
  <c r="M757" i="9"/>
  <c r="J1045" i="9"/>
  <c r="I1045" i="9"/>
  <c r="H1045" i="9"/>
  <c r="O1045" i="9"/>
  <c r="N1045" i="9"/>
  <c r="M1045" i="9"/>
  <c r="J850" i="9"/>
  <c r="I850" i="9"/>
  <c r="H850" i="9"/>
  <c r="O850" i="9"/>
  <c r="N850" i="9"/>
  <c r="M850" i="9"/>
  <c r="J796" i="9"/>
  <c r="I796" i="9"/>
  <c r="H796" i="9"/>
  <c r="O796" i="9"/>
  <c r="N796" i="9"/>
  <c r="M796" i="9"/>
  <c r="J1118" i="9"/>
  <c r="I1118" i="9"/>
  <c r="H1118" i="9"/>
  <c r="M1118" i="9"/>
  <c r="N1118" i="9"/>
  <c r="O1118" i="9"/>
  <c r="J1053" i="9"/>
  <c r="I1053" i="9"/>
  <c r="H1053" i="9"/>
  <c r="O1053" i="9"/>
  <c r="N1053" i="9"/>
  <c r="M1053" i="9"/>
  <c r="J1010" i="9"/>
  <c r="I1010" i="9"/>
  <c r="H1010" i="9"/>
  <c r="O1010" i="9"/>
  <c r="N1010" i="9"/>
  <c r="M1010" i="9"/>
  <c r="J957" i="9"/>
  <c r="I957" i="9"/>
  <c r="H957" i="9"/>
  <c r="N957" i="9"/>
  <c r="M957" i="9"/>
  <c r="O957" i="9"/>
  <c r="J914" i="9"/>
  <c r="I914" i="9"/>
  <c r="H914" i="9"/>
  <c r="N914" i="9"/>
  <c r="M914" i="9"/>
  <c r="O914" i="9"/>
  <c r="J874" i="9"/>
  <c r="I874" i="9"/>
  <c r="H874" i="9"/>
  <c r="N874" i="9"/>
  <c r="M874" i="9"/>
  <c r="O874" i="9"/>
  <c r="J674" i="9"/>
  <c r="I674" i="9"/>
  <c r="H674" i="9"/>
  <c r="N674" i="9"/>
  <c r="M674" i="9"/>
  <c r="O674" i="9"/>
  <c r="J802" i="9"/>
  <c r="I802" i="9"/>
  <c r="H802" i="9"/>
  <c r="O802" i="9"/>
  <c r="N802" i="9"/>
  <c r="M802" i="9"/>
  <c r="J1061" i="9"/>
  <c r="I1061" i="9"/>
  <c r="O1061" i="9"/>
  <c r="N1061" i="9"/>
  <c r="M1061" i="9"/>
  <c r="H1061" i="9"/>
  <c r="J933" i="9"/>
  <c r="I933" i="9"/>
  <c r="H933" i="9"/>
  <c r="N933" i="9"/>
  <c r="M933" i="9"/>
  <c r="O933" i="9"/>
  <c r="J754" i="9"/>
  <c r="I754" i="9"/>
  <c r="H754" i="9"/>
  <c r="O754" i="9"/>
  <c r="N754" i="9"/>
  <c r="M754" i="9"/>
  <c r="J1043" i="9"/>
  <c r="I1043" i="9"/>
  <c r="H1043" i="9"/>
  <c r="O1043" i="9"/>
  <c r="N1043" i="9"/>
  <c r="M1043" i="9"/>
  <c r="J426" i="9"/>
  <c r="I426" i="9"/>
  <c r="H426" i="9"/>
  <c r="M426" i="9"/>
  <c r="N426" i="9"/>
  <c r="O426" i="9"/>
  <c r="J419" i="9"/>
  <c r="I419" i="9"/>
  <c r="H419" i="9"/>
  <c r="O419" i="9"/>
  <c r="N419" i="9"/>
  <c r="M419" i="9"/>
  <c r="H432" i="9"/>
  <c r="J432" i="9"/>
  <c r="I432" i="9"/>
  <c r="M432" i="9"/>
  <c r="N432" i="9"/>
  <c r="O432" i="9"/>
  <c r="T412" i="9"/>
  <c r="R412" i="9"/>
  <c r="S412" i="9"/>
  <c r="T411" i="9"/>
  <c r="S411" i="9"/>
  <c r="R411" i="9"/>
  <c r="T625" i="9"/>
  <c r="S625" i="9"/>
  <c r="R625" i="9"/>
  <c r="T571" i="9"/>
  <c r="S571" i="9"/>
  <c r="R571" i="9"/>
  <c r="J475" i="9"/>
  <c r="I475" i="9"/>
  <c r="H475" i="9"/>
  <c r="O475" i="9"/>
  <c r="N475" i="9"/>
  <c r="M475" i="9"/>
  <c r="J609" i="9"/>
  <c r="I609" i="9"/>
  <c r="H609" i="9"/>
  <c r="O609" i="9"/>
  <c r="N609" i="9"/>
  <c r="M609" i="9"/>
  <c r="J570" i="9"/>
  <c r="I570" i="9"/>
  <c r="H570" i="9"/>
  <c r="N570" i="9"/>
  <c r="M570" i="9"/>
  <c r="O570" i="9"/>
  <c r="T521" i="9"/>
  <c r="S521" i="9"/>
  <c r="R521" i="9"/>
  <c r="R634" i="9"/>
  <c r="S634" i="9"/>
  <c r="T634" i="9"/>
  <c r="R646" i="9"/>
  <c r="S646" i="9"/>
  <c r="T646" i="9"/>
  <c r="J578" i="9"/>
  <c r="I578" i="9"/>
  <c r="H578" i="9"/>
  <c r="O578" i="9"/>
  <c r="N578" i="9"/>
  <c r="M578" i="9"/>
  <c r="H528" i="9"/>
  <c r="J528" i="9"/>
  <c r="I528" i="9"/>
  <c r="N528" i="9"/>
  <c r="M528" i="9"/>
  <c r="O528" i="9"/>
  <c r="T469" i="9"/>
  <c r="S469" i="9"/>
  <c r="R469" i="9"/>
  <c r="J526" i="9"/>
  <c r="I526" i="9"/>
  <c r="H526" i="9"/>
  <c r="N526" i="9"/>
  <c r="M526" i="9"/>
  <c r="O526" i="9"/>
  <c r="J631" i="9"/>
  <c r="I631" i="9"/>
  <c r="H631" i="9"/>
  <c r="O631" i="9"/>
  <c r="M631" i="9"/>
  <c r="N631" i="9"/>
  <c r="S568" i="9"/>
  <c r="T568" i="9"/>
  <c r="R568" i="9"/>
  <c r="S512" i="9"/>
  <c r="T512" i="9"/>
  <c r="R512" i="9"/>
  <c r="J626" i="9"/>
  <c r="I626" i="9"/>
  <c r="H626" i="9"/>
  <c r="O626" i="9"/>
  <c r="N626" i="9"/>
  <c r="M626" i="9"/>
  <c r="T593" i="9"/>
  <c r="S593" i="9"/>
  <c r="R593" i="9"/>
  <c r="T547" i="9"/>
  <c r="S547" i="9"/>
  <c r="R547" i="9"/>
  <c r="J482" i="9"/>
  <c r="I482" i="9"/>
  <c r="H482" i="9"/>
  <c r="N482" i="9"/>
  <c r="M482" i="9"/>
  <c r="O482" i="9"/>
  <c r="T455" i="9"/>
  <c r="S455" i="9"/>
  <c r="R455" i="9"/>
  <c r="J622" i="9"/>
  <c r="I622" i="9"/>
  <c r="H622" i="9"/>
  <c r="O622" i="9"/>
  <c r="N622" i="9"/>
  <c r="M622" i="9"/>
  <c r="T629" i="9"/>
  <c r="S629" i="9"/>
  <c r="R629" i="9"/>
  <c r="T576" i="9"/>
  <c r="S576" i="9"/>
  <c r="R576" i="9"/>
  <c r="T517" i="9"/>
  <c r="S517" i="9"/>
  <c r="R517" i="9"/>
  <c r="J599" i="9"/>
  <c r="I599" i="9"/>
  <c r="H599" i="9"/>
  <c r="O599" i="9"/>
  <c r="M599" i="9"/>
  <c r="N599" i="9"/>
  <c r="J555" i="9"/>
  <c r="I555" i="9"/>
  <c r="H555" i="9"/>
  <c r="O555" i="9"/>
  <c r="N555" i="9"/>
  <c r="M555" i="9"/>
  <c r="J495" i="9"/>
  <c r="I495" i="9"/>
  <c r="H495" i="9"/>
  <c r="O495" i="9"/>
  <c r="N495" i="9"/>
  <c r="M495" i="9"/>
  <c r="J574" i="9"/>
  <c r="I574" i="9"/>
  <c r="H574" i="9"/>
  <c r="O574" i="9"/>
  <c r="N574" i="9"/>
  <c r="M574" i="9"/>
  <c r="T553" i="9"/>
  <c r="S553" i="9"/>
  <c r="R553" i="9"/>
  <c r="J486" i="9"/>
  <c r="I486" i="9"/>
  <c r="H486" i="9"/>
  <c r="N486" i="9"/>
  <c r="M486" i="9"/>
  <c r="O486" i="9"/>
  <c r="J541" i="9"/>
  <c r="I541" i="9"/>
  <c r="H541" i="9"/>
  <c r="O541" i="9"/>
  <c r="N541" i="9"/>
  <c r="M541" i="9"/>
  <c r="J603" i="9"/>
  <c r="I603" i="9"/>
  <c r="H603" i="9"/>
  <c r="O603" i="9"/>
  <c r="N603" i="9"/>
  <c r="M603" i="9"/>
  <c r="J506" i="9"/>
  <c r="I506" i="9"/>
  <c r="H506" i="9"/>
  <c r="N506" i="9"/>
  <c r="M506" i="9"/>
  <c r="O506" i="9"/>
  <c r="H517" i="9"/>
  <c r="J478" i="9"/>
  <c r="I478" i="9"/>
  <c r="H478" i="9"/>
  <c r="N478" i="9"/>
  <c r="M478" i="9"/>
  <c r="O478" i="9"/>
  <c r="J217" i="9"/>
  <c r="I217" i="9"/>
  <c r="H217" i="9"/>
  <c r="O217" i="9"/>
  <c r="N217" i="9"/>
  <c r="M217" i="9"/>
  <c r="S313" i="9"/>
  <c r="R313" i="9"/>
  <c r="T313" i="9"/>
  <c r="J427" i="9"/>
  <c r="I427" i="9"/>
  <c r="H427" i="9"/>
  <c r="O427" i="9"/>
  <c r="N427" i="9"/>
  <c r="M427" i="9"/>
  <c r="I376" i="9"/>
  <c r="H376" i="9"/>
  <c r="J376" i="9"/>
  <c r="M376" i="9"/>
  <c r="N376" i="9"/>
  <c r="O376" i="9"/>
  <c r="S217" i="9"/>
  <c r="R217" i="9"/>
  <c r="T217" i="9"/>
  <c r="T419" i="9"/>
  <c r="S419" i="9"/>
  <c r="R419" i="9"/>
  <c r="J405" i="9"/>
  <c r="I405" i="9"/>
  <c r="H405" i="9"/>
  <c r="O405" i="9"/>
  <c r="N405" i="9"/>
  <c r="M405" i="9"/>
  <c r="J430" i="9"/>
  <c r="I430" i="9"/>
  <c r="H430" i="9"/>
  <c r="M430" i="9"/>
  <c r="N430" i="9"/>
  <c r="O430" i="9"/>
  <c r="T100" i="9"/>
  <c r="S100" i="9"/>
  <c r="R100" i="9"/>
  <c r="T463" i="9"/>
  <c r="S463" i="9"/>
  <c r="R463" i="9"/>
  <c r="J647" i="9"/>
  <c r="I647" i="9"/>
  <c r="H647" i="9"/>
  <c r="O647" i="9"/>
  <c r="M647" i="9"/>
  <c r="N647" i="9"/>
  <c r="T609" i="9"/>
  <c r="S609" i="9"/>
  <c r="R609" i="9"/>
  <c r="S570" i="9"/>
  <c r="T570" i="9"/>
  <c r="R570" i="9"/>
  <c r="J521" i="9"/>
  <c r="I521" i="9"/>
  <c r="H521" i="9"/>
  <c r="O521" i="9"/>
  <c r="N521" i="9"/>
  <c r="M521" i="9"/>
  <c r="S528" i="9"/>
  <c r="T528" i="9"/>
  <c r="R528" i="9"/>
  <c r="H508" i="9"/>
  <c r="J508" i="9"/>
  <c r="I508" i="9"/>
  <c r="N508" i="9"/>
  <c r="M508" i="9"/>
  <c r="O508" i="9"/>
  <c r="H512" i="9"/>
  <c r="J512" i="9"/>
  <c r="I512" i="9"/>
  <c r="N512" i="9"/>
  <c r="M512" i="9"/>
  <c r="O512" i="9"/>
  <c r="T475" i="9"/>
  <c r="S475" i="9"/>
  <c r="R475" i="9"/>
  <c r="R626" i="9"/>
  <c r="S626" i="9"/>
  <c r="T626" i="9"/>
  <c r="J593" i="9"/>
  <c r="I593" i="9"/>
  <c r="H593" i="9"/>
  <c r="O593" i="9"/>
  <c r="N593" i="9"/>
  <c r="M593" i="9"/>
  <c r="J437" i="9"/>
  <c r="I437" i="9"/>
  <c r="H437" i="9"/>
  <c r="O437" i="9"/>
  <c r="N437" i="9"/>
  <c r="M437" i="9"/>
  <c r="R622" i="9"/>
  <c r="S622" i="9"/>
  <c r="T622" i="9"/>
  <c r="J567" i="9"/>
  <c r="I567" i="9"/>
  <c r="H567" i="9"/>
  <c r="O567" i="9"/>
  <c r="N567" i="9"/>
  <c r="M567" i="9"/>
  <c r="S518" i="9"/>
  <c r="T518" i="9"/>
  <c r="R518" i="9"/>
  <c r="J467" i="9"/>
  <c r="I467" i="9"/>
  <c r="H467" i="9"/>
  <c r="O467" i="9"/>
  <c r="N467" i="9"/>
  <c r="M467" i="9"/>
  <c r="S566" i="9"/>
  <c r="T566" i="9"/>
  <c r="R566" i="9"/>
  <c r="H604" i="9"/>
  <c r="O604" i="9"/>
  <c r="N604" i="9"/>
  <c r="M604" i="9"/>
  <c r="I604" i="9"/>
  <c r="J604" i="9"/>
  <c r="T599" i="9"/>
  <c r="S599" i="9"/>
  <c r="R599" i="9"/>
  <c r="T555" i="9"/>
  <c r="S555" i="9"/>
  <c r="R555" i="9"/>
  <c r="T495" i="9"/>
  <c r="S495" i="9"/>
  <c r="R495" i="9"/>
  <c r="J642" i="9"/>
  <c r="I642" i="9"/>
  <c r="H642" i="9"/>
  <c r="O642" i="9"/>
  <c r="N642" i="9"/>
  <c r="M642" i="9"/>
  <c r="J605" i="9"/>
  <c r="I605" i="9"/>
  <c r="H605" i="9"/>
  <c r="O605" i="9"/>
  <c r="N605" i="9"/>
  <c r="M605" i="9"/>
  <c r="T574" i="9"/>
  <c r="S574" i="9"/>
  <c r="R574" i="9"/>
  <c r="R604" i="9"/>
  <c r="S604" i="9"/>
  <c r="T604" i="9"/>
  <c r="S486" i="9"/>
  <c r="T486" i="9"/>
  <c r="R486" i="9"/>
  <c r="T541" i="9"/>
  <c r="S541" i="9"/>
  <c r="R541" i="9"/>
  <c r="T603" i="9"/>
  <c r="S603" i="9"/>
  <c r="R603" i="9"/>
  <c r="I517" i="9"/>
  <c r="AH282" i="1"/>
  <c r="AH196" i="1"/>
  <c r="T304" i="9"/>
  <c r="S304" i="9"/>
  <c r="R304" i="9"/>
  <c r="J415" i="9"/>
  <c r="I415" i="9"/>
  <c r="H415" i="9"/>
  <c r="O415" i="9"/>
  <c r="N415" i="9"/>
  <c r="M415" i="9"/>
  <c r="J434" i="9"/>
  <c r="I434" i="9"/>
  <c r="H434" i="9"/>
  <c r="M434" i="9"/>
  <c r="N434" i="9"/>
  <c r="O434" i="9"/>
  <c r="T427" i="9"/>
  <c r="S427" i="9"/>
  <c r="R427" i="9"/>
  <c r="S209" i="9"/>
  <c r="R209" i="9"/>
  <c r="T209" i="9"/>
  <c r="J425" i="9"/>
  <c r="I425" i="9"/>
  <c r="H425" i="9"/>
  <c r="O425" i="9"/>
  <c r="N425" i="9"/>
  <c r="M425" i="9"/>
  <c r="T405" i="9"/>
  <c r="S405" i="9"/>
  <c r="R405" i="9"/>
  <c r="T404" i="9"/>
  <c r="R404" i="9"/>
  <c r="S404" i="9"/>
  <c r="T430" i="9"/>
  <c r="R430" i="9"/>
  <c r="S430" i="9"/>
  <c r="T91" i="9"/>
  <c r="S91" i="9"/>
  <c r="R91" i="9"/>
  <c r="S235" i="9"/>
  <c r="R235" i="9"/>
  <c r="T235" i="9"/>
  <c r="T109" i="9"/>
  <c r="S109" i="9"/>
  <c r="R109" i="9"/>
  <c r="H628" i="9"/>
  <c r="O628" i="9"/>
  <c r="N628" i="9"/>
  <c r="M628" i="9"/>
  <c r="J628" i="9"/>
  <c r="I628" i="9"/>
  <c r="J610" i="9"/>
  <c r="I610" i="9"/>
  <c r="H610" i="9"/>
  <c r="O610" i="9"/>
  <c r="N610" i="9"/>
  <c r="M610" i="9"/>
  <c r="J561" i="9"/>
  <c r="I561" i="9"/>
  <c r="H561" i="9"/>
  <c r="O561" i="9"/>
  <c r="N561" i="9"/>
  <c r="M561" i="9"/>
  <c r="J513" i="9"/>
  <c r="I513" i="9"/>
  <c r="H513" i="9"/>
  <c r="O513" i="9"/>
  <c r="N513" i="9"/>
  <c r="M513" i="9"/>
  <c r="T597" i="9"/>
  <c r="S597" i="9"/>
  <c r="R597" i="9"/>
  <c r="S456" i="9"/>
  <c r="T456" i="9"/>
  <c r="R456" i="9"/>
  <c r="T647" i="9"/>
  <c r="S647" i="9"/>
  <c r="R647" i="9"/>
  <c r="H552" i="9"/>
  <c r="J552" i="9"/>
  <c r="I552" i="9"/>
  <c r="N552" i="9"/>
  <c r="M552" i="9"/>
  <c r="O552" i="9"/>
  <c r="J639" i="9"/>
  <c r="I639" i="9"/>
  <c r="H639" i="9"/>
  <c r="O639" i="9"/>
  <c r="M639" i="9"/>
  <c r="N639" i="9"/>
  <c r="T569" i="9"/>
  <c r="S569" i="9"/>
  <c r="R569" i="9"/>
  <c r="J490" i="9"/>
  <c r="I490" i="9"/>
  <c r="H490" i="9"/>
  <c r="N490" i="9"/>
  <c r="M490" i="9"/>
  <c r="O490" i="9"/>
  <c r="H616" i="9"/>
  <c r="J616" i="9"/>
  <c r="I616" i="9"/>
  <c r="O616" i="9"/>
  <c r="N616" i="9"/>
  <c r="M616" i="9"/>
  <c r="J558" i="9"/>
  <c r="I558" i="9"/>
  <c r="H558" i="9"/>
  <c r="N558" i="9"/>
  <c r="M558" i="9"/>
  <c r="O558" i="9"/>
  <c r="H504" i="9"/>
  <c r="J504" i="9"/>
  <c r="I504" i="9"/>
  <c r="N504" i="9"/>
  <c r="M504" i="9"/>
  <c r="O504" i="9"/>
  <c r="J537" i="9"/>
  <c r="I537" i="9"/>
  <c r="H537" i="9"/>
  <c r="O537" i="9"/>
  <c r="N537" i="9"/>
  <c r="M537" i="9"/>
  <c r="J474" i="9"/>
  <c r="I474" i="9"/>
  <c r="H474" i="9"/>
  <c r="N474" i="9"/>
  <c r="M474" i="9"/>
  <c r="O474" i="9"/>
  <c r="T567" i="9"/>
  <c r="S567" i="9"/>
  <c r="R567" i="9"/>
  <c r="J518" i="9"/>
  <c r="I518" i="9"/>
  <c r="H518" i="9"/>
  <c r="N518" i="9"/>
  <c r="M518" i="9"/>
  <c r="O518" i="9"/>
  <c r="J462" i="9"/>
  <c r="I462" i="9"/>
  <c r="H462" i="9"/>
  <c r="N462" i="9"/>
  <c r="M462" i="9"/>
  <c r="O462" i="9"/>
  <c r="R614" i="9"/>
  <c r="S614" i="9"/>
  <c r="T614" i="9"/>
  <c r="J566" i="9"/>
  <c r="I566" i="9"/>
  <c r="H566" i="9"/>
  <c r="N566" i="9"/>
  <c r="M566" i="9"/>
  <c r="O566" i="9"/>
  <c r="J502" i="9"/>
  <c r="I502" i="9"/>
  <c r="H502" i="9"/>
  <c r="N502" i="9"/>
  <c r="M502" i="9"/>
  <c r="O502" i="9"/>
  <c r="J651" i="9"/>
  <c r="I651" i="9"/>
  <c r="H651" i="9"/>
  <c r="O651" i="9"/>
  <c r="N651" i="9"/>
  <c r="M651" i="9"/>
  <c r="S544" i="9"/>
  <c r="T544" i="9"/>
  <c r="R544" i="9"/>
  <c r="R642" i="9"/>
  <c r="S642" i="9"/>
  <c r="T642" i="9"/>
  <c r="T605" i="9"/>
  <c r="S605" i="9"/>
  <c r="R605" i="9"/>
  <c r="H516" i="9"/>
  <c r="J516" i="9"/>
  <c r="I516" i="9"/>
  <c r="N516" i="9"/>
  <c r="M516" i="9"/>
  <c r="O516" i="9"/>
  <c r="J543" i="9"/>
  <c r="I543" i="9"/>
  <c r="H543" i="9"/>
  <c r="O543" i="9"/>
  <c r="N543" i="9"/>
  <c r="M543" i="9"/>
  <c r="J493" i="9"/>
  <c r="I493" i="9"/>
  <c r="H493" i="9"/>
  <c r="O493" i="9"/>
  <c r="N493" i="9"/>
  <c r="M493" i="9"/>
  <c r="J581" i="9"/>
  <c r="I581" i="9"/>
  <c r="H581" i="9"/>
  <c r="O581" i="9"/>
  <c r="N581" i="9"/>
  <c r="M581" i="9"/>
  <c r="S500" i="9"/>
  <c r="R500" i="9"/>
  <c r="T500" i="9"/>
  <c r="J531" i="9"/>
  <c r="I531" i="9"/>
  <c r="H531" i="9"/>
  <c r="O531" i="9"/>
  <c r="N531" i="9"/>
  <c r="M531" i="9"/>
  <c r="J618" i="9"/>
  <c r="I618" i="9"/>
  <c r="H618" i="9"/>
  <c r="O618" i="9"/>
  <c r="N618" i="9"/>
  <c r="M618" i="9"/>
  <c r="J517" i="9"/>
  <c r="I535" i="9"/>
  <c r="I460" i="9"/>
  <c r="J532" i="9"/>
  <c r="J313" i="9"/>
  <c r="I313" i="9"/>
  <c r="H313" i="9"/>
  <c r="O313" i="9"/>
  <c r="N313" i="9"/>
  <c r="M313" i="9"/>
  <c r="AH393" i="1"/>
  <c r="AI293" i="1"/>
  <c r="AH72" i="1"/>
  <c r="AH76" i="1"/>
  <c r="I304" i="9"/>
  <c r="H304" i="9"/>
  <c r="J304" i="9"/>
  <c r="N304" i="9"/>
  <c r="O304" i="9"/>
  <c r="M304" i="9"/>
  <c r="J181" i="9"/>
  <c r="I181" i="9"/>
  <c r="H181" i="9"/>
  <c r="O181" i="9"/>
  <c r="N181" i="9"/>
  <c r="M181" i="9"/>
  <c r="T415" i="9"/>
  <c r="S415" i="9"/>
  <c r="R415" i="9"/>
  <c r="T434" i="9"/>
  <c r="S434" i="9"/>
  <c r="R434" i="9"/>
  <c r="T420" i="9"/>
  <c r="R420" i="9"/>
  <c r="S420" i="9"/>
  <c r="J407" i="9"/>
  <c r="I407" i="9"/>
  <c r="H407" i="9"/>
  <c r="O407" i="9"/>
  <c r="N407" i="9"/>
  <c r="M407" i="9"/>
  <c r="T425" i="9"/>
  <c r="S425" i="9"/>
  <c r="R425" i="9"/>
  <c r="I404" i="9"/>
  <c r="H404" i="9"/>
  <c r="J404" i="9"/>
  <c r="M404" i="9"/>
  <c r="N404" i="9"/>
  <c r="O404" i="9"/>
  <c r="T424" i="9"/>
  <c r="S424" i="9"/>
  <c r="R424" i="9"/>
  <c r="J91" i="9"/>
  <c r="I91" i="9"/>
  <c r="H91" i="9"/>
  <c r="O91" i="9"/>
  <c r="N91" i="9"/>
  <c r="M91" i="9"/>
  <c r="J235" i="9"/>
  <c r="I235" i="9"/>
  <c r="H235" i="9"/>
  <c r="O235" i="9"/>
  <c r="N235" i="9"/>
  <c r="M235" i="9"/>
  <c r="R448" i="9"/>
  <c r="S448" i="9"/>
  <c r="T448" i="9"/>
  <c r="R610" i="9"/>
  <c r="S610" i="9"/>
  <c r="T610" i="9"/>
  <c r="T561" i="9"/>
  <c r="S561" i="9"/>
  <c r="R561" i="9"/>
  <c r="T513" i="9"/>
  <c r="S513" i="9"/>
  <c r="R513" i="9"/>
  <c r="J597" i="9"/>
  <c r="I597" i="9"/>
  <c r="H597" i="9"/>
  <c r="O597" i="9"/>
  <c r="N597" i="9"/>
  <c r="M597" i="9"/>
  <c r="J453" i="9"/>
  <c r="I453" i="9"/>
  <c r="H453" i="9"/>
  <c r="O453" i="9"/>
  <c r="N453" i="9"/>
  <c r="M453" i="9"/>
  <c r="J602" i="9"/>
  <c r="I602" i="9"/>
  <c r="H602" i="9"/>
  <c r="O602" i="9"/>
  <c r="N602" i="9"/>
  <c r="M602" i="9"/>
  <c r="S560" i="9"/>
  <c r="T560" i="9"/>
  <c r="R560" i="9"/>
  <c r="S552" i="9"/>
  <c r="T552" i="9"/>
  <c r="R552" i="9"/>
  <c r="T639" i="9"/>
  <c r="S639" i="9"/>
  <c r="R639" i="9"/>
  <c r="J569" i="9"/>
  <c r="I569" i="9"/>
  <c r="H569" i="9"/>
  <c r="O569" i="9"/>
  <c r="N569" i="9"/>
  <c r="M569" i="9"/>
  <c r="S520" i="9"/>
  <c r="T520" i="9"/>
  <c r="R520" i="9"/>
  <c r="H472" i="9"/>
  <c r="J472" i="9"/>
  <c r="I472" i="9"/>
  <c r="N472" i="9"/>
  <c r="M472" i="9"/>
  <c r="O472" i="9"/>
  <c r="R616" i="9"/>
  <c r="S616" i="9"/>
  <c r="T616" i="9"/>
  <c r="S558" i="9"/>
  <c r="T558" i="9"/>
  <c r="R558" i="9"/>
  <c r="S504" i="9"/>
  <c r="T504" i="9"/>
  <c r="R504" i="9"/>
  <c r="H468" i="9"/>
  <c r="J468" i="9"/>
  <c r="I468" i="9"/>
  <c r="N468" i="9"/>
  <c r="M468" i="9"/>
  <c r="O468" i="9"/>
  <c r="T645" i="9"/>
  <c r="S645" i="9"/>
  <c r="R645" i="9"/>
  <c r="R586" i="9"/>
  <c r="S586" i="9"/>
  <c r="T586" i="9"/>
  <c r="T537" i="9"/>
  <c r="S537" i="9"/>
  <c r="R537" i="9"/>
  <c r="S474" i="9"/>
  <c r="T474" i="9"/>
  <c r="R474" i="9"/>
  <c r="J615" i="9"/>
  <c r="I615" i="9"/>
  <c r="H615" i="9"/>
  <c r="O615" i="9"/>
  <c r="M615" i="9"/>
  <c r="N615" i="9"/>
  <c r="H556" i="9"/>
  <c r="J556" i="9"/>
  <c r="I556" i="9"/>
  <c r="N556" i="9"/>
  <c r="M556" i="9"/>
  <c r="O556" i="9"/>
  <c r="J455" i="9"/>
  <c r="I455" i="9"/>
  <c r="H455" i="9"/>
  <c r="O455" i="9"/>
  <c r="N455" i="9"/>
  <c r="M455" i="9"/>
  <c r="J614" i="9"/>
  <c r="I614" i="9"/>
  <c r="H614" i="9"/>
  <c r="O614" i="9"/>
  <c r="N614" i="9"/>
  <c r="M614" i="9"/>
  <c r="T503" i="9"/>
  <c r="S503" i="9"/>
  <c r="R503" i="9"/>
  <c r="T450" i="9"/>
  <c r="S450" i="9"/>
  <c r="R450" i="9"/>
  <c r="T651" i="9"/>
  <c r="S651" i="9"/>
  <c r="R651" i="9"/>
  <c r="H584" i="9"/>
  <c r="J584" i="9"/>
  <c r="I584" i="9"/>
  <c r="O584" i="9"/>
  <c r="N584" i="9"/>
  <c r="M584" i="9"/>
  <c r="H480" i="9"/>
  <c r="J480" i="9"/>
  <c r="I480" i="9"/>
  <c r="N480" i="9"/>
  <c r="M480" i="9"/>
  <c r="O480" i="9"/>
  <c r="H564" i="9"/>
  <c r="J564" i="9"/>
  <c r="I564" i="9"/>
  <c r="N564" i="9"/>
  <c r="M564" i="9"/>
  <c r="O564" i="9"/>
  <c r="S516" i="9"/>
  <c r="R516" i="9"/>
  <c r="T516" i="9"/>
  <c r="J590" i="9"/>
  <c r="I590" i="9"/>
  <c r="H590" i="9"/>
  <c r="O590" i="9"/>
  <c r="N590" i="9"/>
  <c r="M590" i="9"/>
  <c r="T543" i="9"/>
  <c r="S543" i="9"/>
  <c r="R543" i="9"/>
  <c r="T493" i="9"/>
  <c r="S493" i="9"/>
  <c r="R493" i="9"/>
  <c r="T581" i="9"/>
  <c r="S581" i="9"/>
  <c r="R581" i="9"/>
  <c r="J522" i="9"/>
  <c r="I522" i="9"/>
  <c r="H522" i="9"/>
  <c r="N522" i="9"/>
  <c r="M522" i="9"/>
  <c r="O522" i="9"/>
  <c r="H500" i="9"/>
  <c r="J500" i="9"/>
  <c r="I500" i="9"/>
  <c r="N500" i="9"/>
  <c r="M500" i="9"/>
  <c r="O500" i="9"/>
  <c r="T531" i="9"/>
  <c r="S531" i="9"/>
  <c r="R531" i="9"/>
  <c r="R618" i="9"/>
  <c r="S618" i="9"/>
  <c r="T618" i="9"/>
  <c r="J535" i="9"/>
  <c r="T449" i="9"/>
  <c r="S449" i="9"/>
  <c r="R449" i="9"/>
  <c r="H449" i="9"/>
  <c r="T376" i="9"/>
  <c r="S376" i="9"/>
  <c r="R376" i="9"/>
  <c r="T181" i="9"/>
  <c r="S181" i="9"/>
  <c r="R181" i="9"/>
  <c r="J409" i="9"/>
  <c r="I409" i="9"/>
  <c r="H409" i="9"/>
  <c r="O409" i="9"/>
  <c r="N409" i="9"/>
  <c r="M409" i="9"/>
  <c r="H420" i="9"/>
  <c r="J420" i="9"/>
  <c r="I420" i="9"/>
  <c r="M420" i="9"/>
  <c r="N420" i="9"/>
  <c r="O420" i="9"/>
  <c r="T407" i="9"/>
  <c r="S407" i="9"/>
  <c r="R407" i="9"/>
  <c r="H424" i="9"/>
  <c r="J424" i="9"/>
  <c r="I424" i="9"/>
  <c r="M424" i="9"/>
  <c r="N424" i="9"/>
  <c r="O424" i="9"/>
  <c r="T37" i="9"/>
  <c r="S37" i="9"/>
  <c r="R37" i="9"/>
  <c r="T443" i="9"/>
  <c r="S443" i="9"/>
  <c r="R443" i="9"/>
  <c r="J550" i="9"/>
  <c r="I550" i="9"/>
  <c r="H550" i="9"/>
  <c r="N550" i="9"/>
  <c r="M550" i="9"/>
  <c r="O550" i="9"/>
  <c r="H448" i="9"/>
  <c r="J448" i="9"/>
  <c r="I448" i="9"/>
  <c r="N448" i="9"/>
  <c r="M448" i="9"/>
  <c r="O448" i="9"/>
  <c r="R602" i="9"/>
  <c r="S602" i="9"/>
  <c r="T602" i="9"/>
  <c r="H560" i="9"/>
  <c r="J560" i="9"/>
  <c r="I560" i="9"/>
  <c r="N560" i="9"/>
  <c r="M560" i="9"/>
  <c r="O560" i="9"/>
  <c r="H624" i="9"/>
  <c r="J624" i="9"/>
  <c r="I624" i="9"/>
  <c r="O624" i="9"/>
  <c r="N624" i="9"/>
  <c r="M624" i="9"/>
  <c r="H456" i="9"/>
  <c r="J456" i="9"/>
  <c r="I456" i="9"/>
  <c r="N456" i="9"/>
  <c r="M456" i="9"/>
  <c r="O456" i="9"/>
  <c r="S468" i="9"/>
  <c r="R468" i="9"/>
  <c r="T468" i="9"/>
  <c r="S462" i="9"/>
  <c r="T462" i="9"/>
  <c r="R462" i="9"/>
  <c r="J645" i="9"/>
  <c r="I645" i="9"/>
  <c r="H645" i="9"/>
  <c r="O645" i="9"/>
  <c r="N645" i="9"/>
  <c r="M645" i="9"/>
  <c r="J586" i="9"/>
  <c r="I586" i="9"/>
  <c r="H586" i="9"/>
  <c r="O586" i="9"/>
  <c r="N586" i="9"/>
  <c r="M586" i="9"/>
  <c r="S526" i="9"/>
  <c r="T526" i="9"/>
  <c r="R526" i="9"/>
  <c r="J573" i="9"/>
  <c r="I573" i="9"/>
  <c r="H573" i="9"/>
  <c r="O573" i="9"/>
  <c r="N573" i="9"/>
  <c r="M573" i="9"/>
  <c r="R652" i="9"/>
  <c r="S652" i="9"/>
  <c r="T652" i="9"/>
  <c r="T615" i="9"/>
  <c r="S615" i="9"/>
  <c r="R615" i="9"/>
  <c r="S556" i="9"/>
  <c r="R556" i="9"/>
  <c r="T556" i="9"/>
  <c r="J510" i="9"/>
  <c r="I510" i="9"/>
  <c r="H510" i="9"/>
  <c r="N510" i="9"/>
  <c r="M510" i="9"/>
  <c r="O510" i="9"/>
  <c r="J451" i="9"/>
  <c r="I451" i="9"/>
  <c r="H451" i="9"/>
  <c r="O451" i="9"/>
  <c r="N451" i="9"/>
  <c r="M451" i="9"/>
  <c r="J503" i="9"/>
  <c r="I503" i="9"/>
  <c r="H503" i="9"/>
  <c r="O503" i="9"/>
  <c r="N503" i="9"/>
  <c r="M503" i="9"/>
  <c r="J619" i="9"/>
  <c r="I619" i="9"/>
  <c r="H619" i="9"/>
  <c r="O619" i="9"/>
  <c r="N619" i="9"/>
  <c r="M619" i="9"/>
  <c r="J441" i="9"/>
  <c r="I441" i="9"/>
  <c r="H441" i="9"/>
  <c r="O441" i="9"/>
  <c r="N441" i="9"/>
  <c r="M441" i="9"/>
  <c r="J643" i="9"/>
  <c r="I643" i="9"/>
  <c r="H643" i="9"/>
  <c r="O643" i="9"/>
  <c r="N643" i="9"/>
  <c r="M643" i="9"/>
  <c r="R584" i="9"/>
  <c r="S584" i="9"/>
  <c r="T584" i="9"/>
  <c r="J534" i="9"/>
  <c r="I534" i="9"/>
  <c r="H534" i="9"/>
  <c r="N534" i="9"/>
  <c r="M534" i="9"/>
  <c r="O534" i="9"/>
  <c r="S480" i="9"/>
  <c r="T480" i="9"/>
  <c r="R480" i="9"/>
  <c r="T635" i="9"/>
  <c r="S635" i="9"/>
  <c r="R635" i="9"/>
  <c r="J598" i="9"/>
  <c r="I598" i="9"/>
  <c r="H598" i="9"/>
  <c r="O598" i="9"/>
  <c r="N598" i="9"/>
  <c r="M598" i="9"/>
  <c r="S564" i="9"/>
  <c r="R564" i="9"/>
  <c r="T564" i="9"/>
  <c r="S508" i="9"/>
  <c r="R508" i="9"/>
  <c r="T508" i="9"/>
  <c r="S542" i="9"/>
  <c r="T542" i="9"/>
  <c r="R542" i="9"/>
  <c r="R590" i="9"/>
  <c r="S590" i="9"/>
  <c r="T590" i="9"/>
  <c r="S532" i="9"/>
  <c r="R532" i="9"/>
  <c r="T532" i="9"/>
  <c r="J471" i="9"/>
  <c r="I471" i="9"/>
  <c r="H471" i="9"/>
  <c r="O471" i="9"/>
  <c r="N471" i="9"/>
  <c r="M471" i="9"/>
  <c r="S522" i="9"/>
  <c r="T522" i="9"/>
  <c r="R522" i="9"/>
  <c r="J633" i="9"/>
  <c r="I633" i="9"/>
  <c r="H633" i="9"/>
  <c r="O633" i="9"/>
  <c r="N633" i="9"/>
  <c r="M633" i="9"/>
  <c r="J447" i="9"/>
  <c r="I447" i="9"/>
  <c r="H447" i="9"/>
  <c r="O447" i="9"/>
  <c r="N447" i="9"/>
  <c r="M447" i="9"/>
  <c r="I520" i="9"/>
  <c r="T439" i="9"/>
  <c r="S439" i="9"/>
  <c r="R439" i="9"/>
  <c r="S460" i="9"/>
  <c r="R460" i="9"/>
  <c r="T460" i="9"/>
  <c r="I449" i="9"/>
  <c r="T173" i="9"/>
  <c r="S173" i="9"/>
  <c r="R173" i="9"/>
  <c r="T409" i="9"/>
  <c r="S409" i="9"/>
  <c r="R409" i="9"/>
  <c r="J421" i="9"/>
  <c r="I421" i="9"/>
  <c r="H421" i="9"/>
  <c r="O421" i="9"/>
  <c r="N421" i="9"/>
  <c r="M421" i="9"/>
  <c r="T416" i="9"/>
  <c r="S416" i="9"/>
  <c r="R416" i="9"/>
  <c r="J70" i="9"/>
  <c r="I70" i="9"/>
  <c r="H70" i="9"/>
  <c r="O70" i="9"/>
  <c r="N70" i="9"/>
  <c r="M70" i="9"/>
  <c r="R4" i="9"/>
  <c r="T4" i="9"/>
  <c r="S4" i="9"/>
  <c r="H109" i="9"/>
  <c r="J109" i="9"/>
  <c r="I109" i="9"/>
  <c r="O109" i="9"/>
  <c r="N109" i="9"/>
  <c r="M109" i="9"/>
  <c r="J439" i="9"/>
  <c r="I439" i="9"/>
  <c r="H439" i="9"/>
  <c r="O439" i="9"/>
  <c r="N439" i="9"/>
  <c r="M439" i="9"/>
  <c r="H588" i="9"/>
  <c r="J588" i="9"/>
  <c r="I588" i="9"/>
  <c r="O588" i="9"/>
  <c r="N588" i="9"/>
  <c r="M588" i="9"/>
  <c r="S550" i="9"/>
  <c r="T550" i="9"/>
  <c r="R550" i="9"/>
  <c r="T499" i="9"/>
  <c r="S499" i="9"/>
  <c r="R499" i="9"/>
  <c r="S494" i="9"/>
  <c r="T494" i="9"/>
  <c r="R494" i="9"/>
  <c r="T438" i="9"/>
  <c r="S438" i="9"/>
  <c r="R438" i="9"/>
  <c r="H632" i="9"/>
  <c r="J632" i="9"/>
  <c r="I632" i="9"/>
  <c r="O632" i="9"/>
  <c r="N632" i="9"/>
  <c r="M632" i="9"/>
  <c r="R624" i="9"/>
  <c r="S624" i="9"/>
  <c r="T624" i="9"/>
  <c r="J559" i="9"/>
  <c r="I559" i="9"/>
  <c r="H559" i="9"/>
  <c r="O559" i="9"/>
  <c r="N559" i="9"/>
  <c r="M559" i="9"/>
  <c r="J498" i="9"/>
  <c r="I498" i="9"/>
  <c r="H498" i="9"/>
  <c r="N498" i="9"/>
  <c r="M498" i="9"/>
  <c r="O498" i="9"/>
  <c r="H608" i="9"/>
  <c r="J608" i="9"/>
  <c r="I608" i="9"/>
  <c r="O608" i="9"/>
  <c r="N608" i="9"/>
  <c r="M608" i="9"/>
  <c r="S548" i="9"/>
  <c r="R548" i="9"/>
  <c r="T548" i="9"/>
  <c r="T497" i="9"/>
  <c r="S497" i="9"/>
  <c r="R497" i="9"/>
  <c r="J459" i="9"/>
  <c r="I459" i="9"/>
  <c r="H459" i="9"/>
  <c r="O459" i="9"/>
  <c r="N459" i="9"/>
  <c r="M459" i="9"/>
  <c r="T573" i="9"/>
  <c r="S573" i="9"/>
  <c r="R573" i="9"/>
  <c r="J607" i="9"/>
  <c r="I607" i="9"/>
  <c r="H607" i="9"/>
  <c r="O607" i="9"/>
  <c r="M607" i="9"/>
  <c r="N607" i="9"/>
  <c r="S510" i="9"/>
  <c r="T510" i="9"/>
  <c r="R510" i="9"/>
  <c r="T441" i="9"/>
  <c r="S441" i="9"/>
  <c r="R441" i="9"/>
  <c r="J606" i="9"/>
  <c r="I606" i="9"/>
  <c r="H606" i="9"/>
  <c r="O606" i="9"/>
  <c r="N606" i="9"/>
  <c r="M606" i="9"/>
  <c r="T545" i="9"/>
  <c r="S545" i="9"/>
  <c r="R545" i="9"/>
  <c r="S488" i="9"/>
  <c r="T488" i="9"/>
  <c r="R488" i="9"/>
  <c r="T619" i="9"/>
  <c r="S619" i="9"/>
  <c r="R619" i="9"/>
  <c r="H436" i="9"/>
  <c r="J436" i="9"/>
  <c r="I436" i="9"/>
  <c r="M436" i="9"/>
  <c r="N436" i="9"/>
  <c r="O436" i="9"/>
  <c r="T643" i="9"/>
  <c r="S643" i="9"/>
  <c r="R643" i="9"/>
  <c r="S534" i="9"/>
  <c r="T534" i="9"/>
  <c r="R534" i="9"/>
  <c r="S472" i="9"/>
  <c r="T472" i="9"/>
  <c r="R472" i="9"/>
  <c r="R598" i="9"/>
  <c r="S598" i="9"/>
  <c r="T598" i="9"/>
  <c r="J542" i="9"/>
  <c r="I542" i="9"/>
  <c r="H542" i="9"/>
  <c r="N542" i="9"/>
  <c r="M542" i="9"/>
  <c r="O542" i="9"/>
  <c r="J649" i="9"/>
  <c r="I649" i="9"/>
  <c r="H649" i="9"/>
  <c r="O649" i="9"/>
  <c r="N649" i="9"/>
  <c r="M649" i="9"/>
  <c r="T471" i="9"/>
  <c r="S471" i="9"/>
  <c r="R471" i="9"/>
  <c r="T572" i="9"/>
  <c r="R572" i="9"/>
  <c r="S572" i="9"/>
  <c r="S514" i="9"/>
  <c r="T514" i="9"/>
  <c r="R514" i="9"/>
  <c r="T633" i="9"/>
  <c r="S633" i="9"/>
  <c r="R633" i="9"/>
  <c r="T447" i="9"/>
  <c r="S447" i="9"/>
  <c r="R447" i="9"/>
  <c r="H596" i="9"/>
  <c r="J596" i="9"/>
  <c r="I596" i="9"/>
  <c r="O596" i="9"/>
  <c r="N596" i="9"/>
  <c r="M596" i="9"/>
  <c r="J520" i="9"/>
  <c r="J449" i="9"/>
  <c r="AH576" i="1"/>
  <c r="AI481" i="1"/>
  <c r="AH183" i="1"/>
  <c r="AH106" i="1"/>
  <c r="T428" i="9"/>
  <c r="R428" i="9"/>
  <c r="S428" i="9"/>
  <c r="J173" i="9"/>
  <c r="I173" i="9"/>
  <c r="H173" i="9"/>
  <c r="O173" i="9"/>
  <c r="N173" i="9"/>
  <c r="M173" i="9"/>
  <c r="T401" i="9"/>
  <c r="S401" i="9"/>
  <c r="R401" i="9"/>
  <c r="T421" i="9"/>
  <c r="S421" i="9"/>
  <c r="R421" i="9"/>
  <c r="T413" i="9"/>
  <c r="S413" i="9"/>
  <c r="R413" i="9"/>
  <c r="J431" i="9"/>
  <c r="I431" i="9"/>
  <c r="H431" i="9"/>
  <c r="O431" i="9"/>
  <c r="N431" i="9"/>
  <c r="M431" i="9"/>
  <c r="H416" i="9"/>
  <c r="J416" i="9"/>
  <c r="I416" i="9"/>
  <c r="M416" i="9"/>
  <c r="N416" i="9"/>
  <c r="O416" i="9"/>
  <c r="J423" i="9"/>
  <c r="I423" i="9"/>
  <c r="H423" i="9"/>
  <c r="O423" i="9"/>
  <c r="N423" i="9"/>
  <c r="M423" i="9"/>
  <c r="R70" i="9"/>
  <c r="T70" i="9"/>
  <c r="S70" i="9"/>
  <c r="T163" i="9"/>
  <c r="S163" i="9"/>
  <c r="R163" i="9"/>
  <c r="R588" i="9"/>
  <c r="S588" i="9"/>
  <c r="T588" i="9"/>
  <c r="J494" i="9"/>
  <c r="I494" i="9"/>
  <c r="H494" i="9"/>
  <c r="N494" i="9"/>
  <c r="M494" i="9"/>
  <c r="O494" i="9"/>
  <c r="R632" i="9"/>
  <c r="S632" i="9"/>
  <c r="T632" i="9"/>
  <c r="J595" i="9"/>
  <c r="I595" i="9"/>
  <c r="H595" i="9"/>
  <c r="O595" i="9"/>
  <c r="N595" i="9"/>
  <c r="M595" i="9"/>
  <c r="S484" i="9"/>
  <c r="R484" i="9"/>
  <c r="T484" i="9"/>
  <c r="T578" i="9"/>
  <c r="R578" i="9"/>
  <c r="S578" i="9"/>
  <c r="J594" i="9"/>
  <c r="I594" i="9"/>
  <c r="H594" i="9"/>
  <c r="O594" i="9"/>
  <c r="N594" i="9"/>
  <c r="M594" i="9"/>
  <c r="T559" i="9"/>
  <c r="S559" i="9"/>
  <c r="R559" i="9"/>
  <c r="S498" i="9"/>
  <c r="T498" i="9"/>
  <c r="R498" i="9"/>
  <c r="R608" i="9"/>
  <c r="S608" i="9"/>
  <c r="T608" i="9"/>
  <c r="H548" i="9"/>
  <c r="J548" i="9"/>
  <c r="I548" i="9"/>
  <c r="N548" i="9"/>
  <c r="M548" i="9"/>
  <c r="O548" i="9"/>
  <c r="J497" i="9"/>
  <c r="I497" i="9"/>
  <c r="H497" i="9"/>
  <c r="O497" i="9"/>
  <c r="N497" i="9"/>
  <c r="M497" i="9"/>
  <c r="T451" i="9"/>
  <c r="S451" i="9"/>
  <c r="R451" i="9"/>
  <c r="J630" i="9"/>
  <c r="I630" i="9"/>
  <c r="H630" i="9"/>
  <c r="O630" i="9"/>
  <c r="N630" i="9"/>
  <c r="M630" i="9"/>
  <c r="J577" i="9"/>
  <c r="I577" i="9"/>
  <c r="H577" i="9"/>
  <c r="O577" i="9"/>
  <c r="N577" i="9"/>
  <c r="M577" i="9"/>
  <c r="J519" i="9"/>
  <c r="I519" i="9"/>
  <c r="H519" i="9"/>
  <c r="O519" i="9"/>
  <c r="N519" i="9"/>
  <c r="M519" i="9"/>
  <c r="H644" i="9"/>
  <c r="J644" i="9"/>
  <c r="I644" i="9"/>
  <c r="O644" i="9"/>
  <c r="N644" i="9"/>
  <c r="M644" i="9"/>
  <c r="J546" i="9"/>
  <c r="I546" i="9"/>
  <c r="H546" i="9"/>
  <c r="N546" i="9"/>
  <c r="M546" i="9"/>
  <c r="O546" i="9"/>
  <c r="R606" i="9"/>
  <c r="S606" i="9"/>
  <c r="T606" i="9"/>
  <c r="J545" i="9"/>
  <c r="I545" i="9"/>
  <c r="H545" i="9"/>
  <c r="O545" i="9"/>
  <c r="N545" i="9"/>
  <c r="M545" i="9"/>
  <c r="H488" i="9"/>
  <c r="J488" i="9"/>
  <c r="I488" i="9"/>
  <c r="N488" i="9"/>
  <c r="M488" i="9"/>
  <c r="O488" i="9"/>
  <c r="S575" i="9"/>
  <c r="T575" i="9"/>
  <c r="R575" i="9"/>
  <c r="S554" i="9"/>
  <c r="T554" i="9"/>
  <c r="R554" i="9"/>
  <c r="T479" i="9"/>
  <c r="S479" i="9"/>
  <c r="R479" i="9"/>
  <c r="T649" i="9"/>
  <c r="S649" i="9"/>
  <c r="R649" i="9"/>
  <c r="J582" i="9"/>
  <c r="I582" i="9"/>
  <c r="H582" i="9"/>
  <c r="O582" i="9"/>
  <c r="N582" i="9"/>
  <c r="M582" i="9"/>
  <c r="T515" i="9"/>
  <c r="S515" i="9"/>
  <c r="R515" i="9"/>
  <c r="J465" i="9"/>
  <c r="I465" i="9"/>
  <c r="H465" i="9"/>
  <c r="O465" i="9"/>
  <c r="N465" i="9"/>
  <c r="M465" i="9"/>
  <c r="H572" i="9"/>
  <c r="J572" i="9"/>
  <c r="I572" i="9"/>
  <c r="O572" i="9"/>
  <c r="N572" i="9"/>
  <c r="M572" i="9"/>
  <c r="R596" i="9"/>
  <c r="S596" i="9"/>
  <c r="T596" i="9"/>
  <c r="H520" i="9"/>
  <c r="AH69" i="1"/>
  <c r="AH171" i="1"/>
  <c r="AH298" i="1"/>
  <c r="H428" i="9"/>
  <c r="J428" i="9"/>
  <c r="I428" i="9"/>
  <c r="M428" i="9"/>
  <c r="N428" i="9"/>
  <c r="O428" i="9"/>
  <c r="S322" i="9"/>
  <c r="J346" i="9"/>
  <c r="I346" i="9"/>
  <c r="H346" i="9"/>
  <c r="M346" i="9"/>
  <c r="N346" i="9"/>
  <c r="O346" i="9"/>
  <c r="J401" i="9"/>
  <c r="I401" i="9"/>
  <c r="H401" i="9"/>
  <c r="O401" i="9"/>
  <c r="N401" i="9"/>
  <c r="M401" i="9"/>
  <c r="J414" i="9"/>
  <c r="I414" i="9"/>
  <c r="H414" i="9"/>
  <c r="M414" i="9"/>
  <c r="N414" i="9"/>
  <c r="O414" i="9"/>
  <c r="J413" i="9"/>
  <c r="I413" i="9"/>
  <c r="H413" i="9"/>
  <c r="O413" i="9"/>
  <c r="N413" i="9"/>
  <c r="M413" i="9"/>
  <c r="J163" i="9"/>
  <c r="I163" i="9"/>
  <c r="H163" i="9"/>
  <c r="O163" i="9"/>
  <c r="N163" i="9"/>
  <c r="M163" i="9"/>
  <c r="T431" i="9"/>
  <c r="S431" i="9"/>
  <c r="R431" i="9"/>
  <c r="T423" i="9"/>
  <c r="S423" i="9"/>
  <c r="R423" i="9"/>
  <c r="J429" i="9"/>
  <c r="I429" i="9"/>
  <c r="H429" i="9"/>
  <c r="O429" i="9"/>
  <c r="N429" i="9"/>
  <c r="M429" i="9"/>
  <c r="T406" i="9"/>
  <c r="S406" i="9"/>
  <c r="R406" i="9"/>
  <c r="H540" i="9"/>
  <c r="J540" i="9"/>
  <c r="I540" i="9"/>
  <c r="N540" i="9"/>
  <c r="M540" i="9"/>
  <c r="O540" i="9"/>
  <c r="H492" i="9"/>
  <c r="J492" i="9"/>
  <c r="I492" i="9"/>
  <c r="N492" i="9"/>
  <c r="M492" i="9"/>
  <c r="O492" i="9"/>
  <c r="T595" i="9"/>
  <c r="S595" i="9"/>
  <c r="R595" i="9"/>
  <c r="T539" i="9"/>
  <c r="S539" i="9"/>
  <c r="R539" i="9"/>
  <c r="J463" i="9"/>
  <c r="I463" i="9"/>
  <c r="H463" i="9"/>
  <c r="O463" i="9"/>
  <c r="N463" i="9"/>
  <c r="M463" i="9"/>
  <c r="R594" i="9"/>
  <c r="S594" i="9"/>
  <c r="T594" i="9"/>
  <c r="T491" i="9"/>
  <c r="S491" i="9"/>
  <c r="R491" i="9"/>
  <c r="J442" i="9"/>
  <c r="I442" i="9"/>
  <c r="H442" i="9"/>
  <c r="M442" i="9"/>
  <c r="N442" i="9"/>
  <c r="O442" i="9"/>
  <c r="R630" i="9"/>
  <c r="S630" i="9"/>
  <c r="T630" i="9"/>
  <c r="T577" i="9"/>
  <c r="S577" i="9"/>
  <c r="R577" i="9"/>
  <c r="T519" i="9"/>
  <c r="S519" i="9"/>
  <c r="R519" i="9"/>
  <c r="R644" i="9"/>
  <c r="S644" i="9"/>
  <c r="T644" i="9"/>
  <c r="H600" i="9"/>
  <c r="J600" i="9"/>
  <c r="I600" i="9"/>
  <c r="O600" i="9"/>
  <c r="N600" i="9"/>
  <c r="M600" i="9"/>
  <c r="S546" i="9"/>
  <c r="T546" i="9"/>
  <c r="R546" i="9"/>
  <c r="J562" i="9"/>
  <c r="I562" i="9"/>
  <c r="H562" i="9"/>
  <c r="N562" i="9"/>
  <c r="M562" i="9"/>
  <c r="O562" i="9"/>
  <c r="R628" i="9"/>
  <c r="S628" i="9"/>
  <c r="T628" i="9"/>
  <c r="J575" i="9"/>
  <c r="I575" i="9"/>
  <c r="H575" i="9"/>
  <c r="O575" i="9"/>
  <c r="M575" i="9"/>
  <c r="N575" i="9"/>
  <c r="S524" i="9"/>
  <c r="R524" i="9"/>
  <c r="T524" i="9"/>
  <c r="J466" i="9"/>
  <c r="I466" i="9"/>
  <c r="H466" i="9"/>
  <c r="N466" i="9"/>
  <c r="M466" i="9"/>
  <c r="O466" i="9"/>
  <c r="T461" i="9"/>
  <c r="S461" i="9"/>
  <c r="R461" i="9"/>
  <c r="H620" i="9"/>
  <c r="J620" i="9"/>
  <c r="I620" i="9"/>
  <c r="O620" i="9"/>
  <c r="N620" i="9"/>
  <c r="M620" i="9"/>
  <c r="J591" i="9"/>
  <c r="I591" i="9"/>
  <c r="H591" i="9"/>
  <c r="O591" i="9"/>
  <c r="M591" i="9"/>
  <c r="N591" i="9"/>
  <c r="J554" i="9"/>
  <c r="I554" i="9"/>
  <c r="H554" i="9"/>
  <c r="N554" i="9"/>
  <c r="M554" i="9"/>
  <c r="O554" i="9"/>
  <c r="J479" i="9"/>
  <c r="I479" i="9"/>
  <c r="H479" i="9"/>
  <c r="O479" i="9"/>
  <c r="N479" i="9"/>
  <c r="M479" i="9"/>
  <c r="J461" i="9"/>
  <c r="I461" i="9"/>
  <c r="H461" i="9"/>
  <c r="O461" i="9"/>
  <c r="N461" i="9"/>
  <c r="M461" i="9"/>
  <c r="J515" i="9"/>
  <c r="I515" i="9"/>
  <c r="H515" i="9"/>
  <c r="O515" i="9"/>
  <c r="N515" i="9"/>
  <c r="M515" i="9"/>
  <c r="T465" i="9"/>
  <c r="S465" i="9"/>
  <c r="R465" i="9"/>
  <c r="J446" i="9"/>
  <c r="I446" i="9"/>
  <c r="H446" i="9"/>
  <c r="M446" i="9"/>
  <c r="N446" i="9"/>
  <c r="O446" i="9"/>
  <c r="H452" i="9"/>
  <c r="J452" i="9"/>
  <c r="I452" i="9"/>
  <c r="N452" i="9"/>
  <c r="M452" i="9"/>
  <c r="O452" i="9"/>
  <c r="S470" i="9"/>
  <c r="T470" i="9"/>
  <c r="R470" i="9"/>
  <c r="J611" i="9"/>
  <c r="I611" i="9"/>
  <c r="H611" i="9"/>
  <c r="O611" i="9"/>
  <c r="N611" i="9"/>
  <c r="M611" i="9"/>
  <c r="H444" i="9"/>
  <c r="J444" i="9"/>
  <c r="I444" i="9"/>
  <c r="M444" i="9"/>
  <c r="N444" i="9"/>
  <c r="O444" i="9"/>
  <c r="H481" i="9"/>
  <c r="AH288" i="1"/>
  <c r="R346" i="9"/>
  <c r="S346" i="9"/>
  <c r="T346" i="9"/>
  <c r="T414" i="9"/>
  <c r="S414" i="9"/>
  <c r="R414" i="9"/>
  <c r="T155" i="9"/>
  <c r="S155" i="9"/>
  <c r="R155" i="9"/>
  <c r="J417" i="9"/>
  <c r="I417" i="9"/>
  <c r="H417" i="9"/>
  <c r="O417" i="9"/>
  <c r="N417" i="9"/>
  <c r="M417" i="9"/>
  <c r="T410" i="9"/>
  <c r="S410" i="9"/>
  <c r="R410" i="9"/>
  <c r="J52" i="9"/>
  <c r="I52" i="9"/>
  <c r="H52" i="9"/>
  <c r="O52" i="9"/>
  <c r="N52" i="9"/>
  <c r="M52" i="9"/>
  <c r="J218" i="9"/>
  <c r="I218" i="9"/>
  <c r="H218" i="9"/>
  <c r="N218" i="9"/>
  <c r="O218" i="9"/>
  <c r="M218" i="9"/>
  <c r="T429" i="9"/>
  <c r="S429" i="9"/>
  <c r="R429" i="9"/>
  <c r="J406" i="9"/>
  <c r="I406" i="9"/>
  <c r="H406" i="9"/>
  <c r="M406" i="9"/>
  <c r="N406" i="9"/>
  <c r="O406" i="9"/>
  <c r="J8" i="9"/>
  <c r="I8" i="9"/>
  <c r="H8" i="9"/>
  <c r="O8" i="9"/>
  <c r="N8" i="9"/>
  <c r="M8" i="9"/>
  <c r="H640" i="9"/>
  <c r="J640" i="9"/>
  <c r="I640" i="9"/>
  <c r="O640" i="9"/>
  <c r="N640" i="9"/>
  <c r="M640" i="9"/>
  <c r="H580" i="9"/>
  <c r="J580" i="9"/>
  <c r="I580" i="9"/>
  <c r="O580" i="9"/>
  <c r="N580" i="9"/>
  <c r="M580" i="9"/>
  <c r="S540" i="9"/>
  <c r="R540" i="9"/>
  <c r="T540" i="9"/>
  <c r="S492" i="9"/>
  <c r="R492" i="9"/>
  <c r="T492" i="9"/>
  <c r="R582" i="9"/>
  <c r="S582" i="9"/>
  <c r="T582" i="9"/>
  <c r="J539" i="9"/>
  <c r="I539" i="9"/>
  <c r="H539" i="9"/>
  <c r="O539" i="9"/>
  <c r="N539" i="9"/>
  <c r="M539" i="9"/>
  <c r="J443" i="9"/>
  <c r="I443" i="9"/>
  <c r="H443" i="9"/>
  <c r="O443" i="9"/>
  <c r="N443" i="9"/>
  <c r="M443" i="9"/>
  <c r="J549" i="9"/>
  <c r="I549" i="9"/>
  <c r="H549" i="9"/>
  <c r="O549" i="9"/>
  <c r="N549" i="9"/>
  <c r="M549" i="9"/>
  <c r="J491" i="9"/>
  <c r="I491" i="9"/>
  <c r="H491" i="9"/>
  <c r="O491" i="9"/>
  <c r="N491" i="9"/>
  <c r="M491" i="9"/>
  <c r="J601" i="9"/>
  <c r="I601" i="9"/>
  <c r="H601" i="9"/>
  <c r="O601" i="9"/>
  <c r="N601" i="9"/>
  <c r="M601" i="9"/>
  <c r="S490" i="9"/>
  <c r="T490" i="9"/>
  <c r="R490" i="9"/>
  <c r="T437" i="9"/>
  <c r="S437" i="9"/>
  <c r="R437" i="9"/>
  <c r="H652" i="9"/>
  <c r="O652" i="9"/>
  <c r="N652" i="9"/>
  <c r="M652" i="9"/>
  <c r="J652" i="9"/>
  <c r="I652" i="9"/>
  <c r="R600" i="9"/>
  <c r="S600" i="9"/>
  <c r="T600" i="9"/>
  <c r="J641" i="9"/>
  <c r="I641" i="9"/>
  <c r="H641" i="9"/>
  <c r="O641" i="9"/>
  <c r="N641" i="9"/>
  <c r="M641" i="9"/>
  <c r="H636" i="9"/>
  <c r="J636" i="9"/>
  <c r="I636" i="9"/>
  <c r="O636" i="9"/>
  <c r="N636" i="9"/>
  <c r="M636" i="9"/>
  <c r="H592" i="9"/>
  <c r="J592" i="9"/>
  <c r="I592" i="9"/>
  <c r="O592" i="9"/>
  <c r="N592" i="9"/>
  <c r="M592" i="9"/>
  <c r="T535" i="9"/>
  <c r="S535" i="9"/>
  <c r="R535" i="9"/>
  <c r="S562" i="9"/>
  <c r="T562" i="9"/>
  <c r="R562" i="9"/>
  <c r="H524" i="9"/>
  <c r="J524" i="9"/>
  <c r="I524" i="9"/>
  <c r="N524" i="9"/>
  <c r="M524" i="9"/>
  <c r="O524" i="9"/>
  <c r="S466" i="9"/>
  <c r="T466" i="9"/>
  <c r="R466" i="9"/>
  <c r="J458" i="9"/>
  <c r="I458" i="9"/>
  <c r="H458" i="9"/>
  <c r="N458" i="9"/>
  <c r="M458" i="9"/>
  <c r="O458" i="9"/>
  <c r="R620" i="9"/>
  <c r="S620" i="9"/>
  <c r="T620" i="9"/>
  <c r="T591" i="9"/>
  <c r="S591" i="9"/>
  <c r="R591" i="9"/>
  <c r="J445" i="9"/>
  <c r="I445" i="9"/>
  <c r="H445" i="9"/>
  <c r="O445" i="9"/>
  <c r="N445" i="9"/>
  <c r="M445" i="9"/>
  <c r="J627" i="9"/>
  <c r="I627" i="9"/>
  <c r="H627" i="9"/>
  <c r="O627" i="9"/>
  <c r="N627" i="9"/>
  <c r="M627" i="9"/>
  <c r="T563" i="9"/>
  <c r="S563" i="9"/>
  <c r="R563" i="9"/>
  <c r="T446" i="9"/>
  <c r="S446" i="9"/>
  <c r="R446" i="9"/>
  <c r="S452" i="9"/>
  <c r="R452" i="9"/>
  <c r="T452" i="9"/>
  <c r="J470" i="9"/>
  <c r="I470" i="9"/>
  <c r="H470" i="9"/>
  <c r="N470" i="9"/>
  <c r="M470" i="9"/>
  <c r="O470" i="9"/>
  <c r="T611" i="9"/>
  <c r="S611" i="9"/>
  <c r="R611" i="9"/>
  <c r="T551" i="9"/>
  <c r="S551" i="9"/>
  <c r="R551" i="9"/>
  <c r="J435" i="9"/>
  <c r="I435" i="9"/>
  <c r="H435" i="9"/>
  <c r="O435" i="9"/>
  <c r="N435" i="9"/>
  <c r="M435" i="9"/>
  <c r="H496" i="9"/>
  <c r="J496" i="9"/>
  <c r="I496" i="9"/>
  <c r="N496" i="9"/>
  <c r="M496" i="9"/>
  <c r="O496" i="9"/>
  <c r="H538" i="9"/>
  <c r="H514" i="9"/>
  <c r="J457" i="9"/>
  <c r="I457" i="9"/>
  <c r="H457" i="9"/>
  <c r="O457" i="9"/>
  <c r="N457" i="9"/>
  <c r="M457" i="9"/>
  <c r="I481" i="9"/>
  <c r="T402" i="9"/>
  <c r="S402" i="9"/>
  <c r="R402" i="9"/>
  <c r="I400" i="9"/>
  <c r="H400" i="9"/>
  <c r="J400" i="9"/>
  <c r="M400" i="9"/>
  <c r="N400" i="9"/>
  <c r="O400" i="9"/>
  <c r="O145" i="9"/>
  <c r="N145" i="9"/>
  <c r="M145" i="9"/>
  <c r="T418" i="9"/>
  <c r="S418" i="9"/>
  <c r="R418" i="9"/>
  <c r="T417" i="9"/>
  <c r="S417" i="9"/>
  <c r="R417" i="9"/>
  <c r="J410" i="9"/>
  <c r="I410" i="9"/>
  <c r="H410" i="9"/>
  <c r="M410" i="9"/>
  <c r="N410" i="9"/>
  <c r="O410" i="9"/>
  <c r="R20" i="9"/>
  <c r="T20" i="9"/>
  <c r="S20" i="9"/>
  <c r="T218" i="9"/>
  <c r="S218" i="9"/>
  <c r="R218" i="9"/>
  <c r="R8" i="9"/>
  <c r="T8" i="9"/>
  <c r="S8" i="9"/>
  <c r="R640" i="9"/>
  <c r="S640" i="9"/>
  <c r="T640" i="9"/>
  <c r="R580" i="9"/>
  <c r="S580" i="9"/>
  <c r="T580" i="9"/>
  <c r="J547" i="9"/>
  <c r="I547" i="9"/>
  <c r="H547" i="9"/>
  <c r="O547" i="9"/>
  <c r="N547" i="9"/>
  <c r="M547" i="9"/>
  <c r="J617" i="9"/>
  <c r="I617" i="9"/>
  <c r="H617" i="9"/>
  <c r="O617" i="9"/>
  <c r="N617" i="9"/>
  <c r="M617" i="9"/>
  <c r="J579" i="9"/>
  <c r="I579" i="9"/>
  <c r="H579" i="9"/>
  <c r="O579" i="9"/>
  <c r="N579" i="9"/>
  <c r="M579" i="9"/>
  <c r="J438" i="9"/>
  <c r="I438" i="9"/>
  <c r="H438" i="9"/>
  <c r="M438" i="9"/>
  <c r="N438" i="9"/>
  <c r="O438" i="9"/>
  <c r="J587" i="9"/>
  <c r="I587" i="9"/>
  <c r="H587" i="9"/>
  <c r="O587" i="9"/>
  <c r="N587" i="9"/>
  <c r="M587" i="9"/>
  <c r="T549" i="9"/>
  <c r="S549" i="9"/>
  <c r="R549" i="9"/>
  <c r="S476" i="9"/>
  <c r="R476" i="9"/>
  <c r="T476" i="9"/>
  <c r="R638" i="9"/>
  <c r="S638" i="9"/>
  <c r="T638" i="9"/>
  <c r="T601" i="9"/>
  <c r="S601" i="9"/>
  <c r="R601" i="9"/>
  <c r="T527" i="9"/>
  <c r="S527" i="9"/>
  <c r="R527" i="9"/>
  <c r="J623" i="9"/>
  <c r="I623" i="9"/>
  <c r="H623" i="9"/>
  <c r="O623" i="9"/>
  <c r="M623" i="9"/>
  <c r="N623" i="9"/>
  <c r="T557" i="9"/>
  <c r="S557" i="9"/>
  <c r="R557" i="9"/>
  <c r="T511" i="9"/>
  <c r="S511" i="9"/>
  <c r="R511" i="9"/>
  <c r="J523" i="9"/>
  <c r="I523" i="9"/>
  <c r="H523" i="9"/>
  <c r="O523" i="9"/>
  <c r="N523" i="9"/>
  <c r="M523" i="9"/>
  <c r="J637" i="9"/>
  <c r="I637" i="9"/>
  <c r="H637" i="9"/>
  <c r="O637" i="9"/>
  <c r="N637" i="9"/>
  <c r="M637" i="9"/>
  <c r="J585" i="9"/>
  <c r="I585" i="9"/>
  <c r="H585" i="9"/>
  <c r="O585" i="9"/>
  <c r="N585" i="9"/>
  <c r="M585" i="9"/>
  <c r="S536" i="9"/>
  <c r="T536" i="9"/>
  <c r="R536" i="9"/>
  <c r="J489" i="9"/>
  <c r="I489" i="9"/>
  <c r="H489" i="9"/>
  <c r="O489" i="9"/>
  <c r="N489" i="9"/>
  <c r="M489" i="9"/>
  <c r="T641" i="9"/>
  <c r="S641" i="9"/>
  <c r="R641" i="9"/>
  <c r="R636" i="9"/>
  <c r="S636" i="9"/>
  <c r="T636" i="9"/>
  <c r="R592" i="9"/>
  <c r="S592" i="9"/>
  <c r="T592" i="9"/>
  <c r="T473" i="9"/>
  <c r="S473" i="9"/>
  <c r="R473" i="9"/>
  <c r="T621" i="9"/>
  <c r="S621" i="9"/>
  <c r="R621" i="9"/>
  <c r="J565" i="9"/>
  <c r="I565" i="9"/>
  <c r="H565" i="9"/>
  <c r="O565" i="9"/>
  <c r="N565" i="9"/>
  <c r="M565" i="9"/>
  <c r="T454" i="9"/>
  <c r="S454" i="9"/>
  <c r="R454" i="9"/>
  <c r="J583" i="9"/>
  <c r="I583" i="9"/>
  <c r="H583" i="9"/>
  <c r="O583" i="9"/>
  <c r="M583" i="9"/>
  <c r="N583" i="9"/>
  <c r="T627" i="9"/>
  <c r="S627" i="9"/>
  <c r="R627" i="9"/>
  <c r="J563" i="9"/>
  <c r="I563" i="9"/>
  <c r="H563" i="9"/>
  <c r="O563" i="9"/>
  <c r="N563" i="9"/>
  <c r="M563" i="9"/>
  <c r="J501" i="9"/>
  <c r="I501" i="9"/>
  <c r="H501" i="9"/>
  <c r="O501" i="9"/>
  <c r="N501" i="9"/>
  <c r="M501" i="9"/>
  <c r="H648" i="9"/>
  <c r="J648" i="9"/>
  <c r="I648" i="9"/>
  <c r="O648" i="9"/>
  <c r="N648" i="9"/>
  <c r="M648" i="9"/>
  <c r="J477" i="9"/>
  <c r="I477" i="9"/>
  <c r="H477" i="9"/>
  <c r="O477" i="9"/>
  <c r="N477" i="9"/>
  <c r="M477" i="9"/>
  <c r="J551" i="9"/>
  <c r="I551" i="9"/>
  <c r="H551" i="9"/>
  <c r="O551" i="9"/>
  <c r="N551" i="9"/>
  <c r="M551" i="9"/>
  <c r="I514" i="9"/>
  <c r="H635" i="9"/>
  <c r="AH45" i="1"/>
  <c r="AH525" i="1"/>
  <c r="AH213" i="1"/>
  <c r="J402" i="9"/>
  <c r="I402" i="9"/>
  <c r="H402" i="9"/>
  <c r="M402" i="9"/>
  <c r="N402" i="9"/>
  <c r="O402" i="9"/>
  <c r="J422" i="9"/>
  <c r="I422" i="9"/>
  <c r="H422" i="9"/>
  <c r="M422" i="9"/>
  <c r="N422" i="9"/>
  <c r="O422" i="9"/>
  <c r="H408" i="9"/>
  <c r="J408" i="9"/>
  <c r="I408" i="9"/>
  <c r="M408" i="9"/>
  <c r="N408" i="9"/>
  <c r="O408" i="9"/>
  <c r="T400" i="9"/>
  <c r="S400" i="9"/>
  <c r="R400" i="9"/>
  <c r="J433" i="9"/>
  <c r="I433" i="9"/>
  <c r="H433" i="9"/>
  <c r="O433" i="9"/>
  <c r="N433" i="9"/>
  <c r="M433" i="9"/>
  <c r="J418" i="9"/>
  <c r="I418" i="9"/>
  <c r="H418" i="9"/>
  <c r="M418" i="9"/>
  <c r="N418" i="9"/>
  <c r="O418" i="9"/>
  <c r="J403" i="9"/>
  <c r="I403" i="9"/>
  <c r="H403" i="9"/>
  <c r="O403" i="9"/>
  <c r="N403" i="9"/>
  <c r="M403" i="9"/>
  <c r="J155" i="9"/>
  <c r="I155" i="9"/>
  <c r="H155" i="9"/>
  <c r="O155" i="9"/>
  <c r="N155" i="9"/>
  <c r="M155" i="9"/>
  <c r="J209" i="9"/>
  <c r="I209" i="9"/>
  <c r="H209" i="9"/>
  <c r="O209" i="9"/>
  <c r="N209" i="9"/>
  <c r="M209" i="9"/>
  <c r="R34" i="9"/>
  <c r="T34" i="9"/>
  <c r="S34" i="9"/>
  <c r="S530" i="9"/>
  <c r="T530" i="9"/>
  <c r="R530" i="9"/>
  <c r="T485" i="9"/>
  <c r="S485" i="9"/>
  <c r="R485" i="9"/>
  <c r="J529" i="9"/>
  <c r="I529" i="9"/>
  <c r="H529" i="9"/>
  <c r="O529" i="9"/>
  <c r="N529" i="9"/>
  <c r="M529" i="9"/>
  <c r="T617" i="9"/>
  <c r="S617" i="9"/>
  <c r="R617" i="9"/>
  <c r="T579" i="9"/>
  <c r="S579" i="9"/>
  <c r="R579" i="9"/>
  <c r="T529" i="9"/>
  <c r="S529" i="9"/>
  <c r="R529" i="9"/>
  <c r="T587" i="9"/>
  <c r="S587" i="9"/>
  <c r="R587" i="9"/>
  <c r="S538" i="9"/>
  <c r="T538" i="9"/>
  <c r="R538" i="9"/>
  <c r="H476" i="9"/>
  <c r="J476" i="9"/>
  <c r="I476" i="9"/>
  <c r="N476" i="9"/>
  <c r="M476" i="9"/>
  <c r="O476" i="9"/>
  <c r="J638" i="9"/>
  <c r="I638" i="9"/>
  <c r="H638" i="9"/>
  <c r="O638" i="9"/>
  <c r="N638" i="9"/>
  <c r="M638" i="9"/>
  <c r="J527" i="9"/>
  <c r="I527" i="9"/>
  <c r="H527" i="9"/>
  <c r="O527" i="9"/>
  <c r="N527" i="9"/>
  <c r="M527" i="9"/>
  <c r="J483" i="9"/>
  <c r="I483" i="9"/>
  <c r="H483" i="9"/>
  <c r="O483" i="9"/>
  <c r="N483" i="9"/>
  <c r="M483" i="9"/>
  <c r="T623" i="9"/>
  <c r="S623" i="9"/>
  <c r="R623" i="9"/>
  <c r="J557" i="9"/>
  <c r="I557" i="9"/>
  <c r="H557" i="9"/>
  <c r="O557" i="9"/>
  <c r="N557" i="9"/>
  <c r="M557" i="9"/>
  <c r="J505" i="9"/>
  <c r="I505" i="9"/>
  <c r="H505" i="9"/>
  <c r="O505" i="9"/>
  <c r="N505" i="9"/>
  <c r="M505" i="9"/>
  <c r="T637" i="9"/>
  <c r="S637" i="9"/>
  <c r="R637" i="9"/>
  <c r="T585" i="9"/>
  <c r="S585" i="9"/>
  <c r="R585" i="9"/>
  <c r="H536" i="9"/>
  <c r="J536" i="9"/>
  <c r="I536" i="9"/>
  <c r="N536" i="9"/>
  <c r="M536" i="9"/>
  <c r="O536" i="9"/>
  <c r="T489" i="9"/>
  <c r="S489" i="9"/>
  <c r="R489" i="9"/>
  <c r="J525" i="9"/>
  <c r="I525" i="9"/>
  <c r="H525" i="9"/>
  <c r="O525" i="9"/>
  <c r="N525" i="9"/>
  <c r="M525" i="9"/>
  <c r="J473" i="9"/>
  <c r="I473" i="9"/>
  <c r="H473" i="9"/>
  <c r="O473" i="9"/>
  <c r="N473" i="9"/>
  <c r="M473" i="9"/>
  <c r="J507" i="9"/>
  <c r="I507" i="9"/>
  <c r="H507" i="9"/>
  <c r="O507" i="9"/>
  <c r="N507" i="9"/>
  <c r="M507" i="9"/>
  <c r="J621" i="9"/>
  <c r="I621" i="9"/>
  <c r="H621" i="9"/>
  <c r="O621" i="9"/>
  <c r="N621" i="9"/>
  <c r="M621" i="9"/>
  <c r="T565" i="9"/>
  <c r="S565" i="9"/>
  <c r="R565" i="9"/>
  <c r="T509" i="9"/>
  <c r="S509" i="9"/>
  <c r="R509" i="9"/>
  <c r="J450" i="9"/>
  <c r="I450" i="9"/>
  <c r="H450" i="9"/>
  <c r="N450" i="9"/>
  <c r="M450" i="9"/>
  <c r="O450" i="9"/>
  <c r="J650" i="9"/>
  <c r="I650" i="9"/>
  <c r="H650" i="9"/>
  <c r="O650" i="9"/>
  <c r="N650" i="9"/>
  <c r="M650" i="9"/>
  <c r="J613" i="9"/>
  <c r="I613" i="9"/>
  <c r="H613" i="9"/>
  <c r="O613" i="9"/>
  <c r="N613" i="9"/>
  <c r="M613" i="9"/>
  <c r="T583" i="9"/>
  <c r="S583" i="9"/>
  <c r="R583" i="9"/>
  <c r="T533" i="9"/>
  <c r="S533" i="9"/>
  <c r="R533" i="9"/>
  <c r="H612" i="9"/>
  <c r="J612" i="9"/>
  <c r="I612" i="9"/>
  <c r="O612" i="9"/>
  <c r="N612" i="9"/>
  <c r="M612" i="9"/>
  <c r="T501" i="9"/>
  <c r="S501" i="9"/>
  <c r="R501" i="9"/>
  <c r="H464" i="9"/>
  <c r="J464" i="9"/>
  <c r="I464" i="9"/>
  <c r="N464" i="9"/>
  <c r="M464" i="9"/>
  <c r="O464" i="9"/>
  <c r="R648" i="9"/>
  <c r="S648" i="9"/>
  <c r="T648" i="9"/>
  <c r="T477" i="9"/>
  <c r="S477" i="9"/>
  <c r="R477" i="9"/>
  <c r="H440" i="9"/>
  <c r="J440" i="9"/>
  <c r="I440" i="9"/>
  <c r="M440" i="9"/>
  <c r="N440" i="9"/>
  <c r="O440" i="9"/>
  <c r="J589" i="9"/>
  <c r="I589" i="9"/>
  <c r="H589" i="9"/>
  <c r="O589" i="9"/>
  <c r="N589" i="9"/>
  <c r="M589" i="9"/>
  <c r="H499" i="9"/>
  <c r="J538" i="9"/>
  <c r="J514" i="9"/>
  <c r="H454" i="9"/>
  <c r="I635" i="9"/>
  <c r="T422" i="9"/>
  <c r="S422" i="9"/>
  <c r="R422" i="9"/>
  <c r="M322" i="9"/>
  <c r="N322" i="9"/>
  <c r="O322" i="9"/>
  <c r="T408" i="9"/>
  <c r="S408" i="9"/>
  <c r="R408" i="9"/>
  <c r="T426" i="9"/>
  <c r="S426" i="9"/>
  <c r="R426" i="9"/>
  <c r="T433" i="9"/>
  <c r="S433" i="9"/>
  <c r="R433" i="9"/>
  <c r="T432" i="9"/>
  <c r="S432" i="9"/>
  <c r="R432" i="9"/>
  <c r="H412" i="9"/>
  <c r="J412" i="9"/>
  <c r="I412" i="9"/>
  <c r="M412" i="9"/>
  <c r="N412" i="9"/>
  <c r="O412" i="9"/>
  <c r="J411" i="9"/>
  <c r="I411" i="9"/>
  <c r="H411" i="9"/>
  <c r="O411" i="9"/>
  <c r="N411" i="9"/>
  <c r="M411" i="9"/>
  <c r="T403" i="9"/>
  <c r="S403" i="9"/>
  <c r="R403" i="9"/>
  <c r="R52" i="9"/>
  <c r="T52" i="9"/>
  <c r="S52" i="9"/>
  <c r="J625" i="9"/>
  <c r="I625" i="9"/>
  <c r="H625" i="9"/>
  <c r="O625" i="9"/>
  <c r="M625" i="9"/>
  <c r="N625" i="9"/>
  <c r="J571" i="9"/>
  <c r="I571" i="9"/>
  <c r="H571" i="9"/>
  <c r="O571" i="9"/>
  <c r="N571" i="9"/>
  <c r="M571" i="9"/>
  <c r="J530" i="9"/>
  <c r="I530" i="9"/>
  <c r="H530" i="9"/>
  <c r="N530" i="9"/>
  <c r="M530" i="9"/>
  <c r="O530" i="9"/>
  <c r="J485" i="9"/>
  <c r="I485" i="9"/>
  <c r="H485" i="9"/>
  <c r="O485" i="9"/>
  <c r="N485" i="9"/>
  <c r="M485" i="9"/>
  <c r="J511" i="9"/>
  <c r="I511" i="9"/>
  <c r="H511" i="9"/>
  <c r="O511" i="9"/>
  <c r="N511" i="9"/>
  <c r="M511" i="9"/>
  <c r="J634" i="9"/>
  <c r="I634" i="9"/>
  <c r="H634" i="9"/>
  <c r="O634" i="9"/>
  <c r="N634" i="9"/>
  <c r="M634" i="9"/>
  <c r="J646" i="9"/>
  <c r="I646" i="9"/>
  <c r="H646" i="9"/>
  <c r="O646" i="9"/>
  <c r="N646" i="9"/>
  <c r="M646" i="9"/>
  <c r="J469" i="9"/>
  <c r="I469" i="9"/>
  <c r="H469" i="9"/>
  <c r="O469" i="9"/>
  <c r="N469" i="9"/>
  <c r="M469" i="9"/>
  <c r="H544" i="9"/>
  <c r="J544" i="9"/>
  <c r="I544" i="9"/>
  <c r="N544" i="9"/>
  <c r="M544" i="9"/>
  <c r="O544" i="9"/>
  <c r="H568" i="9"/>
  <c r="J568" i="9"/>
  <c r="I568" i="9"/>
  <c r="N568" i="9"/>
  <c r="M568" i="9"/>
  <c r="O568" i="9"/>
  <c r="T483" i="9"/>
  <c r="S483" i="9"/>
  <c r="R483" i="9"/>
  <c r="S482" i="9"/>
  <c r="T482" i="9"/>
  <c r="R482" i="9"/>
  <c r="J487" i="9"/>
  <c r="I487" i="9"/>
  <c r="H487" i="9"/>
  <c r="O487" i="9"/>
  <c r="N487" i="9"/>
  <c r="M487" i="9"/>
  <c r="T481" i="9"/>
  <c r="S481" i="9"/>
  <c r="R481" i="9"/>
  <c r="J629" i="9"/>
  <c r="I629" i="9"/>
  <c r="H629" i="9"/>
  <c r="O629" i="9"/>
  <c r="N629" i="9"/>
  <c r="M629" i="9"/>
  <c r="H576" i="9"/>
  <c r="J576" i="9"/>
  <c r="I576" i="9"/>
  <c r="O576" i="9"/>
  <c r="N576" i="9"/>
  <c r="M576" i="9"/>
  <c r="T525" i="9"/>
  <c r="S525" i="9"/>
  <c r="R525" i="9"/>
  <c r="T507" i="9"/>
  <c r="S507" i="9"/>
  <c r="R507" i="9"/>
  <c r="J509" i="9"/>
  <c r="I509" i="9"/>
  <c r="H509" i="9"/>
  <c r="O509" i="9"/>
  <c r="N509" i="9"/>
  <c r="M509" i="9"/>
  <c r="T445" i="9"/>
  <c r="S445" i="9"/>
  <c r="R445" i="9"/>
  <c r="R650" i="9"/>
  <c r="S650" i="9"/>
  <c r="T650" i="9"/>
  <c r="T613" i="9"/>
  <c r="S613" i="9"/>
  <c r="R613" i="9"/>
  <c r="J533" i="9"/>
  <c r="I533" i="9"/>
  <c r="H533" i="9"/>
  <c r="O533" i="9"/>
  <c r="N533" i="9"/>
  <c r="M533" i="9"/>
  <c r="R612" i="9"/>
  <c r="S612" i="9"/>
  <c r="T612" i="9"/>
  <c r="J553" i="9"/>
  <c r="I553" i="9"/>
  <c r="H553" i="9"/>
  <c r="O553" i="9"/>
  <c r="N553" i="9"/>
  <c r="M553" i="9"/>
  <c r="T440" i="9"/>
  <c r="S440" i="9"/>
  <c r="R440" i="9"/>
  <c r="T589" i="9"/>
  <c r="S589" i="9"/>
  <c r="R589" i="9"/>
  <c r="S506" i="9"/>
  <c r="T506" i="9"/>
  <c r="R506" i="9"/>
  <c r="I499" i="9"/>
  <c r="J460" i="9"/>
  <c r="I454" i="9"/>
  <c r="J635" i="9"/>
  <c r="AI597" i="1"/>
  <c r="AH597" i="1"/>
  <c r="AI899" i="1"/>
  <c r="AH899" i="1"/>
  <c r="AI1096" i="1"/>
  <c r="AH1096" i="1"/>
  <c r="AH871" i="1"/>
  <c r="AI871" i="1"/>
  <c r="AH713" i="1"/>
  <c r="AI713" i="1"/>
  <c r="AI616" i="1"/>
  <c r="AH616" i="1"/>
  <c r="AI1165" i="1"/>
  <c r="AH1165" i="1"/>
  <c r="AI1114" i="1"/>
  <c r="AH1114" i="1"/>
  <c r="AH763" i="1"/>
  <c r="AI763" i="1"/>
  <c r="AI883" i="1"/>
  <c r="AH883" i="1"/>
  <c r="AH845" i="1"/>
  <c r="AI845" i="1"/>
  <c r="AH668" i="1"/>
  <c r="AI668" i="1"/>
  <c r="AI880" i="1"/>
  <c r="AH880" i="1"/>
  <c r="AH602" i="1"/>
  <c r="AI602" i="1"/>
  <c r="AI1162" i="1"/>
  <c r="AH1162" i="1"/>
  <c r="AI865" i="1"/>
  <c r="AH865" i="1"/>
  <c r="AI645" i="1"/>
  <c r="AH645" i="1"/>
  <c r="AH586" i="1"/>
  <c r="AI586" i="1"/>
  <c r="AI902" i="1"/>
  <c r="AH902" i="1"/>
  <c r="AI599" i="1"/>
  <c r="AH599" i="1"/>
  <c r="AI1002" i="1"/>
  <c r="AH1002" i="1"/>
  <c r="AI788" i="1"/>
  <c r="AH788" i="1"/>
  <c r="AI819" i="1"/>
  <c r="AI820" i="1"/>
  <c r="AH841" i="1"/>
  <c r="AH604" i="1"/>
  <c r="AH357" i="1"/>
  <c r="AH423" i="1"/>
  <c r="AI210" i="1"/>
  <c r="AI192" i="1"/>
  <c r="AH306" i="1"/>
  <c r="AH379" i="1"/>
  <c r="AH162" i="1"/>
  <c r="AH120" i="1"/>
  <c r="AH201" i="1"/>
  <c r="AH111" i="1"/>
  <c r="AH246" i="1"/>
  <c r="AI25" i="1"/>
  <c r="AH94" i="1"/>
  <c r="AH157" i="1"/>
  <c r="AH300" i="1"/>
  <c r="AI872" i="1"/>
  <c r="AH872" i="1"/>
  <c r="AI954" i="1"/>
  <c r="AH954" i="1"/>
  <c r="AI761" i="1"/>
  <c r="AH761" i="1"/>
  <c r="AH722" i="1"/>
  <c r="AI722" i="1"/>
  <c r="AI573" i="1"/>
  <c r="AH573" i="1"/>
  <c r="AI720" i="1"/>
  <c r="AH720" i="1"/>
  <c r="AI607" i="1"/>
  <c r="AH607" i="1"/>
  <c r="AH710" i="1"/>
  <c r="AI710" i="1"/>
  <c r="AI836" i="1"/>
  <c r="AH836" i="1"/>
  <c r="AI699" i="1"/>
  <c r="AH699" i="1"/>
  <c r="AH605" i="1"/>
  <c r="AI605" i="1"/>
  <c r="AH1168" i="1"/>
  <c r="AI1168" i="1"/>
  <c r="AI681" i="1"/>
  <c r="AH681" i="1"/>
  <c r="AH318" i="1"/>
  <c r="AI180" i="1"/>
  <c r="AH177" i="1"/>
  <c r="AI111" i="1"/>
  <c r="AH917" i="1"/>
  <c r="AI917" i="1"/>
  <c r="AH1198" i="1"/>
  <c r="AI1198" i="1"/>
  <c r="AI608" i="1"/>
  <c r="AH608" i="1"/>
  <c r="AI1108" i="1"/>
  <c r="AH1108" i="1"/>
  <c r="AI923" i="1"/>
  <c r="AH923" i="1"/>
  <c r="AI859" i="1"/>
  <c r="AH859" i="1"/>
  <c r="AI503" i="1"/>
  <c r="AH503" i="1"/>
  <c r="AI877" i="1"/>
  <c r="AH877" i="1"/>
  <c r="AI797" i="1"/>
  <c r="AH797" i="1"/>
  <c r="AI914" i="1"/>
  <c r="AH914" i="1"/>
  <c r="AH674" i="1"/>
  <c r="AI674" i="1"/>
  <c r="AI753" i="1"/>
  <c r="AH712" i="1"/>
  <c r="AI307" i="1"/>
  <c r="AI284" i="1"/>
  <c r="AI1090" i="1"/>
  <c r="AH1090" i="1"/>
  <c r="AI595" i="1"/>
  <c r="AH595" i="1"/>
  <c r="AI476" i="1"/>
  <c r="AH476" i="1"/>
  <c r="AH736" i="1"/>
  <c r="AI736" i="1"/>
  <c r="AI654" i="1"/>
  <c r="AH654" i="1"/>
  <c r="AH577" i="1"/>
  <c r="AI577" i="1"/>
  <c r="AH519" i="1"/>
  <c r="AI519" i="1"/>
  <c r="AH496" i="1"/>
  <c r="AI496" i="1"/>
  <c r="AI895" i="1"/>
  <c r="AH895" i="1"/>
  <c r="AI584" i="1"/>
  <c r="AH584" i="1"/>
  <c r="AH772" i="1"/>
  <c r="AI772" i="1"/>
  <c r="AH683" i="1"/>
  <c r="AI683" i="1"/>
  <c r="AI635" i="1"/>
  <c r="AH635" i="1"/>
  <c r="AI709" i="1"/>
  <c r="AH709" i="1"/>
  <c r="AI447" i="1"/>
  <c r="AH447" i="1"/>
  <c r="AH287" i="1"/>
  <c r="AH180" i="1"/>
  <c r="AI632" i="1"/>
  <c r="AH632" i="1"/>
  <c r="AI869" i="1"/>
  <c r="AH869" i="1"/>
  <c r="AH837" i="1"/>
  <c r="AH687" i="1"/>
  <c r="AH417" i="1"/>
  <c r="AI132" i="1"/>
  <c r="AI177" i="1"/>
  <c r="AH278" i="1"/>
  <c r="AH216" i="1"/>
  <c r="AH99" i="1"/>
  <c r="AH394" i="1"/>
  <c r="AH303" i="1"/>
  <c r="AH67" i="1"/>
  <c r="AH229" i="1"/>
  <c r="AH124" i="1"/>
  <c r="AH133" i="1"/>
  <c r="AH148" i="1"/>
  <c r="AH193" i="1"/>
  <c r="AH700" i="1"/>
  <c r="AH703" i="1"/>
  <c r="AI408" i="1"/>
  <c r="AI417" i="1"/>
  <c r="AH545" i="1"/>
  <c r="AH405" i="1"/>
  <c r="AI392" i="1"/>
  <c r="AH114" i="1"/>
  <c r="AH391" i="1"/>
  <c r="AI368" i="1"/>
  <c r="AH330" i="1"/>
  <c r="AH240" i="1"/>
  <c r="AH159" i="1"/>
  <c r="AH264" i="1"/>
  <c r="AI285" i="1"/>
  <c r="AI363" i="1"/>
  <c r="AH284" i="1"/>
  <c r="AI216" i="1"/>
  <c r="AI99" i="1"/>
  <c r="AI93" i="1"/>
  <c r="AH312" i="1"/>
  <c r="AI394" i="1"/>
  <c r="AI303" i="1"/>
  <c r="AI238" i="1"/>
  <c r="AI67" i="1"/>
  <c r="AI229" i="1"/>
  <c r="AI151" i="1"/>
  <c r="AI124" i="1"/>
  <c r="AI133" i="1"/>
  <c r="AI148" i="1"/>
  <c r="AI193" i="1"/>
  <c r="AH469" i="1"/>
  <c r="AI469" i="1"/>
  <c r="AI1075" i="1"/>
  <c r="AH1075" i="1"/>
  <c r="AI1087" i="1"/>
  <c r="AH1087" i="1"/>
  <c r="AI619" i="1"/>
  <c r="AH619" i="1"/>
  <c r="AI643" i="1"/>
  <c r="AH643" i="1"/>
  <c r="AH1126" i="1"/>
  <c r="AI1126" i="1"/>
  <c r="AH868" i="1"/>
  <c r="AI868" i="1"/>
  <c r="AH665" i="1"/>
  <c r="AI665" i="1"/>
  <c r="AI432" i="1"/>
  <c r="AI318" i="1"/>
  <c r="AI357" i="1"/>
  <c r="AI300" i="1"/>
  <c r="AI854" i="1"/>
  <c r="AH854" i="1"/>
  <c r="AH656" i="1"/>
  <c r="AI656" i="1"/>
  <c r="AI1159" i="1"/>
  <c r="AH402" i="1"/>
  <c r="AH360" i="1"/>
  <c r="AH426" i="1"/>
  <c r="AI405" i="1"/>
  <c r="AH392" i="1"/>
  <c r="AI240" i="1"/>
  <c r="AI159" i="1"/>
  <c r="AI264" i="1"/>
  <c r="AH270" i="1"/>
  <c r="AH349" i="1"/>
  <c r="AH57" i="1"/>
  <c r="AH85" i="1"/>
  <c r="AH97" i="1"/>
  <c r="AI848" i="1"/>
  <c r="AH848" i="1"/>
  <c r="AI640" i="1"/>
  <c r="AH640" i="1"/>
  <c r="AH745" i="1"/>
  <c r="AI745" i="1"/>
  <c r="AI1153" i="1"/>
  <c r="AH1153" i="1"/>
  <c r="AI911" i="1"/>
  <c r="AH911" i="1"/>
  <c r="AI663" i="1"/>
  <c r="AH663" i="1"/>
  <c r="AH601" i="1"/>
  <c r="AI601" i="1"/>
  <c r="AH641" i="1"/>
  <c r="AI641" i="1"/>
  <c r="AI1189" i="1"/>
  <c r="AH1189" i="1"/>
  <c r="AH692" i="1"/>
  <c r="AI692" i="1"/>
  <c r="AI592" i="1"/>
  <c r="AH592" i="1"/>
  <c r="AH811" i="1"/>
  <c r="AI811" i="1"/>
  <c r="AI907" i="1"/>
  <c r="AH907" i="1"/>
  <c r="AI611" i="1"/>
  <c r="AH611" i="1"/>
  <c r="AI1117" i="1"/>
  <c r="AH1117" i="1"/>
  <c r="AI990" i="1"/>
  <c r="AH990" i="1"/>
  <c r="AI893" i="1"/>
  <c r="AH893" i="1"/>
  <c r="AI842" i="1"/>
  <c r="AH842" i="1"/>
  <c r="AH1147" i="1"/>
  <c r="AI1147" i="1"/>
  <c r="AH938" i="1"/>
  <c r="AI938" i="1"/>
  <c r="AH617" i="1"/>
  <c r="AI617" i="1"/>
  <c r="AI587" i="1"/>
  <c r="AH587" i="1"/>
  <c r="AH898" i="1"/>
  <c r="AI898" i="1"/>
  <c r="AH686" i="1"/>
  <c r="AI686" i="1"/>
  <c r="AI623" i="1"/>
  <c r="AH623" i="1"/>
  <c r="AH637" i="1"/>
  <c r="AI637" i="1"/>
  <c r="AI1038" i="1"/>
  <c r="AH1038" i="1"/>
  <c r="AI890" i="1"/>
  <c r="AH890" i="1"/>
  <c r="AI1078" i="1"/>
  <c r="AH1078" i="1"/>
  <c r="AI935" i="1"/>
  <c r="AH935" i="1"/>
  <c r="AH1077" i="1"/>
  <c r="AI1077" i="1"/>
  <c r="AH1116" i="1"/>
  <c r="AH1128" i="1"/>
  <c r="AH1012" i="1"/>
  <c r="AH1102" i="1"/>
  <c r="AH998" i="1"/>
  <c r="AI688" i="1"/>
  <c r="AH651" i="1"/>
  <c r="AH366" i="1"/>
  <c r="AI526" i="1"/>
  <c r="AH345" i="1"/>
  <c r="AI556" i="1"/>
  <c r="AH411" i="1"/>
  <c r="AI369" i="1"/>
  <c r="AI420" i="1"/>
  <c r="AI168" i="1"/>
  <c r="AI156" i="1"/>
  <c r="AI123" i="1"/>
  <c r="AH351" i="1"/>
  <c r="AI255" i="1"/>
  <c r="AI404" i="1"/>
  <c r="AI341" i="1"/>
  <c r="AH495" i="1"/>
  <c r="AI297" i="1"/>
  <c r="AH232" i="1"/>
  <c r="AH336" i="1"/>
  <c r="AI926" i="1"/>
  <c r="AH926" i="1"/>
  <c r="AI1129" i="1"/>
  <c r="AH1129" i="1"/>
  <c r="AH1081" i="1"/>
  <c r="AI1081" i="1"/>
  <c r="AH483" i="1"/>
  <c r="AI483" i="1"/>
  <c r="AH442" i="1"/>
  <c r="AI442" i="1"/>
  <c r="AH725" i="1"/>
  <c r="AI725" i="1"/>
  <c r="AI1105" i="1"/>
  <c r="AH1105" i="1"/>
  <c r="AH1084" i="1"/>
  <c r="AI1084" i="1"/>
  <c r="AH560" i="1"/>
  <c r="AI670" i="1"/>
  <c r="AH633" i="1"/>
  <c r="AI366" i="1"/>
  <c r="AI345" i="1"/>
  <c r="AI411" i="1"/>
  <c r="AI302" i="1"/>
  <c r="AH42" i="1"/>
  <c r="AH316" i="1"/>
  <c r="AH84" i="1"/>
  <c r="AH222" i="1"/>
  <c r="AI351" i="1"/>
  <c r="AI219" i="1"/>
  <c r="AH404" i="1"/>
  <c r="AH341" i="1"/>
  <c r="AI252" i="1"/>
  <c r="AI135" i="1"/>
  <c r="AH276" i="1"/>
  <c r="AI267" i="1"/>
  <c r="AI60" i="1"/>
  <c r="AI232" i="1"/>
  <c r="AI214" i="1"/>
  <c r="AI7" i="1"/>
  <c r="AI241" i="1"/>
  <c r="AI336" i="1"/>
  <c r="AI672" i="1"/>
  <c r="AH672" i="1"/>
  <c r="AH625" i="1"/>
  <c r="AI625" i="1"/>
  <c r="AI521" i="1"/>
  <c r="AH521" i="1"/>
  <c r="AI824" i="1"/>
  <c r="AH824" i="1"/>
  <c r="AH634" i="1"/>
  <c r="AI634" i="1"/>
  <c r="AH799" i="1"/>
  <c r="AI799" i="1"/>
  <c r="AI721" i="1"/>
  <c r="AH721" i="1"/>
  <c r="AI631" i="1"/>
  <c r="AH631" i="1"/>
  <c r="AH910" i="1"/>
  <c r="AI910" i="1"/>
  <c r="AH790" i="1"/>
  <c r="AI790" i="1"/>
  <c r="AI1183" i="1"/>
  <c r="AH1183" i="1"/>
  <c r="AI1120" i="1"/>
  <c r="AH1120" i="1"/>
  <c r="AH629" i="1"/>
  <c r="AI629" i="1"/>
  <c r="AH436" i="1"/>
  <c r="AI436" i="1"/>
  <c r="AI690" i="1"/>
  <c r="AH690" i="1"/>
  <c r="AH465" i="1"/>
  <c r="AI465" i="1"/>
  <c r="AI440" i="1"/>
  <c r="AH440" i="1"/>
  <c r="AH817" i="1"/>
  <c r="AI817" i="1"/>
  <c r="AH589" i="1"/>
  <c r="AI589" i="1"/>
  <c r="AI1111" i="1"/>
  <c r="AH1111" i="1"/>
  <c r="AI887" i="1"/>
  <c r="AH887" i="1"/>
  <c r="AI866" i="1"/>
  <c r="AH866" i="1"/>
  <c r="AI931" i="1"/>
  <c r="AH931" i="1"/>
  <c r="AH593" i="1"/>
  <c r="AI593" i="1"/>
  <c r="AI467" i="1"/>
  <c r="AH467" i="1"/>
  <c r="AH1072" i="1"/>
  <c r="AI1072" i="1"/>
  <c r="AI734" i="1"/>
  <c r="AH734" i="1"/>
  <c r="AI1177" i="1"/>
  <c r="AH1177" i="1"/>
  <c r="AI621" i="1"/>
  <c r="AH621" i="1"/>
  <c r="AH863" i="1"/>
  <c r="AI863" i="1"/>
  <c r="AI723" i="1"/>
  <c r="AH723" i="1"/>
  <c r="AH1180" i="1"/>
  <c r="AI1180" i="1"/>
  <c r="AH647" i="1"/>
  <c r="AI647" i="1"/>
  <c r="AH505" i="1"/>
  <c r="AI505" i="1"/>
  <c r="AI1144" i="1"/>
  <c r="AH1144" i="1"/>
  <c r="AI1099" i="1"/>
  <c r="AH1099" i="1"/>
  <c r="AH613" i="1"/>
  <c r="AI613" i="1"/>
  <c r="AH856" i="1"/>
  <c r="AI856" i="1"/>
  <c r="AH581" i="1"/>
  <c r="AI581" i="1"/>
  <c r="AH395" i="1"/>
  <c r="AH383" i="1"/>
  <c r="AI383" i="1"/>
  <c r="AI259" i="1"/>
  <c r="AH259" i="1"/>
  <c r="AH253" i="1"/>
  <c r="AI253" i="1"/>
  <c r="AH361" i="1"/>
  <c r="AI361" i="1"/>
  <c r="AH149" i="1"/>
  <c r="AH281" i="1"/>
  <c r="AI281" i="1"/>
  <c r="AI403" i="1"/>
  <c r="AH335" i="1"/>
  <c r="AI335" i="1"/>
  <c r="AH422" i="1"/>
  <c r="AI422" i="1"/>
  <c r="AI421" i="1"/>
  <c r="AH398" i="1"/>
  <c r="AH424" i="1"/>
  <c r="AI424" i="1"/>
  <c r="AH415" i="1"/>
  <c r="AI415" i="1"/>
  <c r="AI319" i="1"/>
  <c r="AH47" i="1"/>
  <c r="AH409" i="1"/>
  <c r="AI409" i="1"/>
  <c r="AH314" i="1"/>
  <c r="AH359" i="1"/>
  <c r="AH407" i="1"/>
  <c r="AI407" i="1"/>
  <c r="AH374" i="1"/>
  <c r="AH212" i="1"/>
  <c r="AH353" i="1"/>
  <c r="AI353" i="1"/>
  <c r="AH224" i="1"/>
  <c r="AH431" i="1"/>
  <c r="AI274" i="1"/>
  <c r="AH274" i="1"/>
  <c r="AI199" i="1"/>
  <c r="AI172" i="1"/>
  <c r="AH137" i="1"/>
  <c r="AH389" i="1"/>
  <c r="AI389" i="1"/>
  <c r="AH344" i="1"/>
  <c r="AH433" i="1"/>
  <c r="AI433" i="1"/>
  <c r="AH296" i="1"/>
  <c r="AH26" i="1"/>
  <c r="AH410" i="1"/>
  <c r="AH116" i="1"/>
  <c r="AH419" i="1"/>
  <c r="AI419" i="1"/>
  <c r="AH308" i="1"/>
  <c r="AI308" i="1"/>
  <c r="AH236" i="1"/>
  <c r="AI236" i="1"/>
  <c r="AH244" i="1"/>
  <c r="AI244" i="1"/>
  <c r="AH167" i="1"/>
  <c r="AI127" i="1"/>
  <c r="AH290" i="1"/>
  <c r="AI290" i="1"/>
  <c r="AH233" i="1"/>
  <c r="AH83" i="1"/>
  <c r="AI331" i="1"/>
  <c r="AH331" i="1"/>
  <c r="AH104" i="1"/>
  <c r="AH179" i="1"/>
  <c r="AH245" i="1"/>
  <c r="AI245" i="1"/>
  <c r="AH350" i="1"/>
  <c r="AI350" i="1"/>
  <c r="AH340" i="1"/>
  <c r="AI340" i="1"/>
  <c r="AH62" i="1"/>
  <c r="AH254" i="1"/>
  <c r="AI254" i="1"/>
  <c r="AH203" i="1"/>
  <c r="AI292" i="1"/>
  <c r="AH292" i="1"/>
  <c r="AH347" i="1"/>
  <c r="AI347" i="1"/>
  <c r="AH182" i="1"/>
  <c r="AI182" i="1"/>
  <c r="AH413" i="1"/>
  <c r="AH371" i="1"/>
  <c r="AI371" i="1"/>
  <c r="AI286" i="1"/>
  <c r="AH286" i="1"/>
  <c r="AH226" i="1"/>
  <c r="AI226" i="1"/>
  <c r="AI154" i="1"/>
  <c r="AH218" i="1"/>
  <c r="AI218" i="1"/>
  <c r="AH386" i="1"/>
  <c r="AI386" i="1"/>
  <c r="AI337" i="1"/>
  <c r="AI343" i="1"/>
  <c r="AI301" i="1"/>
  <c r="AI310" i="1"/>
  <c r="AH310" i="1"/>
  <c r="AH425" i="1"/>
  <c r="AI425" i="1"/>
  <c r="AH397" i="1"/>
  <c r="AI397" i="1"/>
  <c r="AH68" i="1"/>
  <c r="AH355" i="1"/>
  <c r="AH21" i="1"/>
  <c r="AI21" i="1"/>
  <c r="AH428" i="1"/>
  <c r="AH377" i="1"/>
  <c r="AI295" i="1"/>
  <c r="AH295" i="1"/>
  <c r="AH188" i="1"/>
  <c r="AH401" i="1"/>
  <c r="AI401" i="1"/>
  <c r="AH221" i="1"/>
  <c r="AH362" i="1"/>
  <c r="AH230" i="1"/>
  <c r="AH185" i="1"/>
  <c r="AH365" i="1"/>
  <c r="AI365" i="1"/>
  <c r="AH251" i="1"/>
  <c r="AH380" i="1"/>
  <c r="AH257" i="1"/>
  <c r="AI257" i="1"/>
  <c r="AH388" i="1"/>
  <c r="AI388" i="1"/>
  <c r="AH323" i="1"/>
  <c r="AH12" i="1"/>
  <c r="AI268" i="1"/>
  <c r="AH9" i="1"/>
  <c r="AI9" i="1"/>
  <c r="AI118" i="1"/>
  <c r="AH110" i="1"/>
  <c r="AH15" i="1"/>
  <c r="AI15" i="1"/>
  <c r="AH332" i="1"/>
  <c r="AI55" i="1"/>
  <c r="AH305" i="1"/>
  <c r="AH227" i="1"/>
  <c r="AI227" i="1"/>
  <c r="AH5" i="1"/>
  <c r="AH61" i="1"/>
  <c r="AI61" i="1"/>
  <c r="AH197" i="1"/>
  <c r="AH140" i="1"/>
  <c r="AI328" i="1"/>
  <c r="AH328" i="1"/>
  <c r="AH53" i="1"/>
  <c r="AH18" i="1"/>
  <c r="AI373" i="1"/>
  <c r="AH6" i="1"/>
  <c r="AI136" i="1"/>
  <c r="AH206" i="1"/>
  <c r="AH416" i="1"/>
  <c r="AH107" i="1"/>
  <c r="AI46" i="1"/>
  <c r="AH358" i="1"/>
  <c r="AI358" i="1"/>
  <c r="AH317" i="1"/>
  <c r="AI317" i="1"/>
  <c r="AH29" i="1"/>
  <c r="AH24" i="1"/>
  <c r="AH200" i="1"/>
  <c r="AI200" i="1"/>
  <c r="AH143" i="1"/>
  <c r="AH65" i="1"/>
  <c r="AH22" i="1"/>
  <c r="AH326" i="1"/>
  <c r="AI326" i="1"/>
  <c r="AI190" i="1"/>
  <c r="AH191" i="1"/>
  <c r="AI191" i="1"/>
  <c r="AH119" i="1"/>
  <c r="AH152" i="1"/>
  <c r="AH356" i="1"/>
  <c r="AI356" i="1"/>
  <c r="AH164" i="1"/>
  <c r="AI164" i="1"/>
  <c r="AH299" i="1"/>
  <c r="AI299" i="1"/>
  <c r="AH89" i="1"/>
  <c r="AI208" i="1"/>
  <c r="AH272" i="1"/>
  <c r="AI272" i="1"/>
  <c r="AH352" i="1"/>
  <c r="AI283" i="1"/>
  <c r="AH27" i="1"/>
  <c r="AI27" i="1"/>
  <c r="AI82" i="1"/>
  <c r="AH3" i="1"/>
  <c r="C3" i="1" s="1" a="1"/>
  <c r="C3" i="1" s="1"/>
  <c r="AI3" i="1"/>
  <c r="AI265" i="1"/>
  <c r="AH263" i="1"/>
  <c r="AI263" i="1"/>
  <c r="AI406" i="1"/>
  <c r="AG2" i="1"/>
  <c r="AI2" i="1" s="1"/>
  <c r="Q3" i="1" l="1" a="1"/>
  <c r="Q3" i="1" s="1"/>
  <c r="K3" i="1" a="1"/>
  <c r="K3" i="1" s="1"/>
  <c r="N20" i="9"/>
  <c r="T322" i="9"/>
  <c r="J4" i="9"/>
  <c r="T16" i="9"/>
  <c r="R16" i="9"/>
  <c r="I4" i="9"/>
  <c r="R43" i="9"/>
  <c r="S43" i="9"/>
  <c r="M4" i="9"/>
  <c r="N4" i="9"/>
  <c r="O4" i="9"/>
  <c r="M20" i="9"/>
  <c r="O20" i="9"/>
  <c r="H20" i="9"/>
  <c r="I20" i="9"/>
  <c r="J20" i="9"/>
  <c r="H322" i="9"/>
  <c r="I322" i="9"/>
  <c r="J322" i="9"/>
  <c r="N88" i="9"/>
  <c r="M88" i="9"/>
  <c r="H145" i="9"/>
  <c r="I145" i="9"/>
  <c r="R145" i="9"/>
  <c r="J145" i="9"/>
  <c r="S145" i="9"/>
  <c r="T145" i="9"/>
  <c r="J351" i="9"/>
  <c r="I351" i="9"/>
  <c r="H351" i="9"/>
  <c r="O351" i="9"/>
  <c r="N351" i="9"/>
  <c r="M351" i="9"/>
  <c r="H85" i="9"/>
  <c r="I85" i="9"/>
  <c r="J85" i="9"/>
  <c r="O85" i="9"/>
  <c r="N85" i="9"/>
  <c r="M85" i="9"/>
  <c r="T53" i="9"/>
  <c r="S53" i="9"/>
  <c r="R53" i="9"/>
  <c r="T102" i="9"/>
  <c r="S102" i="9"/>
  <c r="R102" i="9"/>
  <c r="J36" i="9"/>
  <c r="I36" i="9"/>
  <c r="H36" i="9"/>
  <c r="O36" i="9"/>
  <c r="N36" i="9"/>
  <c r="M36" i="9"/>
  <c r="T93" i="9"/>
  <c r="S93" i="9"/>
  <c r="R93" i="9"/>
  <c r="T390" i="9"/>
  <c r="S390" i="9"/>
  <c r="R390" i="9"/>
  <c r="J32" i="9"/>
  <c r="I32" i="9"/>
  <c r="H32" i="9"/>
  <c r="O32" i="9"/>
  <c r="N32" i="9"/>
  <c r="M32" i="9"/>
  <c r="H33" i="9"/>
  <c r="J33" i="9"/>
  <c r="I33" i="9"/>
  <c r="O33" i="9"/>
  <c r="N33" i="9"/>
  <c r="M33" i="9"/>
  <c r="J277" i="9"/>
  <c r="I277" i="9"/>
  <c r="H277" i="9"/>
  <c r="O277" i="9"/>
  <c r="N277" i="9"/>
  <c r="M277" i="9"/>
  <c r="S241" i="9"/>
  <c r="R241" i="9"/>
  <c r="T241" i="9"/>
  <c r="I232" i="9"/>
  <c r="H232" i="9"/>
  <c r="J232" i="9"/>
  <c r="N232" i="9"/>
  <c r="O232" i="9"/>
  <c r="M232" i="9"/>
  <c r="T81" i="9"/>
  <c r="S81" i="9"/>
  <c r="R81" i="9"/>
  <c r="T230" i="9"/>
  <c r="S230" i="9"/>
  <c r="R230" i="9"/>
  <c r="J175" i="9"/>
  <c r="I175" i="9"/>
  <c r="H175" i="9"/>
  <c r="O175" i="9"/>
  <c r="N175" i="9"/>
  <c r="M175" i="9"/>
  <c r="I260" i="9"/>
  <c r="H260" i="9"/>
  <c r="J260" i="9"/>
  <c r="N260" i="9"/>
  <c r="M260" i="9"/>
  <c r="O260" i="9"/>
  <c r="T23" i="9"/>
  <c r="S23" i="9"/>
  <c r="R23" i="9"/>
  <c r="T123" i="9"/>
  <c r="S123" i="9"/>
  <c r="R123" i="9"/>
  <c r="J369" i="9"/>
  <c r="I369" i="9"/>
  <c r="H369" i="9"/>
  <c r="O369" i="9"/>
  <c r="N369" i="9"/>
  <c r="M369" i="9"/>
  <c r="J146" i="9"/>
  <c r="I146" i="9"/>
  <c r="H146" i="9"/>
  <c r="O146" i="9"/>
  <c r="M146" i="9"/>
  <c r="N146" i="9"/>
  <c r="I184" i="9"/>
  <c r="H184" i="9"/>
  <c r="J184" i="9"/>
  <c r="O184" i="9"/>
  <c r="M184" i="9"/>
  <c r="N184" i="9"/>
  <c r="T57" i="9"/>
  <c r="S57" i="9"/>
  <c r="R57" i="9"/>
  <c r="T262" i="9"/>
  <c r="S262" i="9"/>
  <c r="R262" i="9"/>
  <c r="T270" i="9"/>
  <c r="S270" i="9"/>
  <c r="R270" i="9"/>
  <c r="T360" i="9"/>
  <c r="S360" i="9"/>
  <c r="R360" i="9"/>
  <c r="J329" i="9"/>
  <c r="I329" i="9"/>
  <c r="H329" i="9"/>
  <c r="O329" i="9"/>
  <c r="N329" i="9"/>
  <c r="M329" i="9"/>
  <c r="T312" i="9"/>
  <c r="S312" i="9"/>
  <c r="R312" i="9"/>
  <c r="T131" i="9"/>
  <c r="S131" i="9"/>
  <c r="R131" i="9"/>
  <c r="T330" i="9"/>
  <c r="S330" i="9"/>
  <c r="R330" i="9"/>
  <c r="J243" i="9"/>
  <c r="I243" i="9"/>
  <c r="H243" i="9"/>
  <c r="O243" i="9"/>
  <c r="N243" i="9"/>
  <c r="M243" i="9"/>
  <c r="T124" i="9"/>
  <c r="S124" i="9"/>
  <c r="R124" i="9"/>
  <c r="J129" i="9"/>
  <c r="I129" i="9"/>
  <c r="H129" i="9"/>
  <c r="O129" i="9"/>
  <c r="N129" i="9"/>
  <c r="M129" i="9"/>
  <c r="S277" i="9"/>
  <c r="R277" i="9"/>
  <c r="T277" i="9"/>
  <c r="T7" i="9"/>
  <c r="S7" i="9"/>
  <c r="R7" i="9"/>
  <c r="J231" i="9"/>
  <c r="I231" i="9"/>
  <c r="H231" i="9"/>
  <c r="O231" i="9"/>
  <c r="N231" i="9"/>
  <c r="M231" i="9"/>
  <c r="J381" i="9"/>
  <c r="I381" i="9"/>
  <c r="H381" i="9"/>
  <c r="O381" i="9"/>
  <c r="N381" i="9"/>
  <c r="M381" i="9"/>
  <c r="J151" i="9"/>
  <c r="I151" i="9"/>
  <c r="H151" i="9"/>
  <c r="O151" i="9"/>
  <c r="N151" i="9"/>
  <c r="M151" i="9"/>
  <c r="J7" i="9"/>
  <c r="I7" i="9"/>
  <c r="H7" i="9"/>
  <c r="O7" i="9"/>
  <c r="N7" i="9"/>
  <c r="M7" i="9"/>
  <c r="I344" i="9"/>
  <c r="H344" i="9"/>
  <c r="J344" i="9"/>
  <c r="M344" i="9"/>
  <c r="N344" i="9"/>
  <c r="O344" i="9"/>
  <c r="H53" i="9"/>
  <c r="I53" i="9"/>
  <c r="J53" i="9"/>
  <c r="O53" i="9"/>
  <c r="N53" i="9"/>
  <c r="M53" i="9"/>
  <c r="T125" i="9"/>
  <c r="S125" i="9"/>
  <c r="R125" i="9"/>
  <c r="J80" i="9"/>
  <c r="I80" i="9"/>
  <c r="H80" i="9"/>
  <c r="O80" i="9"/>
  <c r="M80" i="9"/>
  <c r="N80" i="9"/>
  <c r="J334" i="9"/>
  <c r="I334" i="9"/>
  <c r="H334" i="9"/>
  <c r="M334" i="9"/>
  <c r="O334" i="9"/>
  <c r="N334" i="9"/>
  <c r="T79" i="9"/>
  <c r="S79" i="9"/>
  <c r="R79" i="9"/>
  <c r="T256" i="9"/>
  <c r="S256" i="9"/>
  <c r="R256" i="9"/>
  <c r="J47" i="9"/>
  <c r="I47" i="9"/>
  <c r="H47" i="9"/>
  <c r="O47" i="9"/>
  <c r="N47" i="9"/>
  <c r="M47" i="9"/>
  <c r="J198" i="9"/>
  <c r="I198" i="9"/>
  <c r="H198" i="9"/>
  <c r="O198" i="9"/>
  <c r="M198" i="9"/>
  <c r="N198" i="9"/>
  <c r="J302" i="9"/>
  <c r="I302" i="9"/>
  <c r="H302" i="9"/>
  <c r="N302" i="9"/>
  <c r="M302" i="9"/>
  <c r="O302" i="9"/>
  <c r="J222" i="9"/>
  <c r="I222" i="9"/>
  <c r="H222" i="9"/>
  <c r="N222" i="9"/>
  <c r="M222" i="9"/>
  <c r="O222" i="9"/>
  <c r="J35" i="9"/>
  <c r="I35" i="9"/>
  <c r="H35" i="9"/>
  <c r="O35" i="9"/>
  <c r="N35" i="9"/>
  <c r="M35" i="9"/>
  <c r="J59" i="9"/>
  <c r="I59" i="9"/>
  <c r="H59" i="9"/>
  <c r="O59" i="9"/>
  <c r="N59" i="9"/>
  <c r="M59" i="9"/>
  <c r="S315" i="9"/>
  <c r="R315" i="9"/>
  <c r="T315" i="9"/>
  <c r="R332" i="9"/>
  <c r="T332" i="9"/>
  <c r="S332" i="9"/>
  <c r="J294" i="9"/>
  <c r="I294" i="9"/>
  <c r="H294" i="9"/>
  <c r="N294" i="9"/>
  <c r="M294" i="9"/>
  <c r="O294" i="9"/>
  <c r="J250" i="9"/>
  <c r="I250" i="9"/>
  <c r="H250" i="9"/>
  <c r="N250" i="9"/>
  <c r="O250" i="9"/>
  <c r="M250" i="9"/>
  <c r="T65" i="9"/>
  <c r="S65" i="9"/>
  <c r="R65" i="9"/>
  <c r="J90" i="9"/>
  <c r="I90" i="9"/>
  <c r="H90" i="9"/>
  <c r="O90" i="9"/>
  <c r="M90" i="9"/>
  <c r="N90" i="9"/>
  <c r="J68" i="9"/>
  <c r="I68" i="9"/>
  <c r="H68" i="9"/>
  <c r="O68" i="9"/>
  <c r="N68" i="9"/>
  <c r="M68" i="9"/>
  <c r="J342" i="9"/>
  <c r="I342" i="9"/>
  <c r="H342" i="9"/>
  <c r="M342" i="9"/>
  <c r="O342" i="9"/>
  <c r="N342" i="9"/>
  <c r="T147" i="9"/>
  <c r="S147" i="9"/>
  <c r="R147" i="9"/>
  <c r="T161" i="9"/>
  <c r="S161" i="9"/>
  <c r="R161" i="9"/>
  <c r="I264" i="9"/>
  <c r="H264" i="9"/>
  <c r="J264" i="9"/>
  <c r="N264" i="9"/>
  <c r="O264" i="9"/>
  <c r="M264" i="9"/>
  <c r="J391" i="9"/>
  <c r="I391" i="9"/>
  <c r="H391" i="9"/>
  <c r="O391" i="9"/>
  <c r="N391" i="9"/>
  <c r="M391" i="9"/>
  <c r="T316" i="9"/>
  <c r="S316" i="9"/>
  <c r="R316" i="9"/>
  <c r="R58" i="9"/>
  <c r="T58" i="9"/>
  <c r="S58" i="9"/>
  <c r="J83" i="9"/>
  <c r="I83" i="9"/>
  <c r="H83" i="9"/>
  <c r="O83" i="9"/>
  <c r="N83" i="9"/>
  <c r="M83" i="9"/>
  <c r="R62" i="9"/>
  <c r="T62" i="9"/>
  <c r="S62" i="9"/>
  <c r="T216" i="9"/>
  <c r="S216" i="9"/>
  <c r="R216" i="9"/>
  <c r="S255" i="9"/>
  <c r="R255" i="9"/>
  <c r="T255" i="9"/>
  <c r="S233" i="9"/>
  <c r="R233" i="9"/>
  <c r="T233" i="9"/>
  <c r="R64" i="9"/>
  <c r="T64" i="9"/>
  <c r="S64" i="9"/>
  <c r="T151" i="9"/>
  <c r="S151" i="9"/>
  <c r="R151" i="9"/>
  <c r="J138" i="9"/>
  <c r="I138" i="9"/>
  <c r="H138" i="9"/>
  <c r="O138" i="9"/>
  <c r="M138" i="9"/>
  <c r="N138" i="9"/>
  <c r="J258" i="9"/>
  <c r="I258" i="9"/>
  <c r="H258" i="9"/>
  <c r="N258" i="9"/>
  <c r="O258" i="9"/>
  <c r="M258" i="9"/>
  <c r="R50" i="9"/>
  <c r="T50" i="9"/>
  <c r="S50" i="9"/>
  <c r="I256" i="9"/>
  <c r="H256" i="9"/>
  <c r="J256" i="9"/>
  <c r="N256" i="9"/>
  <c r="O256" i="9"/>
  <c r="M256" i="9"/>
  <c r="T47" i="9"/>
  <c r="S47" i="9"/>
  <c r="R47" i="9"/>
  <c r="T198" i="9"/>
  <c r="S198" i="9"/>
  <c r="R198" i="9"/>
  <c r="T302" i="9"/>
  <c r="S302" i="9"/>
  <c r="R302" i="9"/>
  <c r="T222" i="9"/>
  <c r="S222" i="9"/>
  <c r="R222" i="9"/>
  <c r="T35" i="9"/>
  <c r="S35" i="9"/>
  <c r="R35" i="9"/>
  <c r="T59" i="9"/>
  <c r="S59" i="9"/>
  <c r="R59" i="9"/>
  <c r="J315" i="9"/>
  <c r="I315" i="9"/>
  <c r="H315" i="9"/>
  <c r="O315" i="9"/>
  <c r="N315" i="9"/>
  <c r="M315" i="9"/>
  <c r="I332" i="9"/>
  <c r="H332" i="9"/>
  <c r="J332" i="9"/>
  <c r="M332" i="9"/>
  <c r="N332" i="9"/>
  <c r="O332" i="9"/>
  <c r="T294" i="9"/>
  <c r="S294" i="9"/>
  <c r="R294" i="9"/>
  <c r="T250" i="9"/>
  <c r="S250" i="9"/>
  <c r="R250" i="9"/>
  <c r="H65" i="9"/>
  <c r="J65" i="9"/>
  <c r="I65" i="9"/>
  <c r="O65" i="9"/>
  <c r="N65" i="9"/>
  <c r="M65" i="9"/>
  <c r="T90" i="9"/>
  <c r="S90" i="9"/>
  <c r="R90" i="9"/>
  <c r="R68" i="9"/>
  <c r="T68" i="9"/>
  <c r="S68" i="9"/>
  <c r="T342" i="9"/>
  <c r="R342" i="9"/>
  <c r="S342" i="9"/>
  <c r="J147" i="9"/>
  <c r="I147" i="9"/>
  <c r="H147" i="9"/>
  <c r="O147" i="9"/>
  <c r="N147" i="9"/>
  <c r="M147" i="9"/>
  <c r="J161" i="9"/>
  <c r="I161" i="9"/>
  <c r="H161" i="9"/>
  <c r="O161" i="9"/>
  <c r="N161" i="9"/>
  <c r="M161" i="9"/>
  <c r="T264" i="9"/>
  <c r="S264" i="9"/>
  <c r="R264" i="9"/>
  <c r="T391" i="9"/>
  <c r="S391" i="9"/>
  <c r="R391" i="9"/>
  <c r="I316" i="9"/>
  <c r="H316" i="9"/>
  <c r="J316" i="9"/>
  <c r="N316" i="9"/>
  <c r="M316" i="9"/>
  <c r="O316" i="9"/>
  <c r="J58" i="9"/>
  <c r="I58" i="9"/>
  <c r="H58" i="9"/>
  <c r="O58" i="9"/>
  <c r="N58" i="9"/>
  <c r="M58" i="9"/>
  <c r="T83" i="9"/>
  <c r="S83" i="9"/>
  <c r="R83" i="9"/>
  <c r="J60" i="9"/>
  <c r="I60" i="9"/>
  <c r="H60" i="9"/>
  <c r="O60" i="9"/>
  <c r="N60" i="9"/>
  <c r="M60" i="9"/>
  <c r="S275" i="9"/>
  <c r="R275" i="9"/>
  <c r="T275" i="9"/>
  <c r="J185" i="9"/>
  <c r="I185" i="9"/>
  <c r="H185" i="9"/>
  <c r="O185" i="9"/>
  <c r="N185" i="9"/>
  <c r="M185" i="9"/>
  <c r="J79" i="9"/>
  <c r="I79" i="9"/>
  <c r="H79" i="9"/>
  <c r="O79" i="9"/>
  <c r="N79" i="9"/>
  <c r="M79" i="9"/>
  <c r="T135" i="9"/>
  <c r="S135" i="9"/>
  <c r="R135" i="9"/>
  <c r="T85" i="9"/>
  <c r="S85" i="9"/>
  <c r="R85" i="9"/>
  <c r="J186" i="9"/>
  <c r="I186" i="9"/>
  <c r="H186" i="9"/>
  <c r="O186" i="9"/>
  <c r="M186" i="9"/>
  <c r="N186" i="9"/>
  <c r="J399" i="9"/>
  <c r="I399" i="9"/>
  <c r="H399" i="9"/>
  <c r="O399" i="9"/>
  <c r="N399" i="9"/>
  <c r="M399" i="9"/>
  <c r="T29" i="9"/>
  <c r="S29" i="9"/>
  <c r="R29" i="9"/>
  <c r="S215" i="9"/>
  <c r="R215" i="9"/>
  <c r="T215" i="9"/>
  <c r="T214" i="9"/>
  <c r="S214" i="9"/>
  <c r="R214" i="9"/>
  <c r="J267" i="9"/>
  <c r="I267" i="9"/>
  <c r="H267" i="9"/>
  <c r="O267" i="9"/>
  <c r="N267" i="9"/>
  <c r="M267" i="9"/>
  <c r="I252" i="9"/>
  <c r="H252" i="9"/>
  <c r="J252" i="9"/>
  <c r="N252" i="9"/>
  <c r="M252" i="9"/>
  <c r="O252" i="9"/>
  <c r="J345" i="9"/>
  <c r="I345" i="9"/>
  <c r="H345" i="9"/>
  <c r="O345" i="9"/>
  <c r="N345" i="9"/>
  <c r="M345" i="9"/>
  <c r="I384" i="9"/>
  <c r="H384" i="9"/>
  <c r="J384" i="9"/>
  <c r="M384" i="9"/>
  <c r="N384" i="9"/>
  <c r="O384" i="9"/>
  <c r="J143" i="9"/>
  <c r="I143" i="9"/>
  <c r="H143" i="9"/>
  <c r="O143" i="9"/>
  <c r="N143" i="9"/>
  <c r="M143" i="9"/>
  <c r="T122" i="9"/>
  <c r="S122" i="9"/>
  <c r="R122" i="9"/>
  <c r="T156" i="9"/>
  <c r="S156" i="9"/>
  <c r="R156" i="9"/>
  <c r="J116" i="9"/>
  <c r="I116" i="9"/>
  <c r="H116" i="9"/>
  <c r="O116" i="9"/>
  <c r="M116" i="9"/>
  <c r="N116" i="9"/>
  <c r="H97" i="9"/>
  <c r="J97" i="9"/>
  <c r="I97" i="9"/>
  <c r="O97" i="9"/>
  <c r="N97" i="9"/>
  <c r="M97" i="9"/>
  <c r="S273" i="9"/>
  <c r="R273" i="9"/>
  <c r="T273" i="9"/>
  <c r="I288" i="9"/>
  <c r="H288" i="9"/>
  <c r="J288" i="9"/>
  <c r="N288" i="9"/>
  <c r="O288" i="9"/>
  <c r="M288" i="9"/>
  <c r="I144" i="9"/>
  <c r="H144" i="9"/>
  <c r="J144" i="9"/>
  <c r="O144" i="9"/>
  <c r="M144" i="9"/>
  <c r="N144" i="9"/>
  <c r="T248" i="9"/>
  <c r="S248" i="9"/>
  <c r="R248" i="9"/>
  <c r="J247" i="9"/>
  <c r="I247" i="9"/>
  <c r="H247" i="9"/>
  <c r="O247" i="9"/>
  <c r="N247" i="9"/>
  <c r="M247" i="9"/>
  <c r="H73" i="9"/>
  <c r="J73" i="9"/>
  <c r="I73" i="9"/>
  <c r="O73" i="9"/>
  <c r="N73" i="9"/>
  <c r="M73" i="9"/>
  <c r="J269" i="9"/>
  <c r="I269" i="9"/>
  <c r="H269" i="9"/>
  <c r="O269" i="9"/>
  <c r="N269" i="9"/>
  <c r="M269" i="9"/>
  <c r="J66" i="9"/>
  <c r="I66" i="9"/>
  <c r="H66" i="9"/>
  <c r="O66" i="9"/>
  <c r="N66" i="9"/>
  <c r="M66" i="9"/>
  <c r="T114" i="9"/>
  <c r="S114" i="9"/>
  <c r="R114" i="9"/>
  <c r="J193" i="9"/>
  <c r="I193" i="9"/>
  <c r="H193" i="9"/>
  <c r="O193" i="9"/>
  <c r="N193" i="9"/>
  <c r="M193" i="9"/>
  <c r="J229" i="9"/>
  <c r="I229" i="9"/>
  <c r="H229" i="9"/>
  <c r="O229" i="9"/>
  <c r="N229" i="9"/>
  <c r="M229" i="9"/>
  <c r="J303" i="9"/>
  <c r="I303" i="9"/>
  <c r="H303" i="9"/>
  <c r="O303" i="9"/>
  <c r="N303" i="9"/>
  <c r="M303" i="9"/>
  <c r="J339" i="9"/>
  <c r="I339" i="9"/>
  <c r="H339" i="9"/>
  <c r="O339" i="9"/>
  <c r="N339" i="9"/>
  <c r="M339" i="9"/>
  <c r="H37" i="9"/>
  <c r="I37" i="9"/>
  <c r="J37" i="9"/>
  <c r="O37" i="9"/>
  <c r="N37" i="9"/>
  <c r="M37" i="9"/>
  <c r="J214" i="9"/>
  <c r="I214" i="9"/>
  <c r="H214" i="9"/>
  <c r="N214" i="9"/>
  <c r="M214" i="9"/>
  <c r="O214" i="9"/>
  <c r="S267" i="9"/>
  <c r="R267" i="9"/>
  <c r="T267" i="9"/>
  <c r="T252" i="9"/>
  <c r="S252" i="9"/>
  <c r="R252" i="9"/>
  <c r="T345" i="9"/>
  <c r="S345" i="9"/>
  <c r="R345" i="9"/>
  <c r="T384" i="9"/>
  <c r="S384" i="9"/>
  <c r="R384" i="9"/>
  <c r="T143" i="9"/>
  <c r="S143" i="9"/>
  <c r="R143" i="9"/>
  <c r="J122" i="9"/>
  <c r="I122" i="9"/>
  <c r="H122" i="9"/>
  <c r="O122" i="9"/>
  <c r="M122" i="9"/>
  <c r="N122" i="9"/>
  <c r="I156" i="9"/>
  <c r="H156" i="9"/>
  <c r="J156" i="9"/>
  <c r="O156" i="9"/>
  <c r="M156" i="9"/>
  <c r="N156" i="9"/>
  <c r="T116" i="9"/>
  <c r="S116" i="9"/>
  <c r="R116" i="9"/>
  <c r="T97" i="9"/>
  <c r="S97" i="9"/>
  <c r="R97" i="9"/>
  <c r="J273" i="9"/>
  <c r="I273" i="9"/>
  <c r="H273" i="9"/>
  <c r="O273" i="9"/>
  <c r="N273" i="9"/>
  <c r="M273" i="9"/>
  <c r="T288" i="9"/>
  <c r="S288" i="9"/>
  <c r="R288" i="9"/>
  <c r="T144" i="9"/>
  <c r="S144" i="9"/>
  <c r="R144" i="9"/>
  <c r="I248" i="9"/>
  <c r="H248" i="9"/>
  <c r="J248" i="9"/>
  <c r="N248" i="9"/>
  <c r="O248" i="9"/>
  <c r="M248" i="9"/>
  <c r="S247" i="9"/>
  <c r="R247" i="9"/>
  <c r="T247" i="9"/>
  <c r="T73" i="9"/>
  <c r="S73" i="9"/>
  <c r="R73" i="9"/>
  <c r="S269" i="9"/>
  <c r="R269" i="9"/>
  <c r="T269" i="9"/>
  <c r="R66" i="9"/>
  <c r="T66" i="9"/>
  <c r="S66" i="9"/>
  <c r="J114" i="9"/>
  <c r="I114" i="9"/>
  <c r="H114" i="9"/>
  <c r="O114" i="9"/>
  <c r="M114" i="9"/>
  <c r="N114" i="9"/>
  <c r="T193" i="9"/>
  <c r="S193" i="9"/>
  <c r="R193" i="9"/>
  <c r="S229" i="9"/>
  <c r="R229" i="9"/>
  <c r="T229" i="9"/>
  <c r="S303" i="9"/>
  <c r="R303" i="9"/>
  <c r="T303" i="9"/>
  <c r="J102" i="9"/>
  <c r="I102" i="9"/>
  <c r="H102" i="9"/>
  <c r="O102" i="9"/>
  <c r="M102" i="9"/>
  <c r="N102" i="9"/>
  <c r="R36" i="9"/>
  <c r="T36" i="9"/>
  <c r="S36" i="9"/>
  <c r="T105" i="9"/>
  <c r="S105" i="9"/>
  <c r="R105" i="9"/>
  <c r="J255" i="9"/>
  <c r="I255" i="9"/>
  <c r="H255" i="9"/>
  <c r="O255" i="9"/>
  <c r="N255" i="9"/>
  <c r="M255" i="9"/>
  <c r="J233" i="9"/>
  <c r="I233" i="9"/>
  <c r="H233" i="9"/>
  <c r="O233" i="9"/>
  <c r="N233" i="9"/>
  <c r="M233" i="9"/>
  <c r="J153" i="9"/>
  <c r="I153" i="9"/>
  <c r="H153" i="9"/>
  <c r="O153" i="9"/>
  <c r="N153" i="9"/>
  <c r="M153" i="9"/>
  <c r="H101" i="9"/>
  <c r="I101" i="9"/>
  <c r="J101" i="9"/>
  <c r="O101" i="9"/>
  <c r="N101" i="9"/>
  <c r="M101" i="9"/>
  <c r="I228" i="9"/>
  <c r="H228" i="9"/>
  <c r="J228" i="9"/>
  <c r="N228" i="9"/>
  <c r="M228" i="9"/>
  <c r="O228" i="9"/>
  <c r="J100" i="9"/>
  <c r="I100" i="9"/>
  <c r="H100" i="9"/>
  <c r="O100" i="9"/>
  <c r="M100" i="9"/>
  <c r="N100" i="9"/>
  <c r="J10" i="9"/>
  <c r="I10" i="9"/>
  <c r="H10" i="9"/>
  <c r="O10" i="9"/>
  <c r="N10" i="9"/>
  <c r="M10" i="9"/>
  <c r="J76" i="9"/>
  <c r="I76" i="9"/>
  <c r="H76" i="9"/>
  <c r="O76" i="9"/>
  <c r="M76" i="9"/>
  <c r="N76" i="9"/>
  <c r="T112" i="9"/>
  <c r="S112" i="9"/>
  <c r="R112" i="9"/>
  <c r="T134" i="9"/>
  <c r="S134" i="9"/>
  <c r="R134" i="9"/>
  <c r="J11" i="9"/>
  <c r="I11" i="9"/>
  <c r="H11" i="9"/>
  <c r="O11" i="9"/>
  <c r="N11" i="9"/>
  <c r="M11" i="9"/>
  <c r="J366" i="9"/>
  <c r="I366" i="9"/>
  <c r="H366" i="9"/>
  <c r="M366" i="9"/>
  <c r="N366" i="9"/>
  <c r="O366" i="9"/>
  <c r="T314" i="9"/>
  <c r="S314" i="9"/>
  <c r="R314" i="9"/>
  <c r="J251" i="9"/>
  <c r="I251" i="9"/>
  <c r="H251" i="9"/>
  <c r="O251" i="9"/>
  <c r="N251" i="9"/>
  <c r="M251" i="9"/>
  <c r="T176" i="9"/>
  <c r="S176" i="9"/>
  <c r="R176" i="9"/>
  <c r="T168" i="9"/>
  <c r="S168" i="9"/>
  <c r="R168" i="9"/>
  <c r="I372" i="9"/>
  <c r="H372" i="9"/>
  <c r="M372" i="9"/>
  <c r="J372" i="9"/>
  <c r="N372" i="9"/>
  <c r="O372" i="9"/>
  <c r="T115" i="9"/>
  <c r="S115" i="9"/>
  <c r="R115" i="9"/>
  <c r="S309" i="9"/>
  <c r="R309" i="9"/>
  <c r="T309" i="9"/>
  <c r="J44" i="9"/>
  <c r="I44" i="9"/>
  <c r="H44" i="9"/>
  <c r="O44" i="9"/>
  <c r="N44" i="9"/>
  <c r="M44" i="9"/>
  <c r="J207" i="9"/>
  <c r="I207" i="9"/>
  <c r="H207" i="9"/>
  <c r="O207" i="9"/>
  <c r="N207" i="9"/>
  <c r="M207" i="9"/>
  <c r="I352" i="9"/>
  <c r="H352" i="9"/>
  <c r="J352" i="9"/>
  <c r="M352" i="9"/>
  <c r="N352" i="9"/>
  <c r="O352" i="9"/>
  <c r="I224" i="9"/>
  <c r="H224" i="9"/>
  <c r="J224" i="9"/>
  <c r="N224" i="9"/>
  <c r="O224" i="9"/>
  <c r="M224" i="9"/>
  <c r="R74" i="9"/>
  <c r="T74" i="9"/>
  <c r="S74" i="9"/>
  <c r="S271" i="9"/>
  <c r="R271" i="9"/>
  <c r="T271" i="9"/>
  <c r="T159" i="9"/>
  <c r="S159" i="9"/>
  <c r="R159" i="9"/>
  <c r="J139" i="9"/>
  <c r="I139" i="9"/>
  <c r="H139" i="9"/>
  <c r="O139" i="9"/>
  <c r="N139" i="9"/>
  <c r="M139" i="9"/>
  <c r="I148" i="9"/>
  <c r="H148" i="9"/>
  <c r="J148" i="9"/>
  <c r="O148" i="9"/>
  <c r="M148" i="9"/>
  <c r="N148" i="9"/>
  <c r="J67" i="9"/>
  <c r="I67" i="9"/>
  <c r="H67" i="9"/>
  <c r="O67" i="9"/>
  <c r="N67" i="9"/>
  <c r="M67" i="9"/>
  <c r="R30" i="9"/>
  <c r="T30" i="9"/>
  <c r="S30" i="9"/>
  <c r="T344" i="9"/>
  <c r="S344" i="9"/>
  <c r="R344" i="9"/>
  <c r="T351" i="9"/>
  <c r="S351" i="9"/>
  <c r="R351" i="9"/>
  <c r="T167" i="9"/>
  <c r="S167" i="9"/>
  <c r="R167" i="9"/>
  <c r="J174" i="9"/>
  <c r="I174" i="9"/>
  <c r="H174" i="9"/>
  <c r="O174" i="9"/>
  <c r="M174" i="9"/>
  <c r="N174" i="9"/>
  <c r="R10" i="9"/>
  <c r="T10" i="9"/>
  <c r="S10" i="9"/>
  <c r="T76" i="9"/>
  <c r="S76" i="9"/>
  <c r="R76" i="9"/>
  <c r="J112" i="9"/>
  <c r="I112" i="9"/>
  <c r="H112" i="9"/>
  <c r="O112" i="9"/>
  <c r="M112" i="9"/>
  <c r="N112" i="9"/>
  <c r="J134" i="9"/>
  <c r="I134" i="9"/>
  <c r="H134" i="9"/>
  <c r="O134" i="9"/>
  <c r="M134" i="9"/>
  <c r="N134" i="9"/>
  <c r="T11" i="9"/>
  <c r="S11" i="9"/>
  <c r="R11" i="9"/>
  <c r="T366" i="9"/>
  <c r="R366" i="9"/>
  <c r="S366" i="9"/>
  <c r="J314" i="9"/>
  <c r="I314" i="9"/>
  <c r="H314" i="9"/>
  <c r="N314" i="9"/>
  <c r="O314" i="9"/>
  <c r="M314" i="9"/>
  <c r="S251" i="9"/>
  <c r="R251" i="9"/>
  <c r="T251" i="9"/>
  <c r="I176" i="9"/>
  <c r="H176" i="9"/>
  <c r="J176" i="9"/>
  <c r="O176" i="9"/>
  <c r="M176" i="9"/>
  <c r="N176" i="9"/>
  <c r="I168" i="9"/>
  <c r="H168" i="9"/>
  <c r="J168" i="9"/>
  <c r="O168" i="9"/>
  <c r="M168" i="9"/>
  <c r="N168" i="9"/>
  <c r="T372" i="9"/>
  <c r="R372" i="9"/>
  <c r="S372" i="9"/>
  <c r="J115" i="9"/>
  <c r="I115" i="9"/>
  <c r="H115" i="9"/>
  <c r="O115" i="9"/>
  <c r="N115" i="9"/>
  <c r="M115" i="9"/>
  <c r="J309" i="9"/>
  <c r="I309" i="9"/>
  <c r="H309" i="9"/>
  <c r="O309" i="9"/>
  <c r="N309" i="9"/>
  <c r="M309" i="9"/>
  <c r="R44" i="9"/>
  <c r="T44" i="9"/>
  <c r="S44" i="9"/>
  <c r="S207" i="9"/>
  <c r="R207" i="9"/>
  <c r="T207" i="9"/>
  <c r="R352" i="9"/>
  <c r="S352" i="9"/>
  <c r="T352" i="9"/>
  <c r="T224" i="9"/>
  <c r="S224" i="9"/>
  <c r="R224" i="9"/>
  <c r="J74" i="9"/>
  <c r="I74" i="9"/>
  <c r="H74" i="9"/>
  <c r="O74" i="9"/>
  <c r="N74" i="9"/>
  <c r="M74" i="9"/>
  <c r="J271" i="9"/>
  <c r="I271" i="9"/>
  <c r="H271" i="9"/>
  <c r="O271" i="9"/>
  <c r="N271" i="9"/>
  <c r="M271" i="9"/>
  <c r="J159" i="9"/>
  <c r="I159" i="9"/>
  <c r="H159" i="9"/>
  <c r="O159" i="9"/>
  <c r="N159" i="9"/>
  <c r="M159" i="9"/>
  <c r="T139" i="9"/>
  <c r="S139" i="9"/>
  <c r="R139" i="9"/>
  <c r="T148" i="9"/>
  <c r="S148" i="9"/>
  <c r="R148" i="9"/>
  <c r="T67" i="9"/>
  <c r="S67" i="9"/>
  <c r="R67" i="9"/>
  <c r="J30" i="9"/>
  <c r="I30" i="9"/>
  <c r="H30" i="9"/>
  <c r="O30" i="9"/>
  <c r="N30" i="9"/>
  <c r="M30" i="9"/>
  <c r="S297" i="9"/>
  <c r="R297" i="9"/>
  <c r="T297" i="9"/>
  <c r="R6" i="9"/>
  <c r="T6" i="9"/>
  <c r="S6" i="9"/>
  <c r="J167" i="9"/>
  <c r="I167" i="9"/>
  <c r="H167" i="9"/>
  <c r="O167" i="9"/>
  <c r="N167" i="9"/>
  <c r="M167" i="9"/>
  <c r="H93" i="9"/>
  <c r="J93" i="9"/>
  <c r="I93" i="9"/>
  <c r="O93" i="9"/>
  <c r="N93" i="9"/>
  <c r="M93" i="9"/>
  <c r="S231" i="9"/>
  <c r="R231" i="9"/>
  <c r="T231" i="9"/>
  <c r="T381" i="9"/>
  <c r="S381" i="9"/>
  <c r="R381" i="9"/>
  <c r="I392" i="9"/>
  <c r="H392" i="9"/>
  <c r="J392" i="9"/>
  <c r="M392" i="9"/>
  <c r="N392" i="9"/>
  <c r="O392" i="9"/>
  <c r="J225" i="9"/>
  <c r="I225" i="9"/>
  <c r="H225" i="9"/>
  <c r="O225" i="9"/>
  <c r="N225" i="9"/>
  <c r="M225" i="9"/>
  <c r="T318" i="9"/>
  <c r="S318" i="9"/>
  <c r="R318" i="9"/>
  <c r="T374" i="9"/>
  <c r="S374" i="9"/>
  <c r="R374" i="9"/>
  <c r="I336" i="9"/>
  <c r="H336" i="9"/>
  <c r="J336" i="9"/>
  <c r="M336" i="9"/>
  <c r="O336" i="9"/>
  <c r="N336" i="9"/>
  <c r="J31" i="9"/>
  <c r="I31" i="9"/>
  <c r="H31" i="9"/>
  <c r="O31" i="9"/>
  <c r="N31" i="9"/>
  <c r="M31" i="9"/>
  <c r="J242" i="9"/>
  <c r="I242" i="9"/>
  <c r="H242" i="9"/>
  <c r="N242" i="9"/>
  <c r="O242" i="9"/>
  <c r="M242" i="9"/>
  <c r="J219" i="9"/>
  <c r="I219" i="9"/>
  <c r="H219" i="9"/>
  <c r="O219" i="9"/>
  <c r="N219" i="9"/>
  <c r="M219" i="9"/>
  <c r="J323" i="9"/>
  <c r="I323" i="9"/>
  <c r="H323" i="9"/>
  <c r="O323" i="9"/>
  <c r="N323" i="9"/>
  <c r="M323" i="9"/>
  <c r="J56" i="9"/>
  <c r="I56" i="9"/>
  <c r="H56" i="9"/>
  <c r="O56" i="9"/>
  <c r="N56" i="9"/>
  <c r="M56" i="9"/>
  <c r="T341" i="9"/>
  <c r="S341" i="9"/>
  <c r="R341" i="9"/>
  <c r="S239" i="9"/>
  <c r="R239" i="9"/>
  <c r="T239" i="9"/>
  <c r="J78" i="9"/>
  <c r="I78" i="9"/>
  <c r="H78" i="9"/>
  <c r="O78" i="9"/>
  <c r="M78" i="9"/>
  <c r="N78" i="9"/>
  <c r="J305" i="9"/>
  <c r="I305" i="9"/>
  <c r="H305" i="9"/>
  <c r="O305" i="9"/>
  <c r="N305" i="9"/>
  <c r="M305" i="9"/>
  <c r="T13" i="9"/>
  <c r="S13" i="9"/>
  <c r="R13" i="9"/>
  <c r="J178" i="9"/>
  <c r="I178" i="9"/>
  <c r="H178" i="9"/>
  <c r="O178" i="9"/>
  <c r="M178" i="9"/>
  <c r="N178" i="9"/>
  <c r="I152" i="9"/>
  <c r="H152" i="9"/>
  <c r="J152" i="9"/>
  <c r="O152" i="9"/>
  <c r="M152" i="9"/>
  <c r="N152" i="9"/>
  <c r="J349" i="9"/>
  <c r="I349" i="9"/>
  <c r="H349" i="9"/>
  <c r="O349" i="9"/>
  <c r="N349" i="9"/>
  <c r="M349" i="9"/>
  <c r="J338" i="9"/>
  <c r="I338" i="9"/>
  <c r="H338" i="9"/>
  <c r="M338" i="9"/>
  <c r="O338" i="9"/>
  <c r="N338" i="9"/>
  <c r="T171" i="9"/>
  <c r="S171" i="9"/>
  <c r="R171" i="9"/>
  <c r="J311" i="9"/>
  <c r="I311" i="9"/>
  <c r="H311" i="9"/>
  <c r="O311" i="9"/>
  <c r="N311" i="9"/>
  <c r="M311" i="9"/>
  <c r="H77" i="9"/>
  <c r="J77" i="9"/>
  <c r="I77" i="9"/>
  <c r="O77" i="9"/>
  <c r="N77" i="9"/>
  <c r="M77" i="9"/>
  <c r="I240" i="9"/>
  <c r="H240" i="9"/>
  <c r="J240" i="9"/>
  <c r="N240" i="9"/>
  <c r="O240" i="9"/>
  <c r="M240" i="9"/>
  <c r="J325" i="9"/>
  <c r="I325" i="9"/>
  <c r="H325" i="9"/>
  <c r="O325" i="9"/>
  <c r="N325" i="9"/>
  <c r="M325" i="9"/>
  <c r="J133" i="9"/>
  <c r="I133" i="9"/>
  <c r="H133" i="9"/>
  <c r="O133" i="9"/>
  <c r="N133" i="9"/>
  <c r="M133" i="9"/>
  <c r="J238" i="9"/>
  <c r="I238" i="9"/>
  <c r="H238" i="9"/>
  <c r="N238" i="9"/>
  <c r="M238" i="9"/>
  <c r="O238" i="9"/>
  <c r="T75" i="9"/>
  <c r="S75" i="9"/>
  <c r="R75" i="9"/>
  <c r="R60" i="9"/>
  <c r="T60" i="9"/>
  <c r="S60" i="9"/>
  <c r="J275" i="9"/>
  <c r="I275" i="9"/>
  <c r="H275" i="9"/>
  <c r="O275" i="9"/>
  <c r="N275" i="9"/>
  <c r="M275" i="9"/>
  <c r="T185" i="9"/>
  <c r="S185" i="9"/>
  <c r="R185" i="9"/>
  <c r="T298" i="9"/>
  <c r="S298" i="9"/>
  <c r="R298" i="9"/>
  <c r="T110" i="9"/>
  <c r="S110" i="9"/>
  <c r="R110" i="9"/>
  <c r="T359" i="9"/>
  <c r="S359" i="9"/>
  <c r="R359" i="9"/>
  <c r="J16" i="9"/>
  <c r="I16" i="9"/>
  <c r="H16" i="9"/>
  <c r="O16" i="9"/>
  <c r="N16" i="9"/>
  <c r="M16" i="9"/>
  <c r="T336" i="9"/>
  <c r="R336" i="9"/>
  <c r="S336" i="9"/>
  <c r="T31" i="9"/>
  <c r="S31" i="9"/>
  <c r="R31" i="9"/>
  <c r="T242" i="9"/>
  <c r="S242" i="9"/>
  <c r="R242" i="9"/>
  <c r="S219" i="9"/>
  <c r="R219" i="9"/>
  <c r="T219" i="9"/>
  <c r="T323" i="9"/>
  <c r="S323" i="9"/>
  <c r="R323" i="9"/>
  <c r="R56" i="9"/>
  <c r="T56" i="9"/>
  <c r="S56" i="9"/>
  <c r="J341" i="9"/>
  <c r="I341" i="9"/>
  <c r="H341" i="9"/>
  <c r="O341" i="9"/>
  <c r="N341" i="9"/>
  <c r="M341" i="9"/>
  <c r="J239" i="9"/>
  <c r="I239" i="9"/>
  <c r="H239" i="9"/>
  <c r="O239" i="9"/>
  <c r="N239" i="9"/>
  <c r="M239" i="9"/>
  <c r="T78" i="9"/>
  <c r="S78" i="9"/>
  <c r="R78" i="9"/>
  <c r="S305" i="9"/>
  <c r="R305" i="9"/>
  <c r="T305" i="9"/>
  <c r="H13" i="9"/>
  <c r="J13" i="9"/>
  <c r="I13" i="9"/>
  <c r="O13" i="9"/>
  <c r="N13" i="9"/>
  <c r="M13" i="9"/>
  <c r="T178" i="9"/>
  <c r="S178" i="9"/>
  <c r="R178" i="9"/>
  <c r="T152" i="9"/>
  <c r="S152" i="9"/>
  <c r="R152" i="9"/>
  <c r="T349" i="9"/>
  <c r="S349" i="9"/>
  <c r="R349" i="9"/>
  <c r="T338" i="9"/>
  <c r="S338" i="9"/>
  <c r="R338" i="9"/>
  <c r="J171" i="9"/>
  <c r="I171" i="9"/>
  <c r="H171" i="9"/>
  <c r="O171" i="9"/>
  <c r="N171" i="9"/>
  <c r="M171" i="9"/>
  <c r="S311" i="9"/>
  <c r="R311" i="9"/>
  <c r="T311" i="9"/>
  <c r="T77" i="9"/>
  <c r="S77" i="9"/>
  <c r="R77" i="9"/>
  <c r="T240" i="9"/>
  <c r="S240" i="9"/>
  <c r="R240" i="9"/>
  <c r="T325" i="9"/>
  <c r="R325" i="9"/>
  <c r="S325" i="9"/>
  <c r="T133" i="9"/>
  <c r="S133" i="9"/>
  <c r="R133" i="9"/>
  <c r="T238" i="9"/>
  <c r="S238" i="9"/>
  <c r="R238" i="9"/>
  <c r="J75" i="9"/>
  <c r="I75" i="9"/>
  <c r="H75" i="9"/>
  <c r="O75" i="9"/>
  <c r="N75" i="9"/>
  <c r="M75" i="9"/>
  <c r="J135" i="9"/>
  <c r="I135" i="9"/>
  <c r="H135" i="9"/>
  <c r="O135" i="9"/>
  <c r="N135" i="9"/>
  <c r="M135" i="9"/>
  <c r="J64" i="9"/>
  <c r="I64" i="9"/>
  <c r="H64" i="9"/>
  <c r="O64" i="9"/>
  <c r="N64" i="9"/>
  <c r="M64" i="9"/>
  <c r="T186" i="9"/>
  <c r="S186" i="9"/>
  <c r="R186" i="9"/>
  <c r="J297" i="9"/>
  <c r="I297" i="9"/>
  <c r="H297" i="9"/>
  <c r="O297" i="9"/>
  <c r="N297" i="9"/>
  <c r="M297" i="9"/>
  <c r="J6" i="9"/>
  <c r="I6" i="9"/>
  <c r="H6" i="9"/>
  <c r="O6" i="9"/>
  <c r="N6" i="9"/>
  <c r="M6" i="9"/>
  <c r="H105" i="9"/>
  <c r="J105" i="9"/>
  <c r="I105" i="9"/>
  <c r="O105" i="9"/>
  <c r="N105" i="9"/>
  <c r="M105" i="9"/>
  <c r="T166" i="9"/>
  <c r="S166" i="9"/>
  <c r="R166" i="9"/>
  <c r="J202" i="9"/>
  <c r="I202" i="9"/>
  <c r="H202" i="9"/>
  <c r="N202" i="9"/>
  <c r="O202" i="9"/>
  <c r="M202" i="9"/>
  <c r="R22" i="9"/>
  <c r="T22" i="9"/>
  <c r="S22" i="9"/>
  <c r="J241" i="9"/>
  <c r="I241" i="9"/>
  <c r="H241" i="9"/>
  <c r="O241" i="9"/>
  <c r="N241" i="9"/>
  <c r="M241" i="9"/>
  <c r="T232" i="9"/>
  <c r="S232" i="9"/>
  <c r="R232" i="9"/>
  <c r="H81" i="9"/>
  <c r="J81" i="9"/>
  <c r="I81" i="9"/>
  <c r="O81" i="9"/>
  <c r="N81" i="9"/>
  <c r="M81" i="9"/>
  <c r="J230" i="9"/>
  <c r="I230" i="9"/>
  <c r="H230" i="9"/>
  <c r="N230" i="9"/>
  <c r="M230" i="9"/>
  <c r="O230" i="9"/>
  <c r="T175" i="9"/>
  <c r="S175" i="9"/>
  <c r="R175" i="9"/>
  <c r="T260" i="9"/>
  <c r="S260" i="9"/>
  <c r="R260" i="9"/>
  <c r="J23" i="9"/>
  <c r="I23" i="9"/>
  <c r="H23" i="9"/>
  <c r="O23" i="9"/>
  <c r="N23" i="9"/>
  <c r="M23" i="9"/>
  <c r="J123" i="9"/>
  <c r="I123" i="9"/>
  <c r="H123" i="9"/>
  <c r="O123" i="9"/>
  <c r="N123" i="9"/>
  <c r="M123" i="9"/>
  <c r="T369" i="9"/>
  <c r="S369" i="9"/>
  <c r="R369" i="9"/>
  <c r="T146" i="9"/>
  <c r="S146" i="9"/>
  <c r="R146" i="9"/>
  <c r="T184" i="9"/>
  <c r="S184" i="9"/>
  <c r="R184" i="9"/>
  <c r="H57" i="9"/>
  <c r="J57" i="9"/>
  <c r="I57" i="9"/>
  <c r="O57" i="9"/>
  <c r="N57" i="9"/>
  <c r="M57" i="9"/>
  <c r="J262" i="9"/>
  <c r="I262" i="9"/>
  <c r="H262" i="9"/>
  <c r="N262" i="9"/>
  <c r="M262" i="9"/>
  <c r="O262" i="9"/>
  <c r="J270" i="9"/>
  <c r="I270" i="9"/>
  <c r="H270" i="9"/>
  <c r="N270" i="9"/>
  <c r="M270" i="9"/>
  <c r="O270" i="9"/>
  <c r="I360" i="9"/>
  <c r="H360" i="9"/>
  <c r="J360" i="9"/>
  <c r="M360" i="9"/>
  <c r="N360" i="9"/>
  <c r="O360" i="9"/>
  <c r="T329" i="9"/>
  <c r="S329" i="9"/>
  <c r="R329" i="9"/>
  <c r="I312" i="9"/>
  <c r="H312" i="9"/>
  <c r="J312" i="9"/>
  <c r="N312" i="9"/>
  <c r="O312" i="9"/>
  <c r="M312" i="9"/>
  <c r="J131" i="9"/>
  <c r="I131" i="9"/>
  <c r="H131" i="9"/>
  <c r="O131" i="9"/>
  <c r="N131" i="9"/>
  <c r="M131" i="9"/>
  <c r="J330" i="9"/>
  <c r="I330" i="9"/>
  <c r="H330" i="9"/>
  <c r="M330" i="9"/>
  <c r="O330" i="9"/>
  <c r="N330" i="9"/>
  <c r="S243" i="9"/>
  <c r="R243" i="9"/>
  <c r="T243" i="9"/>
  <c r="I124" i="9"/>
  <c r="J124" i="9"/>
  <c r="H124" i="9"/>
  <c r="O124" i="9"/>
  <c r="M124" i="9"/>
  <c r="N124" i="9"/>
  <c r="T129" i="9"/>
  <c r="S129" i="9"/>
  <c r="R129" i="9"/>
  <c r="J394" i="9"/>
  <c r="I394" i="9"/>
  <c r="H394" i="9"/>
  <c r="M394" i="9"/>
  <c r="N394" i="9"/>
  <c r="O394" i="9"/>
  <c r="T99" i="9"/>
  <c r="S99" i="9"/>
  <c r="R99" i="9"/>
  <c r="T153" i="9"/>
  <c r="S153" i="9"/>
  <c r="R153" i="9"/>
  <c r="T392" i="9"/>
  <c r="S392" i="9"/>
  <c r="R392" i="9"/>
  <c r="J125" i="9"/>
  <c r="I125" i="9"/>
  <c r="H125" i="9"/>
  <c r="O125" i="9"/>
  <c r="N125" i="9"/>
  <c r="M125" i="9"/>
  <c r="J298" i="9"/>
  <c r="I298" i="9"/>
  <c r="H298" i="9"/>
  <c r="N298" i="9"/>
  <c r="O298" i="9"/>
  <c r="M298" i="9"/>
  <c r="T138" i="9"/>
  <c r="S138" i="9"/>
  <c r="R138" i="9"/>
  <c r="T399" i="9"/>
  <c r="S399" i="9"/>
  <c r="R399" i="9"/>
  <c r="J390" i="9"/>
  <c r="I390" i="9"/>
  <c r="H390" i="9"/>
  <c r="M390" i="9"/>
  <c r="N390" i="9"/>
  <c r="O390" i="9"/>
  <c r="J166" i="9"/>
  <c r="I166" i="9"/>
  <c r="H166" i="9"/>
  <c r="O166" i="9"/>
  <c r="M166" i="9"/>
  <c r="N166" i="9"/>
  <c r="T101" i="9"/>
  <c r="S101" i="9"/>
  <c r="R101" i="9"/>
  <c r="T80" i="9"/>
  <c r="S80" i="9"/>
  <c r="R80" i="9"/>
  <c r="S225" i="9"/>
  <c r="R225" i="9"/>
  <c r="T225" i="9"/>
  <c r="T339" i="9"/>
  <c r="S339" i="9"/>
  <c r="R339" i="9"/>
  <c r="J110" i="9"/>
  <c r="I110" i="9"/>
  <c r="H110" i="9"/>
  <c r="O110" i="9"/>
  <c r="M110" i="9"/>
  <c r="N110" i="9"/>
  <c r="R32" i="9"/>
  <c r="T32" i="9"/>
  <c r="S32" i="9"/>
  <c r="T258" i="9"/>
  <c r="S258" i="9"/>
  <c r="R258" i="9"/>
  <c r="H29" i="9"/>
  <c r="J29" i="9"/>
  <c r="I29" i="9"/>
  <c r="O29" i="9"/>
  <c r="N29" i="9"/>
  <c r="M29" i="9"/>
  <c r="T202" i="9"/>
  <c r="R202" i="9"/>
  <c r="S202" i="9"/>
  <c r="J318" i="9"/>
  <c r="I318" i="9"/>
  <c r="H318" i="9"/>
  <c r="N318" i="9"/>
  <c r="M318" i="9"/>
  <c r="O318" i="9"/>
  <c r="T228" i="9"/>
  <c r="S228" i="9"/>
  <c r="R228" i="9"/>
  <c r="T334" i="9"/>
  <c r="S334" i="9"/>
  <c r="R334" i="9"/>
  <c r="T174" i="9"/>
  <c r="S174" i="9"/>
  <c r="R174" i="9"/>
  <c r="J359" i="9"/>
  <c r="I359" i="9"/>
  <c r="H359" i="9"/>
  <c r="O359" i="9"/>
  <c r="N359" i="9"/>
  <c r="M359" i="9"/>
  <c r="J50" i="9"/>
  <c r="I50" i="9"/>
  <c r="H50" i="9"/>
  <c r="O50" i="9"/>
  <c r="N50" i="9"/>
  <c r="M50" i="9"/>
  <c r="J215" i="9"/>
  <c r="I215" i="9"/>
  <c r="H215" i="9"/>
  <c r="O215" i="9"/>
  <c r="N215" i="9"/>
  <c r="M215" i="9"/>
  <c r="T33" i="9"/>
  <c r="S33" i="9"/>
  <c r="R33" i="9"/>
  <c r="J374" i="9"/>
  <c r="I374" i="9"/>
  <c r="H374" i="9"/>
  <c r="M374" i="9"/>
  <c r="N374" i="9"/>
  <c r="O374" i="9"/>
  <c r="J22" i="9"/>
  <c r="I22" i="9"/>
  <c r="H22" i="9"/>
  <c r="O22" i="9"/>
  <c r="N22" i="9"/>
  <c r="M22" i="9"/>
  <c r="I380" i="9"/>
  <c r="H380" i="9"/>
  <c r="J380" i="9"/>
  <c r="M380" i="9"/>
  <c r="N380" i="9"/>
  <c r="O380" i="9"/>
  <c r="J84" i="9"/>
  <c r="I84" i="9"/>
  <c r="H84" i="9"/>
  <c r="O84" i="9"/>
  <c r="M84" i="9"/>
  <c r="N84" i="9"/>
  <c r="T284" i="9"/>
  <c r="S284" i="9"/>
  <c r="R284" i="9"/>
  <c r="J177" i="9"/>
  <c r="I177" i="9"/>
  <c r="H177" i="9"/>
  <c r="O177" i="9"/>
  <c r="N177" i="9"/>
  <c r="M177" i="9"/>
  <c r="T132" i="9"/>
  <c r="S132" i="9"/>
  <c r="R132" i="9"/>
  <c r="J28" i="9"/>
  <c r="I28" i="9"/>
  <c r="H28" i="9"/>
  <c r="O28" i="9"/>
  <c r="N28" i="9"/>
  <c r="M28" i="9"/>
  <c r="J94" i="9"/>
  <c r="I94" i="9"/>
  <c r="H94" i="9"/>
  <c r="O94" i="9"/>
  <c r="M94" i="9"/>
  <c r="N94" i="9"/>
  <c r="I324" i="9"/>
  <c r="H324" i="9"/>
  <c r="J324" i="9"/>
  <c r="M324" i="9"/>
  <c r="O324" i="9"/>
  <c r="N324" i="9"/>
  <c r="I188" i="9"/>
  <c r="H188" i="9"/>
  <c r="J188" i="9"/>
  <c r="O188" i="9"/>
  <c r="M188" i="9"/>
  <c r="N188" i="9"/>
  <c r="S291" i="9"/>
  <c r="R291" i="9"/>
  <c r="T291" i="9"/>
  <c r="J357" i="9"/>
  <c r="I357" i="9"/>
  <c r="H357" i="9"/>
  <c r="O357" i="9"/>
  <c r="N357" i="9"/>
  <c r="M357" i="9"/>
  <c r="J26" i="9"/>
  <c r="I26" i="9"/>
  <c r="H26" i="9"/>
  <c r="O26" i="9"/>
  <c r="N26" i="9"/>
  <c r="M26" i="9"/>
  <c r="J95" i="9"/>
  <c r="I95" i="9"/>
  <c r="H95" i="9"/>
  <c r="O95" i="9"/>
  <c r="N95" i="9"/>
  <c r="M95" i="9"/>
  <c r="H69" i="9"/>
  <c r="I69" i="9"/>
  <c r="J69" i="9"/>
  <c r="O69" i="9"/>
  <c r="N69" i="9"/>
  <c r="M69" i="9"/>
  <c r="R72" i="9"/>
  <c r="T72" i="9"/>
  <c r="S72" i="9"/>
  <c r="I196" i="9"/>
  <c r="H196" i="9"/>
  <c r="J196" i="9"/>
  <c r="O196" i="9"/>
  <c r="M196" i="9"/>
  <c r="N196" i="9"/>
  <c r="T106" i="9"/>
  <c r="S106" i="9"/>
  <c r="R106" i="9"/>
  <c r="J261" i="9"/>
  <c r="I261" i="9"/>
  <c r="H261" i="9"/>
  <c r="O261" i="9"/>
  <c r="N261" i="9"/>
  <c r="M261" i="9"/>
  <c r="S237" i="9"/>
  <c r="R237" i="9"/>
  <c r="T237" i="9"/>
  <c r="J321" i="9"/>
  <c r="I321" i="9"/>
  <c r="H321" i="9"/>
  <c r="O321" i="9"/>
  <c r="N321" i="9"/>
  <c r="M321" i="9"/>
  <c r="J377" i="9"/>
  <c r="I377" i="9"/>
  <c r="H377" i="9"/>
  <c r="O377" i="9"/>
  <c r="N377" i="9"/>
  <c r="M377" i="9"/>
  <c r="J141" i="9"/>
  <c r="I141" i="9"/>
  <c r="H141" i="9"/>
  <c r="O141" i="9"/>
  <c r="N141" i="9"/>
  <c r="M141" i="9"/>
  <c r="T320" i="9"/>
  <c r="S320" i="9"/>
  <c r="R320" i="9"/>
  <c r="T204" i="9"/>
  <c r="S204" i="9"/>
  <c r="R204" i="9"/>
  <c r="J375" i="9"/>
  <c r="I375" i="9"/>
  <c r="H375" i="9"/>
  <c r="O375" i="9"/>
  <c r="N375" i="9"/>
  <c r="M375" i="9"/>
  <c r="T87" i="9"/>
  <c r="S87" i="9"/>
  <c r="R87" i="9"/>
  <c r="J62" i="9"/>
  <c r="I62" i="9"/>
  <c r="H62" i="9"/>
  <c r="O62" i="9"/>
  <c r="N62" i="9"/>
  <c r="M62" i="9"/>
  <c r="I216" i="9"/>
  <c r="H216" i="9"/>
  <c r="J216" i="9"/>
  <c r="N216" i="9"/>
  <c r="O216" i="9"/>
  <c r="M216" i="9"/>
  <c r="T380" i="9"/>
  <c r="R380" i="9"/>
  <c r="S380" i="9"/>
  <c r="T84" i="9"/>
  <c r="S84" i="9"/>
  <c r="R84" i="9"/>
  <c r="I284" i="9"/>
  <c r="H284" i="9"/>
  <c r="J284" i="9"/>
  <c r="N284" i="9"/>
  <c r="M284" i="9"/>
  <c r="O284" i="9"/>
  <c r="T177" i="9"/>
  <c r="S177" i="9"/>
  <c r="R177" i="9"/>
  <c r="I132" i="9"/>
  <c r="H132" i="9"/>
  <c r="J132" i="9"/>
  <c r="O132" i="9"/>
  <c r="M132" i="9"/>
  <c r="N132" i="9"/>
  <c r="R28" i="9"/>
  <c r="T28" i="9"/>
  <c r="S28" i="9"/>
  <c r="T94" i="9"/>
  <c r="S94" i="9"/>
  <c r="R94" i="9"/>
  <c r="T324" i="9"/>
  <c r="S324" i="9"/>
  <c r="R324" i="9"/>
  <c r="T188" i="9"/>
  <c r="S188" i="9"/>
  <c r="R188" i="9"/>
  <c r="J291" i="9"/>
  <c r="I291" i="9"/>
  <c r="H291" i="9"/>
  <c r="O291" i="9"/>
  <c r="N291" i="9"/>
  <c r="M291" i="9"/>
  <c r="T357" i="9"/>
  <c r="S357" i="9"/>
  <c r="R357" i="9"/>
  <c r="R26" i="9"/>
  <c r="T26" i="9"/>
  <c r="S26" i="9"/>
  <c r="T95" i="9"/>
  <c r="S95" i="9"/>
  <c r="R95" i="9"/>
  <c r="T69" i="9"/>
  <c r="S69" i="9"/>
  <c r="R69" i="9"/>
  <c r="J72" i="9"/>
  <c r="I72" i="9"/>
  <c r="H72" i="9"/>
  <c r="O72" i="9"/>
  <c r="N72" i="9"/>
  <c r="M72" i="9"/>
  <c r="T196" i="9"/>
  <c r="S196" i="9"/>
  <c r="R196" i="9"/>
  <c r="J106" i="9"/>
  <c r="I106" i="9"/>
  <c r="H106" i="9"/>
  <c r="O106" i="9"/>
  <c r="M106" i="9"/>
  <c r="N106" i="9"/>
  <c r="S261" i="9"/>
  <c r="R261" i="9"/>
  <c r="T261" i="9"/>
  <c r="J237" i="9"/>
  <c r="I237" i="9"/>
  <c r="H237" i="9"/>
  <c r="O237" i="9"/>
  <c r="N237" i="9"/>
  <c r="M237" i="9"/>
  <c r="T321" i="9"/>
  <c r="S321" i="9"/>
  <c r="R321" i="9"/>
  <c r="T377" i="9"/>
  <c r="S377" i="9"/>
  <c r="R377" i="9"/>
  <c r="T141" i="9"/>
  <c r="S141" i="9"/>
  <c r="R141" i="9"/>
  <c r="I320" i="9"/>
  <c r="H320" i="9"/>
  <c r="J320" i="9"/>
  <c r="N320" i="9"/>
  <c r="O320" i="9"/>
  <c r="M320" i="9"/>
  <c r="I204" i="9"/>
  <c r="H204" i="9"/>
  <c r="J204" i="9"/>
  <c r="N204" i="9"/>
  <c r="O204" i="9"/>
  <c r="M204" i="9"/>
  <c r="T375" i="9"/>
  <c r="S375" i="9"/>
  <c r="R375" i="9"/>
  <c r="J87" i="9"/>
  <c r="I87" i="9"/>
  <c r="H87" i="9"/>
  <c r="O87" i="9"/>
  <c r="N87" i="9"/>
  <c r="M87" i="9"/>
  <c r="J34" i="9"/>
  <c r="I34" i="9"/>
  <c r="H34" i="9"/>
  <c r="O34" i="9"/>
  <c r="N34" i="9"/>
  <c r="M34" i="9"/>
  <c r="T170" i="9"/>
  <c r="S170" i="9"/>
  <c r="R170" i="9"/>
  <c r="T363" i="9"/>
  <c r="S363" i="9"/>
  <c r="R363" i="9"/>
  <c r="T362" i="9"/>
  <c r="S362" i="9"/>
  <c r="R362" i="9"/>
  <c r="T92" i="9"/>
  <c r="S92" i="9"/>
  <c r="R92" i="9"/>
  <c r="S307" i="9"/>
  <c r="R307" i="9"/>
  <c r="T307" i="9"/>
  <c r="J249" i="9"/>
  <c r="I249" i="9"/>
  <c r="H249" i="9"/>
  <c r="O249" i="9"/>
  <c r="N249" i="9"/>
  <c r="M249" i="9"/>
  <c r="I396" i="9"/>
  <c r="H396" i="9"/>
  <c r="J396" i="9"/>
  <c r="M396" i="9"/>
  <c r="N396" i="9"/>
  <c r="O396" i="9"/>
  <c r="I300" i="9"/>
  <c r="H300" i="9"/>
  <c r="J300" i="9"/>
  <c r="N300" i="9"/>
  <c r="M300" i="9"/>
  <c r="O300" i="9"/>
  <c r="T282" i="9"/>
  <c r="S282" i="9"/>
  <c r="R282" i="9"/>
  <c r="J111" i="9"/>
  <c r="I111" i="9"/>
  <c r="H111" i="9"/>
  <c r="O111" i="9"/>
  <c r="N111" i="9"/>
  <c r="M111" i="9"/>
  <c r="J120" i="9"/>
  <c r="I120" i="9"/>
  <c r="H120" i="9"/>
  <c r="O120" i="9"/>
  <c r="M120" i="9"/>
  <c r="N120" i="9"/>
  <c r="T379" i="9"/>
  <c r="S379" i="9"/>
  <c r="R379" i="9"/>
  <c r="J103" i="9"/>
  <c r="I103" i="9"/>
  <c r="H103" i="9"/>
  <c r="O103" i="9"/>
  <c r="N103" i="9"/>
  <c r="M103" i="9"/>
  <c r="J355" i="9"/>
  <c r="I355" i="9"/>
  <c r="H355" i="9"/>
  <c r="O355" i="9"/>
  <c r="N355" i="9"/>
  <c r="M355" i="9"/>
  <c r="T149" i="9"/>
  <c r="S149" i="9"/>
  <c r="R149" i="9"/>
  <c r="J210" i="9"/>
  <c r="I210" i="9"/>
  <c r="H210" i="9"/>
  <c r="N210" i="9"/>
  <c r="O210" i="9"/>
  <c r="M210" i="9"/>
  <c r="S287" i="9"/>
  <c r="R287" i="9"/>
  <c r="T287" i="9"/>
  <c r="J142" i="9"/>
  <c r="I142" i="9"/>
  <c r="H142" i="9"/>
  <c r="O142" i="9"/>
  <c r="M142" i="9"/>
  <c r="N142" i="9"/>
  <c r="H5" i="9"/>
  <c r="I5" i="9"/>
  <c r="J5" i="9"/>
  <c r="O5" i="9"/>
  <c r="N5" i="9"/>
  <c r="M5" i="9"/>
  <c r="J370" i="9"/>
  <c r="I370" i="9"/>
  <c r="H370" i="9"/>
  <c r="M370" i="9"/>
  <c r="N370" i="9"/>
  <c r="O370" i="9"/>
  <c r="J63" i="9"/>
  <c r="I63" i="9"/>
  <c r="H63" i="9"/>
  <c r="O63" i="9"/>
  <c r="N63" i="9"/>
  <c r="M63" i="9"/>
  <c r="J39" i="9"/>
  <c r="I39" i="9"/>
  <c r="H39" i="9"/>
  <c r="O39" i="9"/>
  <c r="N39" i="9"/>
  <c r="M39" i="9"/>
  <c r="H121" i="9"/>
  <c r="J121" i="9"/>
  <c r="I121" i="9"/>
  <c r="O121" i="9"/>
  <c r="N121" i="9"/>
  <c r="M121" i="9"/>
  <c r="T395" i="9"/>
  <c r="S395" i="9"/>
  <c r="R395" i="9"/>
  <c r="H41" i="9"/>
  <c r="J41" i="9"/>
  <c r="I41" i="9"/>
  <c r="O41" i="9"/>
  <c r="N41" i="9"/>
  <c r="M41" i="9"/>
  <c r="S279" i="9"/>
  <c r="R279" i="9"/>
  <c r="T279" i="9"/>
  <c r="J393" i="9"/>
  <c r="I393" i="9"/>
  <c r="H393" i="9"/>
  <c r="O393" i="9"/>
  <c r="N393" i="9"/>
  <c r="M393" i="9"/>
  <c r="J43" i="9"/>
  <c r="I43" i="9"/>
  <c r="H43" i="9"/>
  <c r="O43" i="9"/>
  <c r="N43" i="9"/>
  <c r="M43" i="9"/>
  <c r="J170" i="9"/>
  <c r="I170" i="9"/>
  <c r="H170" i="9"/>
  <c r="O170" i="9"/>
  <c r="M170" i="9"/>
  <c r="N170" i="9"/>
  <c r="J363" i="9"/>
  <c r="I363" i="9"/>
  <c r="H363" i="9"/>
  <c r="O363" i="9"/>
  <c r="N363" i="9"/>
  <c r="M363" i="9"/>
  <c r="J362" i="9"/>
  <c r="I362" i="9"/>
  <c r="H362" i="9"/>
  <c r="M362" i="9"/>
  <c r="N362" i="9"/>
  <c r="O362" i="9"/>
  <c r="J92" i="9"/>
  <c r="I92" i="9"/>
  <c r="H92" i="9"/>
  <c r="O92" i="9"/>
  <c r="M92" i="9"/>
  <c r="N92" i="9"/>
  <c r="J307" i="9"/>
  <c r="I307" i="9"/>
  <c r="H307" i="9"/>
  <c r="O307" i="9"/>
  <c r="N307" i="9"/>
  <c r="M307" i="9"/>
  <c r="S249" i="9"/>
  <c r="R249" i="9"/>
  <c r="T249" i="9"/>
  <c r="T396" i="9"/>
  <c r="R396" i="9"/>
  <c r="S396" i="9"/>
  <c r="T300" i="9"/>
  <c r="S300" i="9"/>
  <c r="R300" i="9"/>
  <c r="J282" i="9"/>
  <c r="I282" i="9"/>
  <c r="H282" i="9"/>
  <c r="N282" i="9"/>
  <c r="O282" i="9"/>
  <c r="M282" i="9"/>
  <c r="T111" i="9"/>
  <c r="S111" i="9"/>
  <c r="R111" i="9"/>
  <c r="T120" i="9"/>
  <c r="S120" i="9"/>
  <c r="R120" i="9"/>
  <c r="J379" i="9"/>
  <c r="I379" i="9"/>
  <c r="H379" i="9"/>
  <c r="O379" i="9"/>
  <c r="N379" i="9"/>
  <c r="M379" i="9"/>
  <c r="T103" i="9"/>
  <c r="S103" i="9"/>
  <c r="R103" i="9"/>
  <c r="T355" i="9"/>
  <c r="S355" i="9"/>
  <c r="R355" i="9"/>
  <c r="J149" i="9"/>
  <c r="I149" i="9"/>
  <c r="H149" i="9"/>
  <c r="O149" i="9"/>
  <c r="N149" i="9"/>
  <c r="M149" i="9"/>
  <c r="T210" i="9"/>
  <c r="S210" i="9"/>
  <c r="R210" i="9"/>
  <c r="J287" i="9"/>
  <c r="I287" i="9"/>
  <c r="H287" i="9"/>
  <c r="O287" i="9"/>
  <c r="N287" i="9"/>
  <c r="M287" i="9"/>
  <c r="T142" i="9"/>
  <c r="S142" i="9"/>
  <c r="R142" i="9"/>
  <c r="T5" i="9"/>
  <c r="S5" i="9"/>
  <c r="R5" i="9"/>
  <c r="T370" i="9"/>
  <c r="S370" i="9"/>
  <c r="R370" i="9"/>
  <c r="T63" i="9"/>
  <c r="S63" i="9"/>
  <c r="R63" i="9"/>
  <c r="T39" i="9"/>
  <c r="S39" i="9"/>
  <c r="R39" i="9"/>
  <c r="T121" i="9"/>
  <c r="S121" i="9"/>
  <c r="R121" i="9"/>
  <c r="J395" i="9"/>
  <c r="I395" i="9"/>
  <c r="H395" i="9"/>
  <c r="O395" i="9"/>
  <c r="N395" i="9"/>
  <c r="M395" i="9"/>
  <c r="T41" i="9"/>
  <c r="S41" i="9"/>
  <c r="R41" i="9"/>
  <c r="J279" i="9"/>
  <c r="I279" i="9"/>
  <c r="H279" i="9"/>
  <c r="O279" i="9"/>
  <c r="N279" i="9"/>
  <c r="M279" i="9"/>
  <c r="T393" i="9"/>
  <c r="S393" i="9"/>
  <c r="R393" i="9"/>
  <c r="J48" i="9"/>
  <c r="I48" i="9"/>
  <c r="H48" i="9"/>
  <c r="O48" i="9"/>
  <c r="N48" i="9"/>
  <c r="M48" i="9"/>
  <c r="J285" i="9"/>
  <c r="I285" i="9"/>
  <c r="H285" i="9"/>
  <c r="O285" i="9"/>
  <c r="N285" i="9"/>
  <c r="M285" i="9"/>
  <c r="S223" i="9"/>
  <c r="R223" i="9"/>
  <c r="T223" i="9"/>
  <c r="J333" i="9"/>
  <c r="I333" i="9"/>
  <c r="H333" i="9"/>
  <c r="O333" i="9"/>
  <c r="N333" i="9"/>
  <c r="M333" i="9"/>
  <c r="T86" i="9"/>
  <c r="S86" i="9"/>
  <c r="R86" i="9"/>
  <c r="J382" i="9"/>
  <c r="I382" i="9"/>
  <c r="H382" i="9"/>
  <c r="M382" i="9"/>
  <c r="N382" i="9"/>
  <c r="O382" i="9"/>
  <c r="T378" i="9"/>
  <c r="S378" i="9"/>
  <c r="R378" i="9"/>
  <c r="T187" i="9"/>
  <c r="S187" i="9"/>
  <c r="R187" i="9"/>
  <c r="J130" i="9"/>
  <c r="I130" i="9"/>
  <c r="H130" i="9"/>
  <c r="O130" i="9"/>
  <c r="M130" i="9"/>
  <c r="N130" i="9"/>
  <c r="J165" i="9"/>
  <c r="I165" i="9"/>
  <c r="H165" i="9"/>
  <c r="O165" i="9"/>
  <c r="N165" i="9"/>
  <c r="M165" i="9"/>
  <c r="R54" i="9"/>
  <c r="T54" i="9"/>
  <c r="S54" i="9"/>
  <c r="T306" i="9"/>
  <c r="S306" i="9"/>
  <c r="R306" i="9"/>
  <c r="J189" i="9"/>
  <c r="I189" i="9"/>
  <c r="H189" i="9"/>
  <c r="O189" i="9"/>
  <c r="N189" i="9"/>
  <c r="M189" i="9"/>
  <c r="H89" i="9"/>
  <c r="J89" i="9"/>
  <c r="I89" i="9"/>
  <c r="O89" i="9"/>
  <c r="N89" i="9"/>
  <c r="M89" i="9"/>
  <c r="T203" i="9"/>
  <c r="S203" i="9"/>
  <c r="R203" i="9"/>
  <c r="J354" i="9"/>
  <c r="I354" i="9"/>
  <c r="H354" i="9"/>
  <c r="M354" i="9"/>
  <c r="N354" i="9"/>
  <c r="O354" i="9"/>
  <c r="T113" i="9"/>
  <c r="S113" i="9"/>
  <c r="R113" i="9"/>
  <c r="J205" i="9"/>
  <c r="I205" i="9"/>
  <c r="H205" i="9"/>
  <c r="O205" i="9"/>
  <c r="N205" i="9"/>
  <c r="M205" i="9"/>
  <c r="T119" i="9"/>
  <c r="S119" i="9"/>
  <c r="R119" i="9"/>
  <c r="R18" i="9"/>
  <c r="T18" i="9"/>
  <c r="S18" i="9"/>
  <c r="H117" i="9"/>
  <c r="I117" i="9"/>
  <c r="J117" i="9"/>
  <c r="O117" i="9"/>
  <c r="N117" i="9"/>
  <c r="M117" i="9"/>
  <c r="S293" i="9"/>
  <c r="R293" i="9"/>
  <c r="T293" i="9"/>
  <c r="J137" i="9"/>
  <c r="I137" i="9"/>
  <c r="H137" i="9"/>
  <c r="O137" i="9"/>
  <c r="N137" i="9"/>
  <c r="M137" i="9"/>
  <c r="T17" i="9"/>
  <c r="S17" i="9"/>
  <c r="R17" i="9"/>
  <c r="J104" i="9"/>
  <c r="I104" i="9"/>
  <c r="H104" i="9"/>
  <c r="O104" i="9"/>
  <c r="M104" i="9"/>
  <c r="N104" i="9"/>
  <c r="J96" i="9"/>
  <c r="I96" i="9"/>
  <c r="H96" i="9"/>
  <c r="O96" i="9"/>
  <c r="M96" i="9"/>
  <c r="N96" i="9"/>
  <c r="I296" i="9"/>
  <c r="H296" i="9"/>
  <c r="J296" i="9"/>
  <c r="N296" i="9"/>
  <c r="O296" i="9"/>
  <c r="M296" i="9"/>
  <c r="R48" i="9"/>
  <c r="T48" i="9"/>
  <c r="S48" i="9"/>
  <c r="S285" i="9"/>
  <c r="R285" i="9"/>
  <c r="T285" i="9"/>
  <c r="J223" i="9"/>
  <c r="I223" i="9"/>
  <c r="H223" i="9"/>
  <c r="O223" i="9"/>
  <c r="N223" i="9"/>
  <c r="M223" i="9"/>
  <c r="T333" i="9"/>
  <c r="S333" i="9"/>
  <c r="R333" i="9"/>
  <c r="J86" i="9"/>
  <c r="I86" i="9"/>
  <c r="H86" i="9"/>
  <c r="O86" i="9"/>
  <c r="M86" i="9"/>
  <c r="N86" i="9"/>
  <c r="T382" i="9"/>
  <c r="S382" i="9"/>
  <c r="R382" i="9"/>
  <c r="J378" i="9"/>
  <c r="I378" i="9"/>
  <c r="H378" i="9"/>
  <c r="M378" i="9"/>
  <c r="N378" i="9"/>
  <c r="O378" i="9"/>
  <c r="J187" i="9"/>
  <c r="I187" i="9"/>
  <c r="H187" i="9"/>
  <c r="O187" i="9"/>
  <c r="N187" i="9"/>
  <c r="M187" i="9"/>
  <c r="T130" i="9"/>
  <c r="S130" i="9"/>
  <c r="R130" i="9"/>
  <c r="T165" i="9"/>
  <c r="S165" i="9"/>
  <c r="R165" i="9"/>
  <c r="J54" i="9"/>
  <c r="I54" i="9"/>
  <c r="H54" i="9"/>
  <c r="O54" i="9"/>
  <c r="N54" i="9"/>
  <c r="M54" i="9"/>
  <c r="J306" i="9"/>
  <c r="I306" i="9"/>
  <c r="H306" i="9"/>
  <c r="N306" i="9"/>
  <c r="O306" i="9"/>
  <c r="M306" i="9"/>
  <c r="T189" i="9"/>
  <c r="S189" i="9"/>
  <c r="R189" i="9"/>
  <c r="T89" i="9"/>
  <c r="S89" i="9"/>
  <c r="R89" i="9"/>
  <c r="J203" i="9"/>
  <c r="I203" i="9"/>
  <c r="H203" i="9"/>
  <c r="O203" i="9"/>
  <c r="N203" i="9"/>
  <c r="M203" i="9"/>
  <c r="T354" i="9"/>
  <c r="S354" i="9"/>
  <c r="R354" i="9"/>
  <c r="H113" i="9"/>
  <c r="J113" i="9"/>
  <c r="I113" i="9"/>
  <c r="O113" i="9"/>
  <c r="N113" i="9"/>
  <c r="M113" i="9"/>
  <c r="R205" i="9"/>
  <c r="S205" i="9"/>
  <c r="T205" i="9"/>
  <c r="J119" i="9"/>
  <c r="I119" i="9"/>
  <c r="H119" i="9"/>
  <c r="O119" i="9"/>
  <c r="N119" i="9"/>
  <c r="M119" i="9"/>
  <c r="J18" i="9"/>
  <c r="I18" i="9"/>
  <c r="H18" i="9"/>
  <c r="O18" i="9"/>
  <c r="N18" i="9"/>
  <c r="M18" i="9"/>
  <c r="T117" i="9"/>
  <c r="S117" i="9"/>
  <c r="R117" i="9"/>
  <c r="J293" i="9"/>
  <c r="I293" i="9"/>
  <c r="H293" i="9"/>
  <c r="O293" i="9"/>
  <c r="N293" i="9"/>
  <c r="M293" i="9"/>
  <c r="T137" i="9"/>
  <c r="S137" i="9"/>
  <c r="R137" i="9"/>
  <c r="H17" i="9"/>
  <c r="J17" i="9"/>
  <c r="I17" i="9"/>
  <c r="O17" i="9"/>
  <c r="N17" i="9"/>
  <c r="M17" i="9"/>
  <c r="T104" i="9"/>
  <c r="S104" i="9"/>
  <c r="R104" i="9"/>
  <c r="T96" i="9"/>
  <c r="S96" i="9"/>
  <c r="R96" i="9"/>
  <c r="T296" i="9"/>
  <c r="S296" i="9"/>
  <c r="R296" i="9"/>
  <c r="T45" i="9"/>
  <c r="S45" i="9"/>
  <c r="R45" i="9"/>
  <c r="J12" i="9"/>
  <c r="I12" i="9"/>
  <c r="H12" i="9"/>
  <c r="O12" i="9"/>
  <c r="N12" i="9"/>
  <c r="M12" i="9"/>
  <c r="J385" i="9"/>
  <c r="I385" i="9"/>
  <c r="H385" i="9"/>
  <c r="O385" i="9"/>
  <c r="N385" i="9"/>
  <c r="M385" i="9"/>
  <c r="J71" i="9"/>
  <c r="I71" i="9"/>
  <c r="H71" i="9"/>
  <c r="O71" i="9"/>
  <c r="N71" i="9"/>
  <c r="M71" i="9"/>
  <c r="I140" i="9"/>
  <c r="H140" i="9"/>
  <c r="J140" i="9"/>
  <c r="O140" i="9"/>
  <c r="M140" i="9"/>
  <c r="N140" i="9"/>
  <c r="J51" i="9"/>
  <c r="I51" i="9"/>
  <c r="H51" i="9"/>
  <c r="O51" i="9"/>
  <c r="N51" i="9"/>
  <c r="M51" i="9"/>
  <c r="T220" i="9"/>
  <c r="S220" i="9"/>
  <c r="R220" i="9"/>
  <c r="J157" i="9"/>
  <c r="I157" i="9"/>
  <c r="H157" i="9"/>
  <c r="O157" i="9"/>
  <c r="N157" i="9"/>
  <c r="M157" i="9"/>
  <c r="J246" i="9"/>
  <c r="I246" i="9"/>
  <c r="H246" i="9"/>
  <c r="N246" i="9"/>
  <c r="M246" i="9"/>
  <c r="O246" i="9"/>
  <c r="R14" i="9"/>
  <c r="T14" i="9"/>
  <c r="S14" i="9"/>
  <c r="T108" i="9"/>
  <c r="S108" i="9"/>
  <c r="R108" i="9"/>
  <c r="R24" i="9"/>
  <c r="T24" i="9"/>
  <c r="S24" i="9"/>
  <c r="J221" i="9"/>
  <c r="I221" i="9"/>
  <c r="H221" i="9"/>
  <c r="O221" i="9"/>
  <c r="N221" i="9"/>
  <c r="M221" i="9"/>
  <c r="T197" i="9"/>
  <c r="S197" i="9"/>
  <c r="R197" i="9"/>
  <c r="T192" i="9"/>
  <c r="S192" i="9"/>
  <c r="R192" i="9"/>
  <c r="J398" i="9"/>
  <c r="I398" i="9"/>
  <c r="H398" i="9"/>
  <c r="M398" i="9"/>
  <c r="N398" i="9"/>
  <c r="O398" i="9"/>
  <c r="J42" i="9"/>
  <c r="I42" i="9"/>
  <c r="H42" i="9"/>
  <c r="O42" i="9"/>
  <c r="N42" i="9"/>
  <c r="M42" i="9"/>
  <c r="T160" i="9"/>
  <c r="S160" i="9"/>
  <c r="R160" i="9"/>
  <c r="J367" i="9"/>
  <c r="I367" i="9"/>
  <c r="H367" i="9"/>
  <c r="O367" i="9"/>
  <c r="N367" i="9"/>
  <c r="M367" i="9"/>
  <c r="T98" i="9"/>
  <c r="S98" i="9"/>
  <c r="R98" i="9"/>
  <c r="T180" i="9"/>
  <c r="S180" i="9"/>
  <c r="R180" i="9"/>
  <c r="T280" i="9"/>
  <c r="S280" i="9"/>
  <c r="R280" i="9"/>
  <c r="J387" i="9"/>
  <c r="I387" i="9"/>
  <c r="H387" i="9"/>
  <c r="O387" i="9"/>
  <c r="N387" i="9"/>
  <c r="M387" i="9"/>
  <c r="I128" i="9"/>
  <c r="H128" i="9"/>
  <c r="J128" i="9"/>
  <c r="O128" i="9"/>
  <c r="M128" i="9"/>
  <c r="N128" i="9"/>
  <c r="J158" i="9"/>
  <c r="I158" i="9"/>
  <c r="H158" i="9"/>
  <c r="O158" i="9"/>
  <c r="M158" i="9"/>
  <c r="N158" i="9"/>
  <c r="J289" i="9"/>
  <c r="I289" i="9"/>
  <c r="H289" i="9"/>
  <c r="O289" i="9"/>
  <c r="N289" i="9"/>
  <c r="M289" i="9"/>
  <c r="J211" i="9"/>
  <c r="I211" i="9"/>
  <c r="H211" i="9"/>
  <c r="O211" i="9"/>
  <c r="N211" i="9"/>
  <c r="M211" i="9"/>
  <c r="T88" i="9"/>
  <c r="S88" i="9"/>
  <c r="R88" i="9"/>
  <c r="H88" i="9"/>
  <c r="H45" i="9"/>
  <c r="J45" i="9"/>
  <c r="I45" i="9"/>
  <c r="O45" i="9"/>
  <c r="N45" i="9"/>
  <c r="M45" i="9"/>
  <c r="R12" i="9"/>
  <c r="T12" i="9"/>
  <c r="S12" i="9"/>
  <c r="T385" i="9"/>
  <c r="S385" i="9"/>
  <c r="R385" i="9"/>
  <c r="T71" i="9"/>
  <c r="S71" i="9"/>
  <c r="R71" i="9"/>
  <c r="T140" i="9"/>
  <c r="S140" i="9"/>
  <c r="R140" i="9"/>
  <c r="T51" i="9"/>
  <c r="S51" i="9"/>
  <c r="R51" i="9"/>
  <c r="I220" i="9"/>
  <c r="H220" i="9"/>
  <c r="J220" i="9"/>
  <c r="N220" i="9"/>
  <c r="M220" i="9"/>
  <c r="O220" i="9"/>
  <c r="T157" i="9"/>
  <c r="S157" i="9"/>
  <c r="R157" i="9"/>
  <c r="T246" i="9"/>
  <c r="S246" i="9"/>
  <c r="R246" i="9"/>
  <c r="J14" i="9"/>
  <c r="I14" i="9"/>
  <c r="H14" i="9"/>
  <c r="O14" i="9"/>
  <c r="N14" i="9"/>
  <c r="M14" i="9"/>
  <c r="J108" i="9"/>
  <c r="I108" i="9"/>
  <c r="H108" i="9"/>
  <c r="O108" i="9"/>
  <c r="M108" i="9"/>
  <c r="N108" i="9"/>
  <c r="J24" i="9"/>
  <c r="I24" i="9"/>
  <c r="H24" i="9"/>
  <c r="O24" i="9"/>
  <c r="N24" i="9"/>
  <c r="M24" i="9"/>
  <c r="S221" i="9"/>
  <c r="R221" i="9"/>
  <c r="T221" i="9"/>
  <c r="J197" i="9"/>
  <c r="I197" i="9"/>
  <c r="H197" i="9"/>
  <c r="O197" i="9"/>
  <c r="N197" i="9"/>
  <c r="M197" i="9"/>
  <c r="I192" i="9"/>
  <c r="H192" i="9"/>
  <c r="J192" i="9"/>
  <c r="O192" i="9"/>
  <c r="M192" i="9"/>
  <c r="N192" i="9"/>
  <c r="T398" i="9"/>
  <c r="R398" i="9"/>
  <c r="S398" i="9"/>
  <c r="R42" i="9"/>
  <c r="T42" i="9"/>
  <c r="S42" i="9"/>
  <c r="I160" i="9"/>
  <c r="H160" i="9"/>
  <c r="J160" i="9"/>
  <c r="O160" i="9"/>
  <c r="M160" i="9"/>
  <c r="N160" i="9"/>
  <c r="T367" i="9"/>
  <c r="S367" i="9"/>
  <c r="R367" i="9"/>
  <c r="J98" i="9"/>
  <c r="I98" i="9"/>
  <c r="H98" i="9"/>
  <c r="O98" i="9"/>
  <c r="M98" i="9"/>
  <c r="N98" i="9"/>
  <c r="I180" i="9"/>
  <c r="H180" i="9"/>
  <c r="J180" i="9"/>
  <c r="O180" i="9"/>
  <c r="M180" i="9"/>
  <c r="N180" i="9"/>
  <c r="I280" i="9"/>
  <c r="H280" i="9"/>
  <c r="J280" i="9"/>
  <c r="N280" i="9"/>
  <c r="O280" i="9"/>
  <c r="M280" i="9"/>
  <c r="T387" i="9"/>
  <c r="S387" i="9"/>
  <c r="R387" i="9"/>
  <c r="T128" i="9"/>
  <c r="S128" i="9"/>
  <c r="R128" i="9"/>
  <c r="T158" i="9"/>
  <c r="S158" i="9"/>
  <c r="R158" i="9"/>
  <c r="S289" i="9"/>
  <c r="R289" i="9"/>
  <c r="T289" i="9"/>
  <c r="S211" i="9"/>
  <c r="R211" i="9"/>
  <c r="T211" i="9"/>
  <c r="I88" i="9"/>
  <c r="T368" i="9"/>
  <c r="S368" i="9"/>
  <c r="R368" i="9"/>
  <c r="J327" i="9"/>
  <c r="I327" i="9"/>
  <c r="H327" i="9"/>
  <c r="O327" i="9"/>
  <c r="N327" i="9"/>
  <c r="M327" i="9"/>
  <c r="J179" i="9"/>
  <c r="I179" i="9"/>
  <c r="H179" i="9"/>
  <c r="O179" i="9"/>
  <c r="N179" i="9"/>
  <c r="M179" i="9"/>
  <c r="J194" i="9"/>
  <c r="I194" i="9"/>
  <c r="H194" i="9"/>
  <c r="O194" i="9"/>
  <c r="M194" i="9"/>
  <c r="N194" i="9"/>
  <c r="S213" i="9"/>
  <c r="R213" i="9"/>
  <c r="T213" i="9"/>
  <c r="T126" i="9"/>
  <c r="S126" i="9"/>
  <c r="R126" i="9"/>
  <c r="T49" i="9"/>
  <c r="S49" i="9"/>
  <c r="R49" i="9"/>
  <c r="J150" i="9"/>
  <c r="I150" i="9"/>
  <c r="H150" i="9"/>
  <c r="O150" i="9"/>
  <c r="M150" i="9"/>
  <c r="N150" i="9"/>
  <c r="T201" i="9"/>
  <c r="S201" i="9"/>
  <c r="R201" i="9"/>
  <c r="T162" i="9"/>
  <c r="S162" i="9"/>
  <c r="R162" i="9"/>
  <c r="T278" i="9"/>
  <c r="S278" i="9"/>
  <c r="R278" i="9"/>
  <c r="T25" i="9"/>
  <c r="S25" i="9"/>
  <c r="R25" i="9"/>
  <c r="R364" i="9"/>
  <c r="S364" i="9"/>
  <c r="T364" i="9"/>
  <c r="T195" i="9"/>
  <c r="S195" i="9"/>
  <c r="R195" i="9"/>
  <c r="J40" i="9"/>
  <c r="I40" i="9"/>
  <c r="H40" i="9"/>
  <c r="O40" i="9"/>
  <c r="N40" i="9"/>
  <c r="M40" i="9"/>
  <c r="J19" i="9"/>
  <c r="I19" i="9"/>
  <c r="H19" i="9"/>
  <c r="O19" i="9"/>
  <c r="N19" i="9"/>
  <c r="M19" i="9"/>
  <c r="T169" i="9"/>
  <c r="S169" i="9"/>
  <c r="R169" i="9"/>
  <c r="J183" i="9"/>
  <c r="I183" i="9"/>
  <c r="H183" i="9"/>
  <c r="O183" i="9"/>
  <c r="N183" i="9"/>
  <c r="M183" i="9"/>
  <c r="T206" i="9"/>
  <c r="S206" i="9"/>
  <c r="R206" i="9"/>
  <c r="J234" i="9"/>
  <c r="I234" i="9"/>
  <c r="H234" i="9"/>
  <c r="N234" i="9"/>
  <c r="O234" i="9"/>
  <c r="M234" i="9"/>
  <c r="T266" i="9"/>
  <c r="S266" i="9"/>
  <c r="R266" i="9"/>
  <c r="I276" i="9"/>
  <c r="H276" i="9"/>
  <c r="J276" i="9"/>
  <c r="N276" i="9"/>
  <c r="M276" i="9"/>
  <c r="O276" i="9"/>
  <c r="J107" i="9"/>
  <c r="I107" i="9"/>
  <c r="H107" i="9"/>
  <c r="O107" i="9"/>
  <c r="N107" i="9"/>
  <c r="M107" i="9"/>
  <c r="I212" i="9"/>
  <c r="H212" i="9"/>
  <c r="J212" i="9"/>
  <c r="N212" i="9"/>
  <c r="M212" i="9"/>
  <c r="O212" i="9"/>
  <c r="T348" i="9"/>
  <c r="S348" i="9"/>
  <c r="R348" i="9"/>
  <c r="J38" i="9"/>
  <c r="I38" i="9"/>
  <c r="H38" i="9"/>
  <c r="O38" i="9"/>
  <c r="N38" i="9"/>
  <c r="M38" i="9"/>
  <c r="J88" i="9"/>
  <c r="T394" i="9"/>
  <c r="S394" i="9"/>
  <c r="R394" i="9"/>
  <c r="J99" i="9"/>
  <c r="I99" i="9"/>
  <c r="H99" i="9"/>
  <c r="O99" i="9"/>
  <c r="N99" i="9"/>
  <c r="M99" i="9"/>
  <c r="I368" i="9"/>
  <c r="H368" i="9"/>
  <c r="J368" i="9"/>
  <c r="M368" i="9"/>
  <c r="N368" i="9"/>
  <c r="O368" i="9"/>
  <c r="T327" i="9"/>
  <c r="S327" i="9"/>
  <c r="R327" i="9"/>
  <c r="T179" i="9"/>
  <c r="S179" i="9"/>
  <c r="R179" i="9"/>
  <c r="T194" i="9"/>
  <c r="S194" i="9"/>
  <c r="R194" i="9"/>
  <c r="J213" i="9"/>
  <c r="I213" i="9"/>
  <c r="H213" i="9"/>
  <c r="O213" i="9"/>
  <c r="N213" i="9"/>
  <c r="M213" i="9"/>
  <c r="J126" i="9"/>
  <c r="I126" i="9"/>
  <c r="H126" i="9"/>
  <c r="O126" i="9"/>
  <c r="M126" i="9"/>
  <c r="N126" i="9"/>
  <c r="H49" i="9"/>
  <c r="J49" i="9"/>
  <c r="I49" i="9"/>
  <c r="O49" i="9"/>
  <c r="N49" i="9"/>
  <c r="M49" i="9"/>
  <c r="T150" i="9"/>
  <c r="S150" i="9"/>
  <c r="R150" i="9"/>
  <c r="J201" i="9"/>
  <c r="I201" i="9"/>
  <c r="H201" i="9"/>
  <c r="N201" i="9"/>
  <c r="M201" i="9"/>
  <c r="O201" i="9"/>
  <c r="J162" i="9"/>
  <c r="I162" i="9"/>
  <c r="H162" i="9"/>
  <c r="O162" i="9"/>
  <c r="M162" i="9"/>
  <c r="N162" i="9"/>
  <c r="J278" i="9"/>
  <c r="I278" i="9"/>
  <c r="H278" i="9"/>
  <c r="N278" i="9"/>
  <c r="M278" i="9"/>
  <c r="O278" i="9"/>
  <c r="H25" i="9"/>
  <c r="J25" i="9"/>
  <c r="I25" i="9"/>
  <c r="O25" i="9"/>
  <c r="N25" i="9"/>
  <c r="M25" i="9"/>
  <c r="I364" i="9"/>
  <c r="H364" i="9"/>
  <c r="J364" i="9"/>
  <c r="M364" i="9"/>
  <c r="N364" i="9"/>
  <c r="O364" i="9"/>
  <c r="J195" i="9"/>
  <c r="I195" i="9"/>
  <c r="H195" i="9"/>
  <c r="O195" i="9"/>
  <c r="N195" i="9"/>
  <c r="M195" i="9"/>
  <c r="R40" i="9"/>
  <c r="T40" i="9"/>
  <c r="S40" i="9"/>
  <c r="T19" i="9"/>
  <c r="S19" i="9"/>
  <c r="R19" i="9"/>
  <c r="J169" i="9"/>
  <c r="I169" i="9"/>
  <c r="H169" i="9"/>
  <c r="O169" i="9"/>
  <c r="N169" i="9"/>
  <c r="M169" i="9"/>
  <c r="T183" i="9"/>
  <c r="S183" i="9"/>
  <c r="R183" i="9"/>
  <c r="J206" i="9"/>
  <c r="I206" i="9"/>
  <c r="H206" i="9"/>
  <c r="N206" i="9"/>
  <c r="M206" i="9"/>
  <c r="O206" i="9"/>
  <c r="T234" i="9"/>
  <c r="S234" i="9"/>
  <c r="R234" i="9"/>
  <c r="J266" i="9"/>
  <c r="I266" i="9"/>
  <c r="H266" i="9"/>
  <c r="N266" i="9"/>
  <c r="O266" i="9"/>
  <c r="M266" i="9"/>
  <c r="T276" i="9"/>
  <c r="S276" i="9"/>
  <c r="R276" i="9"/>
  <c r="T107" i="9"/>
  <c r="S107" i="9"/>
  <c r="R107" i="9"/>
  <c r="T212" i="9"/>
  <c r="S212" i="9"/>
  <c r="R212" i="9"/>
  <c r="I348" i="9"/>
  <c r="H348" i="9"/>
  <c r="J348" i="9"/>
  <c r="M348" i="9"/>
  <c r="N348" i="9"/>
  <c r="O348" i="9"/>
  <c r="R38" i="9"/>
  <c r="T38" i="9"/>
  <c r="S38" i="9"/>
  <c r="AH2" i="1"/>
  <c r="J3" i="1" l="1"/>
  <c r="I3" i="1"/>
  <c r="H3" i="1"/>
  <c r="V1200" i="1"/>
  <c r="P1195" i="1"/>
  <c r="V1193" i="1"/>
  <c r="V1190" i="1"/>
  <c r="P1189" i="1"/>
  <c r="V1183" i="1"/>
  <c r="P1179" i="1"/>
  <c r="V1177" i="1"/>
  <c r="P1176" i="1"/>
  <c r="V1174" i="1"/>
  <c r="P1173" i="1"/>
  <c r="P1152" i="1"/>
  <c r="P1144" i="1"/>
  <c r="V1142" i="1"/>
  <c r="P1140" i="1"/>
  <c r="V1138" i="1"/>
  <c r="V1135" i="1"/>
  <c r="P1134" i="1"/>
  <c r="V1131" i="1"/>
  <c r="P1130" i="1"/>
  <c r="V1128" i="1"/>
  <c r="P1127" i="1"/>
  <c r="P1123" i="1"/>
  <c r="V1115" i="1"/>
  <c r="P1111" i="1"/>
  <c r="P1107" i="1"/>
  <c r="V1099" i="1"/>
  <c r="P1095" i="1"/>
  <c r="P1092" i="1"/>
  <c r="V1087" i="1"/>
  <c r="P1086" i="1"/>
  <c r="V1084" i="1"/>
  <c r="P1083" i="1"/>
  <c r="P1068" i="1"/>
  <c r="P1066" i="1"/>
  <c r="P1063" i="1"/>
  <c r="V1056" i="1"/>
  <c r="P1055" i="1"/>
  <c r="P1053" i="1"/>
  <c r="V1041" i="1"/>
  <c r="P1034" i="1"/>
  <c r="V1032" i="1"/>
  <c r="V1027" i="1"/>
  <c r="P1024" i="1"/>
  <c r="V1020" i="1"/>
  <c r="V1014" i="1"/>
  <c r="V1009" i="1"/>
  <c r="P1008" i="1"/>
  <c r="V1004" i="1"/>
  <c r="P1003" i="1"/>
  <c r="V1000" i="1"/>
  <c r="P999" i="1"/>
  <c r="P989" i="1"/>
  <c r="P977" i="1"/>
  <c r="P971" i="1"/>
  <c r="P968" i="1"/>
  <c r="V963" i="1"/>
  <c r="P962" i="1"/>
  <c r="P958" i="1"/>
  <c r="V956" i="1"/>
  <c r="P952" i="1"/>
  <c r="V950" i="1"/>
  <c r="P946" i="1"/>
  <c r="V944" i="1"/>
  <c r="V941" i="1"/>
  <c r="P938" i="1"/>
  <c r="V936" i="1"/>
  <c r="V930" i="1"/>
  <c r="P929" i="1"/>
  <c r="P923" i="1"/>
  <c r="V918" i="1"/>
  <c r="P917" i="1"/>
  <c r="P906" i="1"/>
  <c r="V904" i="1"/>
  <c r="V898" i="1"/>
  <c r="P897" i="1"/>
  <c r="P887" i="1"/>
  <c r="V885" i="1"/>
  <c r="P884" i="1"/>
  <c r="P1199" i="1"/>
  <c r="V1187" i="1"/>
  <c r="V1171" i="1"/>
  <c r="P1167" i="1"/>
  <c r="V1165" i="1"/>
  <c r="P1164" i="1"/>
  <c r="P1158" i="1"/>
  <c r="V1156" i="1"/>
  <c r="V1153" i="1"/>
  <c r="V1145" i="1"/>
  <c r="V1125" i="1"/>
  <c r="V1124" i="1"/>
  <c r="P1121" i="1"/>
  <c r="P1118" i="1"/>
  <c r="V1109" i="1"/>
  <c r="V1108" i="1"/>
  <c r="P1105" i="1"/>
  <c r="V1103" i="1"/>
  <c r="P1102" i="1"/>
  <c r="P1096" i="1"/>
  <c r="V1093" i="1"/>
  <c r="V1090" i="1"/>
  <c r="P1089" i="1"/>
  <c r="V1081" i="1"/>
  <c r="P1080" i="1"/>
  <c r="V1078" i="1"/>
  <c r="V1075" i="1"/>
  <c r="P1074" i="1"/>
  <c r="V1071" i="1"/>
  <c r="V1069" i="1"/>
  <c r="P1061" i="1"/>
  <c r="P1059" i="1"/>
  <c r="V1049" i="1"/>
  <c r="P1048" i="1"/>
  <c r="V1046" i="1"/>
  <c r="P1043" i="1"/>
  <c r="V1039" i="1"/>
  <c r="P1038" i="1"/>
  <c r="V1035" i="1"/>
  <c r="P1029" i="1"/>
  <c r="V1025" i="1"/>
  <c r="P1022" i="1"/>
  <c r="V1017" i="1"/>
  <c r="P1016" i="1"/>
  <c r="V1012" i="1"/>
  <c r="P1006" i="1"/>
  <c r="V990" i="1"/>
  <c r="V987" i="1"/>
  <c r="P986" i="1"/>
  <c r="P983" i="1"/>
  <c r="V981" i="1"/>
  <c r="P980" i="1"/>
  <c r="V978" i="1"/>
  <c r="P974" i="1"/>
  <c r="V972" i="1"/>
  <c r="P965" i="1"/>
  <c r="V960" i="1"/>
  <c r="P959" i="1"/>
  <c r="P953" i="1"/>
  <c r="V942" i="1"/>
  <c r="V939" i="1"/>
  <c r="P935" i="1"/>
  <c r="V933" i="1"/>
  <c r="P932" i="1"/>
  <c r="V927" i="1"/>
  <c r="P926" i="1"/>
  <c r="V924" i="1"/>
  <c r="P921" i="1"/>
  <c r="P912" i="1"/>
  <c r="V907" i="1"/>
  <c r="P903" i="1"/>
  <c r="V901" i="1"/>
  <c r="P900" i="1"/>
  <c r="V879" i="1"/>
  <c r="P1200" i="1"/>
  <c r="V1197" i="1"/>
  <c r="P1196" i="1"/>
  <c r="P1186" i="1"/>
  <c r="V1184" i="1"/>
  <c r="P1183" i="1"/>
  <c r="V1181" i="1"/>
  <c r="P1180" i="1"/>
  <c r="P1170" i="1"/>
  <c r="V1168" i="1"/>
  <c r="V1162" i="1"/>
  <c r="P1161" i="1"/>
  <c r="V1159" i="1"/>
  <c r="P1155" i="1"/>
  <c r="P1150" i="1"/>
  <c r="V1148" i="1"/>
  <c r="P1147" i="1"/>
  <c r="P1141" i="1"/>
  <c r="P1138" i="1"/>
  <c r="V1136" i="1"/>
  <c r="P1135" i="1"/>
  <c r="V1122" i="1"/>
  <c r="V1119" i="1"/>
  <c r="V1113" i="1"/>
  <c r="P1112" i="1"/>
  <c r="V1106" i="1"/>
  <c r="P1099" i="1"/>
  <c r="V1097" i="1"/>
  <c r="P1087" i="1"/>
  <c r="V1085" i="1"/>
  <c r="P1084" i="1"/>
  <c r="P1077" i="1"/>
  <c r="V1072" i="1"/>
  <c r="V1067" i="1"/>
  <c r="P1064" i="1"/>
  <c r="V1062" i="1"/>
  <c r="V1054" i="1"/>
  <c r="P1051" i="1"/>
  <c r="V1044" i="1"/>
  <c r="P1041" i="1"/>
  <c r="V1030" i="1"/>
  <c r="V1023" i="1"/>
  <c r="P1020" i="1"/>
  <c r="P1014" i="1"/>
  <c r="V1007" i="1"/>
  <c r="P1004" i="1"/>
  <c r="P997" i="1"/>
  <c r="V993" i="1"/>
  <c r="P992" i="1"/>
  <c r="V988" i="1"/>
  <c r="V984" i="1"/>
  <c r="P975" i="1"/>
  <c r="P969" i="1"/>
  <c r="V967" i="1"/>
  <c r="V966" i="1"/>
  <c r="V961" i="1"/>
  <c r="V957" i="1"/>
  <c r="P956" i="1"/>
  <c r="V954" i="1"/>
  <c r="V951" i="1"/>
  <c r="P950" i="1"/>
  <c r="P947" i="1"/>
  <c r="V945" i="1"/>
  <c r="P944" i="1"/>
  <c r="P941" i="1"/>
  <c r="P930" i="1"/>
  <c r="V928" i="1"/>
  <c r="V922" i="1"/>
  <c r="P915" i="1"/>
  <c r="V913" i="1"/>
  <c r="V910" i="1"/>
  <c r="P909" i="1"/>
  <c r="P898" i="1"/>
  <c r="V895" i="1"/>
  <c r="P894" i="1"/>
  <c r="P891" i="1"/>
  <c r="V1194" i="1"/>
  <c r="P1193" i="1"/>
  <c r="V1191" i="1"/>
  <c r="P1190" i="1"/>
  <c r="V1188" i="1"/>
  <c r="V1178" i="1"/>
  <c r="P1177" i="1"/>
  <c r="P1174" i="1"/>
  <c r="V1172" i="1"/>
  <c r="V1166" i="1"/>
  <c r="P1165" i="1"/>
  <c r="V1151" i="1"/>
  <c r="P1145" i="1"/>
  <c r="P1142" i="1"/>
  <c r="V1133" i="1"/>
  <c r="V1132" i="1"/>
  <c r="P1131" i="1"/>
  <c r="V1129" i="1"/>
  <c r="P1128" i="1"/>
  <c r="V1126" i="1"/>
  <c r="P1124" i="1"/>
  <c r="P1115" i="1"/>
  <c r="P1108" i="1"/>
  <c r="V1104" i="1"/>
  <c r="V1100" i="1"/>
  <c r="V1094" i="1"/>
  <c r="P1093" i="1"/>
  <c r="V1088" i="1"/>
  <c r="V1082" i="1"/>
  <c r="P1081" i="1"/>
  <c r="V1079" i="1"/>
  <c r="P1078" i="1"/>
  <c r="P1071" i="1"/>
  <c r="V1065" i="1"/>
  <c r="V1060" i="1"/>
  <c r="V1058" i="1"/>
  <c r="V1057" i="1"/>
  <c r="P1056" i="1"/>
  <c r="V1052" i="1"/>
  <c r="P1049" i="1"/>
  <c r="V1047" i="1"/>
  <c r="P1046" i="1"/>
  <c r="V1042" i="1"/>
  <c r="P1039" i="1"/>
  <c r="V1037" i="1"/>
  <c r="V1036" i="1"/>
  <c r="V1033" i="1"/>
  <c r="P1032" i="1"/>
  <c r="P1027" i="1"/>
  <c r="P1025" i="1"/>
  <c r="V1021" i="1"/>
  <c r="V1018" i="1"/>
  <c r="V1015" i="1"/>
  <c r="P1012" i="1"/>
  <c r="V1010" i="1"/>
  <c r="P1009" i="1"/>
  <c r="V1005" i="1"/>
  <c r="V1001" i="1"/>
  <c r="P1000" i="1"/>
  <c r="V998" i="1"/>
  <c r="V994" i="1"/>
  <c r="P990" i="1"/>
  <c r="P987" i="1"/>
  <c r="V979" i="1"/>
  <c r="P978" i="1"/>
  <c r="V976" i="1"/>
  <c r="V973" i="1"/>
  <c r="P972" i="1"/>
  <c r="V970" i="1"/>
  <c r="P963" i="1"/>
  <c r="P960" i="1"/>
  <c r="V948" i="1"/>
  <c r="P936" i="1"/>
  <c r="V931" i="1"/>
  <c r="P927" i="1"/>
  <c r="V925" i="1"/>
  <c r="P924" i="1"/>
  <c r="V919" i="1"/>
  <c r="P918" i="1"/>
  <c r="V916" i="1"/>
  <c r="P904" i="1"/>
  <c r="V899" i="1"/>
  <c r="V896" i="1"/>
  <c r="V892" i="1"/>
  <c r="V886" i="1"/>
  <c r="V1198" i="1"/>
  <c r="P1197" i="1"/>
  <c r="P1187" i="1"/>
  <c r="V1185" i="1"/>
  <c r="P1184" i="1"/>
  <c r="V1182" i="1"/>
  <c r="P1181" i="1"/>
  <c r="V1175" i="1"/>
  <c r="P1171" i="1"/>
  <c r="V1169" i="1"/>
  <c r="P1168" i="1"/>
  <c r="V1163" i="1"/>
  <c r="P1159" i="1"/>
  <c r="V1157" i="1"/>
  <c r="P1156" i="1"/>
  <c r="V1154" i="1"/>
  <c r="P1153" i="1"/>
  <c r="V1146" i="1"/>
  <c r="V1143" i="1"/>
  <c r="V1139" i="1"/>
  <c r="P1125" i="1"/>
  <c r="P1122" i="1"/>
  <c r="V1120" i="1"/>
  <c r="P1119" i="1"/>
  <c r="V1117" i="1"/>
  <c r="V1116" i="1"/>
  <c r="P1113" i="1"/>
  <c r="V1110" i="1"/>
  <c r="P1109" i="1"/>
  <c r="P1106" i="1"/>
  <c r="P1103" i="1"/>
  <c r="V1101" i="1"/>
  <c r="V1098" i="1"/>
  <c r="P1097" i="1"/>
  <c r="V1091" i="1"/>
  <c r="P1090" i="1"/>
  <c r="V1076" i="1"/>
  <c r="P1075" i="1"/>
  <c r="V1073" i="1"/>
  <c r="P1069" i="1"/>
  <c r="P1067" i="1"/>
  <c r="P1062" i="1"/>
  <c r="P1054" i="1"/>
  <c r="V1050" i="1"/>
  <c r="P1044" i="1"/>
  <c r="V1040" i="1"/>
  <c r="P1035" i="1"/>
  <c r="P1030" i="1"/>
  <c r="V1028" i="1"/>
  <c r="P1023" i="1"/>
  <c r="P1017" i="1"/>
  <c r="V1013" i="1"/>
  <c r="P1007" i="1"/>
  <c r="V1002" i="1"/>
  <c r="V996" i="1"/>
  <c r="V995" i="1"/>
  <c r="V991" i="1"/>
  <c r="V985" i="1"/>
  <c r="P984" i="1"/>
  <c r="P981" i="1"/>
  <c r="P966" i="1"/>
  <c r="V964" i="1"/>
  <c r="V955" i="1"/>
  <c r="P954" i="1"/>
  <c r="V949" i="1"/>
  <c r="V943" i="1"/>
  <c r="P942" i="1"/>
  <c r="P939" i="1"/>
  <c r="V937" i="1"/>
  <c r="V934" i="1"/>
  <c r="P933" i="1"/>
  <c r="P922" i="1"/>
  <c r="V920" i="1"/>
  <c r="P913" i="1"/>
  <c r="P907" i="1"/>
  <c r="V905" i="1"/>
  <c r="V902" i="1"/>
  <c r="P901" i="1"/>
  <c r="P895" i="1"/>
  <c r="V893" i="1"/>
  <c r="V890" i="1"/>
  <c r="P889" i="1"/>
  <c r="V1195" i="1"/>
  <c r="V1192" i="1"/>
  <c r="P1191" i="1"/>
  <c r="V1179" i="1"/>
  <c r="P1162" i="1"/>
  <c r="V1160" i="1"/>
  <c r="P1151" i="1"/>
  <c r="V1149" i="1"/>
  <c r="P1148" i="1"/>
  <c r="V1144" i="1"/>
  <c r="V1140" i="1"/>
  <c r="V1137" i="1"/>
  <c r="P1136" i="1"/>
  <c r="P1132" i="1"/>
  <c r="V1130" i="1"/>
  <c r="P1129" i="1"/>
  <c r="P1126" i="1"/>
  <c r="V1123" i="1"/>
  <c r="V1114" i="1"/>
  <c r="V1111" i="1"/>
  <c r="V1107" i="1"/>
  <c r="P1100" i="1"/>
  <c r="V1095" i="1"/>
  <c r="P1085" i="1"/>
  <c r="P1079" i="1"/>
  <c r="P1072" i="1"/>
  <c r="V1070" i="1"/>
  <c r="P1065" i="1"/>
  <c r="V1063" i="1"/>
  <c r="P1060" i="1"/>
  <c r="P1057" i="1"/>
  <c r="V1055" i="1"/>
  <c r="P1052" i="1"/>
  <c r="V1045" i="1"/>
  <c r="P1042" i="1"/>
  <c r="P1036" i="1"/>
  <c r="P1033" i="1"/>
  <c r="V1031" i="1"/>
  <c r="V1026" i="1"/>
  <c r="V1024" i="1"/>
  <c r="V1019" i="1"/>
  <c r="P1015" i="1"/>
  <c r="V1011" i="1"/>
  <c r="P1010" i="1"/>
  <c r="V1008" i="1"/>
  <c r="P998" i="1"/>
  <c r="P993" i="1"/>
  <c r="V989" i="1"/>
  <c r="P988" i="1"/>
  <c r="V982" i="1"/>
  <c r="V977" i="1"/>
  <c r="P976" i="1"/>
  <c r="V971" i="1"/>
  <c r="P970" i="1"/>
  <c r="P967" i="1"/>
  <c r="P961" i="1"/>
  <c r="P957" i="1"/>
  <c r="P951" i="1"/>
  <c r="P948" i="1"/>
  <c r="P945" i="1"/>
  <c r="V940" i="1"/>
  <c r="P928" i="1"/>
  <c r="V923" i="1"/>
  <c r="P919" i="1"/>
  <c r="V917" i="1"/>
  <c r="P916" i="1"/>
  <c r="V914" i="1"/>
  <c r="V911" i="1"/>
  <c r="P910" i="1"/>
  <c r="V908" i="1"/>
  <c r="P892" i="1"/>
  <c r="P880" i="1"/>
  <c r="V1199" i="1"/>
  <c r="V1196" i="1"/>
  <c r="V1180" i="1"/>
  <c r="P1169" i="1"/>
  <c r="P1163" i="1"/>
  <c r="V1121" i="1"/>
  <c r="P1116" i="1"/>
  <c r="V1105" i="1"/>
  <c r="P1073" i="1"/>
  <c r="P1047" i="1"/>
  <c r="P1031" i="1"/>
  <c r="P1021" i="1"/>
  <c r="V999" i="1"/>
  <c r="V992" i="1"/>
  <c r="P982" i="1"/>
  <c r="P940" i="1"/>
  <c r="P934" i="1"/>
  <c r="P896" i="1"/>
  <c r="P890" i="1"/>
  <c r="V888" i="1"/>
  <c r="V883" i="1"/>
  <c r="P876" i="1"/>
  <c r="P874" i="1"/>
  <c r="V872" i="1"/>
  <c r="P870" i="1"/>
  <c r="V864" i="1"/>
  <c r="V861" i="1"/>
  <c r="P858" i="1"/>
  <c r="V856" i="1"/>
  <c r="P852" i="1"/>
  <c r="V847" i="1"/>
  <c r="P846" i="1"/>
  <c r="V844" i="1"/>
  <c r="V838" i="1"/>
  <c r="V826" i="1"/>
  <c r="P825" i="1"/>
  <c r="V823" i="1"/>
  <c r="P822" i="1"/>
  <c r="P819" i="1"/>
  <c r="V817" i="1"/>
  <c r="P816" i="1"/>
  <c r="V814" i="1"/>
  <c r="P810" i="1"/>
  <c r="V808" i="1"/>
  <c r="P806" i="1"/>
  <c r="P803" i="1"/>
  <c r="V801" i="1"/>
  <c r="P800" i="1"/>
  <c r="P797" i="1"/>
  <c r="V789" i="1"/>
  <c r="P786" i="1"/>
  <c r="P783" i="1"/>
  <c r="P773" i="1"/>
  <c r="V771" i="1"/>
  <c r="V768" i="1"/>
  <c r="P767" i="1"/>
  <c r="V765" i="1"/>
  <c r="P764" i="1"/>
  <c r="V759" i="1"/>
  <c r="P758" i="1"/>
  <c r="V756" i="1"/>
  <c r="P747" i="1"/>
  <c r="V745" i="1"/>
  <c r="P744" i="1"/>
  <c r="V742" i="1"/>
  <c r="P741" i="1"/>
  <c r="P738" i="1"/>
  <c r="V731" i="1"/>
  <c r="V713" i="1"/>
  <c r="P712" i="1"/>
  <c r="V710" i="1"/>
  <c r="P709" i="1"/>
  <c r="V699" i="1"/>
  <c r="V698" i="1"/>
  <c r="P688" i="1"/>
  <c r="V686" i="1"/>
  <c r="P1192" i="1"/>
  <c r="V1186" i="1"/>
  <c r="V1176" i="1"/>
  <c r="V1164" i="1"/>
  <c r="V1158" i="1"/>
  <c r="V1152" i="1"/>
  <c r="P1146" i="1"/>
  <c r="V1089" i="1"/>
  <c r="V1068" i="1"/>
  <c r="P1058" i="1"/>
  <c r="V1053" i="1"/>
  <c r="P1037" i="1"/>
  <c r="P1026" i="1"/>
  <c r="P994" i="1"/>
  <c r="V983" i="1"/>
  <c r="V929" i="1"/>
  <c r="P914" i="1"/>
  <c r="P908" i="1"/>
  <c r="P902" i="1"/>
  <c r="P885" i="1"/>
  <c r="V878" i="1"/>
  <c r="P871" i="1"/>
  <c r="V868" i="1"/>
  <c r="V862" i="1"/>
  <c r="V859" i="1"/>
  <c r="P855" i="1"/>
  <c r="V853" i="1"/>
  <c r="P850" i="1"/>
  <c r="V848" i="1"/>
  <c r="V842" i="1"/>
  <c r="P841" i="1"/>
  <c r="P837" i="1"/>
  <c r="P835" i="1"/>
  <c r="V833" i="1"/>
  <c r="P832" i="1"/>
  <c r="V829" i="1"/>
  <c r="P828" i="1"/>
  <c r="V820" i="1"/>
  <c r="V811" i="1"/>
  <c r="P807" i="1"/>
  <c r="V804" i="1"/>
  <c r="P795" i="1"/>
  <c r="V793" i="1"/>
  <c r="P792" i="1"/>
  <c r="V790" i="1"/>
  <c r="V787" i="1"/>
  <c r="V784" i="1"/>
  <c r="P780" i="1"/>
  <c r="P777" i="1"/>
  <c r="V762" i="1"/>
  <c r="P761" i="1"/>
  <c r="V751" i="1"/>
  <c r="P750" i="1"/>
  <c r="V748" i="1"/>
  <c r="P736" i="1"/>
  <c r="V734" i="1"/>
  <c r="P733" i="1"/>
  <c r="P730" i="1"/>
  <c r="P727" i="1"/>
  <c r="V725" i="1"/>
  <c r="P724" i="1"/>
  <c r="P715" i="1"/>
  <c r="V705" i="1"/>
  <c r="P704" i="1"/>
  <c r="V702" i="1"/>
  <c r="P701" i="1"/>
  <c r="P695" i="1"/>
  <c r="V693" i="1"/>
  <c r="P692" i="1"/>
  <c r="V678" i="1"/>
  <c r="P677" i="1"/>
  <c r="P663" i="1"/>
  <c r="V661" i="1"/>
  <c r="P657" i="1"/>
  <c r="V655" i="1"/>
  <c r="P654" i="1"/>
  <c r="V649" i="1"/>
  <c r="V643" i="1"/>
  <c r="P636" i="1"/>
  <c r="V633" i="1"/>
  <c r="P1198" i="1"/>
  <c r="P1188" i="1"/>
  <c r="P1182" i="1"/>
  <c r="V1170" i="1"/>
  <c r="V1141" i="1"/>
  <c r="V1127" i="1"/>
  <c r="P1117" i="1"/>
  <c r="P1101" i="1"/>
  <c r="V1096" i="1"/>
  <c r="P1091" i="1"/>
  <c r="V1048" i="1"/>
  <c r="V1016" i="1"/>
  <c r="P1011" i="1"/>
  <c r="V1006" i="1"/>
  <c r="P1001" i="1"/>
  <c r="P995" i="1"/>
  <c r="P973" i="1"/>
  <c r="V962" i="1"/>
  <c r="V946" i="1"/>
  <c r="V935" i="1"/>
  <c r="P925" i="1"/>
  <c r="V897" i="1"/>
  <c r="P877" i="1"/>
  <c r="V875" i="1"/>
  <c r="V866" i="1"/>
  <c r="V865" i="1"/>
  <c r="P864" i="1"/>
  <c r="V851" i="1"/>
  <c r="P847" i="1"/>
  <c r="P844" i="1"/>
  <c r="V839" i="1"/>
  <c r="V830" i="1"/>
  <c r="P826" i="1"/>
  <c r="V824" i="1"/>
  <c r="P823" i="1"/>
  <c r="P813" i="1"/>
  <c r="P798" i="1"/>
  <c r="V796" i="1"/>
  <c r="P789" i="1"/>
  <c r="V781" i="1"/>
  <c r="V778" i="1"/>
  <c r="V775" i="1"/>
  <c r="P774" i="1"/>
  <c r="V772" i="1"/>
  <c r="P771" i="1"/>
  <c r="V766" i="1"/>
  <c r="V763" i="1"/>
  <c r="P759" i="1"/>
  <c r="V757" i="1"/>
  <c r="P756" i="1"/>
  <c r="P753" i="1"/>
  <c r="P739" i="1"/>
  <c r="V737" i="1"/>
  <c r="V728" i="1"/>
  <c r="V722" i="1"/>
  <c r="P721" i="1"/>
  <c r="V719" i="1"/>
  <c r="P718" i="1"/>
  <c r="V716" i="1"/>
  <c r="P707" i="1"/>
  <c r="P698" i="1"/>
  <c r="V696" i="1"/>
  <c r="P689" i="1"/>
  <c r="V681" i="1"/>
  <c r="P680" i="1"/>
  <c r="P672" i="1"/>
  <c r="V670" i="1"/>
  <c r="P669" i="1"/>
  <c r="V667" i="1"/>
  <c r="P666" i="1"/>
  <c r="V664" i="1"/>
  <c r="V644" i="1"/>
  <c r="P642" i="1"/>
  <c r="V640" i="1"/>
  <c r="P639" i="1"/>
  <c r="V637" i="1"/>
  <c r="P1194" i="1"/>
  <c r="P1178" i="1"/>
  <c r="P1172" i="1"/>
  <c r="P1166" i="1"/>
  <c r="V1147" i="1"/>
  <c r="P1143" i="1"/>
  <c r="P1137" i="1"/>
  <c r="V1080" i="1"/>
  <c r="V1074" i="1"/>
  <c r="V1043" i="1"/>
  <c r="V1038" i="1"/>
  <c r="P1028" i="1"/>
  <c r="V1022" i="1"/>
  <c r="P979" i="1"/>
  <c r="V968" i="1"/>
  <c r="V952" i="1"/>
  <c r="P937" i="1"/>
  <c r="P931" i="1"/>
  <c r="P920" i="1"/>
  <c r="V915" i="1"/>
  <c r="V909" i="1"/>
  <c r="V903" i="1"/>
  <c r="V891" i="1"/>
  <c r="P888" i="1"/>
  <c r="P883" i="1"/>
  <c r="V881" i="1"/>
  <c r="P872" i="1"/>
  <c r="V869" i="1"/>
  <c r="P868" i="1"/>
  <c r="P861" i="1"/>
  <c r="P859" i="1"/>
  <c r="V857" i="1"/>
  <c r="P856" i="1"/>
  <c r="V845" i="1"/>
  <c r="P842" i="1"/>
  <c r="V840" i="1"/>
  <c r="P838" i="1"/>
  <c r="V836" i="1"/>
  <c r="V827" i="1"/>
  <c r="V818" i="1"/>
  <c r="P817" i="1"/>
  <c r="V815" i="1"/>
  <c r="P814" i="1"/>
  <c r="P811" i="1"/>
  <c r="V809" i="1"/>
  <c r="P808" i="1"/>
  <c r="V802" i="1"/>
  <c r="P801" i="1"/>
  <c r="V799" i="1"/>
  <c r="P787" i="1"/>
  <c r="V785" i="1"/>
  <c r="P784" i="1"/>
  <c r="V776" i="1"/>
  <c r="V769" i="1"/>
  <c r="P768" i="1"/>
  <c r="P765" i="1"/>
  <c r="P762" i="1"/>
  <c r="V760" i="1"/>
  <c r="V754" i="1"/>
  <c r="P751" i="1"/>
  <c r="V749" i="1"/>
  <c r="P748" i="1"/>
  <c r="V746" i="1"/>
  <c r="P745" i="1"/>
  <c r="V743" i="1"/>
  <c r="P742" i="1"/>
  <c r="V740" i="1"/>
  <c r="P731" i="1"/>
  <c r="V723" i="1"/>
  <c r="V1189" i="1"/>
  <c r="P1160" i="1"/>
  <c r="P1154" i="1"/>
  <c r="P1133" i="1"/>
  <c r="V1118" i="1"/>
  <c r="V1112" i="1"/>
  <c r="V1102" i="1"/>
  <c r="V1092" i="1"/>
  <c r="V1086" i="1"/>
  <c r="P1070" i="1"/>
  <c r="V1064" i="1"/>
  <c r="V1059" i="1"/>
  <c r="P1050" i="1"/>
  <c r="P1018" i="1"/>
  <c r="P1002" i="1"/>
  <c r="P996" i="1"/>
  <c r="P985" i="1"/>
  <c r="P964" i="1"/>
  <c r="V958" i="1"/>
  <c r="V953" i="1"/>
  <c r="V947" i="1"/>
  <c r="V926" i="1"/>
  <c r="P905" i="1"/>
  <c r="P899" i="1"/>
  <c r="V889" i="1"/>
  <c r="V884" i="1"/>
  <c r="P878" i="1"/>
  <c r="P875" i="1"/>
  <c r="V873" i="1"/>
  <c r="P862" i="1"/>
  <c r="V854" i="1"/>
  <c r="P853" i="1"/>
  <c r="P851" i="1"/>
  <c r="V849" i="1"/>
  <c r="P848" i="1"/>
  <c r="V843" i="1"/>
  <c r="P839" i="1"/>
  <c r="V834" i="1"/>
  <c r="P833" i="1"/>
  <c r="P829" i="1"/>
  <c r="V821" i="1"/>
  <c r="P820" i="1"/>
  <c r="V812" i="1"/>
  <c r="V805" i="1"/>
  <c r="P804" i="1"/>
  <c r="V794" i="1"/>
  <c r="P793" i="1"/>
  <c r="P790" i="1"/>
  <c r="V788" i="1"/>
  <c r="V782" i="1"/>
  <c r="P781" i="1"/>
  <c r="P778" i="1"/>
  <c r="P775" i="1"/>
  <c r="V755" i="1"/>
  <c r="V752" i="1"/>
  <c r="V735" i="1"/>
  <c r="P734" i="1"/>
  <c r="V732" i="1"/>
  <c r="V729" i="1"/>
  <c r="P728" i="1"/>
  <c r="V726" i="1"/>
  <c r="P725" i="1"/>
  <c r="P722" i="1"/>
  <c r="P719" i="1"/>
  <c r="V717" i="1"/>
  <c r="P716" i="1"/>
  <c r="V714" i="1"/>
  <c r="P705" i="1"/>
  <c r="V703" i="1"/>
  <c r="P702" i="1"/>
  <c r="V700" i="1"/>
  <c r="V697" i="1"/>
  <c r="P696" i="1"/>
  <c r="V694" i="1"/>
  <c r="V691" i="1"/>
  <c r="V687" i="1"/>
  <c r="V684" i="1"/>
  <c r="P678" i="1"/>
  <c r="V676" i="1"/>
  <c r="V668" i="1"/>
  <c r="P667" i="1"/>
  <c r="P664" i="1"/>
  <c r="V653" i="1"/>
  <c r="P649" i="1"/>
  <c r="V647" i="1"/>
  <c r="P1185" i="1"/>
  <c r="V1167" i="1"/>
  <c r="P1149" i="1"/>
  <c r="V1066" i="1"/>
  <c r="V1061" i="1"/>
  <c r="P1040" i="1"/>
  <c r="V969" i="1"/>
  <c r="V965" i="1"/>
  <c r="P943" i="1"/>
  <c r="V921" i="1"/>
  <c r="P886" i="1"/>
  <c r="V876" i="1"/>
  <c r="V870" i="1"/>
  <c r="V863" i="1"/>
  <c r="V855" i="1"/>
  <c r="P845" i="1"/>
  <c r="P827" i="1"/>
  <c r="P815" i="1"/>
  <c r="V813" i="1"/>
  <c r="V807" i="1"/>
  <c r="P796" i="1"/>
  <c r="P788" i="1"/>
  <c r="P782" i="1"/>
  <c r="P776" i="1"/>
  <c r="V770" i="1"/>
  <c r="P769" i="1"/>
  <c r="V750" i="1"/>
  <c r="V744" i="1"/>
  <c r="V736" i="1"/>
  <c r="V730" i="1"/>
  <c r="V724" i="1"/>
  <c r="V695" i="1"/>
  <c r="V688" i="1"/>
  <c r="P685" i="1"/>
  <c r="P1120" i="1"/>
  <c r="P1098" i="1"/>
  <c r="P1094" i="1"/>
  <c r="P1045" i="1"/>
  <c r="P1019" i="1"/>
  <c r="V974" i="1"/>
  <c r="P857" i="1"/>
  <c r="V850" i="1"/>
  <c r="V846" i="1"/>
  <c r="P840" i="1"/>
  <c r="P834" i="1"/>
  <c r="P809" i="1"/>
  <c r="V783" i="1"/>
  <c r="V758" i="1"/>
  <c r="P746" i="1"/>
  <c r="P740" i="1"/>
  <c r="V738" i="1"/>
  <c r="P732" i="1"/>
  <c r="V720" i="1"/>
  <c r="V718" i="1"/>
  <c r="V712" i="1"/>
  <c r="P703" i="1"/>
  <c r="P699" i="1"/>
  <c r="P693" i="1"/>
  <c r="P690" i="1"/>
  <c r="V675" i="1"/>
  <c r="P674" i="1"/>
  <c r="V672" i="1"/>
  <c r="P661" i="1"/>
  <c r="V659" i="1"/>
  <c r="P658" i="1"/>
  <c r="V641" i="1"/>
  <c r="P638" i="1"/>
  <c r="V628" i="1"/>
  <c r="P624" i="1"/>
  <c r="V622" i="1"/>
  <c r="V614" i="1"/>
  <c r="V609" i="1"/>
  <c r="P608" i="1"/>
  <c r="P605" i="1"/>
  <c r="V600" i="1"/>
  <c r="P590" i="1"/>
  <c r="V588" i="1"/>
  <c r="P581" i="1"/>
  <c r="V576" i="1"/>
  <c r="P575" i="1"/>
  <c r="V573" i="1"/>
  <c r="P572" i="1"/>
  <c r="V570" i="1"/>
  <c r="P561" i="1"/>
  <c r="P558" i="1"/>
  <c r="V556" i="1"/>
  <c r="V553" i="1"/>
  <c r="P552" i="1"/>
  <c r="P549" i="1"/>
  <c r="V534" i="1"/>
  <c r="V531" i="1"/>
  <c r="P530" i="1"/>
  <c r="P526" i="1"/>
  <c r="V523" i="1"/>
  <c r="V521" i="1"/>
  <c r="P518" i="1"/>
  <c r="V510" i="1"/>
  <c r="V507" i="1"/>
  <c r="P506" i="1"/>
  <c r="V504" i="1"/>
  <c r="P501" i="1"/>
  <c r="V495" i="1"/>
  <c r="V489" i="1"/>
  <c r="P483" i="1"/>
  <c r="V478" i="1"/>
  <c r="V475" i="1"/>
  <c r="P474" i="1"/>
  <c r="P471" i="1"/>
  <c r="P465" i="1"/>
  <c r="V463" i="1"/>
  <c r="V457" i="1"/>
  <c r="P454" i="1"/>
  <c r="V445" i="1"/>
  <c r="P444" i="1"/>
  <c r="V442" i="1"/>
  <c r="P435" i="1"/>
  <c r="V433" i="1"/>
  <c r="V428" i="1"/>
  <c r="P427" i="1"/>
  <c r="V1173" i="1"/>
  <c r="V1150" i="1"/>
  <c r="V997" i="1"/>
  <c r="V975" i="1"/>
  <c r="V900" i="1"/>
  <c r="V887" i="1"/>
  <c r="P865" i="1"/>
  <c r="P863" i="1"/>
  <c r="P836" i="1"/>
  <c r="V822" i="1"/>
  <c r="P821" i="1"/>
  <c r="V816" i="1"/>
  <c r="V803" i="1"/>
  <c r="V795" i="1"/>
  <c r="V777" i="1"/>
  <c r="P772" i="1"/>
  <c r="P770" i="1"/>
  <c r="V764" i="1"/>
  <c r="P752" i="1"/>
  <c r="P726" i="1"/>
  <c r="P714" i="1"/>
  <c r="P697" i="1"/>
  <c r="P683" i="1"/>
  <c r="V679" i="1"/>
  <c r="V677" i="1"/>
  <c r="V666" i="1"/>
  <c r="P665" i="1"/>
  <c r="V662" i="1"/>
  <c r="P656" i="1"/>
  <c r="V654" i="1"/>
  <c r="V652" i="1"/>
  <c r="P651" i="1"/>
  <c r="P646" i="1"/>
  <c r="V631" i="1"/>
  <c r="P630" i="1"/>
  <c r="P627" i="1"/>
  <c r="P621" i="1"/>
  <c r="V618" i="1"/>
  <c r="V615" i="1"/>
  <c r="P611" i="1"/>
  <c r="V606" i="1"/>
  <c r="V601" i="1"/>
  <c r="V595" i="1"/>
  <c r="P594" i="1"/>
  <c r="P585" i="1"/>
  <c r="V582" i="1"/>
  <c r="V577" i="1"/>
  <c r="P567" i="1"/>
  <c r="V565" i="1"/>
  <c r="P564" i="1"/>
  <c r="V562" i="1"/>
  <c r="V550" i="1"/>
  <c r="V544" i="1"/>
  <c r="P543" i="1"/>
  <c r="V541" i="1"/>
  <c r="P540" i="1"/>
  <c r="V535" i="1"/>
  <c r="P527" i="1"/>
  <c r="V519" i="1"/>
  <c r="P515" i="1"/>
  <c r="V502" i="1"/>
  <c r="V499" i="1"/>
  <c r="P498" i="1"/>
  <c r="V493" i="1"/>
  <c r="P492" i="1"/>
  <c r="V490" i="1"/>
  <c r="V487" i="1"/>
  <c r="V1155" i="1"/>
  <c r="P1104" i="1"/>
  <c r="P1076" i="1"/>
  <c r="V980" i="1"/>
  <c r="P949" i="1"/>
  <c r="P881" i="1"/>
  <c r="V877" i="1"/>
  <c r="V871" i="1"/>
  <c r="P866" i="1"/>
  <c r="V858" i="1"/>
  <c r="V852" i="1"/>
  <c r="V841" i="1"/>
  <c r="V828" i="1"/>
  <c r="V810" i="1"/>
  <c r="P799" i="1"/>
  <c r="V797" i="1"/>
  <c r="V791" i="1"/>
  <c r="P785" i="1"/>
  <c r="V779" i="1"/>
  <c r="P766" i="1"/>
  <c r="P760" i="1"/>
  <c r="P754" i="1"/>
  <c r="V747" i="1"/>
  <c r="V741" i="1"/>
  <c r="V739" i="1"/>
  <c r="V733" i="1"/>
  <c r="P720" i="1"/>
  <c r="V708" i="1"/>
  <c r="P691" i="1"/>
  <c r="V689" i="1"/>
  <c r="P686" i="1"/>
  <c r="P681" i="1"/>
  <c r="V660" i="1"/>
  <c r="P659" i="1"/>
  <c r="P644" i="1"/>
  <c r="V639" i="1"/>
  <c r="V634" i="1"/>
  <c r="P633" i="1"/>
  <c r="V625" i="1"/>
  <c r="P617" i="1"/>
  <c r="P614" i="1"/>
  <c r="V612" i="1"/>
  <c r="V607" i="1"/>
  <c r="P603" i="1"/>
  <c r="P600" i="1"/>
  <c r="P597" i="1"/>
  <c r="V592" i="1"/>
  <c r="P591" i="1"/>
  <c r="V589" i="1"/>
  <c r="P588" i="1"/>
  <c r="V586" i="1"/>
  <c r="V583" i="1"/>
  <c r="P579" i="1"/>
  <c r="P576" i="1"/>
  <c r="V571" i="1"/>
  <c r="P570" i="1"/>
  <c r="V568" i="1"/>
  <c r="P559" i="1"/>
  <c r="V557" i="1"/>
  <c r="P556" i="1"/>
  <c r="V551" i="1"/>
  <c r="P547" i="1"/>
  <c r="V545" i="1"/>
  <c r="V538" i="1"/>
  <c r="P537" i="1"/>
  <c r="P534" i="1"/>
  <c r="V528" i="1"/>
  <c r="P523" i="1"/>
  <c r="P521" i="1"/>
  <c r="V516" i="1"/>
  <c r="P512" i="1"/>
  <c r="P510" i="1"/>
  <c r="V508" i="1"/>
  <c r="V496" i="1"/>
  <c r="P495" i="1"/>
  <c r="P489" i="1"/>
  <c r="V485" i="1"/>
  <c r="P484" i="1"/>
  <c r="V482" i="1"/>
  <c r="P478" i="1"/>
  <c r="V476" i="1"/>
  <c r="V470" i="1"/>
  <c r="V467" i="1"/>
  <c r="P466" i="1"/>
  <c r="V464" i="1"/>
  <c r="P463" i="1"/>
  <c r="P457" i="1"/>
  <c r="V455" i="1"/>
  <c r="P451" i="1"/>
  <c r="P448" i="1"/>
  <c r="V446" i="1"/>
  <c r="P445" i="1"/>
  <c r="P442" i="1"/>
  <c r="P436" i="1"/>
  <c r="V434" i="1"/>
  <c r="P433" i="1"/>
  <c r="V431" i="1"/>
  <c r="P430" i="1"/>
  <c r="P428" i="1"/>
  <c r="P1175" i="1"/>
  <c r="P1157" i="1"/>
  <c r="P1139" i="1"/>
  <c r="V1134" i="1"/>
  <c r="P1082" i="1"/>
  <c r="V1003" i="1"/>
  <c r="V906" i="1"/>
  <c r="V882" i="1"/>
  <c r="P879" i="1"/>
  <c r="P873" i="1"/>
  <c r="V867" i="1"/>
  <c r="V860" i="1"/>
  <c r="V835" i="1"/>
  <c r="P830" i="1"/>
  <c r="P824" i="1"/>
  <c r="P818" i="1"/>
  <c r="V727" i="1"/>
  <c r="V721" i="1"/>
  <c r="V715" i="1"/>
  <c r="P710" i="1"/>
  <c r="V706" i="1"/>
  <c r="V704" i="1"/>
  <c r="P679" i="1"/>
  <c r="P675" i="1"/>
  <c r="V673" i="1"/>
  <c r="P670" i="1"/>
  <c r="P668" i="1"/>
  <c r="V657" i="1"/>
  <c r="V642" i="1"/>
  <c r="P641" i="1"/>
  <c r="P631" i="1"/>
  <c r="P628" i="1"/>
  <c r="V623" i="1"/>
  <c r="P622" i="1"/>
  <c r="P609" i="1"/>
  <c r="P606" i="1"/>
  <c r="V604" i="1"/>
  <c r="V598" i="1"/>
  <c r="V593" i="1"/>
  <c r="P582" i="1"/>
  <c r="V580" i="1"/>
  <c r="P573" i="1"/>
  <c r="V563" i="1"/>
  <c r="P562" i="1"/>
  <c r="V560" i="1"/>
  <c r="V554" i="1"/>
  <c r="P553" i="1"/>
  <c r="P550" i="1"/>
  <c r="V548" i="1"/>
  <c r="P544" i="1"/>
  <c r="V539" i="1"/>
  <c r="V532" i="1"/>
  <c r="P531" i="1"/>
  <c r="V529" i="1"/>
  <c r="V524" i="1"/>
  <c r="V517" i="1"/>
  <c r="V513" i="1"/>
  <c r="P507" i="1"/>
  <c r="P504" i="1"/>
  <c r="P502" i="1"/>
  <c r="V500" i="1"/>
  <c r="P493" i="1"/>
  <c r="P487" i="1"/>
  <c r="P1114" i="1"/>
  <c r="P1110" i="1"/>
  <c r="P1088" i="1"/>
  <c r="V1083" i="1"/>
  <c r="P1013" i="1"/>
  <c r="P1005" i="1"/>
  <c r="P955" i="1"/>
  <c r="V912" i="1"/>
  <c r="P882" i="1"/>
  <c r="V874" i="1"/>
  <c r="P867" i="1"/>
  <c r="P860" i="1"/>
  <c r="P854" i="1"/>
  <c r="V825" i="1"/>
  <c r="P812" i="1"/>
  <c r="V767" i="1"/>
  <c r="V761" i="1"/>
  <c r="P755" i="1"/>
  <c r="P749" i="1"/>
  <c r="P737" i="1"/>
  <c r="P729" i="1"/>
  <c r="P713" i="1"/>
  <c r="V709" i="1"/>
  <c r="P706" i="1"/>
  <c r="P694" i="1"/>
  <c r="V680" i="1"/>
  <c r="P660" i="1"/>
  <c r="V658" i="1"/>
  <c r="V648" i="1"/>
  <c r="V638" i="1"/>
  <c r="P634" i="1"/>
  <c r="P623" i="1"/>
  <c r="V616" i="1"/>
  <c r="P607" i="1"/>
  <c r="V605" i="1"/>
  <c r="P604" i="1"/>
  <c r="V602" i="1"/>
  <c r="P598" i="1"/>
  <c r="V596" i="1"/>
  <c r="P589" i="1"/>
  <c r="V584" i="1"/>
  <c r="P583" i="1"/>
  <c r="V581" i="1"/>
  <c r="P580" i="1"/>
  <c r="V578" i="1"/>
  <c r="V575" i="1"/>
  <c r="P571" i="1"/>
  <c r="V566" i="1"/>
  <c r="V561" i="1"/>
  <c r="P560" i="1"/>
  <c r="P557" i="1"/>
  <c r="P554" i="1"/>
  <c r="P551" i="1"/>
  <c r="V549" i="1"/>
  <c r="P548" i="1"/>
  <c r="V546" i="1"/>
  <c r="P545" i="1"/>
  <c r="V542" i="1"/>
  <c r="V536" i="1"/>
  <c r="P532" i="1"/>
  <c r="V520" i="1"/>
  <c r="P513" i="1"/>
  <c r="V509" i="1"/>
  <c r="P508" i="1"/>
  <c r="V506" i="1"/>
  <c r="V503" i="1"/>
  <c r="V497" i="1"/>
  <c r="P496" i="1"/>
  <c r="V486" i="1"/>
  <c r="V483" i="1"/>
  <c r="P482" i="1"/>
  <c r="V477" i="1"/>
  <c r="P476" i="1"/>
  <c r="V474" i="1"/>
  <c r="P467" i="1"/>
  <c r="P464" i="1"/>
  <c r="P449" i="1"/>
  <c r="V447" i="1"/>
  <c r="V444" i="1"/>
  <c r="V441" i="1"/>
  <c r="P438" i="1"/>
  <c r="V435" i="1"/>
  <c r="P434" i="1"/>
  <c r="P431" i="1"/>
  <c r="V427" i="1"/>
  <c r="P991" i="1"/>
  <c r="V986" i="1"/>
  <c r="V932" i="1"/>
  <c r="P843" i="1"/>
  <c r="P723" i="1"/>
  <c r="V711" i="1"/>
  <c r="V683" i="1"/>
  <c r="V674" i="1"/>
  <c r="V645" i="1"/>
  <c r="P632" i="1"/>
  <c r="V626" i="1"/>
  <c r="P618" i="1"/>
  <c r="P596" i="1"/>
  <c r="V555" i="1"/>
  <c r="P536" i="1"/>
  <c r="V530" i="1"/>
  <c r="P522" i="1"/>
  <c r="P490" i="1"/>
  <c r="P469" i="1"/>
  <c r="V461" i="1"/>
  <c r="P460" i="1"/>
  <c r="V458" i="1"/>
  <c r="P455" i="1"/>
  <c r="V448" i="1"/>
  <c r="P443" i="1"/>
  <c r="V440" i="1"/>
  <c r="P439" i="1"/>
  <c r="V429" i="1"/>
  <c r="V424" i="1"/>
  <c r="V420" i="1"/>
  <c r="P419" i="1"/>
  <c r="P412" i="1"/>
  <c r="P409" i="1"/>
  <c r="V407" i="1"/>
  <c r="P406" i="1"/>
  <c r="V403" i="1"/>
  <c r="V400" i="1"/>
  <c r="P399" i="1"/>
  <c r="V393" i="1"/>
  <c r="P392" i="1"/>
  <c r="P388" i="1"/>
  <c r="P385" i="1"/>
  <c r="V383" i="1"/>
  <c r="V379" i="1"/>
  <c r="V376" i="1"/>
  <c r="P375" i="1"/>
  <c r="V372" i="1"/>
  <c r="P371" i="1"/>
  <c r="P358" i="1"/>
  <c r="V352" i="1"/>
  <c r="P348" i="1"/>
  <c r="P345" i="1"/>
  <c r="V339" i="1"/>
  <c r="V336" i="1"/>
  <c r="P335" i="1"/>
  <c r="P330" i="1"/>
  <c r="V328" i="1"/>
  <c r="P327" i="1"/>
  <c r="V325" i="1"/>
  <c r="P321" i="1"/>
  <c r="V319" i="1"/>
  <c r="V313" i="1"/>
  <c r="V308" i="1"/>
  <c r="V302" i="1"/>
  <c r="P301" i="1"/>
  <c r="P298" i="1"/>
  <c r="V296" i="1"/>
  <c r="P295" i="1"/>
  <c r="V293" i="1"/>
  <c r="P289" i="1"/>
  <c r="V287" i="1"/>
  <c r="V281" i="1"/>
  <c r="V276" i="1"/>
  <c r="V270" i="1"/>
  <c r="P269" i="1"/>
  <c r="P266" i="1"/>
  <c r="V264" i="1"/>
  <c r="V1161" i="1"/>
  <c r="P794" i="1"/>
  <c r="P779" i="1"/>
  <c r="V774" i="1"/>
  <c r="P700" i="1"/>
  <c r="V663" i="1"/>
  <c r="V656" i="1"/>
  <c r="P647" i="1"/>
  <c r="P637" i="1"/>
  <c r="V635" i="1"/>
  <c r="V624" i="1"/>
  <c r="V620" i="1"/>
  <c r="V619" i="1"/>
  <c r="P616" i="1"/>
  <c r="V610" i="1"/>
  <c r="V608" i="1"/>
  <c r="V603" i="1"/>
  <c r="V599" i="1"/>
  <c r="P592" i="1"/>
  <c r="P578" i="1"/>
  <c r="V574" i="1"/>
  <c r="V572" i="1"/>
  <c r="P568" i="1"/>
  <c r="V564" i="1"/>
  <c r="V559" i="1"/>
  <c r="V525" i="1"/>
  <c r="P514" i="1"/>
  <c r="V491" i="1"/>
  <c r="P488" i="1"/>
  <c r="V456" i="1"/>
  <c r="P453" i="1"/>
  <c r="P450" i="1"/>
  <c r="P437" i="1"/>
  <c r="P423" i="1"/>
  <c r="V417" i="1"/>
  <c r="P416" i="1"/>
  <c r="V397" i="1"/>
  <c r="V394" i="1"/>
  <c r="V390" i="1"/>
  <c r="P382" i="1"/>
  <c r="V369" i="1"/>
  <c r="P368" i="1"/>
  <c r="P362" i="1"/>
  <c r="V360" i="1"/>
  <c r="V356" i="1"/>
  <c r="P355" i="1"/>
  <c r="P351" i="1"/>
  <c r="V349" i="1"/>
  <c r="V343" i="1"/>
  <c r="P342" i="1"/>
  <c r="V340" i="1"/>
  <c r="P333" i="1"/>
  <c r="V331" i="1"/>
  <c r="P316" i="1"/>
  <c r="V314" i="1"/>
  <c r="P310" i="1"/>
  <c r="P307" i="1"/>
  <c r="P304" i="1"/>
  <c r="V299" i="1"/>
  <c r="P284" i="1"/>
  <c r="V282" i="1"/>
  <c r="P278" i="1"/>
  <c r="P275" i="1"/>
  <c r="P272" i="1"/>
  <c r="V267" i="1"/>
  <c r="P252" i="1"/>
  <c r="V250" i="1"/>
  <c r="P246" i="1"/>
  <c r="P243" i="1"/>
  <c r="P240" i="1"/>
  <c r="V235" i="1"/>
  <c r="P220" i="1"/>
  <c r="P216" i="1"/>
  <c r="P213" i="1"/>
  <c r="P210" i="1"/>
  <c r="V208" i="1"/>
  <c r="P207" i="1"/>
  <c r="P204" i="1"/>
  <c r="P201" i="1"/>
  <c r="V199" i="1"/>
  <c r="V1077" i="1"/>
  <c r="V938" i="1"/>
  <c r="P869" i="1"/>
  <c r="V798" i="1"/>
  <c r="V780" i="1"/>
  <c r="P763" i="1"/>
  <c r="P711" i="1"/>
  <c r="P687" i="1"/>
  <c r="P676" i="1"/>
  <c r="V665" i="1"/>
  <c r="V650" i="1"/>
  <c r="P645" i="1"/>
  <c r="P643" i="1"/>
  <c r="P612" i="1"/>
  <c r="V597" i="1"/>
  <c r="V590" i="1"/>
  <c r="P586" i="1"/>
  <c r="V569" i="1"/>
  <c r="P566" i="1"/>
  <c r="P541" i="1"/>
  <c r="P539" i="1"/>
  <c r="V537" i="1"/>
  <c r="V533" i="1"/>
  <c r="P524" i="1"/>
  <c r="P519" i="1"/>
  <c r="P517" i="1"/>
  <c r="V515" i="1"/>
  <c r="V505" i="1"/>
  <c r="P503" i="1"/>
  <c r="P499" i="1"/>
  <c r="P485" i="1"/>
  <c r="V481" i="1"/>
  <c r="P480" i="1"/>
  <c r="V472" i="1"/>
  <c r="V465" i="1"/>
  <c r="P461" i="1"/>
  <c r="V454" i="1"/>
  <c r="V451" i="1"/>
  <c r="P446" i="1"/>
  <c r="V438" i="1"/>
  <c r="P429" i="1"/>
  <c r="V421" i="1"/>
  <c r="V418" i="1"/>
  <c r="V414" i="1"/>
  <c r="P413" i="1"/>
  <c r="P410" i="1"/>
  <c r="V404" i="1"/>
  <c r="P403" i="1"/>
  <c r="P396" i="1"/>
  <c r="P393" i="1"/>
  <c r="V391" i="1"/>
  <c r="P389" i="1"/>
  <c r="P386" i="1"/>
  <c r="V380" i="1"/>
  <c r="P379" i="1"/>
  <c r="V373" i="1"/>
  <c r="V370" i="1"/>
  <c r="V366" i="1"/>
  <c r="P365" i="1"/>
  <c r="V363" i="1"/>
  <c r="P359" i="1"/>
  <c r="V353" i="1"/>
  <c r="P346" i="1"/>
  <c r="P339" i="1"/>
  <c r="V334" i="1"/>
  <c r="V326" i="1"/>
  <c r="P325" i="1"/>
  <c r="P322" i="1"/>
  <c r="V320" i="1"/>
  <c r="P319" i="1"/>
  <c r="V317" i="1"/>
  <c r="P313" i="1"/>
  <c r="V311" i="1"/>
  <c r="V305" i="1"/>
  <c r="V300" i="1"/>
  <c r="V294" i="1"/>
  <c r="P293" i="1"/>
  <c r="P290" i="1"/>
  <c r="V288" i="1"/>
  <c r="P287" i="1"/>
  <c r="V285" i="1"/>
  <c r="P281" i="1"/>
  <c r="V279" i="1"/>
  <c r="V273" i="1"/>
  <c r="V268" i="1"/>
  <c r="V959" i="1"/>
  <c r="V831" i="1"/>
  <c r="V800" i="1"/>
  <c r="V753" i="1"/>
  <c r="V701" i="1"/>
  <c r="V671" i="1"/>
  <c r="P652" i="1"/>
  <c r="V646" i="1"/>
  <c r="V636" i="1"/>
  <c r="P635" i="1"/>
  <c r="V629" i="1"/>
  <c r="P626" i="1"/>
  <c r="P619" i="1"/>
  <c r="V617" i="1"/>
  <c r="V613" i="1"/>
  <c r="P610" i="1"/>
  <c r="P601" i="1"/>
  <c r="V587" i="1"/>
  <c r="P584" i="1"/>
  <c r="V579" i="1"/>
  <c r="P574" i="1"/>
  <c r="V567" i="1"/>
  <c r="P555" i="1"/>
  <c r="P528" i="1"/>
  <c r="V511" i="1"/>
  <c r="P509" i="1"/>
  <c r="P497" i="1"/>
  <c r="P470" i="1"/>
  <c r="V468" i="1"/>
  <c r="V462" i="1"/>
  <c r="V459" i="1"/>
  <c r="P458" i="1"/>
  <c r="P440" i="1"/>
  <c r="V432" i="1"/>
  <c r="P424" i="1"/>
  <c r="P420" i="1"/>
  <c r="P417" i="1"/>
  <c r="V415" i="1"/>
  <c r="V411" i="1"/>
  <c r="V408" i="1"/>
  <c r="P407" i="1"/>
  <c r="V401" i="1"/>
  <c r="P400" i="1"/>
  <c r="P390" i="1"/>
  <c r="V387" i="1"/>
  <c r="V384" i="1"/>
  <c r="P383" i="1"/>
  <c r="V377" i="1"/>
  <c r="P376" i="1"/>
  <c r="P372" i="1"/>
  <c r="P369" i="1"/>
  <c r="V367" i="1"/>
  <c r="V354" i="1"/>
  <c r="P352" i="1"/>
  <c r="V350" i="1"/>
  <c r="P349" i="1"/>
  <c r="V347" i="1"/>
  <c r="P336" i="1"/>
  <c r="V332" i="1"/>
  <c r="P331" i="1"/>
  <c r="P328" i="1"/>
  <c r="V323" i="1"/>
  <c r="P308" i="1"/>
  <c r="V306" i="1"/>
  <c r="P302" i="1"/>
  <c r="P299" i="1"/>
  <c r="P296" i="1"/>
  <c r="V291" i="1"/>
  <c r="P276" i="1"/>
  <c r="V274" i="1"/>
  <c r="P270" i="1"/>
  <c r="P267" i="1"/>
  <c r="P264" i="1"/>
  <c r="V259" i="1"/>
  <c r="P244" i="1"/>
  <c r="V242" i="1"/>
  <c r="P238" i="1"/>
  <c r="P235" i="1"/>
  <c r="P232" i="1"/>
  <c r="V227" i="1"/>
  <c r="V218" i="1"/>
  <c r="P214" i="1"/>
  <c r="V206" i="1"/>
  <c r="P202" i="1"/>
  <c r="V200" i="1"/>
  <c r="P893" i="1"/>
  <c r="P849" i="1"/>
  <c r="V806" i="1"/>
  <c r="P805" i="1"/>
  <c r="V692" i="1"/>
  <c r="V669" i="1"/>
  <c r="P648" i="1"/>
  <c r="V627" i="1"/>
  <c r="P620" i="1"/>
  <c r="V611" i="1"/>
  <c r="P599" i="1"/>
  <c r="P595" i="1"/>
  <c r="P593" i="1"/>
  <c r="V591" i="1"/>
  <c r="V585" i="1"/>
  <c r="P546" i="1"/>
  <c r="P535" i="1"/>
  <c r="V526" i="1"/>
  <c r="P525" i="1"/>
  <c r="V518" i="1"/>
  <c r="P505" i="1"/>
  <c r="V498" i="1"/>
  <c r="V494" i="1"/>
  <c r="V492" i="1"/>
  <c r="P491" i="1"/>
  <c r="P481" i="1"/>
  <c r="V466" i="1"/>
  <c r="P456" i="1"/>
  <c r="V452" i="1"/>
  <c r="V430" i="1"/>
  <c r="V426" i="1"/>
  <c r="V425" i="1"/>
  <c r="V422" i="1"/>
  <c r="P414" i="1"/>
  <c r="V405" i="1"/>
  <c r="V402" i="1"/>
  <c r="V398" i="1"/>
  <c r="P397" i="1"/>
  <c r="P394" i="1"/>
  <c r="V381" i="1"/>
  <c r="V378" i="1"/>
  <c r="V374" i="1"/>
  <c r="P366" i="1"/>
  <c r="V364" i="1"/>
  <c r="P363" i="1"/>
  <c r="V361" i="1"/>
  <c r="P360" i="1"/>
  <c r="V357" i="1"/>
  <c r="P356" i="1"/>
  <c r="P353" i="1"/>
  <c r="V344" i="1"/>
  <c r="P343" i="1"/>
  <c r="V341" i="1"/>
  <c r="P340" i="1"/>
  <c r="V338" i="1"/>
  <c r="V337" i="1"/>
  <c r="P334" i="1"/>
  <c r="V329" i="1"/>
  <c r="V324" i="1"/>
  <c r="V318" i="1"/>
  <c r="P317" i="1"/>
  <c r="P314" i="1"/>
  <c r="V312" i="1"/>
  <c r="P311" i="1"/>
  <c r="V309" i="1"/>
  <c r="P305" i="1"/>
  <c r="V303" i="1"/>
  <c r="V297" i="1"/>
  <c r="V292" i="1"/>
  <c r="V286" i="1"/>
  <c r="P285" i="1"/>
  <c r="P282" i="1"/>
  <c r="V280" i="1"/>
  <c r="P279" i="1"/>
  <c r="V277" i="1"/>
  <c r="P273" i="1"/>
  <c r="V271" i="1"/>
  <c r="V265" i="1"/>
  <c r="V260" i="1"/>
  <c r="V254" i="1"/>
  <c r="P253" i="1"/>
  <c r="P250" i="1"/>
  <c r="V248" i="1"/>
  <c r="P247" i="1"/>
  <c r="V245" i="1"/>
  <c r="P241" i="1"/>
  <c r="V239" i="1"/>
  <c r="V233" i="1"/>
  <c r="V228" i="1"/>
  <c r="V222" i="1"/>
  <c r="P221" i="1"/>
  <c r="P217" i="1"/>
  <c r="V215" i="1"/>
  <c r="V212" i="1"/>
  <c r="P211" i="1"/>
  <c r="V209" i="1"/>
  <c r="P208" i="1"/>
  <c r="V203" i="1"/>
  <c r="P911" i="1"/>
  <c r="V894" i="1"/>
  <c r="V837" i="1"/>
  <c r="V819" i="1"/>
  <c r="P791" i="1"/>
  <c r="P717" i="1"/>
  <c r="P684" i="1"/>
  <c r="P673" i="1"/>
  <c r="P671" i="1"/>
  <c r="P662" i="1"/>
  <c r="V651" i="1"/>
  <c r="P640" i="1"/>
  <c r="V632" i="1"/>
  <c r="V630" i="1"/>
  <c r="P613" i="1"/>
  <c r="P587" i="1"/>
  <c r="P565" i="1"/>
  <c r="P563" i="1"/>
  <c r="V552" i="1"/>
  <c r="V547" i="1"/>
  <c r="P542" i="1"/>
  <c r="P529" i="1"/>
  <c r="V522" i="1"/>
  <c r="P520" i="1"/>
  <c r="V514" i="1"/>
  <c r="P494" i="1"/>
  <c r="V488" i="1"/>
  <c r="P486" i="1"/>
  <c r="P475" i="1"/>
  <c r="V469" i="1"/>
  <c r="P468" i="1"/>
  <c r="P459" i="1"/>
  <c r="V450" i="1"/>
  <c r="P447" i="1"/>
  <c r="P441" i="1"/>
  <c r="P432" i="1"/>
  <c r="P425" i="1"/>
  <c r="V423" i="1"/>
  <c r="P422" i="1"/>
  <c r="V419" i="1"/>
  <c r="V416" i="1"/>
  <c r="P415" i="1"/>
  <c r="V409" i="1"/>
  <c r="P408" i="1"/>
  <c r="V406" i="1"/>
  <c r="P398" i="1"/>
  <c r="V385" i="1"/>
  <c r="P384" i="1"/>
  <c r="P374" i="1"/>
  <c r="V371" i="1"/>
  <c r="V368" i="1"/>
  <c r="P367" i="1"/>
  <c r="V362" i="1"/>
  <c r="P361" i="1"/>
  <c r="V358" i="1"/>
  <c r="P354" i="1"/>
  <c r="V351" i="1"/>
  <c r="V345" i="1"/>
  <c r="P341" i="1"/>
  <c r="P337" i="1"/>
  <c r="V335" i="1"/>
  <c r="P332" i="1"/>
  <c r="P329" i="1"/>
  <c r="V327" i="1"/>
  <c r="V321" i="1"/>
  <c r="V316" i="1"/>
  <c r="V310" i="1"/>
  <c r="P309" i="1"/>
  <c r="P306" i="1"/>
  <c r="V304" i="1"/>
  <c r="P303" i="1"/>
  <c r="V301" i="1"/>
  <c r="P297" i="1"/>
  <c r="V295" i="1"/>
  <c r="V289" i="1"/>
  <c r="V284" i="1"/>
  <c r="V278" i="1"/>
  <c r="P277" i="1"/>
  <c r="P274" i="1"/>
  <c r="V272" i="1"/>
  <c r="P271" i="1"/>
  <c r="V269" i="1"/>
  <c r="P265" i="1"/>
  <c r="V263" i="1"/>
  <c r="V257" i="1"/>
  <c r="V252" i="1"/>
  <c r="V246" i="1"/>
  <c r="P245" i="1"/>
  <c r="P242" i="1"/>
  <c r="V240" i="1"/>
  <c r="P239" i="1"/>
  <c r="V237" i="1"/>
  <c r="P233" i="1"/>
  <c r="V231" i="1"/>
  <c r="V225" i="1"/>
  <c r="V220" i="1"/>
  <c r="V219" i="1"/>
  <c r="P218" i="1"/>
  <c r="V216" i="1"/>
  <c r="P215" i="1"/>
  <c r="V210" i="1"/>
  <c r="P209" i="1"/>
  <c r="V207" i="1"/>
  <c r="V204" i="1"/>
  <c r="P203" i="1"/>
  <c r="P200" i="1"/>
  <c r="V707" i="1"/>
  <c r="V682" i="1"/>
  <c r="P655" i="1"/>
  <c r="P653" i="1"/>
  <c r="V621" i="1"/>
  <c r="P577" i="1"/>
  <c r="P511" i="1"/>
  <c r="V460" i="1"/>
  <c r="V436" i="1"/>
  <c r="V399" i="1"/>
  <c r="P381" i="1"/>
  <c r="V365" i="1"/>
  <c r="V355" i="1"/>
  <c r="P347" i="1"/>
  <c r="P315" i="1"/>
  <c r="P292" i="1"/>
  <c r="P286" i="1"/>
  <c r="P260" i="1"/>
  <c r="V253" i="1"/>
  <c r="V251" i="1"/>
  <c r="P237" i="1"/>
  <c r="P228" i="1"/>
  <c r="V221" i="1"/>
  <c r="P205" i="1"/>
  <c r="V201" i="1"/>
  <c r="P199" i="1"/>
  <c r="P193" i="1"/>
  <c r="V182" i="1"/>
  <c r="P181" i="1"/>
  <c r="P175" i="1"/>
  <c r="V173" i="1"/>
  <c r="P169" i="1"/>
  <c r="V167" i="1"/>
  <c r="P162" i="1"/>
  <c r="V160" i="1"/>
  <c r="V156" i="1"/>
  <c r="P155" i="1"/>
  <c r="V150" i="1"/>
  <c r="P149" i="1"/>
  <c r="V143" i="1"/>
  <c r="P142" i="1"/>
  <c r="P136" i="1"/>
  <c r="V130" i="1"/>
  <c r="V127" i="1"/>
  <c r="P126" i="1"/>
  <c r="V118" i="1"/>
  <c r="P117" i="1"/>
  <c r="V112" i="1"/>
  <c r="P108" i="1"/>
  <c r="P105" i="1"/>
  <c r="V103" i="1"/>
  <c r="P102" i="1"/>
  <c r="V98" i="1"/>
  <c r="P97" i="1"/>
  <c r="V90" i="1"/>
  <c r="P89" i="1"/>
  <c r="V79" i="1"/>
  <c r="P78" i="1"/>
  <c r="P74" i="1"/>
  <c r="V68" i="1"/>
  <c r="P67" i="1"/>
  <c r="V64" i="1"/>
  <c r="P63" i="1"/>
  <c r="V61" i="1"/>
  <c r="V57" i="1"/>
  <c r="P52" i="1"/>
  <c r="P48" i="1"/>
  <c r="V46" i="1"/>
  <c r="P36" i="1"/>
  <c r="P32" i="1"/>
  <c r="V30" i="1"/>
  <c r="P20" i="1"/>
  <c r="P16" i="1"/>
  <c r="V14" i="1"/>
  <c r="P4" i="1"/>
  <c r="V2" i="1"/>
  <c r="V1051" i="1"/>
  <c r="V594" i="1"/>
  <c r="P473" i="1"/>
  <c r="P402" i="1"/>
  <c r="P320" i="1"/>
  <c r="P259" i="1"/>
  <c r="P236" i="1"/>
  <c r="V184" i="1"/>
  <c r="V149" i="1"/>
  <c r="P615" i="1"/>
  <c r="P533" i="1"/>
  <c r="V453" i="1"/>
  <c r="P421" i="1"/>
  <c r="P411" i="1"/>
  <c r="P405" i="1"/>
  <c r="V388" i="1"/>
  <c r="V386" i="1"/>
  <c r="P377" i="1"/>
  <c r="P323" i="1"/>
  <c r="V298" i="1"/>
  <c r="P294" i="1"/>
  <c r="P288" i="1"/>
  <c r="V256" i="1"/>
  <c r="P255" i="1"/>
  <c r="V249" i="1"/>
  <c r="V243" i="1"/>
  <c r="V241" i="1"/>
  <c r="V224" i="1"/>
  <c r="P223" i="1"/>
  <c r="V213" i="1"/>
  <c r="V197" i="1"/>
  <c r="P196" i="1"/>
  <c r="V191" i="1"/>
  <c r="P190" i="1"/>
  <c r="V185" i="1"/>
  <c r="V179" i="1"/>
  <c r="V176" i="1"/>
  <c r="P172" i="1"/>
  <c r="V170" i="1"/>
  <c r="P166" i="1"/>
  <c r="P159" i="1"/>
  <c r="V157" i="1"/>
  <c r="V147" i="1"/>
  <c r="V144" i="1"/>
  <c r="V140" i="1"/>
  <c r="P139" i="1"/>
  <c r="V134" i="1"/>
  <c r="P133" i="1"/>
  <c r="V128" i="1"/>
  <c r="V124" i="1"/>
  <c r="P123" i="1"/>
  <c r="V121" i="1"/>
  <c r="V115" i="1"/>
  <c r="V106" i="1"/>
  <c r="P100" i="1"/>
  <c r="P95" i="1"/>
  <c r="V93" i="1"/>
  <c r="P92" i="1"/>
  <c r="P87" i="1"/>
  <c r="V84" i="1"/>
  <c r="V83" i="1"/>
  <c r="P81" i="1"/>
  <c r="V76" i="1"/>
  <c r="P75" i="1"/>
  <c r="V72" i="1"/>
  <c r="P71" i="1"/>
  <c r="V69" i="1"/>
  <c r="V65" i="1"/>
  <c r="P60" i="1"/>
  <c r="P56" i="1"/>
  <c r="P42" i="1"/>
  <c r="V37" i="1"/>
  <c r="P26" i="1"/>
  <c r="V21" i="1"/>
  <c r="P10" i="1"/>
  <c r="V5" i="1"/>
  <c r="P2" i="1"/>
  <c r="P380" i="1"/>
  <c r="P326" i="1"/>
  <c r="V266" i="1"/>
  <c r="P254" i="1"/>
  <c r="P195" i="1"/>
  <c r="V162" i="1"/>
  <c r="V155" i="1"/>
  <c r="V142" i="1"/>
  <c r="V792" i="1"/>
  <c r="P743" i="1"/>
  <c r="P682" i="1"/>
  <c r="V543" i="1"/>
  <c r="P472" i="1"/>
  <c r="P462" i="1"/>
  <c r="V449" i="1"/>
  <c r="P401" i="1"/>
  <c r="V395" i="1"/>
  <c r="V382" i="1"/>
  <c r="P357" i="1"/>
  <c r="V348" i="1"/>
  <c r="V346" i="1"/>
  <c r="V283" i="1"/>
  <c r="P263" i="1"/>
  <c r="V261" i="1"/>
  <c r="P258" i="1"/>
  <c r="P251" i="1"/>
  <c r="V247" i="1"/>
  <c r="V238" i="1"/>
  <c r="V236" i="1"/>
  <c r="P231" i="1"/>
  <c r="V229" i="1"/>
  <c r="P226" i="1"/>
  <c r="P219" i="1"/>
  <c r="V217" i="1"/>
  <c r="V211" i="1"/>
  <c r="V202" i="1"/>
  <c r="V198" i="1"/>
  <c r="P194" i="1"/>
  <c r="V188" i="1"/>
  <c r="P187" i="1"/>
  <c r="V183" i="1"/>
  <c r="P178" i="1"/>
  <c r="V168" i="1"/>
  <c r="P167" i="1"/>
  <c r="V164" i="1"/>
  <c r="P163" i="1"/>
  <c r="V161" i="1"/>
  <c r="P160" i="1"/>
  <c r="P156" i="1"/>
  <c r="V154" i="1"/>
  <c r="P153" i="1"/>
  <c r="V151" i="1"/>
  <c r="P146" i="1"/>
  <c r="P143" i="1"/>
  <c r="V141" i="1"/>
  <c r="V137" i="1"/>
  <c r="V131" i="1"/>
  <c r="P127" i="1"/>
  <c r="V125" i="1"/>
  <c r="V119" i="1"/>
  <c r="P114" i="1"/>
  <c r="P112" i="1"/>
  <c r="V110" i="1"/>
  <c r="P109" i="1"/>
  <c r="V104" i="1"/>
  <c r="P103" i="1"/>
  <c r="V101" i="1"/>
  <c r="V96" i="1"/>
  <c r="V88" i="1"/>
  <c r="V85" i="1"/>
  <c r="V82" i="1"/>
  <c r="P79" i="1"/>
  <c r="V73" i="1"/>
  <c r="P68" i="1"/>
  <c r="P64" i="1"/>
  <c r="V54" i="1"/>
  <c r="P53" i="1"/>
  <c r="V50" i="1"/>
  <c r="P49" i="1"/>
  <c r="V44" i="1"/>
  <c r="P43" i="1"/>
  <c r="V40" i="1"/>
  <c r="P39" i="1"/>
  <c r="V34" i="1"/>
  <c r="P33" i="1"/>
  <c r="V28" i="1"/>
  <c r="P27" i="1"/>
  <c r="V24" i="1"/>
  <c r="P23" i="1"/>
  <c r="V18" i="1"/>
  <c r="P17" i="1"/>
  <c r="V12" i="1"/>
  <c r="P11" i="1"/>
  <c r="V8" i="1"/>
  <c r="P7" i="1"/>
  <c r="V880" i="1"/>
  <c r="P222" i="1"/>
  <c r="V181" i="1"/>
  <c r="V1034" i="1"/>
  <c r="V1029" i="1"/>
  <c r="P802" i="1"/>
  <c r="V690" i="1"/>
  <c r="P650" i="1"/>
  <c r="P625" i="1"/>
  <c r="P602" i="1"/>
  <c r="V512" i="1"/>
  <c r="V473" i="1"/>
  <c r="V439" i="1"/>
  <c r="V437" i="1"/>
  <c r="V412" i="1"/>
  <c r="V410" i="1"/>
  <c r="P373" i="1"/>
  <c r="V322" i="1"/>
  <c r="P312" i="1"/>
  <c r="V307" i="1"/>
  <c r="P300" i="1"/>
  <c r="P249" i="1"/>
  <c r="V244" i="1"/>
  <c r="V234" i="1"/>
  <c r="V214" i="1"/>
  <c r="P206" i="1"/>
  <c r="P197" i="1"/>
  <c r="V195" i="1"/>
  <c r="V192" i="1"/>
  <c r="P191" i="1"/>
  <c r="V189" i="1"/>
  <c r="P185" i="1"/>
  <c r="P182" i="1"/>
  <c r="P176" i="1"/>
  <c r="V174" i="1"/>
  <c r="P173" i="1"/>
  <c r="V165" i="1"/>
  <c r="P150" i="1"/>
  <c r="P144" i="1"/>
  <c r="P140" i="1"/>
  <c r="P130" i="1"/>
  <c r="P128" i="1"/>
  <c r="P124" i="1"/>
  <c r="V122" i="1"/>
  <c r="P121" i="1"/>
  <c r="P118" i="1"/>
  <c r="V107" i="1"/>
  <c r="P98" i="1"/>
  <c r="P90" i="1"/>
  <c r="V80" i="1"/>
  <c r="P76" i="1"/>
  <c r="P72" i="1"/>
  <c r="V62" i="1"/>
  <c r="P61" i="1"/>
  <c r="V58" i="1"/>
  <c r="P57" i="1"/>
  <c r="V51" i="1"/>
  <c r="V47" i="1"/>
  <c r="P46" i="1"/>
  <c r="V41" i="1"/>
  <c r="P37" i="1"/>
  <c r="V35" i="1"/>
  <c r="V31" i="1"/>
  <c r="P30" i="1"/>
  <c r="V25" i="1"/>
  <c r="P21" i="1"/>
  <c r="V19" i="1"/>
  <c r="V15" i="1"/>
  <c r="P14" i="1"/>
  <c r="V9" i="1"/>
  <c r="P5" i="1"/>
  <c r="V3" i="1"/>
  <c r="P757" i="1"/>
  <c r="V396" i="1"/>
  <c r="V330" i="1"/>
  <c r="P227" i="1"/>
  <c r="P198" i="1"/>
  <c r="P154" i="1"/>
  <c r="P141" i="1"/>
  <c r="P735" i="1"/>
  <c r="V685" i="1"/>
  <c r="P629" i="1"/>
  <c r="P569" i="1"/>
  <c r="P500" i="1"/>
  <c r="V479" i="1"/>
  <c r="P477" i="1"/>
  <c r="V471" i="1"/>
  <c r="P426" i="1"/>
  <c r="P418" i="1"/>
  <c r="P395" i="1"/>
  <c r="P391" i="1"/>
  <c r="V389" i="1"/>
  <c r="P378" i="1"/>
  <c r="P350" i="1"/>
  <c r="V342" i="1"/>
  <c r="P338" i="1"/>
  <c r="V333" i="1"/>
  <c r="P324" i="1"/>
  <c r="P318" i="1"/>
  <c r="P283" i="1"/>
  <c r="V262" i="1"/>
  <c r="P261" i="1"/>
  <c r="P256" i="1"/>
  <c r="V232" i="1"/>
  <c r="V230" i="1"/>
  <c r="P229" i="1"/>
  <c r="P224" i="1"/>
  <c r="P188" i="1"/>
  <c r="V186" i="1"/>
  <c r="P183" i="1"/>
  <c r="V180" i="1"/>
  <c r="P179" i="1"/>
  <c r="V177" i="1"/>
  <c r="V171" i="1"/>
  <c r="P170" i="1"/>
  <c r="P168" i="1"/>
  <c r="P164" i="1"/>
  <c r="V158" i="1"/>
  <c r="P157" i="1"/>
  <c r="V152" i="1"/>
  <c r="P151" i="1"/>
  <c r="V148" i="1"/>
  <c r="P147" i="1"/>
  <c r="V138" i="1"/>
  <c r="P137" i="1"/>
  <c r="V135" i="1"/>
  <c r="P134" i="1"/>
  <c r="P119" i="1"/>
  <c r="V116" i="1"/>
  <c r="P115" i="1"/>
  <c r="V113" i="1"/>
  <c r="P106" i="1"/>
  <c r="P104" i="1"/>
  <c r="V99" i="1"/>
  <c r="P96" i="1"/>
  <c r="V94" i="1"/>
  <c r="P93" i="1"/>
  <c r="V91" i="1"/>
  <c r="P88" i="1"/>
  <c r="V86" i="1"/>
  <c r="P84" i="1"/>
  <c r="P83" i="1"/>
  <c r="V77" i="1"/>
  <c r="V70" i="1"/>
  <c r="P69" i="1"/>
  <c r="V66" i="1"/>
  <c r="P65" i="1"/>
  <c r="V59" i="1"/>
  <c r="V55" i="1"/>
  <c r="P44" i="1"/>
  <c r="P40" i="1"/>
  <c r="V38" i="1"/>
  <c r="P28" i="1"/>
  <c r="P24" i="1"/>
  <c r="V22" i="1"/>
  <c r="P12" i="1"/>
  <c r="P8" i="1"/>
  <c r="V6" i="1"/>
  <c r="P291" i="1"/>
  <c r="P161" i="1"/>
  <c r="V145" i="1"/>
  <c r="P831" i="1"/>
  <c r="V773" i="1"/>
  <c r="P708" i="1"/>
  <c r="V540" i="1"/>
  <c r="V527" i="1"/>
  <c r="P516" i="1"/>
  <c r="V501" i="1"/>
  <c r="P479" i="1"/>
  <c r="V413" i="1"/>
  <c r="P404" i="1"/>
  <c r="V392" i="1"/>
  <c r="P370" i="1"/>
  <c r="P364" i="1"/>
  <c r="V359" i="1"/>
  <c r="P344" i="1"/>
  <c r="V315" i="1"/>
  <c r="P234" i="1"/>
  <c r="V205" i="1"/>
  <c r="V196" i="1"/>
  <c r="V193" i="1"/>
  <c r="P192" i="1"/>
  <c r="V190" i="1"/>
  <c r="P189" i="1"/>
  <c r="P180" i="1"/>
  <c r="V175" i="1"/>
  <c r="P174" i="1"/>
  <c r="V169" i="1"/>
  <c r="V166" i="1"/>
  <c r="P165" i="1"/>
  <c r="P152" i="1"/>
  <c r="P148" i="1"/>
  <c r="V139" i="1"/>
  <c r="V136" i="1"/>
  <c r="P135" i="1"/>
  <c r="V133" i="1"/>
  <c r="V123" i="1"/>
  <c r="P122" i="1"/>
  <c r="P116" i="1"/>
  <c r="P113" i="1"/>
  <c r="V108" i="1"/>
  <c r="P107" i="1"/>
  <c r="V105" i="1"/>
  <c r="P99" i="1"/>
  <c r="P91" i="1"/>
  <c r="V75" i="1"/>
  <c r="V71" i="1"/>
  <c r="P62" i="1"/>
  <c r="P58" i="1"/>
  <c r="V52" i="1"/>
  <c r="P51" i="1"/>
  <c r="V48" i="1"/>
  <c r="P47" i="1"/>
  <c r="V42" i="1"/>
  <c r="P41" i="1"/>
  <c r="V36" i="1"/>
  <c r="P35" i="1"/>
  <c r="V32" i="1"/>
  <c r="P31" i="1"/>
  <c r="V26" i="1"/>
  <c r="P25" i="1"/>
  <c r="V20" i="1"/>
  <c r="P19" i="1"/>
  <c r="V16" i="1"/>
  <c r="P15" i="1"/>
  <c r="V10" i="1"/>
  <c r="P9" i="1"/>
  <c r="V4" i="1"/>
  <c r="P3" i="1"/>
  <c r="V832" i="1"/>
  <c r="V786" i="1"/>
  <c r="V558" i="1"/>
  <c r="P538" i="1"/>
  <c r="V484" i="1"/>
  <c r="V480" i="1"/>
  <c r="P452" i="1"/>
  <c r="V443" i="1"/>
  <c r="P280" i="1"/>
  <c r="V275" i="1"/>
  <c r="P268" i="1"/>
  <c r="P257" i="1"/>
  <c r="V187" i="1"/>
  <c r="V159" i="1"/>
  <c r="P132" i="1"/>
  <c r="V109" i="1"/>
  <c r="P85" i="1"/>
  <c r="V63" i="1"/>
  <c r="V78" i="1"/>
  <c r="P387" i="1"/>
  <c r="V258" i="1"/>
  <c r="V178" i="1"/>
  <c r="V146" i="1"/>
  <c r="V117" i="1"/>
  <c r="P111" i="1"/>
  <c r="V102" i="1"/>
  <c r="V100" i="1"/>
  <c r="V95" i="1"/>
  <c r="P80" i="1"/>
  <c r="V74" i="1"/>
  <c r="V29" i="1"/>
  <c r="V7" i="1"/>
  <c r="P13" i="1"/>
  <c r="P120" i="1"/>
  <c r="P230" i="1"/>
  <c r="P138" i="1"/>
  <c r="V97" i="1"/>
  <c r="P54" i="1"/>
  <c r="P18" i="1"/>
  <c r="P6" i="1"/>
  <c r="P38" i="1"/>
  <c r="V17" i="1"/>
  <c r="V23" i="1"/>
  <c r="P77" i="1"/>
  <c r="V375" i="1"/>
  <c r="V223" i="1"/>
  <c r="P184" i="1"/>
  <c r="V129" i="1"/>
  <c r="P86" i="1"/>
  <c r="P82" i="1"/>
  <c r="P59" i="1"/>
  <c r="P34" i="1"/>
  <c r="P22" i="1"/>
  <c r="V13" i="1"/>
  <c r="V11" i="1"/>
  <c r="V53" i="1"/>
  <c r="P50" i="1"/>
  <c r="V27" i="1"/>
  <c r="P45" i="1"/>
  <c r="V290" i="1"/>
  <c r="P212" i="1"/>
  <c r="P70" i="1"/>
  <c r="P262" i="1"/>
  <c r="P225" i="1"/>
  <c r="V194" i="1"/>
  <c r="P171" i="1"/>
  <c r="P131" i="1"/>
  <c r="P129" i="1"/>
  <c r="P125" i="1"/>
  <c r="V120" i="1"/>
  <c r="V92" i="1"/>
  <c r="V87" i="1"/>
  <c r="V81" i="1"/>
  <c r="V60" i="1"/>
  <c r="P55" i="1"/>
  <c r="V45" i="1"/>
  <c r="V43" i="1"/>
  <c r="V33" i="1"/>
  <c r="V56" i="1"/>
  <c r="V255" i="1"/>
  <c r="V226" i="1"/>
  <c r="P186" i="1"/>
  <c r="P158" i="1"/>
  <c r="V153" i="1"/>
  <c r="V132" i="1"/>
  <c r="V114" i="1"/>
  <c r="P110" i="1"/>
  <c r="V89" i="1"/>
  <c r="V67" i="1"/>
  <c r="P66" i="1"/>
  <c r="V49" i="1"/>
  <c r="V39" i="1"/>
  <c r="P29" i="1"/>
  <c r="P248" i="1"/>
  <c r="P177" i="1"/>
  <c r="V172" i="1"/>
  <c r="V163" i="1"/>
  <c r="P145" i="1"/>
  <c r="V126" i="1"/>
  <c r="V111" i="1"/>
  <c r="P101" i="1"/>
  <c r="P94" i="1"/>
  <c r="P73" i="1"/>
  <c r="T365" i="9"/>
  <c r="S365" i="9"/>
  <c r="R365" i="9"/>
  <c r="J326" i="9"/>
  <c r="I326" i="9"/>
  <c r="H326" i="9"/>
  <c r="M326" i="9"/>
  <c r="N326" i="9"/>
  <c r="O326" i="9"/>
  <c r="T226" i="9"/>
  <c r="S226" i="9"/>
  <c r="R226" i="9"/>
  <c r="T208" i="9"/>
  <c r="S208" i="9"/>
  <c r="R208" i="9"/>
  <c r="T154" i="9"/>
  <c r="S154" i="9"/>
  <c r="R154" i="9"/>
  <c r="R358" i="9"/>
  <c r="S358" i="9"/>
  <c r="T358" i="9"/>
  <c r="S245" i="9"/>
  <c r="R245" i="9"/>
  <c r="T245" i="9"/>
  <c r="S299" i="9"/>
  <c r="R299" i="9"/>
  <c r="T299" i="9"/>
  <c r="I388" i="9"/>
  <c r="H388" i="9"/>
  <c r="J388" i="9"/>
  <c r="M388" i="9"/>
  <c r="N388" i="9"/>
  <c r="O388" i="9"/>
  <c r="T310" i="9"/>
  <c r="S310" i="9"/>
  <c r="R310" i="9"/>
  <c r="H9" i="9"/>
  <c r="J9" i="9"/>
  <c r="I9" i="9"/>
  <c r="O9" i="9"/>
  <c r="N9" i="9"/>
  <c r="M9" i="9"/>
  <c r="T118" i="9"/>
  <c r="S118" i="9"/>
  <c r="R118" i="9"/>
  <c r="T353" i="9"/>
  <c r="S353" i="9"/>
  <c r="R353" i="9"/>
  <c r="T292" i="9"/>
  <c r="S292" i="9"/>
  <c r="R292" i="9"/>
  <c r="J361" i="9"/>
  <c r="I361" i="9"/>
  <c r="H361" i="9"/>
  <c r="O361" i="9"/>
  <c r="N361" i="9"/>
  <c r="M361" i="9"/>
  <c r="T82" i="9"/>
  <c r="S82" i="9"/>
  <c r="R82" i="9"/>
  <c r="T21" i="9"/>
  <c r="S21" i="9"/>
  <c r="R21" i="9"/>
  <c r="T268" i="9"/>
  <c r="S268" i="9"/>
  <c r="R268" i="9"/>
  <c r="J347" i="9"/>
  <c r="I347" i="9"/>
  <c r="H347" i="9"/>
  <c r="O347" i="9"/>
  <c r="N347" i="9"/>
  <c r="M347" i="9"/>
  <c r="I164" i="9"/>
  <c r="H164" i="9"/>
  <c r="J164" i="9"/>
  <c r="O164" i="9"/>
  <c r="M164" i="9"/>
  <c r="N164" i="9"/>
  <c r="T371" i="9"/>
  <c r="S371" i="9"/>
  <c r="R371" i="9"/>
  <c r="T356" i="9"/>
  <c r="S356" i="9"/>
  <c r="R356" i="9"/>
  <c r="J295" i="9"/>
  <c r="I295" i="9"/>
  <c r="H295" i="9"/>
  <c r="O295" i="9"/>
  <c r="N295" i="9"/>
  <c r="M295" i="9"/>
  <c r="R46" i="9"/>
  <c r="T46" i="9"/>
  <c r="S46" i="9"/>
  <c r="J301" i="9"/>
  <c r="I301" i="9"/>
  <c r="H301" i="9"/>
  <c r="O301" i="9"/>
  <c r="N301" i="9"/>
  <c r="M301" i="9"/>
  <c r="T199" i="9"/>
  <c r="S199" i="9"/>
  <c r="R199" i="9"/>
  <c r="J82" i="9"/>
  <c r="I82" i="9"/>
  <c r="H82" i="9"/>
  <c r="O82" i="9"/>
  <c r="M82" i="9"/>
  <c r="N82" i="9"/>
  <c r="H21" i="9"/>
  <c r="I21" i="9"/>
  <c r="J21" i="9"/>
  <c r="O21" i="9"/>
  <c r="N21" i="9"/>
  <c r="M21" i="9"/>
  <c r="I268" i="9"/>
  <c r="H268" i="9"/>
  <c r="J268" i="9"/>
  <c r="N268" i="9"/>
  <c r="M268" i="9"/>
  <c r="O268" i="9"/>
  <c r="T347" i="9"/>
  <c r="S347" i="9"/>
  <c r="R347" i="9"/>
  <c r="T244" i="9"/>
  <c r="S244" i="9"/>
  <c r="R244" i="9"/>
  <c r="J371" i="9"/>
  <c r="I371" i="9"/>
  <c r="H371" i="9"/>
  <c r="O371" i="9"/>
  <c r="N371" i="9"/>
  <c r="M371" i="9"/>
  <c r="I356" i="9"/>
  <c r="H356" i="9"/>
  <c r="J356" i="9"/>
  <c r="M356" i="9"/>
  <c r="N356" i="9"/>
  <c r="O356" i="9"/>
  <c r="S295" i="9"/>
  <c r="R295" i="9"/>
  <c r="T295" i="9"/>
  <c r="J46" i="9"/>
  <c r="I46" i="9"/>
  <c r="H46" i="9"/>
  <c r="O46" i="9"/>
  <c r="N46" i="9"/>
  <c r="M46" i="9"/>
  <c r="J310" i="9"/>
  <c r="I310" i="9"/>
  <c r="H310" i="9"/>
  <c r="N310" i="9"/>
  <c r="M310" i="9"/>
  <c r="O310" i="9"/>
  <c r="S301" i="9"/>
  <c r="R301" i="9"/>
  <c r="T301" i="9"/>
  <c r="J199" i="9"/>
  <c r="I199" i="9"/>
  <c r="H199" i="9"/>
  <c r="O199" i="9"/>
  <c r="N199" i="9"/>
  <c r="M199" i="9"/>
  <c r="T9" i="9"/>
  <c r="S9" i="9"/>
  <c r="R9" i="9"/>
  <c r="J118" i="9"/>
  <c r="I118" i="9"/>
  <c r="H118" i="9"/>
  <c r="O118" i="9"/>
  <c r="M118" i="9"/>
  <c r="N118" i="9"/>
  <c r="J154" i="9"/>
  <c r="I154" i="9"/>
  <c r="H154" i="9"/>
  <c r="O154" i="9"/>
  <c r="M154" i="9"/>
  <c r="N154" i="9"/>
  <c r="J358" i="9"/>
  <c r="I358" i="9"/>
  <c r="H358" i="9"/>
  <c r="M358" i="9"/>
  <c r="N358" i="9"/>
  <c r="O358" i="9"/>
  <c r="I244" i="9"/>
  <c r="H244" i="9"/>
  <c r="J244" i="9"/>
  <c r="N244" i="9"/>
  <c r="M244" i="9"/>
  <c r="O244" i="9"/>
  <c r="J226" i="9"/>
  <c r="I226" i="9"/>
  <c r="H226" i="9"/>
  <c r="N226" i="9"/>
  <c r="O226" i="9"/>
  <c r="M226" i="9"/>
  <c r="I208" i="9"/>
  <c r="H208" i="9"/>
  <c r="J208" i="9"/>
  <c r="N208" i="9"/>
  <c r="O208" i="9"/>
  <c r="M208" i="9"/>
  <c r="T388" i="9"/>
  <c r="R388" i="9"/>
  <c r="S388" i="9"/>
  <c r="J245" i="9"/>
  <c r="I245" i="9"/>
  <c r="H245" i="9"/>
  <c r="O245" i="9"/>
  <c r="N245" i="9"/>
  <c r="M245" i="9"/>
  <c r="J299" i="9"/>
  <c r="I299" i="9"/>
  <c r="H299" i="9"/>
  <c r="O299" i="9"/>
  <c r="N299" i="9"/>
  <c r="M299" i="9"/>
  <c r="J365" i="9"/>
  <c r="I365" i="9"/>
  <c r="H365" i="9"/>
  <c r="O365" i="9"/>
  <c r="N365" i="9"/>
  <c r="M365" i="9"/>
  <c r="T200" i="9"/>
  <c r="S200" i="9"/>
  <c r="R200" i="9"/>
  <c r="T55" i="9"/>
  <c r="S55" i="9"/>
  <c r="R55" i="9"/>
  <c r="I272" i="9"/>
  <c r="H272" i="9"/>
  <c r="J272" i="9"/>
  <c r="N272" i="9"/>
  <c r="O272" i="9"/>
  <c r="M272" i="9"/>
  <c r="T326" i="9"/>
  <c r="S326" i="9"/>
  <c r="R326" i="9"/>
  <c r="T386" i="9"/>
  <c r="S386" i="9"/>
  <c r="R386" i="9"/>
  <c r="J283" i="9"/>
  <c r="I283" i="9"/>
  <c r="H283" i="9"/>
  <c r="O283" i="9"/>
  <c r="N283" i="9"/>
  <c r="M283" i="9"/>
  <c r="T136" i="9"/>
  <c r="S136" i="9"/>
  <c r="R136" i="9"/>
  <c r="J389" i="9"/>
  <c r="I389" i="9"/>
  <c r="H389" i="9"/>
  <c r="O389" i="9"/>
  <c r="N389" i="9"/>
  <c r="M389" i="9"/>
  <c r="I200" i="9"/>
  <c r="H200" i="9"/>
  <c r="J200" i="9"/>
  <c r="O200" i="9"/>
  <c r="M200" i="9"/>
  <c r="N200" i="9"/>
  <c r="J55" i="9"/>
  <c r="I55" i="9"/>
  <c r="H55" i="9"/>
  <c r="O55" i="9"/>
  <c r="N55" i="9"/>
  <c r="M55" i="9"/>
  <c r="T272" i="9"/>
  <c r="S272" i="9"/>
  <c r="R272" i="9"/>
  <c r="J386" i="9"/>
  <c r="I386" i="9"/>
  <c r="H386" i="9"/>
  <c r="M386" i="9"/>
  <c r="N386" i="9"/>
  <c r="O386" i="9"/>
  <c r="S283" i="9"/>
  <c r="R283" i="9"/>
  <c r="T283" i="9"/>
  <c r="I136" i="9"/>
  <c r="H136" i="9"/>
  <c r="J136" i="9"/>
  <c r="O136" i="9"/>
  <c r="M136" i="9"/>
  <c r="N136" i="9"/>
  <c r="J350" i="9"/>
  <c r="I350" i="9"/>
  <c r="H350" i="9"/>
  <c r="M350" i="9"/>
  <c r="N350" i="9"/>
  <c r="O350" i="9"/>
  <c r="T389" i="9"/>
  <c r="S389" i="9"/>
  <c r="R389" i="9"/>
  <c r="R3" i="9"/>
  <c r="S3" i="9"/>
  <c r="T3" i="9"/>
  <c r="T27" i="9"/>
  <c r="S27" i="9"/>
  <c r="R27" i="9"/>
  <c r="J263" i="9"/>
  <c r="I263" i="9"/>
  <c r="H263" i="9"/>
  <c r="O263" i="9"/>
  <c r="N263" i="9"/>
  <c r="M263" i="9"/>
  <c r="J257" i="9"/>
  <c r="I257" i="9"/>
  <c r="H257" i="9"/>
  <c r="O257" i="9"/>
  <c r="N257" i="9"/>
  <c r="M257" i="9"/>
  <c r="J127" i="9"/>
  <c r="I127" i="9"/>
  <c r="H127" i="9"/>
  <c r="O127" i="9"/>
  <c r="N127" i="9"/>
  <c r="M127" i="9"/>
  <c r="S319" i="9"/>
  <c r="R319" i="9"/>
  <c r="T319" i="9"/>
  <c r="T191" i="9"/>
  <c r="S191" i="9"/>
  <c r="R191" i="9"/>
  <c r="T350" i="9"/>
  <c r="S350" i="9"/>
  <c r="R350" i="9"/>
  <c r="I236" i="9"/>
  <c r="H236" i="9"/>
  <c r="J236" i="9"/>
  <c r="N236" i="9"/>
  <c r="M236" i="9"/>
  <c r="O236" i="9"/>
  <c r="H3" i="9"/>
  <c r="I3" i="9"/>
  <c r="J3" i="9"/>
  <c r="M3" i="9"/>
  <c r="N3" i="9"/>
  <c r="O3" i="9"/>
  <c r="J27" i="9"/>
  <c r="I27" i="9"/>
  <c r="H27" i="9"/>
  <c r="O27" i="9"/>
  <c r="N27" i="9"/>
  <c r="M27" i="9"/>
  <c r="S263" i="9"/>
  <c r="R263" i="9"/>
  <c r="T263" i="9"/>
  <c r="T337" i="9"/>
  <c r="S337" i="9"/>
  <c r="R337" i="9"/>
  <c r="S257" i="9"/>
  <c r="R257" i="9"/>
  <c r="T257" i="9"/>
  <c r="J182" i="9"/>
  <c r="I182" i="9"/>
  <c r="H182" i="9"/>
  <c r="O182" i="9"/>
  <c r="M182" i="9"/>
  <c r="N182" i="9"/>
  <c r="T127" i="9"/>
  <c r="S127" i="9"/>
  <c r="R127" i="9"/>
  <c r="J253" i="9"/>
  <c r="I253" i="9"/>
  <c r="H253" i="9"/>
  <c r="O253" i="9"/>
  <c r="N253" i="9"/>
  <c r="M253" i="9"/>
  <c r="J319" i="9"/>
  <c r="I319" i="9"/>
  <c r="H319" i="9"/>
  <c r="O319" i="9"/>
  <c r="N319" i="9"/>
  <c r="M319" i="9"/>
  <c r="J191" i="9"/>
  <c r="I191" i="9"/>
  <c r="H191" i="9"/>
  <c r="O191" i="9"/>
  <c r="N191" i="9"/>
  <c r="M191" i="9"/>
  <c r="T286" i="9"/>
  <c r="S286" i="9"/>
  <c r="R286" i="9"/>
  <c r="T236" i="9"/>
  <c r="S236" i="9"/>
  <c r="R236" i="9"/>
  <c r="I172" i="9"/>
  <c r="H172" i="9"/>
  <c r="J172" i="9"/>
  <c r="O172" i="9"/>
  <c r="M172" i="9"/>
  <c r="N172" i="9"/>
  <c r="J265" i="9"/>
  <c r="I265" i="9"/>
  <c r="H265" i="9"/>
  <c r="O265" i="9"/>
  <c r="N265" i="9"/>
  <c r="M265" i="9"/>
  <c r="T61" i="9"/>
  <c r="S61" i="9"/>
  <c r="R61" i="9"/>
  <c r="J337" i="9"/>
  <c r="I337" i="9"/>
  <c r="H337" i="9"/>
  <c r="O337" i="9"/>
  <c r="N337" i="9"/>
  <c r="M337" i="9"/>
  <c r="J259" i="9"/>
  <c r="I259" i="9"/>
  <c r="H259" i="9"/>
  <c r="O259" i="9"/>
  <c r="N259" i="9"/>
  <c r="M259" i="9"/>
  <c r="S227" i="9"/>
  <c r="R227" i="9"/>
  <c r="T227" i="9"/>
  <c r="T182" i="9"/>
  <c r="S182" i="9"/>
  <c r="R182" i="9"/>
  <c r="I328" i="9"/>
  <c r="H328" i="9"/>
  <c r="J328" i="9"/>
  <c r="M328" i="9"/>
  <c r="N328" i="9"/>
  <c r="O328" i="9"/>
  <c r="S253" i="9"/>
  <c r="R253" i="9"/>
  <c r="T253" i="9"/>
  <c r="T290" i="9"/>
  <c r="S290" i="9"/>
  <c r="R290" i="9"/>
  <c r="J281" i="9"/>
  <c r="I281" i="9"/>
  <c r="H281" i="9"/>
  <c r="O281" i="9"/>
  <c r="N281" i="9"/>
  <c r="M281" i="9"/>
  <c r="I308" i="9"/>
  <c r="H308" i="9"/>
  <c r="J308" i="9"/>
  <c r="N308" i="9"/>
  <c r="M308" i="9"/>
  <c r="O308" i="9"/>
  <c r="J335" i="9"/>
  <c r="I335" i="9"/>
  <c r="H335" i="9"/>
  <c r="O335" i="9"/>
  <c r="N335" i="9"/>
  <c r="M335" i="9"/>
  <c r="J286" i="9"/>
  <c r="I286" i="9"/>
  <c r="H286" i="9"/>
  <c r="N286" i="9"/>
  <c r="M286" i="9"/>
  <c r="O286" i="9"/>
  <c r="T397" i="9"/>
  <c r="S397" i="9"/>
  <c r="R397" i="9"/>
  <c r="T172" i="9"/>
  <c r="S172" i="9"/>
  <c r="R172" i="9"/>
  <c r="S265" i="9"/>
  <c r="R265" i="9"/>
  <c r="T265" i="9"/>
  <c r="H61" i="9"/>
  <c r="J61" i="9"/>
  <c r="I61" i="9"/>
  <c r="O61" i="9"/>
  <c r="N61" i="9"/>
  <c r="M61" i="9"/>
  <c r="J317" i="9"/>
  <c r="I317" i="9"/>
  <c r="H317" i="9"/>
  <c r="O317" i="9"/>
  <c r="N317" i="9"/>
  <c r="M317" i="9"/>
  <c r="S259" i="9"/>
  <c r="R259" i="9"/>
  <c r="T259" i="9"/>
  <c r="J227" i="9"/>
  <c r="I227" i="9"/>
  <c r="H227" i="9"/>
  <c r="O227" i="9"/>
  <c r="N227" i="9"/>
  <c r="M227" i="9"/>
  <c r="S328" i="9"/>
  <c r="R328" i="9"/>
  <c r="T328" i="9"/>
  <c r="T274" i="9"/>
  <c r="S274" i="9"/>
  <c r="R274" i="9"/>
  <c r="J290" i="9"/>
  <c r="I290" i="9"/>
  <c r="H290" i="9"/>
  <c r="N290" i="9"/>
  <c r="O290" i="9"/>
  <c r="M290" i="9"/>
  <c r="S281" i="9"/>
  <c r="R281" i="9"/>
  <c r="T281" i="9"/>
  <c r="T308" i="9"/>
  <c r="S308" i="9"/>
  <c r="R308" i="9"/>
  <c r="T335" i="9"/>
  <c r="S335" i="9"/>
  <c r="R335" i="9"/>
  <c r="J373" i="9"/>
  <c r="I373" i="9"/>
  <c r="H373" i="9"/>
  <c r="O373" i="9"/>
  <c r="N373" i="9"/>
  <c r="M373" i="9"/>
  <c r="J397" i="9"/>
  <c r="I397" i="9"/>
  <c r="H397" i="9"/>
  <c r="O397" i="9"/>
  <c r="N397" i="9"/>
  <c r="M397" i="9"/>
  <c r="J254" i="9"/>
  <c r="I254" i="9"/>
  <c r="H254" i="9"/>
  <c r="N254" i="9"/>
  <c r="M254" i="9"/>
  <c r="O254" i="9"/>
  <c r="S340" i="9"/>
  <c r="R340" i="9"/>
  <c r="T340" i="9"/>
  <c r="T383" i="9"/>
  <c r="S383" i="9"/>
  <c r="R383" i="9"/>
  <c r="S317" i="9"/>
  <c r="R317" i="9"/>
  <c r="T317" i="9"/>
  <c r="T331" i="9"/>
  <c r="S331" i="9"/>
  <c r="R331" i="9"/>
  <c r="T190" i="9"/>
  <c r="S190" i="9"/>
  <c r="R190" i="9"/>
  <c r="J343" i="9"/>
  <c r="I343" i="9"/>
  <c r="H343" i="9"/>
  <c r="O343" i="9"/>
  <c r="N343" i="9"/>
  <c r="M343" i="9"/>
  <c r="J274" i="9"/>
  <c r="I274" i="9"/>
  <c r="H274" i="9"/>
  <c r="N274" i="9"/>
  <c r="O274" i="9"/>
  <c r="M274" i="9"/>
  <c r="J15" i="9"/>
  <c r="I15" i="9"/>
  <c r="H15" i="9"/>
  <c r="O15" i="9"/>
  <c r="N15" i="9"/>
  <c r="M15" i="9"/>
  <c r="J353" i="9"/>
  <c r="I353" i="9"/>
  <c r="H353" i="9"/>
  <c r="O353" i="9"/>
  <c r="N353" i="9"/>
  <c r="M353" i="9"/>
  <c r="I292" i="9"/>
  <c r="H292" i="9"/>
  <c r="J292" i="9"/>
  <c r="N292" i="9"/>
  <c r="M292" i="9"/>
  <c r="O292" i="9"/>
  <c r="T361" i="9"/>
  <c r="S361" i="9"/>
  <c r="R361" i="9"/>
  <c r="T373" i="9"/>
  <c r="S373" i="9"/>
  <c r="R373" i="9"/>
  <c r="T254" i="9"/>
  <c r="S254" i="9"/>
  <c r="R254" i="9"/>
  <c r="I340" i="9"/>
  <c r="H340" i="9"/>
  <c r="J340" i="9"/>
  <c r="M340" i="9"/>
  <c r="O340" i="9"/>
  <c r="N340" i="9"/>
  <c r="J383" i="9"/>
  <c r="I383" i="9"/>
  <c r="H383" i="9"/>
  <c r="O383" i="9"/>
  <c r="N383" i="9"/>
  <c r="M383" i="9"/>
  <c r="T164" i="9"/>
  <c r="S164" i="9"/>
  <c r="R164" i="9"/>
  <c r="J331" i="9"/>
  <c r="I331" i="9"/>
  <c r="H331" i="9"/>
  <c r="O331" i="9"/>
  <c r="N331" i="9"/>
  <c r="M331" i="9"/>
  <c r="J190" i="9"/>
  <c r="I190" i="9"/>
  <c r="H190" i="9"/>
  <c r="O190" i="9"/>
  <c r="M190" i="9"/>
  <c r="N190" i="9"/>
  <c r="T343" i="9"/>
  <c r="S343" i="9"/>
  <c r="R343" i="9"/>
  <c r="T15" i="9"/>
  <c r="S15" i="9"/>
  <c r="R15" i="9"/>
  <c r="K2" i="1" a="1"/>
  <c r="K2" i="1" s="1"/>
  <c r="Q2" i="1" a="1"/>
  <c r="Q2" i="1" s="1"/>
  <c r="T77" i="1" l="1"/>
  <c r="T47" i="1"/>
  <c r="S28" i="1"/>
  <c r="R21" i="1"/>
  <c r="T72" i="1"/>
  <c r="T83" i="1"/>
  <c r="T53" i="1"/>
  <c r="T22" i="1"/>
  <c r="S41" i="1"/>
  <c r="T51" i="1"/>
  <c r="T80" i="1"/>
  <c r="S12" i="1"/>
  <c r="T44" i="1"/>
  <c r="S73" i="1"/>
  <c r="T137" i="1"/>
  <c r="S72" i="1"/>
  <c r="T84" i="1"/>
  <c r="T46" i="1"/>
  <c r="T68" i="1"/>
  <c r="R56" i="1"/>
  <c r="T55" i="1"/>
  <c r="T59" i="1"/>
  <c r="S80" i="1"/>
  <c r="R12" i="1"/>
  <c r="R28" i="1"/>
  <c r="S44" i="1"/>
  <c r="T85" i="1"/>
  <c r="S137" i="1"/>
  <c r="T37" i="1"/>
  <c r="T121" i="1"/>
  <c r="S68" i="1"/>
  <c r="T7" i="1"/>
  <c r="T56" i="1"/>
  <c r="T91" i="1"/>
  <c r="T58" i="1"/>
  <c r="R8" i="1"/>
  <c r="R24" i="1"/>
  <c r="R44" i="1"/>
  <c r="S88" i="1"/>
  <c r="R137" i="1"/>
  <c r="T5" i="1"/>
  <c r="S37" i="1"/>
  <c r="T76" i="1"/>
  <c r="S121" i="1"/>
  <c r="T185" i="1"/>
  <c r="S57" i="1"/>
  <c r="R68" i="1"/>
  <c r="T11" i="1"/>
  <c r="S56" i="1"/>
  <c r="T38" i="1"/>
  <c r="T6" i="1"/>
  <c r="T62" i="1"/>
  <c r="T8" i="1"/>
  <c r="T18" i="1"/>
  <c r="T24" i="1"/>
  <c r="R40" i="1"/>
  <c r="R88" i="1"/>
  <c r="S5" i="1"/>
  <c r="R37" i="1"/>
  <c r="S76" i="1"/>
  <c r="R121" i="1"/>
  <c r="S185" i="1"/>
  <c r="T61" i="1"/>
  <c r="T23" i="1"/>
  <c r="S81" i="1"/>
  <c r="T70" i="1"/>
  <c r="S9" i="1"/>
  <c r="T19" i="1"/>
  <c r="T31" i="1"/>
  <c r="T40" i="1"/>
  <c r="T50" i="1"/>
  <c r="R5" i="1"/>
  <c r="T21" i="1"/>
  <c r="T69" i="1"/>
  <c r="T64" i="1"/>
  <c r="S33" i="1"/>
  <c r="T43" i="1"/>
  <c r="S60" i="1"/>
  <c r="T81" i="1"/>
  <c r="S113" i="1"/>
  <c r="S8" i="1"/>
  <c r="T28" i="1"/>
  <c r="S65" i="1"/>
  <c r="R185" i="1"/>
  <c r="R60" i="1"/>
  <c r="R2" i="1"/>
  <c r="R4" i="1"/>
  <c r="T33" i="1"/>
  <c r="S20" i="1"/>
  <c r="S36" i="1"/>
  <c r="T52" i="1"/>
  <c r="S105" i="1"/>
  <c r="S45" i="1"/>
  <c r="T63" i="1"/>
  <c r="S145" i="1"/>
  <c r="S86" i="1"/>
  <c r="S97" i="1"/>
  <c r="R112" i="1"/>
  <c r="T132" i="1"/>
  <c r="S158" i="1"/>
  <c r="R176" i="1"/>
  <c r="S212" i="1"/>
  <c r="R46" i="1"/>
  <c r="S71" i="1"/>
  <c r="S133" i="1"/>
  <c r="T152" i="1"/>
  <c r="R170" i="1"/>
  <c r="T199" i="1"/>
  <c r="R225" i="1"/>
  <c r="S263" i="1"/>
  <c r="T269" i="1"/>
  <c r="T278" i="1"/>
  <c r="R301" i="1"/>
  <c r="T321" i="1"/>
  <c r="S15" i="1"/>
  <c r="S54" i="1"/>
  <c r="R128" i="1"/>
  <c r="T148" i="1"/>
  <c r="S174" i="1"/>
  <c r="S192" i="1"/>
  <c r="S1182" i="1"/>
  <c r="S1188" i="1"/>
  <c r="T1198" i="1"/>
  <c r="T1166" i="1"/>
  <c r="S1142" i="1"/>
  <c r="R1186" i="1"/>
  <c r="R1136" i="1"/>
  <c r="S1122" i="1"/>
  <c r="T1141" i="1"/>
  <c r="R1178" i="1"/>
  <c r="S1087" i="1"/>
  <c r="T1079" i="1"/>
  <c r="S1148" i="1"/>
  <c r="T1018" i="1"/>
  <c r="R1017" i="1"/>
  <c r="T1067" i="1"/>
  <c r="S1090" i="1"/>
  <c r="R1001" i="1"/>
  <c r="R1032" i="1"/>
  <c r="R990" i="1"/>
  <c r="T1003" i="1"/>
  <c r="R940" i="1"/>
  <c r="S880" i="1"/>
  <c r="S949" i="1"/>
  <c r="S886" i="1"/>
  <c r="T928" i="1"/>
  <c r="S963" i="1"/>
  <c r="T820" i="1"/>
  <c r="T894" i="1"/>
  <c r="S901" i="1"/>
  <c r="T782" i="1"/>
  <c r="T865" i="1"/>
  <c r="R821" i="1"/>
  <c r="S925" i="1"/>
  <c r="R830" i="1"/>
  <c r="R862" i="1"/>
  <c r="T775" i="1"/>
  <c r="R734" i="1"/>
  <c r="R878" i="1"/>
  <c r="R775" i="1"/>
  <c r="T721" i="1"/>
  <c r="T767" i="1"/>
  <c r="T779" i="1"/>
  <c r="R770" i="1"/>
  <c r="S650" i="1"/>
  <c r="T697" i="1"/>
  <c r="T66" i="1"/>
  <c r="T12" i="1"/>
  <c r="R72" i="1"/>
  <c r="T27" i="1"/>
  <c r="T113" i="1"/>
  <c r="S4" i="1"/>
  <c r="S7" i="1"/>
  <c r="R31" i="1"/>
  <c r="R20" i="1"/>
  <c r="R36" i="1"/>
  <c r="S52" i="1"/>
  <c r="T71" i="1"/>
  <c r="R105" i="1"/>
  <c r="R45" i="1"/>
  <c r="T67" i="1"/>
  <c r="R145" i="1"/>
  <c r="R71" i="1"/>
  <c r="R89" i="1"/>
  <c r="R97" i="1"/>
  <c r="T135" i="1"/>
  <c r="R212" i="1"/>
  <c r="S275" i="1"/>
  <c r="S333" i="1"/>
  <c r="S47" i="1"/>
  <c r="S77" i="1"/>
  <c r="S134" i="1"/>
  <c r="S152" i="1"/>
  <c r="S171" i="1"/>
  <c r="R199" i="1"/>
  <c r="T231" i="1"/>
  <c r="R263" i="1"/>
  <c r="S269" i="1"/>
  <c r="T272" i="1"/>
  <c r="T284" i="1"/>
  <c r="S321" i="1"/>
  <c r="T151" i="1"/>
  <c r="R192" i="1"/>
  <c r="S1174" i="1"/>
  <c r="R1187" i="1"/>
  <c r="R1196" i="1"/>
  <c r="R1164" i="1"/>
  <c r="R1131" i="1"/>
  <c r="T1157" i="1"/>
  <c r="R1120" i="1"/>
  <c r="R1121" i="1"/>
  <c r="T1115" i="1"/>
  <c r="T1107" i="1"/>
  <c r="R1083" i="1"/>
  <c r="S1063" i="1"/>
  <c r="T1130" i="1"/>
  <c r="S1017" i="1"/>
  <c r="R1009" i="1"/>
  <c r="T1064" i="1"/>
  <c r="R1056" i="1"/>
  <c r="S994" i="1"/>
  <c r="S999" i="1"/>
  <c r="S1049" i="1"/>
  <c r="S1002" i="1"/>
  <c r="S936" i="1"/>
  <c r="S979" i="1"/>
  <c r="T940" i="1"/>
  <c r="T964" i="1"/>
  <c r="R926" i="1"/>
  <c r="S909" i="1"/>
  <c r="T812" i="1"/>
  <c r="S893" i="1"/>
  <c r="R894" i="1"/>
  <c r="S986" i="1"/>
  <c r="T862" i="1"/>
  <c r="S814" i="1"/>
  <c r="S879" i="1"/>
  <c r="R822" i="1"/>
  <c r="S917" i="1"/>
  <c r="T766" i="1"/>
  <c r="R726" i="1"/>
  <c r="T835" i="1"/>
  <c r="R769" i="1"/>
  <c r="T713" i="1"/>
  <c r="T918" i="1"/>
  <c r="S776" i="1"/>
  <c r="S757" i="1"/>
  <c r="S642" i="1"/>
  <c r="S682" i="1"/>
  <c r="S725" i="1"/>
  <c r="T718" i="1"/>
  <c r="R187" i="1"/>
  <c r="R76" i="1"/>
  <c r="R113" i="1"/>
  <c r="R3" i="1"/>
  <c r="T9" i="1"/>
  <c r="R16" i="1"/>
  <c r="R52" i="1"/>
  <c r="T75" i="1"/>
  <c r="T13" i="1"/>
  <c r="T73" i="1"/>
  <c r="T90" i="1"/>
  <c r="T106" i="1"/>
  <c r="T117" i="1"/>
  <c r="S135" i="1"/>
  <c r="T170" i="1"/>
  <c r="T181" i="1"/>
  <c r="R275" i="1"/>
  <c r="R30" i="1"/>
  <c r="R106" i="1"/>
  <c r="R152" i="1"/>
  <c r="T172" i="1"/>
  <c r="S200" i="1"/>
  <c r="S231" i="1"/>
  <c r="T237" i="1"/>
  <c r="T246" i="1"/>
  <c r="R269" i="1"/>
  <c r="T289" i="1"/>
  <c r="R321" i="1"/>
  <c r="R22" i="1"/>
  <c r="S14" i="1"/>
  <c r="R85" i="1"/>
  <c r="T122" i="1"/>
  <c r="T133" i="1"/>
  <c r="S151" i="1"/>
  <c r="S1166" i="1"/>
  <c r="S1180" i="1"/>
  <c r="T1190" i="1"/>
  <c r="T1158" i="1"/>
  <c r="T1196" i="1"/>
  <c r="T1156" i="1"/>
  <c r="T1106" i="1"/>
  <c r="R1105" i="1"/>
  <c r="T1114" i="1"/>
  <c r="S1078" i="1"/>
  <c r="R1081" i="1"/>
  <c r="S1114" i="1"/>
  <c r="R1064" i="1"/>
  <c r="S1009" i="1"/>
  <c r="R1036" i="1"/>
  <c r="R1063" i="1"/>
  <c r="S1032" i="1"/>
  <c r="T1040" i="1"/>
  <c r="S998" i="1"/>
  <c r="R1041" i="1"/>
  <c r="T994" i="1"/>
  <c r="S928" i="1"/>
  <c r="R1022" i="1"/>
  <c r="S934" i="1"/>
  <c r="T948" i="1"/>
  <c r="T920" i="1"/>
  <c r="T896" i="1"/>
  <c r="T804" i="1"/>
  <c r="R892" i="1"/>
  <c r="T830" i="1"/>
  <c r="S957" i="1"/>
  <c r="S854" i="1"/>
  <c r="R813" i="1"/>
  <c r="T872" i="1"/>
  <c r="R814" i="1"/>
  <c r="R886" i="1"/>
  <c r="S775" i="1"/>
  <c r="R718" i="1"/>
  <c r="R825" i="1"/>
  <c r="R766" i="1"/>
  <c r="T705" i="1"/>
  <c r="S870" i="1"/>
  <c r="S767" i="1"/>
  <c r="T702" i="1"/>
  <c r="T35" i="1"/>
  <c r="R80" i="1"/>
  <c r="T34" i="1"/>
  <c r="S21" i="1"/>
  <c r="T41" i="1"/>
  <c r="R7" i="1"/>
  <c r="T10" i="1"/>
  <c r="S16" i="1"/>
  <c r="R32" i="1"/>
  <c r="S13" i="1"/>
  <c r="T74" i="1"/>
  <c r="T129" i="1"/>
  <c r="R55" i="1"/>
  <c r="R77" i="1"/>
  <c r="S106" i="1"/>
  <c r="R135" i="1"/>
  <c r="R148" i="1"/>
  <c r="S170" i="1"/>
  <c r="R226" i="1"/>
  <c r="T275" i="1"/>
  <c r="R290" i="1"/>
  <c r="S31" i="1"/>
  <c r="R54" i="1"/>
  <c r="S83" i="1"/>
  <c r="S107" i="1"/>
  <c r="T175" i="1"/>
  <c r="T205" i="1"/>
  <c r="R231" i="1"/>
  <c r="S237" i="1"/>
  <c r="T240" i="1"/>
  <c r="T252" i="1"/>
  <c r="S289" i="1"/>
  <c r="T327" i="1"/>
  <c r="S23" i="1"/>
  <c r="S30" i="1"/>
  <c r="S46" i="1"/>
  <c r="R69" i="1"/>
  <c r="S122" i="1"/>
  <c r="R151" i="1"/>
  <c r="R6" i="1"/>
  <c r="S1158" i="1"/>
  <c r="R1179" i="1"/>
  <c r="R1188" i="1"/>
  <c r="R1156" i="1"/>
  <c r="S1195" i="1"/>
  <c r="T1188" i="1"/>
  <c r="T1101" i="1"/>
  <c r="T1104" i="1"/>
  <c r="S1113" i="1"/>
  <c r="T1131" i="1"/>
  <c r="T1073" i="1"/>
  <c r="T1091" i="1"/>
  <c r="T1057" i="1"/>
  <c r="T1002" i="1"/>
  <c r="S1033" i="1"/>
  <c r="T1043" i="1"/>
  <c r="S1027" i="1"/>
  <c r="T1016" i="1"/>
  <c r="R997" i="1"/>
  <c r="T992" i="1"/>
  <c r="T987" i="1"/>
  <c r="S920" i="1"/>
  <c r="T989" i="1"/>
  <c r="S926" i="1"/>
  <c r="S947" i="1"/>
  <c r="R918" i="1"/>
  <c r="S884" i="1"/>
  <c r="T796" i="1"/>
  <c r="R884" i="1"/>
  <c r="T822" i="1"/>
  <c r="T934" i="1"/>
  <c r="S846" i="1"/>
  <c r="S806" i="1"/>
  <c r="R865" i="1"/>
  <c r="R806" i="1"/>
  <c r="T885" i="1"/>
  <c r="T769" i="1"/>
  <c r="R710" i="1"/>
  <c r="S810" i="1"/>
  <c r="T761" i="1"/>
  <c r="R866" i="1"/>
  <c r="R857" i="1"/>
  <c r="R849" i="1"/>
  <c r="R778" i="1"/>
  <c r="S850" i="1"/>
  <c r="T54" i="1"/>
  <c r="T14" i="1"/>
  <c r="R39" i="1"/>
  <c r="T49" i="1"/>
  <c r="T16" i="1"/>
  <c r="T26" i="1"/>
  <c r="T32" i="1"/>
  <c r="R48" i="1"/>
  <c r="T169" i="1"/>
  <c r="R13" i="1"/>
  <c r="T29" i="1"/>
  <c r="S78" i="1"/>
  <c r="S129" i="1"/>
  <c r="T57" i="1"/>
  <c r="T78" i="1"/>
  <c r="R107" i="1"/>
  <c r="T153" i="1"/>
  <c r="R171" i="1"/>
  <c r="S55" i="1"/>
  <c r="T108" i="1"/>
  <c r="T146" i="1"/>
  <c r="T157" i="1"/>
  <c r="S175" i="1"/>
  <c r="R237" i="1"/>
  <c r="T257" i="1"/>
  <c r="R289" i="1"/>
  <c r="S327" i="1"/>
  <c r="S335" i="1"/>
  <c r="S70" i="1"/>
  <c r="R123" i="1"/>
  <c r="T186" i="1"/>
  <c r="S1150" i="1"/>
  <c r="S1172" i="1"/>
  <c r="T1182" i="1"/>
  <c r="T1180" i="1"/>
  <c r="R1170" i="1"/>
  <c r="S1187" i="1"/>
  <c r="T1123" i="1"/>
  <c r="S1096" i="1"/>
  <c r="T1164" i="1"/>
  <c r="S1095" i="1"/>
  <c r="T1063" i="1"/>
  <c r="S1064" i="1"/>
  <c r="T1017" i="1"/>
  <c r="S1001" i="1"/>
  <c r="R1018" i="1"/>
  <c r="R1089" i="1"/>
  <c r="R1027" i="1"/>
  <c r="T999" i="1"/>
  <c r="S993" i="1"/>
  <c r="T1034" i="1"/>
  <c r="S981" i="1"/>
  <c r="S912" i="1"/>
  <c r="R992" i="1"/>
  <c r="S918" i="1"/>
  <c r="T944" i="1"/>
  <c r="T912" i="1"/>
  <c r="T880" i="1"/>
  <c r="T942" i="1"/>
  <c r="R1006" i="1"/>
  <c r="T814" i="1"/>
  <c r="R924" i="1"/>
  <c r="S838" i="1"/>
  <c r="R805" i="1"/>
  <c r="S862" i="1"/>
  <c r="T954" i="1"/>
  <c r="S878" i="1"/>
  <c r="S766" i="1"/>
  <c r="R702" i="1"/>
  <c r="R785" i="1"/>
  <c r="T753" i="1"/>
  <c r="R801" i="1"/>
  <c r="S826" i="1"/>
  <c r="R817" i="1"/>
  <c r="T15" i="1"/>
  <c r="R64" i="1"/>
  <c r="S49" i="1"/>
  <c r="T4" i="1"/>
  <c r="R15" i="1"/>
  <c r="T25" i="1"/>
  <c r="T48" i="1"/>
  <c r="R169" i="1"/>
  <c r="R29" i="1"/>
  <c r="R63" i="1"/>
  <c r="T96" i="1"/>
  <c r="T112" i="1"/>
  <c r="R130" i="1"/>
  <c r="R153" i="1"/>
  <c r="T176" i="1"/>
  <c r="R200" i="1"/>
  <c r="R243" i="1"/>
  <c r="R307" i="1"/>
  <c r="S39" i="1"/>
  <c r="S63" i="1"/>
  <c r="S111" i="1"/>
  <c r="R147" i="1"/>
  <c r="T193" i="1"/>
  <c r="T225" i="1"/>
  <c r="R257" i="1"/>
  <c r="S295" i="1"/>
  <c r="T301" i="1"/>
  <c r="T310" i="1"/>
  <c r="T335" i="1"/>
  <c r="S6" i="1"/>
  <c r="S62" i="1"/>
  <c r="S90" i="1"/>
  <c r="T128" i="1"/>
  <c r="R146" i="1"/>
  <c r="S188" i="1"/>
  <c r="S1198" i="1"/>
  <c r="S1196" i="1"/>
  <c r="S1164" i="1"/>
  <c r="T1174" i="1"/>
  <c r="R1148" i="1"/>
  <c r="S1171" i="1"/>
  <c r="S1156" i="1"/>
  <c r="S1121" i="1"/>
  <c r="R1096" i="1"/>
  <c r="S1144" i="1"/>
  <c r="R1128" i="1"/>
  <c r="R1113" i="1"/>
  <c r="T1051" i="1"/>
  <c r="R1073" i="1"/>
  <c r="R1028" i="1"/>
  <c r="R994" i="1"/>
  <c r="R1048" i="1"/>
  <c r="S1015" i="1"/>
  <c r="R987" i="1"/>
  <c r="R998" i="1"/>
  <c r="S1023" i="1"/>
  <c r="S965" i="1"/>
  <c r="S896" i="1"/>
  <c r="S939" i="1"/>
  <c r="S902" i="1"/>
  <c r="T936" i="1"/>
  <c r="T904" i="1"/>
  <c r="R863" i="1"/>
  <c r="T910" i="1"/>
  <c r="S953" i="1"/>
  <c r="T798" i="1"/>
  <c r="T888" i="1"/>
  <c r="R829" i="1"/>
  <c r="S790" i="1"/>
  <c r="R846" i="1"/>
  <c r="T886" i="1"/>
  <c r="S863" i="1"/>
  <c r="R750" i="1"/>
  <c r="R908" i="1"/>
  <c r="S782" i="1"/>
  <c r="T737" i="1"/>
  <c r="T787" i="1"/>
  <c r="S787" i="1"/>
  <c r="R767" i="1"/>
  <c r="S666" i="1"/>
  <c r="S741" i="1"/>
  <c r="R724" i="1"/>
  <c r="T681" i="1"/>
  <c r="R81" i="1"/>
  <c r="T17" i="1"/>
  <c r="T36" i="1"/>
  <c r="S169" i="1"/>
  <c r="T45" i="1"/>
  <c r="T145" i="1"/>
  <c r="S131" i="1"/>
  <c r="R90" i="1"/>
  <c r="S148" i="1"/>
  <c r="S301" i="1"/>
  <c r="S38" i="1"/>
  <c r="R61" i="1"/>
  <c r="S87" i="1"/>
  <c r="T192" i="1"/>
  <c r="R1180" i="1"/>
  <c r="T1122" i="1"/>
  <c r="R1140" i="1"/>
  <c r="R1002" i="1"/>
  <c r="S990" i="1"/>
  <c r="S971" i="1"/>
  <c r="R870" i="1"/>
  <c r="T902" i="1"/>
  <c r="T926" i="1"/>
  <c r="T783" i="1"/>
  <c r="S779" i="1"/>
  <c r="R732" i="1"/>
  <c r="T694" i="1"/>
  <c r="T710" i="1"/>
  <c r="T543" i="1"/>
  <c r="T621" i="1"/>
  <c r="S567" i="1"/>
  <c r="S638" i="1"/>
  <c r="S717" i="1"/>
  <c r="S630" i="1"/>
  <c r="S565" i="1"/>
  <c r="R484" i="1"/>
  <c r="S555" i="1"/>
  <c r="T726" i="1"/>
  <c r="R586" i="1"/>
  <c r="T507" i="1"/>
  <c r="S541" i="1"/>
  <c r="T484" i="1"/>
  <c r="R424" i="1"/>
  <c r="S458" i="1"/>
  <c r="S420" i="1"/>
  <c r="S388" i="1"/>
  <c r="R459" i="1"/>
  <c r="S373" i="1"/>
  <c r="T453" i="1"/>
  <c r="S426" i="1"/>
  <c r="R365" i="1"/>
  <c r="R451" i="1"/>
  <c r="R475" i="1"/>
  <c r="S334" i="1"/>
  <c r="T418" i="1"/>
  <c r="R336" i="1"/>
  <c r="S278" i="1"/>
  <c r="S364" i="1"/>
  <c r="S304" i="1"/>
  <c r="S240" i="1"/>
  <c r="R376" i="1"/>
  <c r="T290" i="1"/>
  <c r="T226" i="1"/>
  <c r="T330" i="1"/>
  <c r="S266" i="1"/>
  <c r="T215" i="1"/>
  <c r="T174" i="1"/>
  <c r="T110" i="1"/>
  <c r="S94" i="1"/>
  <c r="R142" i="1"/>
  <c r="T171" i="1"/>
  <c r="T107" i="1"/>
  <c r="S29" i="1"/>
  <c r="S243" i="1"/>
  <c r="T316" i="1"/>
  <c r="R91" i="1"/>
  <c r="R1172" i="1"/>
  <c r="R1137" i="1"/>
  <c r="S1097" i="1"/>
  <c r="S1070" i="1"/>
  <c r="R993" i="1"/>
  <c r="T995" i="1"/>
  <c r="T828" i="1"/>
  <c r="T879" i="1"/>
  <c r="T878" i="1"/>
  <c r="T780" i="1"/>
  <c r="R841" i="1"/>
  <c r="R666" i="1"/>
  <c r="S687" i="1"/>
  <c r="S701" i="1"/>
  <c r="T535" i="1"/>
  <c r="T619" i="1"/>
  <c r="S559" i="1"/>
  <c r="R694" i="1"/>
  <c r="S654" i="1"/>
  <c r="R618" i="1"/>
  <c r="S628" i="1"/>
  <c r="R476" i="1"/>
  <c r="R554" i="1"/>
  <c r="S611" i="1"/>
  <c r="T550" i="1"/>
  <c r="T499" i="1"/>
  <c r="T540" i="1"/>
  <c r="T476" i="1"/>
  <c r="R540" i="1"/>
  <c r="R457" i="1"/>
  <c r="T413" i="1"/>
  <c r="T381" i="1"/>
  <c r="S444" i="1"/>
  <c r="S365" i="1"/>
  <c r="S452" i="1"/>
  <c r="R421" i="1"/>
  <c r="R357" i="1"/>
  <c r="T542" i="1"/>
  <c r="R427" i="1"/>
  <c r="T437" i="1"/>
  <c r="T402" i="1"/>
  <c r="T333" i="1"/>
  <c r="S270" i="1"/>
  <c r="T596" i="1"/>
  <c r="S296" i="1"/>
  <c r="S232" i="1"/>
  <c r="R352" i="1"/>
  <c r="T282" i="1"/>
  <c r="T218" i="1"/>
  <c r="S322" i="1"/>
  <c r="S258" i="1"/>
  <c r="R213" i="1"/>
  <c r="T166" i="1"/>
  <c r="T102" i="1"/>
  <c r="S210" i="1"/>
  <c r="R134" i="1"/>
  <c r="T163" i="1"/>
  <c r="S85" i="1"/>
  <c r="R47" i="1"/>
  <c r="T20" i="1"/>
  <c r="S153" i="1"/>
  <c r="S172" i="1"/>
  <c r="T243" i="1"/>
  <c r="R322" i="1"/>
  <c r="T295" i="1"/>
  <c r="R327" i="1"/>
  <c r="T1199" i="1"/>
  <c r="S1179" i="1"/>
  <c r="R1155" i="1"/>
  <c r="S1057" i="1"/>
  <c r="S1079" i="1"/>
  <c r="R1030" i="1"/>
  <c r="S910" i="1"/>
  <c r="R932" i="1"/>
  <c r="S830" i="1"/>
  <c r="T870" i="1"/>
  <c r="T745" i="1"/>
  <c r="T758" i="1"/>
  <c r="T859" i="1"/>
  <c r="T684" i="1"/>
  <c r="R686" i="1"/>
  <c r="S693" i="1"/>
  <c r="S615" i="1"/>
  <c r="S551" i="1"/>
  <c r="T675" i="1"/>
  <c r="R642" i="1"/>
  <c r="S613" i="1"/>
  <c r="T588" i="1"/>
  <c r="R468" i="1"/>
  <c r="R530" i="1"/>
  <c r="S603" i="1"/>
  <c r="R548" i="1"/>
  <c r="T491" i="1"/>
  <c r="T532" i="1"/>
  <c r="T468" i="1"/>
  <c r="S468" i="1"/>
  <c r="S445" i="1"/>
  <c r="S412" i="1"/>
  <c r="S380" i="1"/>
  <c r="T435" i="1"/>
  <c r="S357" i="1"/>
  <c r="T451" i="1"/>
  <c r="R413" i="1"/>
  <c r="R695" i="1"/>
  <c r="S492" i="1"/>
  <c r="T357" i="1"/>
  <c r="R416" i="1"/>
  <c r="T386" i="1"/>
  <c r="S326" i="1"/>
  <c r="S262" i="1"/>
  <c r="S424" i="1"/>
  <c r="S288" i="1"/>
  <c r="S224" i="1"/>
  <c r="T338" i="1"/>
  <c r="T274" i="1"/>
  <c r="T410" i="1"/>
  <c r="S314" i="1"/>
  <c r="S250" i="1"/>
  <c r="T211" i="1"/>
  <c r="T158" i="1"/>
  <c r="T94" i="1"/>
  <c r="R190" i="1"/>
  <c r="R126" i="1"/>
  <c r="T155" i="1"/>
  <c r="S53" i="1"/>
  <c r="R79" i="1"/>
  <c r="T104" i="1"/>
  <c r="S25" i="1"/>
  <c r="T39" i="1"/>
  <c r="R23" i="1"/>
  <c r="S40" i="1"/>
  <c r="S17" i="1"/>
  <c r="T60" i="1"/>
  <c r="S112" i="1"/>
  <c r="S307" i="1"/>
  <c r="T111" i="1"/>
  <c r="R175" i="1"/>
  <c r="T263" i="1"/>
  <c r="T304" i="1"/>
  <c r="R14" i="1"/>
  <c r="S109" i="1"/>
  <c r="S128" i="1"/>
  <c r="R1199" i="1"/>
  <c r="T1172" i="1"/>
  <c r="S1149" i="1"/>
  <c r="S1141" i="1"/>
  <c r="T1024" i="1"/>
  <c r="S973" i="1"/>
  <c r="S940" i="1"/>
  <c r="T956" i="1"/>
  <c r="S798" i="1"/>
  <c r="R758" i="1"/>
  <c r="T788" i="1"/>
  <c r="S658" i="1"/>
  <c r="S733" i="1"/>
  <c r="T777" i="1"/>
  <c r="R687" i="1"/>
  <c r="R681" i="1"/>
  <c r="S599" i="1"/>
  <c r="R684" i="1"/>
  <c r="R629" i="1"/>
  <c r="R708" i="1"/>
  <c r="S597" i="1"/>
  <c r="R562" i="1"/>
  <c r="R452" i="1"/>
  <c r="R672" i="1"/>
  <c r="T548" i="1"/>
  <c r="R538" i="1"/>
  <c r="T475" i="1"/>
  <c r="S517" i="1"/>
  <c r="S476" i="1"/>
  <c r="T618" i="1"/>
  <c r="T433" i="1"/>
  <c r="S404" i="1"/>
  <c r="S372" i="1"/>
  <c r="S405" i="1"/>
  <c r="S521" i="1"/>
  <c r="R449" i="1"/>
  <c r="R397" i="1"/>
  <c r="R526" i="1"/>
  <c r="S432" i="1"/>
  <c r="R344" i="1"/>
  <c r="R384" i="1"/>
  <c r="S361" i="1"/>
  <c r="S310" i="1"/>
  <c r="S246" i="1"/>
  <c r="R333" i="1"/>
  <c r="S272" i="1"/>
  <c r="S484" i="1"/>
  <c r="T322" i="1"/>
  <c r="T258" i="1"/>
  <c r="T378" i="1"/>
  <c r="S298" i="1"/>
  <c r="S234" i="1"/>
  <c r="R196" i="1"/>
  <c r="T142" i="1"/>
  <c r="T210" i="1"/>
  <c r="R174" i="1"/>
  <c r="R110" i="1"/>
  <c r="T139" i="1"/>
  <c r="S69" i="1"/>
  <c r="T82" i="1"/>
  <c r="R104" i="1"/>
  <c r="S123" i="1"/>
  <c r="T105" i="1"/>
  <c r="R83" i="1"/>
  <c r="T307" i="1"/>
  <c r="R62" i="1"/>
  <c r="R111" i="1"/>
  <c r="R188" i="1"/>
  <c r="R53" i="1"/>
  <c r="R164" i="1"/>
  <c r="R1195" i="1"/>
  <c r="T1150" i="1"/>
  <c r="S1130" i="1"/>
  <c r="S1028" i="1"/>
  <c r="T1008" i="1"/>
  <c r="R948" i="1"/>
  <c r="R934" i="1"/>
  <c r="S933" i="1"/>
  <c r="R939" i="1"/>
  <c r="R742" i="1"/>
  <c r="S786" i="1"/>
  <c r="S634" i="1"/>
  <c r="R682" i="1"/>
  <c r="S709" i="1"/>
  <c r="S646" i="1"/>
  <c r="T647" i="1"/>
  <c r="S591" i="1"/>
  <c r="T678" i="1"/>
  <c r="R619" i="1"/>
  <c r="T655" i="1"/>
  <c r="S589" i="1"/>
  <c r="R508" i="1"/>
  <c r="S620" i="1"/>
  <c r="T663" i="1"/>
  <c r="S535" i="1"/>
  <c r="S533" i="1"/>
  <c r="T467" i="1"/>
  <c r="T508" i="1"/>
  <c r="R467" i="1"/>
  <c r="T469" i="1"/>
  <c r="T431" i="1"/>
  <c r="T397" i="1"/>
  <c r="T365" i="1"/>
  <c r="S397" i="1"/>
  <c r="R517" i="1"/>
  <c r="R444" i="1"/>
  <c r="R389" i="1"/>
  <c r="T518" i="1"/>
  <c r="T430" i="1"/>
  <c r="R432" i="1"/>
  <c r="R368" i="1"/>
  <c r="T349" i="1"/>
  <c r="S302" i="1"/>
  <c r="S238" i="1"/>
  <c r="S328" i="1"/>
  <c r="S264" i="1"/>
  <c r="S430" i="1"/>
  <c r="T314" i="1"/>
  <c r="T250" i="1"/>
  <c r="S353" i="1"/>
  <c r="S290" i="1"/>
  <c r="S226" i="1"/>
  <c r="R193" i="1"/>
  <c r="T134" i="1"/>
  <c r="S118" i="1"/>
  <c r="R166" i="1"/>
  <c r="R102" i="1"/>
  <c r="T131" i="1"/>
  <c r="S3" i="1"/>
  <c r="T97" i="1"/>
  <c r="S108" i="1"/>
  <c r="S146" i="1"/>
  <c r="S225" i="1"/>
  <c r="S22" i="1"/>
  <c r="S124" i="1"/>
  <c r="S1155" i="1"/>
  <c r="T988" i="1"/>
  <c r="R900" i="1"/>
  <c r="S885" i="1"/>
  <c r="T734" i="1"/>
  <c r="T689" i="1"/>
  <c r="R658" i="1"/>
  <c r="S581" i="1"/>
  <c r="S527" i="1"/>
  <c r="T517" i="1"/>
  <c r="T446" i="1"/>
  <c r="T405" i="1"/>
  <c r="S381" i="1"/>
  <c r="R381" i="1"/>
  <c r="S356" i="1"/>
  <c r="S340" i="1"/>
  <c r="S320" i="1"/>
  <c r="S332" i="1"/>
  <c r="R332" i="1"/>
  <c r="T190" i="1"/>
  <c r="R182" i="1"/>
  <c r="T115" i="1"/>
  <c r="S91" i="1"/>
  <c r="R140" i="1"/>
  <c r="S162" i="1"/>
  <c r="R191" i="1"/>
  <c r="S103" i="1"/>
  <c r="T164" i="1"/>
  <c r="S19" i="1"/>
  <c r="R42" i="1"/>
  <c r="S59" i="1"/>
  <c r="S75" i="1"/>
  <c r="R99" i="1"/>
  <c r="T120" i="1"/>
  <c r="S139" i="1"/>
  <c r="S165" i="1"/>
  <c r="S184" i="1"/>
  <c r="R33" i="1"/>
  <c r="R57" i="1"/>
  <c r="R78" i="1"/>
  <c r="S93" i="1"/>
  <c r="T101" i="1"/>
  <c r="T119" i="1"/>
  <c r="S160" i="1"/>
  <c r="R178" i="1"/>
  <c r="S206" i="1"/>
  <c r="S132" i="1"/>
  <c r="R172" i="1"/>
  <c r="R234" i="1"/>
  <c r="T283" i="1"/>
  <c r="R298" i="1"/>
  <c r="T228" i="1"/>
  <c r="S265" i="1"/>
  <c r="T303" i="1"/>
  <c r="R210" i="1"/>
  <c r="T219" i="1"/>
  <c r="T259" i="1"/>
  <c r="R274" i="1"/>
  <c r="T323" i="1"/>
  <c r="R204" i="1"/>
  <c r="R223" i="1"/>
  <c r="T230" i="1"/>
  <c r="R253" i="1"/>
  <c r="T273" i="1"/>
  <c r="R305" i="1"/>
  <c r="R215" i="1"/>
  <c r="R267" i="1"/>
  <c r="T331" i="1"/>
  <c r="T214" i="1"/>
  <c r="R255" i="1"/>
  <c r="S261" i="1"/>
  <c r="T264" i="1"/>
  <c r="T276" i="1"/>
  <c r="S313" i="1"/>
  <c r="S339" i="1"/>
  <c r="S366" i="1"/>
  <c r="T372" i="1"/>
  <c r="R414" i="1"/>
  <c r="R224" i="1"/>
  <c r="R288" i="1"/>
  <c r="T363" i="1"/>
  <c r="S429" i="1"/>
  <c r="T434" i="1"/>
  <c r="T510" i="1"/>
  <c r="R605" i="1"/>
  <c r="R230" i="1"/>
  <c r="R246" i="1"/>
  <c r="R262" i="1"/>
  <c r="R278" i="1"/>
  <c r="R294" i="1"/>
  <c r="R124" i="1"/>
  <c r="S173" i="1"/>
  <c r="S186" i="1"/>
  <c r="T1148" i="1"/>
  <c r="S983" i="1"/>
  <c r="T806" i="1"/>
  <c r="T729" i="1"/>
  <c r="S695" i="1"/>
  <c r="S635" i="1"/>
  <c r="T639" i="1"/>
  <c r="S573" i="1"/>
  <c r="S651" i="1"/>
  <c r="T483" i="1"/>
  <c r="S437" i="1"/>
  <c r="S396" i="1"/>
  <c r="S524" i="1"/>
  <c r="R373" i="1"/>
  <c r="S345" i="1"/>
  <c r="S318" i="1"/>
  <c r="S312" i="1"/>
  <c r="T306" i="1"/>
  <c r="S306" i="1"/>
  <c r="T182" i="1"/>
  <c r="R158" i="1"/>
  <c r="S61" i="1"/>
  <c r="T109" i="1"/>
  <c r="R163" i="1"/>
  <c r="T197" i="1"/>
  <c r="T221" i="1"/>
  <c r="R19" i="1"/>
  <c r="R59" i="1"/>
  <c r="R75" i="1"/>
  <c r="R103" i="1"/>
  <c r="T138" i="1"/>
  <c r="T149" i="1"/>
  <c r="T167" i="1"/>
  <c r="S189" i="1"/>
  <c r="S43" i="1"/>
  <c r="T79" i="1"/>
  <c r="S100" i="1"/>
  <c r="S120" i="1"/>
  <c r="T140" i="1"/>
  <c r="S166" i="1"/>
  <c r="R184" i="1"/>
  <c r="S34" i="1"/>
  <c r="S58" i="1"/>
  <c r="R93" i="1"/>
  <c r="S119" i="1"/>
  <c r="R160" i="1"/>
  <c r="S179" i="1"/>
  <c r="T89" i="1"/>
  <c r="R98" i="1"/>
  <c r="S117" i="1"/>
  <c r="T136" i="1"/>
  <c r="T202" i="1"/>
  <c r="T233" i="1"/>
  <c r="R265" i="1"/>
  <c r="S303" i="1"/>
  <c r="T309" i="1"/>
  <c r="T318" i="1"/>
  <c r="T220" i="1"/>
  <c r="T224" i="1"/>
  <c r="T236" i="1"/>
  <c r="S273" i="1"/>
  <c r="T311" i="1"/>
  <c r="R125" i="1"/>
  <c r="R149" i="1"/>
  <c r="R173" i="1"/>
  <c r="T196" i="1"/>
  <c r="T216" i="1"/>
  <c r="T267" i="1"/>
  <c r="R282" i="1"/>
  <c r="R331" i="1"/>
  <c r="R202" i="1"/>
  <c r="R214" i="1"/>
  <c r="T229" i="1"/>
  <c r="T238" i="1"/>
  <c r="R261" i="1"/>
  <c r="T281" i="1"/>
  <c r="R313" i="1"/>
  <c r="R366" i="1"/>
  <c r="T376" i="1"/>
  <c r="T398" i="1"/>
  <c r="R543" i="1"/>
  <c r="R248" i="1"/>
  <c r="T354" i="1"/>
  <c r="S363" i="1"/>
  <c r="R429" i="1"/>
  <c r="S434" i="1"/>
  <c r="S510" i="1"/>
  <c r="S48" i="1"/>
  <c r="T65" i="1"/>
  <c r="S176" i="1"/>
  <c r="R1078" i="1"/>
  <c r="S1007" i="1"/>
  <c r="T790" i="1"/>
  <c r="R793" i="1"/>
  <c r="R833" i="1"/>
  <c r="S627" i="1"/>
  <c r="S662" i="1"/>
  <c r="S571" i="1"/>
  <c r="S557" i="1"/>
  <c r="R623" i="1"/>
  <c r="S436" i="1"/>
  <c r="T389" i="1"/>
  <c r="S508" i="1"/>
  <c r="R570" i="1"/>
  <c r="S342" i="1"/>
  <c r="S294" i="1"/>
  <c r="S280" i="1"/>
  <c r="T298" i="1"/>
  <c r="S282" i="1"/>
  <c r="T150" i="1"/>
  <c r="R150" i="1"/>
  <c r="S149" i="1"/>
  <c r="S164" i="1"/>
  <c r="S197" i="1"/>
  <c r="S221" i="1"/>
  <c r="R43" i="1"/>
  <c r="S138" i="1"/>
  <c r="S167" i="1"/>
  <c r="S190" i="1"/>
  <c r="R26" i="1"/>
  <c r="S101" i="1"/>
  <c r="R120" i="1"/>
  <c r="T143" i="1"/>
  <c r="R9" i="1"/>
  <c r="R49" i="1"/>
  <c r="T95" i="1"/>
  <c r="R119" i="1"/>
  <c r="T180" i="1"/>
  <c r="S208" i="1"/>
  <c r="S89" i="1"/>
  <c r="S136" i="1"/>
  <c r="R154" i="1"/>
  <c r="T177" i="1"/>
  <c r="S251" i="1"/>
  <c r="S315" i="1"/>
  <c r="S233" i="1"/>
  <c r="T271" i="1"/>
  <c r="R303" i="1"/>
  <c r="S309" i="1"/>
  <c r="T312" i="1"/>
  <c r="T324" i="1"/>
  <c r="S220" i="1"/>
  <c r="S227" i="1"/>
  <c r="S291" i="1"/>
  <c r="R194" i="1"/>
  <c r="R207" i="1"/>
  <c r="T241" i="1"/>
  <c r="R273" i="1"/>
  <c r="S311" i="1"/>
  <c r="T317" i="1"/>
  <c r="T326" i="1"/>
  <c r="T207" i="1"/>
  <c r="T217" i="1"/>
  <c r="T223" i="1"/>
  <c r="T194" i="1"/>
  <c r="T222" i="1"/>
  <c r="S229" i="1"/>
  <c r="T232" i="1"/>
  <c r="T244" i="1"/>
  <c r="S281" i="1"/>
  <c r="T319" i="1"/>
  <c r="S398" i="1"/>
  <c r="T404" i="1"/>
  <c r="T471" i="1"/>
  <c r="T552" i="1"/>
  <c r="R272" i="1"/>
  <c r="R312" i="1"/>
  <c r="R328" i="1"/>
  <c r="T371" i="1"/>
  <c r="T364" i="1"/>
  <c r="R510" i="1"/>
  <c r="T30" i="1"/>
  <c r="S32" i="1"/>
  <c r="S157" i="1"/>
  <c r="S199" i="1"/>
  <c r="S257" i="1"/>
  <c r="S147" i="1"/>
  <c r="S1190" i="1"/>
  <c r="T1088" i="1"/>
  <c r="S904" i="1"/>
  <c r="S822" i="1"/>
  <c r="R786" i="1"/>
  <c r="T795" i="1"/>
  <c r="S607" i="1"/>
  <c r="R650" i="1"/>
  <c r="R500" i="1"/>
  <c r="S549" i="1"/>
  <c r="S587" i="1"/>
  <c r="S460" i="1"/>
  <c r="T373" i="1"/>
  <c r="R499" i="1"/>
  <c r="S500" i="1"/>
  <c r="R400" i="1"/>
  <c r="S286" i="1"/>
  <c r="S256" i="1"/>
  <c r="T266" i="1"/>
  <c r="S274" i="1"/>
  <c r="T126" i="1"/>
  <c r="R118" i="1"/>
  <c r="R122" i="1"/>
  <c r="S150" i="1"/>
  <c r="T168" i="1"/>
  <c r="R186" i="1"/>
  <c r="R197" i="1"/>
  <c r="S203" i="1"/>
  <c r="S222" i="1"/>
  <c r="R116" i="1"/>
  <c r="R139" i="1"/>
  <c r="R167" i="1"/>
  <c r="T198" i="1"/>
  <c r="R209" i="1"/>
  <c r="S27" i="1"/>
  <c r="R50" i="1"/>
  <c r="R66" i="1"/>
  <c r="S82" i="1"/>
  <c r="S143" i="1"/>
  <c r="T178" i="1"/>
  <c r="T189" i="1"/>
  <c r="R208" i="1"/>
  <c r="S10" i="1"/>
  <c r="R25" i="1"/>
  <c r="S50" i="1"/>
  <c r="S84" i="1"/>
  <c r="R95" i="1"/>
  <c r="T154" i="1"/>
  <c r="T165" i="1"/>
  <c r="T183" i="1"/>
  <c r="T93" i="1"/>
  <c r="R136" i="1"/>
  <c r="S155" i="1"/>
  <c r="S177" i="1"/>
  <c r="R251" i="1"/>
  <c r="R315" i="1"/>
  <c r="R233" i="1"/>
  <c r="S271" i="1"/>
  <c r="T277" i="1"/>
  <c r="T286" i="1"/>
  <c r="R309" i="1"/>
  <c r="T329" i="1"/>
  <c r="S207" i="1"/>
  <c r="R220" i="1"/>
  <c r="R227" i="1"/>
  <c r="R291" i="1"/>
  <c r="S241" i="1"/>
  <c r="T279" i="1"/>
  <c r="R311" i="1"/>
  <c r="S317" i="1"/>
  <c r="T320" i="1"/>
  <c r="R101" i="1"/>
  <c r="R181" i="1"/>
  <c r="R218" i="1"/>
  <c r="S235" i="1"/>
  <c r="S299" i="1"/>
  <c r="R229" i="1"/>
  <c r="T249" i="1"/>
  <c r="R281" i="1"/>
  <c r="S319" i="1"/>
  <c r="T325" i="1"/>
  <c r="T352" i="1"/>
  <c r="R398" i="1"/>
  <c r="T408" i="1"/>
  <c r="S471" i="1"/>
  <c r="S552" i="1"/>
  <c r="R232" i="1"/>
  <c r="R296" i="1"/>
  <c r="S371" i="1"/>
  <c r="T387" i="1"/>
  <c r="R369" i="1"/>
  <c r="R385" i="1"/>
  <c r="R401" i="1"/>
  <c r="S413" i="1"/>
  <c r="T442" i="1"/>
  <c r="S350" i="1"/>
  <c r="S24" i="1"/>
  <c r="T88" i="1"/>
  <c r="S64" i="1"/>
  <c r="R258" i="1"/>
  <c r="R38" i="1"/>
  <c r="R335" i="1"/>
  <c r="R1171" i="1"/>
  <c r="S1163" i="1"/>
  <c r="S888" i="1"/>
  <c r="R854" i="1"/>
  <c r="S749" i="1"/>
  <c r="S765" i="1"/>
  <c r="S583" i="1"/>
  <c r="T631" i="1"/>
  <c r="R492" i="1"/>
  <c r="T612" i="1"/>
  <c r="S526" i="1"/>
  <c r="T459" i="1"/>
  <c r="S579" i="1"/>
  <c r="S450" i="1"/>
  <c r="R491" i="1"/>
  <c r="R360" i="1"/>
  <c r="S254" i="1"/>
  <c r="S248" i="1"/>
  <c r="T242" i="1"/>
  <c r="S242" i="1"/>
  <c r="T118" i="1"/>
  <c r="T187" i="1"/>
  <c r="T87" i="1"/>
  <c r="T124" i="1"/>
  <c r="S168" i="1"/>
  <c r="S187" i="1"/>
  <c r="T203" i="1"/>
  <c r="R27" i="1"/>
  <c r="S79" i="1"/>
  <c r="S140" i="1"/>
  <c r="S51" i="1"/>
  <c r="S67" i="1"/>
  <c r="R84" i="1"/>
  <c r="T114" i="1"/>
  <c r="T125" i="1"/>
  <c r="R143" i="1"/>
  <c r="R156" i="1"/>
  <c r="S178" i="1"/>
  <c r="S214" i="1"/>
  <c r="R10" i="1"/>
  <c r="S26" i="1"/>
  <c r="R73" i="1"/>
  <c r="T98" i="1"/>
  <c r="S154" i="1"/>
  <c r="S183" i="1"/>
  <c r="S196" i="1"/>
  <c r="R94" i="1"/>
  <c r="T156" i="1"/>
  <c r="R177" i="1"/>
  <c r="T251" i="1"/>
  <c r="R266" i="1"/>
  <c r="T315" i="1"/>
  <c r="T239" i="1"/>
  <c r="R271" i="1"/>
  <c r="S277" i="1"/>
  <c r="T280" i="1"/>
  <c r="T292" i="1"/>
  <c r="S329" i="1"/>
  <c r="T227" i="1"/>
  <c r="R242" i="1"/>
  <c r="T291" i="1"/>
  <c r="R306" i="1"/>
  <c r="S215" i="1"/>
  <c r="R241" i="1"/>
  <c r="S279" i="1"/>
  <c r="T285" i="1"/>
  <c r="T294" i="1"/>
  <c r="R317" i="1"/>
  <c r="R133" i="1"/>
  <c r="R157" i="1"/>
  <c r="S211" i="1"/>
  <c r="R235" i="1"/>
  <c r="R299" i="1"/>
  <c r="T208" i="1"/>
  <c r="S249" i="1"/>
  <c r="T287" i="1"/>
  <c r="R319" i="1"/>
  <c r="S325" i="1"/>
  <c r="T328" i="1"/>
  <c r="S354" i="1"/>
  <c r="T382" i="1"/>
  <c r="R471" i="1"/>
  <c r="R552" i="1"/>
  <c r="R256" i="1"/>
  <c r="R371" i="1"/>
  <c r="S387" i="1"/>
  <c r="T403" i="1"/>
  <c r="T351" i="1"/>
  <c r="T369" i="1"/>
  <c r="T385" i="1"/>
  <c r="T401" i="1"/>
  <c r="R417" i="1"/>
  <c r="T455" i="1"/>
  <c r="R222" i="1"/>
  <c r="R238" i="1"/>
  <c r="R254" i="1"/>
  <c r="R270" i="1"/>
  <c r="R286" i="1"/>
  <c r="S193" i="1"/>
  <c r="R70" i="1"/>
  <c r="R1163" i="1"/>
  <c r="T1033" i="1"/>
  <c r="S894" i="1"/>
  <c r="R838" i="1"/>
  <c r="S818" i="1"/>
  <c r="S683" i="1"/>
  <c r="S575" i="1"/>
  <c r="S643" i="1"/>
  <c r="R460" i="1"/>
  <c r="S595" i="1"/>
  <c r="T500" i="1"/>
  <c r="R436" i="1"/>
  <c r="R507" i="1"/>
  <c r="R435" i="1"/>
  <c r="R483" i="1"/>
  <c r="S348" i="1"/>
  <c r="S230" i="1"/>
  <c r="T493" i="1"/>
  <c r="T234" i="1"/>
  <c r="S218" i="1"/>
  <c r="T86" i="1"/>
  <c r="T179" i="1"/>
  <c r="T127" i="1"/>
  <c r="R168" i="1"/>
  <c r="T188" i="1"/>
  <c r="S198" i="1"/>
  <c r="R203" i="1"/>
  <c r="R51" i="1"/>
  <c r="R67" i="1"/>
  <c r="R82" i="1"/>
  <c r="T99" i="1"/>
  <c r="S125" i="1"/>
  <c r="T144" i="1"/>
  <c r="R221" i="1"/>
  <c r="R34" i="1"/>
  <c r="S114" i="1"/>
  <c r="T161" i="1"/>
  <c r="R179" i="1"/>
  <c r="S11" i="1"/>
  <c r="R41" i="1"/>
  <c r="S74" i="1"/>
  <c r="S98" i="1"/>
  <c r="R114" i="1"/>
  <c r="R132" i="1"/>
  <c r="R155" i="1"/>
  <c r="R183" i="1"/>
  <c r="T206" i="1"/>
  <c r="S95" i="1"/>
  <c r="T130" i="1"/>
  <c r="T141" i="1"/>
  <c r="T159" i="1"/>
  <c r="S181" i="1"/>
  <c r="S195" i="1"/>
  <c r="S239" i="1"/>
  <c r="T245" i="1"/>
  <c r="T254" i="1"/>
  <c r="R277" i="1"/>
  <c r="T297" i="1"/>
  <c r="R329" i="1"/>
  <c r="S217" i="1"/>
  <c r="T247" i="1"/>
  <c r="R279" i="1"/>
  <c r="S285" i="1"/>
  <c r="T288" i="1"/>
  <c r="T300" i="1"/>
  <c r="R109" i="1"/>
  <c r="R189" i="1"/>
  <c r="R211" i="1"/>
  <c r="T235" i="1"/>
  <c r="R250" i="1"/>
  <c r="T299" i="1"/>
  <c r="R314" i="1"/>
  <c r="R198" i="1"/>
  <c r="R249" i="1"/>
  <c r="S287" i="1"/>
  <c r="T293" i="1"/>
  <c r="T302" i="1"/>
  <c r="R325" i="1"/>
  <c r="R354" i="1"/>
  <c r="S382" i="1"/>
  <c r="T388" i="1"/>
  <c r="R280" i="1"/>
  <c r="R387" i="1"/>
  <c r="S403" i="1"/>
  <c r="T419" i="1"/>
  <c r="S351" i="1"/>
  <c r="T417" i="1"/>
  <c r="S455" i="1"/>
  <c r="R1194" i="1"/>
  <c r="T750" i="1"/>
  <c r="T580" i="1"/>
  <c r="S433" i="1"/>
  <c r="R532" i="1"/>
  <c r="S110" i="1"/>
  <c r="T162" i="1"/>
  <c r="R11" i="1"/>
  <c r="R100" i="1"/>
  <c r="S163" i="1"/>
  <c r="S116" i="1"/>
  <c r="S115" i="1"/>
  <c r="R108" i="1"/>
  <c r="S297" i="1"/>
  <c r="S201" i="1"/>
  <c r="S219" i="1"/>
  <c r="T204" i="1"/>
  <c r="S247" i="1"/>
  <c r="S331" i="1"/>
  <c r="R293" i="1"/>
  <c r="T392" i="1"/>
  <c r="T414" i="1"/>
  <c r="T336" i="1"/>
  <c r="R349" i="1"/>
  <c r="S370" i="1"/>
  <c r="S375" i="1"/>
  <c r="S402" i="1"/>
  <c r="S407" i="1"/>
  <c r="T406" i="1"/>
  <c r="R422" i="1"/>
  <c r="T501" i="1"/>
  <c r="R236" i="1"/>
  <c r="R252" i="1"/>
  <c r="R268" i="1"/>
  <c r="R284" i="1"/>
  <c r="R300" i="1"/>
  <c r="R316" i="1"/>
  <c r="R334" i="1"/>
  <c r="R347" i="1"/>
  <c r="S428" i="1"/>
  <c r="S284" i="1"/>
  <c r="T358" i="1"/>
  <c r="T377" i="1"/>
  <c r="T393" i="1"/>
  <c r="R409" i="1"/>
  <c r="S421" i="1"/>
  <c r="T427" i="1"/>
  <c r="T353" i="1"/>
  <c r="S378" i="1"/>
  <c r="S383" i="1"/>
  <c r="S410" i="1"/>
  <c r="S415" i="1"/>
  <c r="R443" i="1"/>
  <c r="S513" i="1"/>
  <c r="S344" i="1"/>
  <c r="R438" i="1"/>
  <c r="S466" i="1"/>
  <c r="T479" i="1"/>
  <c r="S449" i="1"/>
  <c r="S454" i="1"/>
  <c r="T462" i="1"/>
  <c r="R521" i="1"/>
  <c r="S431" i="1"/>
  <c r="S473" i="1"/>
  <c r="T482" i="1"/>
  <c r="S516" i="1"/>
  <c r="R431" i="1"/>
  <c r="T460" i="1"/>
  <c r="R469" i="1"/>
  <c r="T478" i="1"/>
  <c r="R486" i="1"/>
  <c r="T489" i="1"/>
  <c r="S578" i="1"/>
  <c r="T445" i="1"/>
  <c r="S485" i="1"/>
  <c r="R515" i="1"/>
  <c r="R502" i="1"/>
  <c r="R533" i="1"/>
  <c r="T586" i="1"/>
  <c r="S608" i="1"/>
  <c r="S626" i="1"/>
  <c r="R549" i="1"/>
  <c r="S560" i="1"/>
  <c r="R667" i="1"/>
  <c r="R488" i="1"/>
  <c r="S564" i="1"/>
  <c r="R1162" i="1"/>
  <c r="T742" i="1"/>
  <c r="S563" i="1"/>
  <c r="S389" i="1"/>
  <c r="T339" i="1"/>
  <c r="S102" i="1"/>
  <c r="T103" i="1"/>
  <c r="R180" i="1"/>
  <c r="S2" i="1"/>
  <c r="T116" i="1"/>
  <c r="S141" i="1"/>
  <c r="R86" i="1"/>
  <c r="S130" i="1"/>
  <c r="S245" i="1"/>
  <c r="R297" i="1"/>
  <c r="R219" i="1"/>
  <c r="S259" i="1"/>
  <c r="R247" i="1"/>
  <c r="S194" i="1"/>
  <c r="T200" i="1"/>
  <c r="T308" i="1"/>
  <c r="S414" i="1"/>
  <c r="T429" i="1"/>
  <c r="R310" i="1"/>
  <c r="R326" i="1"/>
  <c r="S336" i="1"/>
  <c r="R375" i="1"/>
  <c r="R407" i="1"/>
  <c r="T368" i="1"/>
  <c r="S406" i="1"/>
  <c r="T412" i="1"/>
  <c r="R337" i="1"/>
  <c r="R428" i="1"/>
  <c r="T488" i="1"/>
  <c r="S244" i="1"/>
  <c r="S308" i="1"/>
  <c r="S358" i="1"/>
  <c r="T409" i="1"/>
  <c r="T332" i="1"/>
  <c r="R355" i="1"/>
  <c r="R383" i="1"/>
  <c r="R415" i="1"/>
  <c r="R513" i="1"/>
  <c r="S368" i="1"/>
  <c r="S384" i="1"/>
  <c r="S400" i="1"/>
  <c r="S416" i="1"/>
  <c r="S451" i="1"/>
  <c r="R466" i="1"/>
  <c r="S479" i="1"/>
  <c r="T450" i="1"/>
  <c r="R454" i="1"/>
  <c r="S462" i="1"/>
  <c r="T504" i="1"/>
  <c r="R473" i="1"/>
  <c r="S482" i="1"/>
  <c r="R516" i="1"/>
  <c r="R356" i="1"/>
  <c r="R388" i="1"/>
  <c r="T461" i="1"/>
  <c r="S478" i="1"/>
  <c r="S566" i="1"/>
  <c r="S489" i="1"/>
  <c r="T498" i="1"/>
  <c r="T523" i="1"/>
  <c r="R578" i="1"/>
  <c r="R394" i="1"/>
  <c r="S446" i="1"/>
  <c r="T472" i="1"/>
  <c r="R485" i="1"/>
  <c r="T494" i="1"/>
  <c r="R430" i="1"/>
  <c r="T505" i="1"/>
  <c r="S528" i="1"/>
  <c r="T533" i="1"/>
  <c r="S586" i="1"/>
  <c r="R608" i="1"/>
  <c r="R626" i="1"/>
  <c r="R551" i="1"/>
  <c r="R560" i="1"/>
  <c r="T591" i="1"/>
  <c r="T616" i="1"/>
  <c r="R564" i="1"/>
  <c r="R590" i="1"/>
  <c r="T611" i="1"/>
  <c r="T42" i="1"/>
  <c r="R87" i="1"/>
  <c r="S1018" i="1"/>
  <c r="R634" i="1"/>
  <c r="S539" i="1"/>
  <c r="R433" i="1"/>
  <c r="R408" i="1"/>
  <c r="T147" i="1"/>
  <c r="S104" i="1"/>
  <c r="T173" i="1"/>
  <c r="S35" i="1"/>
  <c r="T3" i="1"/>
  <c r="S142" i="1"/>
  <c r="S96" i="1"/>
  <c r="R131" i="1"/>
  <c r="R245" i="1"/>
  <c r="R259" i="1"/>
  <c r="R217" i="1"/>
  <c r="T256" i="1"/>
  <c r="T261" i="1"/>
  <c r="T270" i="1"/>
  <c r="T313" i="1"/>
  <c r="R403" i="1"/>
  <c r="T350" i="1"/>
  <c r="T423" i="1"/>
  <c r="T347" i="1"/>
  <c r="T390" i="1"/>
  <c r="R406" i="1"/>
  <c r="T379" i="1"/>
  <c r="S268" i="1"/>
  <c r="R330" i="1"/>
  <c r="R358" i="1"/>
  <c r="R479" i="1"/>
  <c r="S509" i="1"/>
  <c r="S518" i="1"/>
  <c r="T438" i="1"/>
  <c r="R450" i="1"/>
  <c r="R462" i="1"/>
  <c r="T465" i="1"/>
  <c r="T509" i="1"/>
  <c r="T521" i="1"/>
  <c r="S604" i="1"/>
  <c r="T439" i="1"/>
  <c r="R482" i="1"/>
  <c r="T495" i="1"/>
  <c r="R420" i="1"/>
  <c r="T436" i="1"/>
  <c r="R478" i="1"/>
  <c r="T481" i="1"/>
  <c r="R566" i="1"/>
  <c r="R489" i="1"/>
  <c r="S498" i="1"/>
  <c r="T511" i="1"/>
  <c r="S523" i="1"/>
  <c r="T600" i="1"/>
  <c r="T662" i="1"/>
  <c r="R446" i="1"/>
  <c r="T477" i="1"/>
  <c r="S494" i="1"/>
  <c r="S505" i="1"/>
  <c r="T514" i="1"/>
  <c r="T528" i="1"/>
  <c r="T538" i="1"/>
  <c r="T595" i="1"/>
  <c r="S612" i="1"/>
  <c r="T561" i="1"/>
  <c r="T594" i="1"/>
  <c r="S616" i="1"/>
  <c r="R464" i="1"/>
  <c r="R496" i="1"/>
  <c r="T536" i="1"/>
  <c r="T1027" i="1"/>
  <c r="T551" i="1"/>
  <c r="T526" i="1"/>
  <c r="R405" i="1"/>
  <c r="R392" i="1"/>
  <c r="T123" i="1"/>
  <c r="T209" i="1"/>
  <c r="S144" i="1"/>
  <c r="R138" i="1"/>
  <c r="R17" i="1"/>
  <c r="S156" i="1"/>
  <c r="R206" i="1"/>
  <c r="R96" i="1"/>
  <c r="S182" i="1"/>
  <c r="T195" i="1"/>
  <c r="T260" i="1"/>
  <c r="S323" i="1"/>
  <c r="S223" i="1"/>
  <c r="R285" i="1"/>
  <c r="R117" i="1"/>
  <c r="S204" i="1"/>
  <c r="R287" i="1"/>
  <c r="R216" i="1"/>
  <c r="R304" i="1"/>
  <c r="R339" i="1"/>
  <c r="R442" i="1"/>
  <c r="T519" i="1"/>
  <c r="R350" i="1"/>
  <c r="S385" i="1"/>
  <c r="T391" i="1"/>
  <c r="S417" i="1"/>
  <c r="S423" i="1"/>
  <c r="S347" i="1"/>
  <c r="S390" i="1"/>
  <c r="T396" i="1"/>
  <c r="T416" i="1"/>
  <c r="T341" i="1"/>
  <c r="T362" i="1"/>
  <c r="S379" i="1"/>
  <c r="T395" i="1"/>
  <c r="S228" i="1"/>
  <c r="S292" i="1"/>
  <c r="S343" i="1"/>
  <c r="T334" i="1"/>
  <c r="T343" i="1"/>
  <c r="T367" i="1"/>
  <c r="S393" i="1"/>
  <c r="T399" i="1"/>
  <c r="T425" i="1"/>
  <c r="S522" i="1"/>
  <c r="S352" i="1"/>
  <c r="S491" i="1"/>
  <c r="R509" i="1"/>
  <c r="R518" i="1"/>
  <c r="T452" i="1"/>
  <c r="S465" i="1"/>
  <c r="T474" i="1"/>
  <c r="R524" i="1"/>
  <c r="R604" i="1"/>
  <c r="S439" i="1"/>
  <c r="S459" i="1"/>
  <c r="S495" i="1"/>
  <c r="R364" i="1"/>
  <c r="R396" i="1"/>
  <c r="S481" i="1"/>
  <c r="T490" i="1"/>
  <c r="T566" i="1"/>
  <c r="T448" i="1"/>
  <c r="R498" i="1"/>
  <c r="S511" i="1"/>
  <c r="R523" i="1"/>
  <c r="S600" i="1"/>
  <c r="R370" i="1"/>
  <c r="R402" i="1"/>
  <c r="R494" i="1"/>
  <c r="T553" i="1"/>
  <c r="T432" i="1"/>
  <c r="T456" i="1"/>
  <c r="T463" i="1"/>
  <c r="R505" i="1"/>
  <c r="S538" i="1"/>
  <c r="S548" i="1"/>
  <c r="S574" i="1"/>
  <c r="R612" i="1"/>
  <c r="S561" i="1"/>
  <c r="S594" i="1"/>
  <c r="R616" i="1"/>
  <c r="T661" i="1"/>
  <c r="T569" i="1"/>
  <c r="R910" i="1"/>
  <c r="S543" i="1"/>
  <c r="T492" i="1"/>
  <c r="T424" i="1"/>
  <c r="T394" i="1"/>
  <c r="T191" i="1"/>
  <c r="S209" i="1"/>
  <c r="R144" i="1"/>
  <c r="R74" i="1"/>
  <c r="S18" i="1"/>
  <c r="R65" i="1"/>
  <c r="T92" i="1"/>
  <c r="T160" i="1"/>
  <c r="R195" i="1"/>
  <c r="S283" i="1"/>
  <c r="T265" i="1"/>
  <c r="R323" i="1"/>
  <c r="T305" i="1"/>
  <c r="R141" i="1"/>
  <c r="S205" i="1"/>
  <c r="T255" i="1"/>
  <c r="T296" i="1"/>
  <c r="R382" i="1"/>
  <c r="R264" i="1"/>
  <c r="S442" i="1"/>
  <c r="T587" i="1"/>
  <c r="T340" i="1"/>
  <c r="R361" i="1"/>
  <c r="S386" i="1"/>
  <c r="S391" i="1"/>
  <c r="S418" i="1"/>
  <c r="R423" i="1"/>
  <c r="T348" i="1"/>
  <c r="T374" i="1"/>
  <c r="R390" i="1"/>
  <c r="R228" i="1"/>
  <c r="R244" i="1"/>
  <c r="R260" i="1"/>
  <c r="R276" i="1"/>
  <c r="R292" i="1"/>
  <c r="R308" i="1"/>
  <c r="R324" i="1"/>
  <c r="T342" i="1"/>
  <c r="R379" i="1"/>
  <c r="S395" i="1"/>
  <c r="T411" i="1"/>
  <c r="S252" i="1"/>
  <c r="S316" i="1"/>
  <c r="R343" i="1"/>
  <c r="T355" i="1"/>
  <c r="T359" i="1"/>
  <c r="T346" i="1"/>
  <c r="S367" i="1"/>
  <c r="S394" i="1"/>
  <c r="S399" i="1"/>
  <c r="T522" i="1"/>
  <c r="T496" i="1"/>
  <c r="R426" i="1"/>
  <c r="S453" i="1"/>
  <c r="R465" i="1"/>
  <c r="S474" i="1"/>
  <c r="T487" i="1"/>
  <c r="T531" i="1"/>
  <c r="T604" i="1"/>
  <c r="R439" i="1"/>
  <c r="S461" i="1"/>
  <c r="R495" i="1"/>
  <c r="T525" i="1"/>
  <c r="R440" i="1"/>
  <c r="T457" i="1"/>
  <c r="R481" i="1"/>
  <c r="S490" i="1"/>
  <c r="T503" i="1"/>
  <c r="R541" i="1"/>
  <c r="S448" i="1"/>
  <c r="R511" i="1"/>
  <c r="R600" i="1"/>
  <c r="R437" i="1"/>
  <c r="T447" i="1"/>
  <c r="T497" i="1"/>
  <c r="S553" i="1"/>
  <c r="S456" i="1"/>
  <c r="S463" i="1"/>
  <c r="R528" i="1"/>
  <c r="T539" i="1"/>
  <c r="S550" i="1"/>
  <c r="R574" i="1"/>
  <c r="R613" i="1"/>
  <c r="R561" i="1"/>
  <c r="T603" i="1"/>
  <c r="S661" i="1"/>
  <c r="R472" i="1"/>
  <c r="R504" i="1"/>
  <c r="T546" i="1"/>
  <c r="S569" i="1"/>
  <c r="R594" i="1"/>
  <c r="R902" i="1"/>
  <c r="S670" i="1"/>
  <c r="T485" i="1"/>
  <c r="R514" i="1"/>
  <c r="S338" i="1"/>
  <c r="S127" i="1"/>
  <c r="S191" i="1"/>
  <c r="S126" i="1"/>
  <c r="S161" i="1"/>
  <c r="S66" i="1"/>
  <c r="S99" i="1"/>
  <c r="R283" i="1"/>
  <c r="R239" i="1"/>
  <c r="T253" i="1"/>
  <c r="S305" i="1"/>
  <c r="T213" i="1"/>
  <c r="S255" i="1"/>
  <c r="T366" i="1"/>
  <c r="R351" i="1"/>
  <c r="R434" i="1"/>
  <c r="R318" i="1"/>
  <c r="R340" i="1"/>
  <c r="T361" i="1"/>
  <c r="R391" i="1"/>
  <c r="T360" i="1"/>
  <c r="S374" i="1"/>
  <c r="T380" i="1"/>
  <c r="T400" i="1"/>
  <c r="S501" i="1"/>
  <c r="R342" i="1"/>
  <c r="R395" i="1"/>
  <c r="S411" i="1"/>
  <c r="S276" i="1"/>
  <c r="T344" i="1"/>
  <c r="S355" i="1"/>
  <c r="S359" i="1"/>
  <c r="R338" i="1"/>
  <c r="R367" i="1"/>
  <c r="R399" i="1"/>
  <c r="R522" i="1"/>
  <c r="S376" i="1"/>
  <c r="S392" i="1"/>
  <c r="S408" i="1"/>
  <c r="S435" i="1"/>
  <c r="R453" i="1"/>
  <c r="R474" i="1"/>
  <c r="S487" i="1"/>
  <c r="R531" i="1"/>
  <c r="T440" i="1"/>
  <c r="R461" i="1"/>
  <c r="T470" i="1"/>
  <c r="S507" i="1"/>
  <c r="S534" i="1"/>
  <c r="R372" i="1"/>
  <c r="R404" i="1"/>
  <c r="R425" i="1"/>
  <c r="R441" i="1"/>
  <c r="S457" i="1"/>
  <c r="R490" i="1"/>
  <c r="S503" i="1"/>
  <c r="S441" i="1"/>
  <c r="R448" i="1"/>
  <c r="S477" i="1"/>
  <c r="T520" i="1"/>
  <c r="T609" i="1"/>
  <c r="R378" i="1"/>
  <c r="R410" i="1"/>
  <c r="S447" i="1"/>
  <c r="S497" i="1"/>
  <c r="T506" i="1"/>
  <c r="R553" i="1"/>
  <c r="R456" i="1"/>
  <c r="R463" i="1"/>
  <c r="S493" i="1"/>
  <c r="T524" i="1"/>
  <c r="R539" i="1"/>
  <c r="R550" i="1"/>
  <c r="T574" i="1"/>
  <c r="T617" i="1"/>
  <c r="R535" i="1"/>
  <c r="S582" i="1"/>
  <c r="R661" i="1"/>
  <c r="S546" i="1"/>
  <c r="S556" i="1"/>
  <c r="R569" i="1"/>
  <c r="T599" i="1"/>
  <c r="T421" i="1"/>
  <c r="R162" i="1"/>
  <c r="R161" i="1"/>
  <c r="R201" i="1"/>
  <c r="S267" i="1"/>
  <c r="T420" i="1"/>
  <c r="R320" i="1"/>
  <c r="S419" i="1"/>
  <c r="S401" i="1"/>
  <c r="R374" i="1"/>
  <c r="S300" i="1"/>
  <c r="R377" i="1"/>
  <c r="S330" i="1"/>
  <c r="S360" i="1"/>
  <c r="T454" i="1"/>
  <c r="S531" i="1"/>
  <c r="S486" i="1"/>
  <c r="R520" i="1"/>
  <c r="R447" i="1"/>
  <c r="S515" i="1"/>
  <c r="S427" i="1"/>
  <c r="R493" i="1"/>
  <c r="T608" i="1"/>
  <c r="S602" i="1"/>
  <c r="R625" i="1"/>
  <c r="S480" i="1"/>
  <c r="R525" i="1"/>
  <c r="T537" i="1"/>
  <c r="R546" i="1"/>
  <c r="S568" i="1"/>
  <c r="T610" i="1"/>
  <c r="T563" i="1"/>
  <c r="R576" i="1"/>
  <c r="S641" i="1"/>
  <c r="R544" i="1"/>
  <c r="S562" i="1"/>
  <c r="S584" i="1"/>
  <c r="S532" i="1"/>
  <c r="S540" i="1"/>
  <c r="T570" i="1"/>
  <c r="S592" i="1"/>
  <c r="T650" i="1"/>
  <c r="T633" i="1"/>
  <c r="R676" i="1"/>
  <c r="T768" i="1"/>
  <c r="T605" i="1"/>
  <c r="R628" i="1"/>
  <c r="R653" i="1"/>
  <c r="S747" i="1"/>
  <c r="R743" i="1"/>
  <c r="T649" i="1"/>
  <c r="S794" i="1"/>
  <c r="R591" i="1"/>
  <c r="R637" i="1"/>
  <c r="T648" i="1"/>
  <c r="T674" i="1"/>
  <c r="T657" i="1"/>
  <c r="T677" i="1"/>
  <c r="T643" i="1"/>
  <c r="R656" i="1"/>
  <c r="T784" i="1"/>
  <c r="T700" i="1"/>
  <c r="T722" i="1"/>
  <c r="S731" i="1"/>
  <c r="S764" i="1"/>
  <c r="R662" i="1"/>
  <c r="R700" i="1"/>
  <c r="T752" i="1"/>
  <c r="S803" i="1"/>
  <c r="S751" i="1"/>
  <c r="S699" i="1"/>
  <c r="S732" i="1"/>
  <c r="S754" i="1"/>
  <c r="R763" i="1"/>
  <c r="S720" i="1"/>
  <c r="S737" i="1"/>
  <c r="R665" i="1"/>
  <c r="T711" i="1"/>
  <c r="S770" i="1"/>
  <c r="T688" i="1"/>
  <c r="S714" i="1"/>
  <c r="T370" i="1"/>
  <c r="R35" i="1"/>
  <c r="S92" i="1"/>
  <c r="S42" i="1"/>
  <c r="T100" i="1"/>
  <c r="T201" i="1"/>
  <c r="T248" i="1"/>
  <c r="T262" i="1"/>
  <c r="S213" i="1"/>
  <c r="S293" i="1"/>
  <c r="R419" i="1"/>
  <c r="T375" i="1"/>
  <c r="T337" i="1"/>
  <c r="S260" i="1"/>
  <c r="S337" i="1"/>
  <c r="T356" i="1"/>
  <c r="T415" i="1"/>
  <c r="T444" i="1"/>
  <c r="R487" i="1"/>
  <c r="T473" i="1"/>
  <c r="R348" i="1"/>
  <c r="S469" i="1"/>
  <c r="R386" i="1"/>
  <c r="S617" i="1"/>
  <c r="R480" i="1"/>
  <c r="S652" i="1"/>
  <c r="S504" i="1"/>
  <c r="S537" i="1"/>
  <c r="S547" i="1"/>
  <c r="R568" i="1"/>
  <c r="S610" i="1"/>
  <c r="R527" i="1"/>
  <c r="S580" i="1"/>
  <c r="S606" i="1"/>
  <c r="R641" i="1"/>
  <c r="T545" i="1"/>
  <c r="R584" i="1"/>
  <c r="S614" i="1"/>
  <c r="S542" i="1"/>
  <c r="S570" i="1"/>
  <c r="R592" i="1"/>
  <c r="T627" i="1"/>
  <c r="T622" i="1"/>
  <c r="S768" i="1"/>
  <c r="T581" i="1"/>
  <c r="R595" i="1"/>
  <c r="R620" i="1"/>
  <c r="R747" i="1"/>
  <c r="T628" i="1"/>
  <c r="S639" i="1"/>
  <c r="T637" i="1"/>
  <c r="T670" i="1"/>
  <c r="R615" i="1"/>
  <c r="R627" i="1"/>
  <c r="S648" i="1"/>
  <c r="S674" i="1"/>
  <c r="R693" i="1"/>
  <c r="S677" i="1"/>
  <c r="T630" i="1"/>
  <c r="R643" i="1"/>
  <c r="R680" i="1"/>
  <c r="S784" i="1"/>
  <c r="T665" i="1"/>
  <c r="S700" i="1"/>
  <c r="S722" i="1"/>
  <c r="R731" i="1"/>
  <c r="T773" i="1"/>
  <c r="R678" i="1"/>
  <c r="R689" i="1"/>
  <c r="S705" i="1"/>
  <c r="T739" i="1"/>
  <c r="S752" i="1"/>
  <c r="R764" i="1"/>
  <c r="R803" i="1"/>
  <c r="T704" i="1"/>
  <c r="R751" i="1"/>
  <c r="S772" i="1"/>
  <c r="R699" i="1"/>
  <c r="S750" i="1"/>
  <c r="R754" i="1"/>
  <c r="T707" i="1"/>
  <c r="R720" i="1"/>
  <c r="T740" i="1"/>
  <c r="T762" i="1"/>
  <c r="S711" i="1"/>
  <c r="R757" i="1"/>
  <c r="S710" i="1"/>
  <c r="R714" i="1"/>
  <c r="T756" i="1"/>
  <c r="T709" i="1"/>
  <c r="R295" i="1"/>
  <c r="R341" i="1"/>
  <c r="R127" i="1"/>
  <c r="R58" i="1"/>
  <c r="S202" i="1"/>
  <c r="S253" i="1"/>
  <c r="T268" i="1"/>
  <c r="S341" i="1"/>
  <c r="R353" i="1"/>
  <c r="S377" i="1"/>
  <c r="T513" i="1"/>
  <c r="T466" i="1"/>
  <c r="S499" i="1"/>
  <c r="R445" i="1"/>
  <c r="R477" i="1"/>
  <c r="T575" i="1"/>
  <c r="S506" i="1"/>
  <c r="R617" i="1"/>
  <c r="S536" i="1"/>
  <c r="R582" i="1"/>
  <c r="S558" i="1"/>
  <c r="R652" i="1"/>
  <c r="S464" i="1"/>
  <c r="R537" i="1"/>
  <c r="R556" i="1"/>
  <c r="S572" i="1"/>
  <c r="S598" i="1"/>
  <c r="T554" i="1"/>
  <c r="R580" i="1"/>
  <c r="R606" i="1"/>
  <c r="T641" i="1"/>
  <c r="S545" i="1"/>
  <c r="T571" i="1"/>
  <c r="S588" i="1"/>
  <c r="R614" i="1"/>
  <c r="R542" i="1"/>
  <c r="T579" i="1"/>
  <c r="S596" i="1"/>
  <c r="R622" i="1"/>
  <c r="T653" i="1"/>
  <c r="T664" i="1"/>
  <c r="T557" i="1"/>
  <c r="R571" i="1"/>
  <c r="R632" i="1"/>
  <c r="T668" i="1"/>
  <c r="S629" i="1"/>
  <c r="R639" i="1"/>
  <c r="S621" i="1"/>
  <c r="S637" i="1"/>
  <c r="R575" i="1"/>
  <c r="T660" i="1"/>
  <c r="R674" i="1"/>
  <c r="T693" i="1"/>
  <c r="T645" i="1"/>
  <c r="R630" i="1"/>
  <c r="R645" i="1"/>
  <c r="S680" i="1"/>
  <c r="R784" i="1"/>
  <c r="S718" i="1"/>
  <c r="R722" i="1"/>
  <c r="S773" i="1"/>
  <c r="R646" i="1"/>
  <c r="T708" i="1"/>
  <c r="T730" i="1"/>
  <c r="S739" i="1"/>
  <c r="R752" i="1"/>
  <c r="T803" i="1"/>
  <c r="T682" i="1"/>
  <c r="S704" i="1"/>
  <c r="T772" i="1"/>
  <c r="R741" i="1"/>
  <c r="T759" i="1"/>
  <c r="S707" i="1"/>
  <c r="S740" i="1"/>
  <c r="S762" i="1"/>
  <c r="R671" i="1"/>
  <c r="S685" i="1"/>
  <c r="R711" i="1"/>
  <c r="R858" i="1"/>
  <c r="S671" i="1"/>
  <c r="S691" i="1"/>
  <c r="R701" i="1"/>
  <c r="T719" i="1"/>
  <c r="R809" i="1"/>
  <c r="S216" i="1"/>
  <c r="R18" i="1"/>
  <c r="S440" i="1"/>
  <c r="S470" i="1"/>
  <c r="T534" i="1"/>
  <c r="R380" i="1"/>
  <c r="T578" i="1"/>
  <c r="R418" i="1"/>
  <c r="R506" i="1"/>
  <c r="S475" i="1"/>
  <c r="R536" i="1"/>
  <c r="T582" i="1"/>
  <c r="R512" i="1"/>
  <c r="R558" i="1"/>
  <c r="S488" i="1"/>
  <c r="T529" i="1"/>
  <c r="R557" i="1"/>
  <c r="R572" i="1"/>
  <c r="R598" i="1"/>
  <c r="S554" i="1"/>
  <c r="R581" i="1"/>
  <c r="T606" i="1"/>
  <c r="T716" i="1"/>
  <c r="R545" i="1"/>
  <c r="R588" i="1"/>
  <c r="T614" i="1"/>
  <c r="T527" i="1"/>
  <c r="R596" i="1"/>
  <c r="T642" i="1"/>
  <c r="S653" i="1"/>
  <c r="S664" i="1"/>
  <c r="T597" i="1"/>
  <c r="R611" i="1"/>
  <c r="S622" i="1"/>
  <c r="T632" i="1"/>
  <c r="S663" i="1"/>
  <c r="S668" i="1"/>
  <c r="T672" i="1"/>
  <c r="T620" i="1"/>
  <c r="R640" i="1"/>
  <c r="T638" i="1"/>
  <c r="T658" i="1"/>
  <c r="R599" i="1"/>
  <c r="T629" i="1"/>
  <c r="S647" i="1"/>
  <c r="T634" i="1"/>
  <c r="S645" i="1"/>
  <c r="S665" i="1"/>
  <c r="R756" i="1"/>
  <c r="S631" i="1"/>
  <c r="T656" i="1"/>
  <c r="R709" i="1"/>
  <c r="T727" i="1"/>
  <c r="R773" i="1"/>
  <c r="S708" i="1"/>
  <c r="S730" i="1"/>
  <c r="R739" i="1"/>
  <c r="R704" i="1"/>
  <c r="S721" i="1"/>
  <c r="T755" i="1"/>
  <c r="R772" i="1"/>
  <c r="S697" i="1"/>
  <c r="S759" i="1"/>
  <c r="R685" i="1"/>
  <c r="R707" i="1"/>
  <c r="S758" i="1"/>
  <c r="R762" i="1"/>
  <c r="T728" i="1"/>
  <c r="T858" i="1"/>
  <c r="R692" i="1"/>
  <c r="S719" i="1"/>
  <c r="T757" i="1"/>
  <c r="R779" i="1"/>
  <c r="T849" i="1"/>
  <c r="S955" i="1"/>
  <c r="R789" i="1"/>
  <c r="R798" i="1"/>
  <c r="T826" i="1"/>
  <c r="T927" i="1"/>
  <c r="T212" i="1"/>
  <c r="T972" i="1"/>
  <c r="R205" i="1"/>
  <c r="R240" i="1"/>
  <c r="R363" i="1"/>
  <c r="T407" i="1"/>
  <c r="S362" i="1"/>
  <c r="T422" i="1"/>
  <c r="S236" i="1"/>
  <c r="R359" i="1"/>
  <c r="S443" i="1"/>
  <c r="T441" i="1"/>
  <c r="R470" i="1"/>
  <c r="T512" i="1"/>
  <c r="R534" i="1"/>
  <c r="T458" i="1"/>
  <c r="R503" i="1"/>
  <c r="S609" i="1"/>
  <c r="T480" i="1"/>
  <c r="R565" i="1"/>
  <c r="S590" i="1"/>
  <c r="T652" i="1"/>
  <c r="S512" i="1"/>
  <c r="R529" i="1"/>
  <c r="T558" i="1"/>
  <c r="R573" i="1"/>
  <c r="T598" i="1"/>
  <c r="S519" i="1"/>
  <c r="S529" i="1"/>
  <c r="T555" i="1"/>
  <c r="T572" i="1"/>
  <c r="T585" i="1"/>
  <c r="S716" i="1"/>
  <c r="R589" i="1"/>
  <c r="T686" i="1"/>
  <c r="R597" i="1"/>
  <c r="S618" i="1"/>
  <c r="S644" i="1"/>
  <c r="T654" i="1"/>
  <c r="S676" i="1"/>
  <c r="T738" i="1"/>
  <c r="T541" i="1"/>
  <c r="T573" i="1"/>
  <c r="R587" i="1"/>
  <c r="S623" i="1"/>
  <c r="S632" i="1"/>
  <c r="T644" i="1"/>
  <c r="R663" i="1"/>
  <c r="R668" i="1"/>
  <c r="S672" i="1"/>
  <c r="S659" i="1"/>
  <c r="R559" i="1"/>
  <c r="R621" i="1"/>
  <c r="R647" i="1"/>
  <c r="S734" i="1"/>
  <c r="S636" i="1"/>
  <c r="T646" i="1"/>
  <c r="S656" i="1"/>
  <c r="T692" i="1"/>
  <c r="S673" i="1"/>
  <c r="S689" i="1"/>
  <c r="S727" i="1"/>
  <c r="T813" i="1"/>
  <c r="R670" i="1"/>
  <c r="S681" i="1"/>
  <c r="S694" i="1"/>
  <c r="S726" i="1"/>
  <c r="R730" i="1"/>
  <c r="T823" i="1"/>
  <c r="T724" i="1"/>
  <c r="T746" i="1"/>
  <c r="S755" i="1"/>
  <c r="T698" i="1"/>
  <c r="R759" i="1"/>
  <c r="T685" i="1"/>
  <c r="R749" i="1"/>
  <c r="R771" i="1"/>
  <c r="S778" i="1"/>
  <c r="S688" i="1"/>
  <c r="T715" i="1"/>
  <c r="S728" i="1"/>
  <c r="R740" i="1"/>
  <c r="S858" i="1"/>
  <c r="S605" i="1"/>
  <c r="S180" i="1"/>
  <c r="S159" i="1"/>
  <c r="S483" i="1"/>
  <c r="T345" i="1"/>
  <c r="T428" i="1"/>
  <c r="R346" i="1"/>
  <c r="T383" i="1"/>
  <c r="S438" i="1"/>
  <c r="T449" i="1"/>
  <c r="T426" i="1"/>
  <c r="T464" i="1"/>
  <c r="S467" i="1"/>
  <c r="R497" i="1"/>
  <c r="S502" i="1"/>
  <c r="T583" i="1"/>
  <c r="T667" i="1"/>
  <c r="R547" i="1"/>
  <c r="S625" i="1"/>
  <c r="S690" i="1"/>
  <c r="S496" i="1"/>
  <c r="S577" i="1"/>
  <c r="R602" i="1"/>
  <c r="T556" i="1"/>
  <c r="T576" i="1"/>
  <c r="R585" i="1"/>
  <c r="T615" i="1"/>
  <c r="T544" i="1"/>
  <c r="S593" i="1"/>
  <c r="S601" i="1"/>
  <c r="T624" i="1"/>
  <c r="S633" i="1"/>
  <c r="R664" i="1"/>
  <c r="T676" i="1"/>
  <c r="R738" i="1"/>
  <c r="R768" i="1"/>
  <c r="T589" i="1"/>
  <c r="R603" i="1"/>
  <c r="T651" i="1"/>
  <c r="S679" i="1"/>
  <c r="T640" i="1"/>
  <c r="R659" i="1"/>
  <c r="T743" i="1"/>
  <c r="S649" i="1"/>
  <c r="R660" i="1"/>
  <c r="S713" i="1"/>
  <c r="R794" i="1"/>
  <c r="R607" i="1"/>
  <c r="T635" i="1"/>
  <c r="S669" i="1"/>
  <c r="S760" i="1"/>
  <c r="S657" i="1"/>
  <c r="S655" i="1"/>
  <c r="T696" i="1"/>
  <c r="R675" i="1"/>
  <c r="S744" i="1"/>
  <c r="S761" i="1"/>
  <c r="S675" i="1"/>
  <c r="S735" i="1"/>
  <c r="R823" i="1"/>
  <c r="S742" i="1"/>
  <c r="R746" i="1"/>
  <c r="S828" i="1"/>
  <c r="R698" i="1"/>
  <c r="S712" i="1"/>
  <c r="S729" i="1"/>
  <c r="T763" i="1"/>
  <c r="T671" i="1"/>
  <c r="S703" i="1"/>
  <c r="S771" i="1"/>
  <c r="T837" i="1"/>
  <c r="R691" i="1"/>
  <c r="S706" i="1"/>
  <c r="R715" i="1"/>
  <c r="T748" i="1"/>
  <c r="S891" i="1"/>
  <c r="T723" i="1"/>
  <c r="S736" i="1"/>
  <c r="T774" i="1"/>
  <c r="T701" i="1"/>
  <c r="T765" i="1"/>
  <c r="T802" i="1"/>
  <c r="T808" i="1"/>
  <c r="S827" i="1"/>
  <c r="S875" i="1"/>
  <c r="R832" i="1"/>
  <c r="T867" i="1"/>
  <c r="R455" i="1"/>
  <c r="R302" i="1"/>
  <c r="R412" i="1"/>
  <c r="S520" i="1"/>
  <c r="T502" i="1"/>
  <c r="T560" i="1"/>
  <c r="T562" i="1"/>
  <c r="R624" i="1"/>
  <c r="R644" i="1"/>
  <c r="T565" i="1"/>
  <c r="T659" i="1"/>
  <c r="R583" i="1"/>
  <c r="S724" i="1"/>
  <c r="R688" i="1"/>
  <c r="S702" i="1"/>
  <c r="T891" i="1"/>
  <c r="T736" i="1"/>
  <c r="R748" i="1"/>
  <c r="T725" i="1"/>
  <c r="T817" i="1"/>
  <c r="R875" i="1"/>
  <c r="R955" i="1"/>
  <c r="S789" i="1"/>
  <c r="R836" i="1"/>
  <c r="R927" i="1"/>
  <c r="T801" i="1"/>
  <c r="T821" i="1"/>
  <c r="R783" i="1"/>
  <c r="T874" i="1"/>
  <c r="T882" i="1"/>
  <c r="T834" i="1"/>
  <c r="R843" i="1"/>
  <c r="S847" i="1"/>
  <c r="R856" i="1"/>
  <c r="T838" i="1"/>
  <c r="T850" i="1"/>
  <c r="R876" i="1"/>
  <c r="T890" i="1"/>
  <c r="S931" i="1"/>
  <c r="S889" i="1"/>
  <c r="R935" i="1"/>
  <c r="R888" i="1"/>
  <c r="S898" i="1"/>
  <c r="R837" i="1"/>
  <c r="S873" i="1"/>
  <c r="T895" i="1"/>
  <c r="R804" i="1"/>
  <c r="S829" i="1"/>
  <c r="S871" i="1"/>
  <c r="S895" i="1"/>
  <c r="S915" i="1"/>
  <c r="S929" i="1"/>
  <c r="S883" i="1"/>
  <c r="T909" i="1"/>
  <c r="T905" i="1"/>
  <c r="R923" i="1"/>
  <c r="S956" i="1"/>
  <c r="S982" i="1"/>
  <c r="R901" i="1"/>
  <c r="R953" i="1"/>
  <c r="R972" i="1"/>
  <c r="T986" i="1"/>
  <c r="S985" i="1"/>
  <c r="S966" i="1"/>
  <c r="S984" i="1"/>
  <c r="T979" i="1"/>
  <c r="T961" i="1"/>
  <c r="S974" i="1"/>
  <c r="S991" i="1"/>
  <c r="T1041" i="1"/>
  <c r="S960" i="1"/>
  <c r="R963" i="1"/>
  <c r="R115" i="1"/>
  <c r="R501" i="1"/>
  <c r="S346" i="1"/>
  <c r="T584" i="1"/>
  <c r="S624" i="1"/>
  <c r="T683" i="1"/>
  <c r="S738" i="1"/>
  <c r="T760" i="1"/>
  <c r="T636" i="1"/>
  <c r="R727" i="1"/>
  <c r="T764" i="1"/>
  <c r="T695" i="1"/>
  <c r="R733" i="1"/>
  <c r="S746" i="1"/>
  <c r="T754" i="1"/>
  <c r="S745" i="1"/>
  <c r="R891" i="1"/>
  <c r="R736" i="1"/>
  <c r="S753" i="1"/>
  <c r="S927" i="1"/>
  <c r="R713" i="1"/>
  <c r="R729" i="1"/>
  <c r="R745" i="1"/>
  <c r="R761" i="1"/>
  <c r="T781" i="1"/>
  <c r="T840" i="1"/>
  <c r="T785" i="1"/>
  <c r="R810" i="1"/>
  <c r="T848" i="1"/>
  <c r="R874" i="1"/>
  <c r="S882" i="1"/>
  <c r="R847" i="1"/>
  <c r="T860" i="1"/>
  <c r="T791" i="1"/>
  <c r="R842" i="1"/>
  <c r="T877" i="1"/>
  <c r="R818" i="1"/>
  <c r="T851" i="1"/>
  <c r="S859" i="1"/>
  <c r="T959" i="1"/>
  <c r="S801" i="1"/>
  <c r="S817" i="1"/>
  <c r="S833" i="1"/>
  <c r="R872" i="1"/>
  <c r="S890" i="1"/>
  <c r="T913" i="1"/>
  <c r="R931" i="1"/>
  <c r="S865" i="1"/>
  <c r="R889" i="1"/>
  <c r="T935" i="1"/>
  <c r="R898" i="1"/>
  <c r="T921" i="1"/>
  <c r="R861" i="1"/>
  <c r="T901" i="1"/>
  <c r="S805" i="1"/>
  <c r="T897" i="1"/>
  <c r="R915" i="1"/>
  <c r="R929" i="1"/>
  <c r="T938" i="1"/>
  <c r="R919" i="1"/>
  <c r="S905" i="1"/>
  <c r="S942" i="1"/>
  <c r="S958" i="1"/>
  <c r="T969" i="1"/>
  <c r="R982" i="1"/>
  <c r="R933" i="1"/>
  <c r="R954" i="1"/>
  <c r="R973" i="1"/>
  <c r="T976" i="1"/>
  <c r="R985" i="1"/>
  <c r="R966" i="1"/>
  <c r="R984" i="1"/>
  <c r="S961" i="1"/>
  <c r="R974" i="1"/>
  <c r="S349" i="1"/>
  <c r="S422" i="1"/>
  <c r="R411" i="1"/>
  <c r="R609" i="1"/>
  <c r="S667" i="1"/>
  <c r="T547" i="1"/>
  <c r="T564" i="1"/>
  <c r="T607" i="1"/>
  <c r="R555" i="1"/>
  <c r="R610" i="1"/>
  <c r="T593" i="1"/>
  <c r="R633" i="1"/>
  <c r="T747" i="1"/>
  <c r="S660" i="1"/>
  <c r="T794" i="1"/>
  <c r="R648" i="1"/>
  <c r="R760" i="1"/>
  <c r="R636" i="1"/>
  <c r="T854" i="1"/>
  <c r="T751" i="1"/>
  <c r="T732" i="1"/>
  <c r="S748" i="1"/>
  <c r="T714" i="1"/>
  <c r="S756" i="1"/>
  <c r="R827" i="1"/>
  <c r="R776" i="1"/>
  <c r="T793" i="1"/>
  <c r="T807" i="1"/>
  <c r="S812" i="1"/>
  <c r="R697" i="1"/>
  <c r="S781" i="1"/>
  <c r="T831" i="1"/>
  <c r="S840" i="1"/>
  <c r="T861" i="1"/>
  <c r="T776" i="1"/>
  <c r="S785" i="1"/>
  <c r="T810" i="1"/>
  <c r="S835" i="1"/>
  <c r="T839" i="1"/>
  <c r="S848" i="1"/>
  <c r="S874" i="1"/>
  <c r="R882" i="1"/>
  <c r="T792" i="1"/>
  <c r="S860" i="1"/>
  <c r="S791" i="1"/>
  <c r="S796" i="1"/>
  <c r="T842" i="1"/>
  <c r="T770" i="1"/>
  <c r="S795" i="1"/>
  <c r="T818" i="1"/>
  <c r="R859" i="1"/>
  <c r="T962" i="1"/>
  <c r="S857" i="1"/>
  <c r="R890" i="1"/>
  <c r="S913" i="1"/>
  <c r="S935" i="1"/>
  <c r="S921" i="1"/>
  <c r="R911" i="1"/>
  <c r="R788" i="1"/>
  <c r="R820" i="1"/>
  <c r="S853" i="1"/>
  <c r="T884" i="1"/>
  <c r="S897" i="1"/>
  <c r="T932" i="1"/>
  <c r="S938" i="1"/>
  <c r="R896" i="1"/>
  <c r="T919" i="1"/>
  <c r="T866" i="1"/>
  <c r="R905" i="1"/>
  <c r="T914" i="1"/>
  <c r="R949" i="1"/>
  <c r="R958" i="1"/>
  <c r="S969" i="1"/>
  <c r="T982" i="1"/>
  <c r="R909" i="1"/>
  <c r="R956" i="1"/>
  <c r="T971" i="1"/>
  <c r="S976" i="1"/>
  <c r="T966" i="1"/>
  <c r="R946" i="1"/>
  <c r="R961" i="1"/>
  <c r="T974" i="1"/>
  <c r="S964" i="1"/>
  <c r="T1014" i="1"/>
  <c r="S1039" i="1"/>
  <c r="R129" i="1"/>
  <c r="S324" i="1"/>
  <c r="R393" i="1"/>
  <c r="T443" i="1"/>
  <c r="T626" i="1"/>
  <c r="S472" i="1"/>
  <c r="R519" i="1"/>
  <c r="T568" i="1"/>
  <c r="S619" i="1"/>
  <c r="R593" i="1"/>
  <c r="T530" i="1"/>
  <c r="T666" i="1"/>
  <c r="R635" i="1"/>
  <c r="T669" i="1"/>
  <c r="R655" i="1"/>
  <c r="R696" i="1"/>
  <c r="T731" i="1"/>
  <c r="T744" i="1"/>
  <c r="T673" i="1"/>
  <c r="R717" i="1"/>
  <c r="T735" i="1"/>
  <c r="S698" i="1"/>
  <c r="S763" i="1"/>
  <c r="T771" i="1"/>
  <c r="T691" i="1"/>
  <c r="T706" i="1"/>
  <c r="R719" i="1"/>
  <c r="R765" i="1"/>
  <c r="T733" i="1"/>
  <c r="S807" i="1"/>
  <c r="S788" i="1"/>
  <c r="S831" i="1"/>
  <c r="R840" i="1"/>
  <c r="S866" i="1"/>
  <c r="S780" i="1"/>
  <c r="T811" i="1"/>
  <c r="T816" i="1"/>
  <c r="R835" i="1"/>
  <c r="S839" i="1"/>
  <c r="R848" i="1"/>
  <c r="S792" i="1"/>
  <c r="T805" i="1"/>
  <c r="R860" i="1"/>
  <c r="R791" i="1"/>
  <c r="S819" i="1"/>
  <c r="T843" i="1"/>
  <c r="S851" i="1"/>
  <c r="T855" i="1"/>
  <c r="R795" i="1"/>
  <c r="T819" i="1"/>
  <c r="T824" i="1"/>
  <c r="S962" i="1"/>
  <c r="T899" i="1"/>
  <c r="R913" i="1"/>
  <c r="T922" i="1"/>
  <c r="S872" i="1"/>
  <c r="R936" i="1"/>
  <c r="T907" i="1"/>
  <c r="R921" i="1"/>
  <c r="T930" i="1"/>
  <c r="R845" i="1"/>
  <c r="R877" i="1"/>
  <c r="T911" i="1"/>
  <c r="T933" i="1"/>
  <c r="S821" i="1"/>
  <c r="R873" i="1"/>
  <c r="R897" i="1"/>
  <c r="T906" i="1"/>
  <c r="S932" i="1"/>
  <c r="R938" i="1"/>
  <c r="R880" i="1"/>
  <c r="S919" i="1"/>
  <c r="R941" i="1"/>
  <c r="T908" i="1"/>
  <c r="S914" i="1"/>
  <c r="S950" i="1"/>
  <c r="R969" i="1"/>
  <c r="S1038" i="1"/>
  <c r="R957" i="1"/>
  <c r="R976" i="1"/>
  <c r="T1058" i="1"/>
  <c r="R943" i="1"/>
  <c r="T967" i="1"/>
  <c r="T975" i="1"/>
  <c r="R964" i="1"/>
  <c r="S1014" i="1"/>
  <c r="T949" i="1"/>
  <c r="R92" i="1"/>
  <c r="R345" i="1"/>
  <c r="R458" i="1"/>
  <c r="T486" i="1"/>
  <c r="T625" i="1"/>
  <c r="T577" i="1"/>
  <c r="S525" i="1"/>
  <c r="R716" i="1"/>
  <c r="T549" i="1"/>
  <c r="R579" i="1"/>
  <c r="T613" i="1"/>
  <c r="T679" i="1"/>
  <c r="S640" i="1"/>
  <c r="R649" i="1"/>
  <c r="S696" i="1"/>
  <c r="R744" i="1"/>
  <c r="R638" i="1"/>
  <c r="R735" i="1"/>
  <c r="R755" i="1"/>
  <c r="T699" i="1"/>
  <c r="T712" i="1"/>
  <c r="S692" i="1"/>
  <c r="R706" i="1"/>
  <c r="R683" i="1"/>
  <c r="R790" i="1"/>
  <c r="R807" i="1"/>
  <c r="R826" i="1"/>
  <c r="T832" i="1"/>
  <c r="T853" i="1"/>
  <c r="T797" i="1"/>
  <c r="S811" i="1"/>
  <c r="R831" i="1"/>
  <c r="T844" i="1"/>
  <c r="T951" i="1"/>
  <c r="R780" i="1"/>
  <c r="S816" i="1"/>
  <c r="R839" i="1"/>
  <c r="T852" i="1"/>
  <c r="R792" i="1"/>
  <c r="R864" i="1"/>
  <c r="T917" i="1"/>
  <c r="T800" i="1"/>
  <c r="R819" i="1"/>
  <c r="R851" i="1"/>
  <c r="S855" i="1"/>
  <c r="T863" i="1"/>
  <c r="R777" i="1"/>
  <c r="S824" i="1"/>
  <c r="R962" i="1"/>
  <c r="S841" i="1"/>
  <c r="S899" i="1"/>
  <c r="T916" i="1"/>
  <c r="S922" i="1"/>
  <c r="R903" i="1"/>
  <c r="T939" i="1"/>
  <c r="S907" i="1"/>
  <c r="T924" i="1"/>
  <c r="S930" i="1"/>
  <c r="S911" i="1"/>
  <c r="T977" i="1"/>
  <c r="S837" i="1"/>
  <c r="T892" i="1"/>
  <c r="T900" i="1"/>
  <c r="S906" i="1"/>
  <c r="T881" i="1"/>
  <c r="R920" i="1"/>
  <c r="T941" i="1"/>
  <c r="S908" i="1"/>
  <c r="R914" i="1"/>
  <c r="T937" i="1"/>
  <c r="R950" i="1"/>
  <c r="S987" i="1"/>
  <c r="T1038" i="1"/>
  <c r="R917" i="1"/>
  <c r="R942" i="1"/>
  <c r="T958" i="1"/>
  <c r="T968" i="1"/>
  <c r="T943" i="1"/>
  <c r="S980" i="1"/>
  <c r="T1065" i="1"/>
  <c r="S946" i="1"/>
  <c r="T970" i="1"/>
  <c r="R944" i="1"/>
  <c r="T978" i="1"/>
  <c r="T947" i="1"/>
  <c r="R965" i="1"/>
  <c r="R978" i="1"/>
  <c r="R1029" i="1"/>
  <c r="R1039" i="1"/>
  <c r="T2" i="1"/>
  <c r="R159" i="1"/>
  <c r="S409" i="1"/>
  <c r="T559" i="1"/>
  <c r="R577" i="1"/>
  <c r="S576" i="1"/>
  <c r="S514" i="1"/>
  <c r="T567" i="1"/>
  <c r="T592" i="1"/>
  <c r="R679" i="1"/>
  <c r="S743" i="1"/>
  <c r="R725" i="1"/>
  <c r="R567" i="1"/>
  <c r="S678" i="1"/>
  <c r="R712" i="1"/>
  <c r="T703" i="1"/>
  <c r="R728" i="1"/>
  <c r="S686" i="1"/>
  <c r="S723" i="1"/>
  <c r="S774" i="1"/>
  <c r="T717" i="1"/>
  <c r="T741" i="1"/>
  <c r="R802" i="1"/>
  <c r="S808" i="1"/>
  <c r="T845" i="1"/>
  <c r="T786" i="1"/>
  <c r="T827" i="1"/>
  <c r="S832" i="1"/>
  <c r="S867" i="1"/>
  <c r="R705" i="1"/>
  <c r="R721" i="1"/>
  <c r="R737" i="1"/>
  <c r="R753" i="1"/>
  <c r="S797" i="1"/>
  <c r="R811" i="1"/>
  <c r="S844" i="1"/>
  <c r="S951" i="1"/>
  <c r="S769" i="1"/>
  <c r="R781" i="1"/>
  <c r="R816" i="1"/>
  <c r="S852" i="1"/>
  <c r="T869" i="1"/>
  <c r="T815" i="1"/>
  <c r="T864" i="1"/>
  <c r="S944" i="1"/>
  <c r="S800" i="1"/>
  <c r="R855" i="1"/>
  <c r="T868" i="1"/>
  <c r="T778" i="1"/>
  <c r="T799" i="1"/>
  <c r="R824" i="1"/>
  <c r="S842" i="1"/>
  <c r="S809" i="1"/>
  <c r="S825" i="1"/>
  <c r="R899" i="1"/>
  <c r="S916" i="1"/>
  <c r="R922" i="1"/>
  <c r="R879" i="1"/>
  <c r="T903" i="1"/>
  <c r="T1117" i="1"/>
  <c r="R907" i="1"/>
  <c r="S924" i="1"/>
  <c r="R930" i="1"/>
  <c r="R912" i="1"/>
  <c r="S977" i="1"/>
  <c r="R796" i="1"/>
  <c r="R812" i="1"/>
  <c r="S861" i="1"/>
  <c r="S892" i="1"/>
  <c r="S900" i="1"/>
  <c r="R906" i="1"/>
  <c r="S881" i="1"/>
  <c r="S941" i="1"/>
  <c r="R883" i="1"/>
  <c r="S937" i="1"/>
  <c r="R945" i="1"/>
  <c r="T952" i="1"/>
  <c r="T950" i="1"/>
  <c r="T963" i="1"/>
  <c r="S968" i="1"/>
  <c r="S369" i="1"/>
  <c r="R563" i="1"/>
  <c r="R669" i="1"/>
  <c r="T687" i="1"/>
  <c r="R867" i="1"/>
  <c r="S869" i="1"/>
  <c r="S815" i="1"/>
  <c r="T847" i="1"/>
  <c r="R868" i="1"/>
  <c r="T876" i="1"/>
  <c r="R871" i="1"/>
  <c r="S877" i="1"/>
  <c r="R885" i="1"/>
  <c r="T923" i="1"/>
  <c r="R937" i="1"/>
  <c r="S954" i="1"/>
  <c r="S972" i="1"/>
  <c r="T985" i="1"/>
  <c r="S948" i="1"/>
  <c r="T960" i="1"/>
  <c r="S1006" i="1"/>
  <c r="R1011" i="1"/>
  <c r="R1019" i="1"/>
  <c r="T997" i="1"/>
  <c r="T1071" i="1"/>
  <c r="R975" i="1"/>
  <c r="S967" i="1"/>
  <c r="R1000" i="1"/>
  <c r="T1031" i="1"/>
  <c r="T1007" i="1"/>
  <c r="S1068" i="1"/>
  <c r="R1042" i="1"/>
  <c r="R1060" i="1"/>
  <c r="R1035" i="1"/>
  <c r="S1052" i="1"/>
  <c r="S1036" i="1"/>
  <c r="S1054" i="1"/>
  <c r="S1059" i="1"/>
  <c r="S1069" i="1"/>
  <c r="R1061" i="1"/>
  <c r="T1072" i="1"/>
  <c r="R1090" i="1"/>
  <c r="S1048" i="1"/>
  <c r="T1087" i="1"/>
  <c r="T1086" i="1"/>
  <c r="R1072" i="1"/>
  <c r="T1083" i="1"/>
  <c r="S1093" i="1"/>
  <c r="S1119" i="1"/>
  <c r="R1174" i="1"/>
  <c r="S1115" i="1"/>
  <c r="S1135" i="1"/>
  <c r="S1134" i="1"/>
  <c r="S1116" i="1"/>
  <c r="S1131" i="1"/>
  <c r="T1143" i="1"/>
  <c r="T1112" i="1"/>
  <c r="S1126" i="1"/>
  <c r="T1155" i="1"/>
  <c r="R1122" i="1"/>
  <c r="S1138" i="1"/>
  <c r="R1193" i="1"/>
  <c r="R1101" i="1"/>
  <c r="T1146" i="1"/>
  <c r="S1108" i="1"/>
  <c r="T1168" i="1"/>
  <c r="T1109" i="1"/>
  <c r="S1157" i="1"/>
  <c r="T1151" i="1"/>
  <c r="R1153" i="1"/>
  <c r="T1161" i="1"/>
  <c r="T1170" i="1"/>
  <c r="R1176" i="1"/>
  <c r="R1182" i="1"/>
  <c r="S1117" i="1"/>
  <c r="T1181" i="1"/>
  <c r="R1123" i="1"/>
  <c r="R1200" i="1"/>
  <c r="T1165" i="1"/>
  <c r="R657" i="1"/>
  <c r="R677" i="1"/>
  <c r="R654" i="1"/>
  <c r="R723" i="1"/>
  <c r="R928" i="1"/>
  <c r="T871" i="1"/>
  <c r="R782" i="1"/>
  <c r="R869" i="1"/>
  <c r="R815" i="1"/>
  <c r="T856" i="1"/>
  <c r="S876" i="1"/>
  <c r="S887" i="1"/>
  <c r="S903" i="1"/>
  <c r="R977" i="1"/>
  <c r="R828" i="1"/>
  <c r="T893" i="1"/>
  <c r="T873" i="1"/>
  <c r="S923" i="1"/>
  <c r="S943" i="1"/>
  <c r="R960" i="1"/>
  <c r="T1039" i="1"/>
  <c r="T957" i="1"/>
  <c r="T973" i="1"/>
  <c r="R986" i="1"/>
  <c r="S995" i="1"/>
  <c r="T1026" i="1"/>
  <c r="T993" i="1"/>
  <c r="T1010" i="1"/>
  <c r="R988" i="1"/>
  <c r="S997" i="1"/>
  <c r="T1013" i="1"/>
  <c r="S1071" i="1"/>
  <c r="T1005" i="1"/>
  <c r="T1001" i="1"/>
  <c r="S1031" i="1"/>
  <c r="T1000" i="1"/>
  <c r="R1068" i="1"/>
  <c r="S1044" i="1"/>
  <c r="T1048" i="1"/>
  <c r="S1035" i="1"/>
  <c r="R1052" i="1"/>
  <c r="T1036" i="1"/>
  <c r="R1054" i="1"/>
  <c r="T1059" i="1"/>
  <c r="S1073" i="1"/>
  <c r="R1066" i="1"/>
  <c r="R1069" i="1"/>
  <c r="T1049" i="1"/>
  <c r="T1061" i="1"/>
  <c r="S1076" i="1"/>
  <c r="S1091" i="1"/>
  <c r="S1103" i="1"/>
  <c r="R1087" i="1"/>
  <c r="R1098" i="1"/>
  <c r="S1086" i="1"/>
  <c r="S1084" i="1"/>
  <c r="S1094" i="1"/>
  <c r="R1119" i="1"/>
  <c r="T1075" i="1"/>
  <c r="R1135" i="1"/>
  <c r="T1118" i="1"/>
  <c r="R1134" i="1"/>
  <c r="R1116" i="1"/>
  <c r="T1132" i="1"/>
  <c r="S1143" i="1"/>
  <c r="S1112" i="1"/>
  <c r="R1126" i="1"/>
  <c r="T1159" i="1"/>
  <c r="T1162" i="1"/>
  <c r="T1124" i="1"/>
  <c r="R1138" i="1"/>
  <c r="R1106" i="1"/>
  <c r="S1123" i="1"/>
  <c r="S1146" i="1"/>
  <c r="R1108" i="1"/>
  <c r="S1168" i="1"/>
  <c r="R1173" i="1"/>
  <c r="S1151" i="1"/>
  <c r="R1158" i="1"/>
  <c r="R1117" i="1"/>
  <c r="S1161" i="1"/>
  <c r="T1191" i="1"/>
  <c r="S1147" i="1"/>
  <c r="S1181" i="1"/>
  <c r="T1160" i="1"/>
  <c r="S1165" i="1"/>
  <c r="S585" i="1"/>
  <c r="T720" i="1"/>
  <c r="T955" i="1"/>
  <c r="T857" i="1"/>
  <c r="S783" i="1"/>
  <c r="T825" i="1"/>
  <c r="S856" i="1"/>
  <c r="R800" i="1"/>
  <c r="T829" i="1"/>
  <c r="S799" i="1"/>
  <c r="S849" i="1"/>
  <c r="T931" i="1"/>
  <c r="T889" i="1"/>
  <c r="R904" i="1"/>
  <c r="R853" i="1"/>
  <c r="R893" i="1"/>
  <c r="R952" i="1"/>
  <c r="S989" i="1"/>
  <c r="R995" i="1"/>
  <c r="T1022" i="1"/>
  <c r="S1026" i="1"/>
  <c r="T998" i="1"/>
  <c r="S1010" i="1"/>
  <c r="R999" i="1"/>
  <c r="S1013" i="1"/>
  <c r="T1025" i="1"/>
  <c r="R959" i="1"/>
  <c r="S1005" i="1"/>
  <c r="T1009" i="1"/>
  <c r="S975" i="1"/>
  <c r="S1008" i="1"/>
  <c r="R1031" i="1"/>
  <c r="S1003" i="1"/>
  <c r="T1053" i="1"/>
  <c r="R1044" i="1"/>
  <c r="T1052" i="1"/>
  <c r="T1055" i="1"/>
  <c r="T1077" i="1"/>
  <c r="R1059" i="1"/>
  <c r="R1008" i="1"/>
  <c r="T1066" i="1"/>
  <c r="S1037" i="1"/>
  <c r="R1049" i="1"/>
  <c r="S1043" i="1"/>
  <c r="R1091" i="1"/>
  <c r="S1056" i="1"/>
  <c r="S1088" i="1"/>
  <c r="T1102" i="1"/>
  <c r="S1080" i="1"/>
  <c r="S1085" i="1"/>
  <c r="R1094" i="1"/>
  <c r="R1058" i="1"/>
  <c r="S1118" i="1"/>
  <c r="R1144" i="1"/>
  <c r="S1132" i="1"/>
  <c r="T1139" i="1"/>
  <c r="R1143" i="1"/>
  <c r="S1104" i="1"/>
  <c r="S1159" i="1"/>
  <c r="T1187" i="1"/>
  <c r="S1124" i="1"/>
  <c r="T1183" i="1"/>
  <c r="T1110" i="1"/>
  <c r="T1125" i="1"/>
  <c r="R1146" i="1"/>
  <c r="R1168" i="1"/>
  <c r="S1145" i="1"/>
  <c r="T1173" i="1"/>
  <c r="R1151" i="1"/>
  <c r="T1167" i="1"/>
  <c r="R1147" i="1"/>
  <c r="R1161" i="1"/>
  <c r="S1191" i="1"/>
  <c r="S1125" i="1"/>
  <c r="R1107" i="1"/>
  <c r="S1160" i="1"/>
  <c r="T1184" i="1"/>
  <c r="S1186" i="1"/>
  <c r="T184" i="1"/>
  <c r="T690" i="1"/>
  <c r="R703" i="1"/>
  <c r="T841" i="1"/>
  <c r="R797" i="1"/>
  <c r="S843" i="1"/>
  <c r="S864" i="1"/>
  <c r="T809" i="1"/>
  <c r="S834" i="1"/>
  <c r="R799" i="1"/>
  <c r="T846" i="1"/>
  <c r="S793" i="1"/>
  <c r="R887" i="1"/>
  <c r="T898" i="1"/>
  <c r="S845" i="1"/>
  <c r="T953" i="1"/>
  <c r="T980" i="1"/>
  <c r="R991" i="1"/>
  <c r="S1022" i="1"/>
  <c r="R1026" i="1"/>
  <c r="R1010" i="1"/>
  <c r="R1033" i="1"/>
  <c r="R1013" i="1"/>
  <c r="S1025" i="1"/>
  <c r="R983" i="1"/>
  <c r="R1005" i="1"/>
  <c r="S1016" i="1"/>
  <c r="T1012" i="1"/>
  <c r="T1045" i="1"/>
  <c r="R1003" i="1"/>
  <c r="S1053" i="1"/>
  <c r="T1044" i="1"/>
  <c r="S1060" i="1"/>
  <c r="T1042" i="1"/>
  <c r="S1055" i="1"/>
  <c r="R1074" i="1"/>
  <c r="T1074" i="1"/>
  <c r="S1077" i="1"/>
  <c r="T1046" i="1"/>
  <c r="S1066" i="1"/>
  <c r="T1050" i="1"/>
  <c r="T1092" i="1"/>
  <c r="R1088" i="1"/>
  <c r="T1098" i="1"/>
  <c r="T1133" i="1"/>
  <c r="R1080" i="1"/>
  <c r="R1075" i="1"/>
  <c r="R1085" i="1"/>
  <c r="R1095" i="1"/>
  <c r="T1127" i="1"/>
  <c r="S1058" i="1"/>
  <c r="R1102" i="1"/>
  <c r="R1118" i="1"/>
  <c r="R1132" i="1"/>
  <c r="S1139" i="1"/>
  <c r="R1159" i="1"/>
  <c r="R1124" i="1"/>
  <c r="T1142" i="1"/>
  <c r="S1183" i="1"/>
  <c r="S1110" i="1"/>
  <c r="T1136" i="1"/>
  <c r="R1189" i="1"/>
  <c r="T1145" i="1"/>
  <c r="S1173" i="1"/>
  <c r="T1192" i="1"/>
  <c r="T1152" i="1"/>
  <c r="S1167" i="1"/>
  <c r="R1125" i="1"/>
  <c r="R1191" i="1"/>
  <c r="T1185" i="1"/>
  <c r="R1160" i="1"/>
  <c r="R1166" i="1"/>
  <c r="T1169" i="1"/>
  <c r="S1184" i="1"/>
  <c r="S1162" i="1"/>
  <c r="R631" i="1"/>
  <c r="T515" i="1"/>
  <c r="R690" i="1"/>
  <c r="S544" i="1"/>
  <c r="S715" i="1"/>
  <c r="S802" i="1"/>
  <c r="R844" i="1"/>
  <c r="R850" i="1"/>
  <c r="T887" i="1"/>
  <c r="R895" i="1"/>
  <c r="T915" i="1"/>
  <c r="T945" i="1"/>
  <c r="R1038" i="1"/>
  <c r="T991" i="1"/>
  <c r="T1029" i="1"/>
  <c r="R979" i="1"/>
  <c r="R989" i="1"/>
  <c r="R1025" i="1"/>
  <c r="T1021" i="1"/>
  <c r="S1012" i="1"/>
  <c r="R1015" i="1"/>
  <c r="S1045" i="1"/>
  <c r="T1020" i="1"/>
  <c r="R1053" i="1"/>
  <c r="S1042" i="1"/>
  <c r="S1067" i="1"/>
  <c r="R1055" i="1"/>
  <c r="S1074" i="1"/>
  <c r="T1047" i="1"/>
  <c r="R1077" i="1"/>
  <c r="R1016" i="1"/>
  <c r="R1034" i="1"/>
  <c r="S1046" i="1"/>
  <c r="S1050" i="1"/>
  <c r="S1051" i="1"/>
  <c r="S1092" i="1"/>
  <c r="S1099" i="1"/>
  <c r="S1098" i="1"/>
  <c r="R1082" i="1"/>
  <c r="R1086" i="1"/>
  <c r="S1127" i="1"/>
  <c r="T1085" i="1"/>
  <c r="R1093" i="1"/>
  <c r="T1144" i="1"/>
  <c r="R1139" i="1"/>
  <c r="R1104" i="1"/>
  <c r="R1183" i="1"/>
  <c r="R1110" i="1"/>
  <c r="R165" i="1"/>
  <c r="T384" i="1"/>
  <c r="T602" i="1"/>
  <c r="R601" i="1"/>
  <c r="R673" i="1"/>
  <c r="T623" i="1"/>
  <c r="S823" i="1"/>
  <c r="R774" i="1"/>
  <c r="T749" i="1"/>
  <c r="T789" i="1"/>
  <c r="T836" i="1"/>
  <c r="R834" i="1"/>
  <c r="T925" i="1"/>
  <c r="S813" i="1"/>
  <c r="T929" i="1"/>
  <c r="T883" i="1"/>
  <c r="R925" i="1"/>
  <c r="R980" i="1"/>
  <c r="S970" i="1"/>
  <c r="R970" i="1"/>
  <c r="R947" i="1"/>
  <c r="T981" i="1"/>
  <c r="T1011" i="1"/>
  <c r="T1019" i="1"/>
  <c r="T990" i="1"/>
  <c r="S996" i="1"/>
  <c r="T1032" i="1"/>
  <c r="S988" i="1"/>
  <c r="R1021" i="1"/>
  <c r="S1040" i="1"/>
  <c r="S959" i="1"/>
  <c r="S1024" i="1"/>
  <c r="S1004" i="1"/>
  <c r="R1020" i="1"/>
  <c r="R1023" i="1"/>
  <c r="S1030" i="1"/>
  <c r="T1070" i="1"/>
  <c r="R1047" i="1"/>
  <c r="R1051" i="1"/>
  <c r="S1062" i="1"/>
  <c r="R1024" i="1"/>
  <c r="R1037" i="1"/>
  <c r="R1099" i="1"/>
  <c r="T1089" i="1"/>
  <c r="T1103" i="1"/>
  <c r="S1129" i="1"/>
  <c r="S1081" i="1"/>
  <c r="T1084" i="1"/>
  <c r="T1080" i="1"/>
  <c r="S1100" i="1"/>
  <c r="T1096" i="1"/>
  <c r="R1130" i="1"/>
  <c r="T1149" i="1"/>
  <c r="R1114" i="1"/>
  <c r="T1128" i="1"/>
  <c r="S1140" i="1"/>
  <c r="R1112" i="1"/>
  <c r="T1137" i="1"/>
  <c r="T1193" i="1"/>
  <c r="S1111" i="1"/>
  <c r="S1101" i="1"/>
  <c r="S1106" i="1"/>
  <c r="T1120" i="1"/>
  <c r="S1154" i="1"/>
  <c r="S1102" i="1"/>
  <c r="S1177" i="1"/>
  <c r="T1153" i="1"/>
  <c r="S1197" i="1"/>
  <c r="R1133" i="1"/>
  <c r="T1176" i="1"/>
  <c r="S1109" i="1"/>
  <c r="R1175" i="1"/>
  <c r="T1200" i="1"/>
  <c r="T601" i="1"/>
  <c r="S868" i="1"/>
  <c r="R916" i="1"/>
  <c r="R968" i="1"/>
  <c r="R981" i="1"/>
  <c r="T965" i="1"/>
  <c r="T996" i="1"/>
  <c r="T1030" i="1"/>
  <c r="R1040" i="1"/>
  <c r="T1135" i="1"/>
  <c r="T1116" i="1"/>
  <c r="T1163" i="1"/>
  <c r="T1111" i="1"/>
  <c r="T1108" i="1"/>
  <c r="S1120" i="1"/>
  <c r="S1137" i="1"/>
  <c r="T1186" i="1"/>
  <c r="S1133" i="1"/>
  <c r="S1200" i="1"/>
  <c r="R1169" i="1"/>
  <c r="S1083" i="1"/>
  <c r="R1149" i="1"/>
  <c r="T1154" i="1"/>
  <c r="R1181" i="1"/>
  <c r="R1103" i="1"/>
  <c r="T1113" i="1"/>
  <c r="S1136" i="1"/>
  <c r="S684" i="1"/>
  <c r="R787" i="1"/>
  <c r="R951" i="1"/>
  <c r="R881" i="1"/>
  <c r="S952" i="1"/>
  <c r="T984" i="1"/>
  <c r="S1019" i="1"/>
  <c r="R996" i="1"/>
  <c r="T1015" i="1"/>
  <c r="R1067" i="1"/>
  <c r="T1035" i="1"/>
  <c r="R1046" i="1"/>
  <c r="S1034" i="1"/>
  <c r="S1075" i="1"/>
  <c r="T1093" i="1"/>
  <c r="S1199" i="1"/>
  <c r="T1126" i="1"/>
  <c r="T1105" i="1"/>
  <c r="R1111" i="1"/>
  <c r="R1198" i="1"/>
  <c r="R1115" i="1"/>
  <c r="T1175" i="1"/>
  <c r="R1184" i="1"/>
  <c r="S1170" i="1"/>
  <c r="R1012" i="1"/>
  <c r="T1068" i="1"/>
  <c r="R1084" i="1"/>
  <c r="R1177" i="1"/>
  <c r="T1195" i="1"/>
  <c r="R1057" i="1"/>
  <c r="S1169" i="1"/>
  <c r="R362" i="1"/>
  <c r="S530" i="1"/>
  <c r="T833" i="1"/>
  <c r="R971" i="1"/>
  <c r="T1006" i="1"/>
  <c r="T1028" i="1"/>
  <c r="R1070" i="1"/>
  <c r="T1078" i="1"/>
  <c r="T1062" i="1"/>
  <c r="T1069" i="1"/>
  <c r="R1079" i="1"/>
  <c r="S1089" i="1"/>
  <c r="S1082" i="1"/>
  <c r="T1094" i="1"/>
  <c r="R1129" i="1"/>
  <c r="T1121" i="1"/>
  <c r="S1193" i="1"/>
  <c r="R1157" i="1"/>
  <c r="R1150" i="1"/>
  <c r="R1142" i="1"/>
  <c r="S1175" i="1"/>
  <c r="R1109" i="1"/>
  <c r="T1178" i="1"/>
  <c r="R1185" i="1"/>
  <c r="T516" i="1"/>
  <c r="R651" i="1"/>
  <c r="T875" i="1"/>
  <c r="S804" i="1"/>
  <c r="T983" i="1"/>
  <c r="R1071" i="1"/>
  <c r="R1045" i="1"/>
  <c r="S1041" i="1"/>
  <c r="T1060" i="1"/>
  <c r="T1054" i="1"/>
  <c r="R1062" i="1"/>
  <c r="R1076" i="1"/>
  <c r="T1099" i="1"/>
  <c r="T1100" i="1"/>
  <c r="S1065" i="1"/>
  <c r="R1100" i="1"/>
  <c r="T1134" i="1"/>
  <c r="R1097" i="1"/>
  <c r="T1138" i="1"/>
  <c r="R1145" i="1"/>
  <c r="S1192" i="1"/>
  <c r="S1152" i="1"/>
  <c r="R1197" i="1"/>
  <c r="T1179" i="1"/>
  <c r="S1194" i="1"/>
  <c r="R967" i="1"/>
  <c r="R1007" i="1"/>
  <c r="S1072" i="1"/>
  <c r="T1140" i="1"/>
  <c r="T1129" i="1"/>
  <c r="R1065" i="1"/>
  <c r="T1171" i="1"/>
  <c r="R1190" i="1"/>
  <c r="S425" i="1"/>
  <c r="T680" i="1"/>
  <c r="S777" i="1"/>
  <c r="R1014" i="1"/>
  <c r="S1000" i="1"/>
  <c r="T1023" i="1"/>
  <c r="T1097" i="1"/>
  <c r="T1081" i="1"/>
  <c r="T1082" i="1"/>
  <c r="T1119" i="1"/>
  <c r="T1076" i="1"/>
  <c r="T1090" i="1"/>
  <c r="T1177" i="1"/>
  <c r="R1192" i="1"/>
  <c r="R1152" i="1"/>
  <c r="T1197" i="1"/>
  <c r="T1194" i="1"/>
  <c r="S1178" i="1"/>
  <c r="R808" i="1"/>
  <c r="S978" i="1"/>
  <c r="S1047" i="1"/>
  <c r="S1061" i="1"/>
  <c r="T1095" i="1"/>
  <c r="T1147" i="1"/>
  <c r="T1189" i="1"/>
  <c r="S1153" i="1"/>
  <c r="S1128" i="1"/>
  <c r="S1105" i="1"/>
  <c r="T590" i="1"/>
  <c r="S836" i="1"/>
  <c r="S820" i="1"/>
  <c r="S1021" i="1"/>
  <c r="T1004" i="1"/>
  <c r="S1020" i="1"/>
  <c r="R1043" i="1"/>
  <c r="R1050" i="1"/>
  <c r="R1092" i="1"/>
  <c r="R1127" i="1"/>
  <c r="R1141" i="1"/>
  <c r="R1154" i="1"/>
  <c r="S1189" i="1"/>
  <c r="R1167" i="1"/>
  <c r="S1176" i="1"/>
  <c r="S1185" i="1"/>
  <c r="R1165" i="1"/>
  <c r="R852" i="1"/>
  <c r="S945" i="1"/>
  <c r="T946" i="1"/>
  <c r="S1029" i="1"/>
  <c r="S992" i="1"/>
  <c r="S1011" i="1"/>
  <c r="T1056" i="1"/>
  <c r="R1004" i="1"/>
  <c r="T1037" i="1"/>
  <c r="S1107" i="1"/>
  <c r="J2" i="1"/>
  <c r="I2" i="1"/>
  <c r="H2" i="1"/>
  <c r="N12" i="1"/>
  <c r="L90" i="1"/>
  <c r="N7" i="1"/>
  <c r="N23" i="1"/>
  <c r="N68" i="1"/>
  <c r="N187" i="1"/>
  <c r="L10" i="1"/>
  <c r="N26" i="1"/>
  <c r="N123" i="1"/>
  <c r="N36" i="1"/>
  <c r="M67" i="1"/>
  <c r="N155" i="1"/>
  <c r="L6" i="1"/>
  <c r="N22" i="1"/>
  <c r="M1198" i="1"/>
  <c r="M1166" i="1"/>
  <c r="L1174" i="1"/>
  <c r="M1150" i="1"/>
  <c r="L1164" i="1"/>
  <c r="N1133" i="1"/>
  <c r="M1157" i="1"/>
  <c r="N1158" i="1"/>
  <c r="N1106" i="1"/>
  <c r="N1124" i="1"/>
  <c r="M1092" i="1"/>
  <c r="N1101" i="1"/>
  <c r="M1081" i="1"/>
  <c r="L1064" i="1"/>
  <c r="M1003" i="1"/>
  <c r="M1084" i="1"/>
  <c r="N1095" i="1"/>
  <c r="M985" i="1"/>
  <c r="M1033" i="1"/>
  <c r="M983" i="1"/>
  <c r="M922" i="1"/>
  <c r="M987" i="1"/>
  <c r="M920" i="1"/>
  <c r="L941" i="1"/>
  <c r="L912" i="1"/>
  <c r="N887" i="1"/>
  <c r="N806" i="1"/>
  <c r="N928" i="1"/>
  <c r="M856" i="1"/>
  <c r="L815" i="1"/>
  <c r="N880" i="1"/>
  <c r="L808" i="1"/>
  <c r="N871" i="1"/>
  <c r="L744" i="1"/>
  <c r="N837" i="1"/>
  <c r="N768" i="1"/>
  <c r="N707" i="1"/>
  <c r="N877" i="1"/>
  <c r="L902" i="1"/>
  <c r="M781" i="1"/>
  <c r="M652" i="1"/>
  <c r="M689" i="1"/>
  <c r="M711" i="1"/>
  <c r="M703" i="1"/>
  <c r="L780" i="1"/>
  <c r="M759" i="1"/>
  <c r="M601" i="1"/>
  <c r="L680" i="1"/>
  <c r="M622" i="1"/>
  <c r="M671" i="1"/>
  <c r="M591" i="1"/>
  <c r="L502" i="1"/>
  <c r="M637" i="1"/>
  <c r="M624" i="1"/>
  <c r="M521" i="1"/>
  <c r="N527" i="1"/>
  <c r="N477" i="1"/>
  <c r="M527" i="1"/>
  <c r="L453" i="1"/>
  <c r="L438" i="1"/>
  <c r="L426" i="1"/>
  <c r="N44" i="1"/>
  <c r="N90" i="1"/>
  <c r="M7" i="1"/>
  <c r="M23" i="1"/>
  <c r="N39" i="1"/>
  <c r="M187" i="1"/>
  <c r="M123" i="1"/>
  <c r="M155" i="1"/>
  <c r="M22" i="1"/>
  <c r="N38" i="1"/>
  <c r="N77" i="1"/>
  <c r="M1200" i="1"/>
  <c r="L1197" i="1"/>
  <c r="L1165" i="1"/>
  <c r="N1168" i="1"/>
  <c r="M1189" i="1"/>
  <c r="N1190" i="1"/>
  <c r="N1132" i="1"/>
  <c r="M1132" i="1"/>
  <c r="N1151" i="1"/>
  <c r="M1098" i="1"/>
  <c r="M1089" i="1"/>
  <c r="L1066" i="1"/>
  <c r="M1096" i="1"/>
  <c r="N1072" i="1"/>
  <c r="N1045" i="1"/>
  <c r="N1061" i="1"/>
  <c r="L1050" i="1"/>
  <c r="M1197" i="1"/>
  <c r="M1004" i="1"/>
  <c r="N1010" i="1"/>
  <c r="M975" i="1"/>
  <c r="M914" i="1"/>
  <c r="M973" i="1"/>
  <c r="M912" i="1"/>
  <c r="N938" i="1"/>
  <c r="N906" i="1"/>
  <c r="M879" i="1"/>
  <c r="N798" i="1"/>
  <c r="L1016" i="1"/>
  <c r="M848" i="1"/>
  <c r="M808" i="1"/>
  <c r="M866" i="1"/>
  <c r="N946" i="1"/>
  <c r="L875" i="1"/>
  <c r="L736" i="1"/>
  <c r="M828" i="1"/>
  <c r="N763" i="1"/>
  <c r="N699" i="1"/>
  <c r="L864" i="1"/>
  <c r="N879" i="1"/>
  <c r="M773" i="1"/>
  <c r="M644" i="1"/>
  <c r="L681" i="1"/>
  <c r="L710" i="1"/>
  <c r="N691" i="1"/>
  <c r="N760" i="1"/>
  <c r="M664" i="1"/>
  <c r="M593" i="1"/>
  <c r="L673" i="1"/>
  <c r="L620" i="1"/>
  <c r="M661" i="1"/>
  <c r="M583" i="1"/>
  <c r="L494" i="1"/>
  <c r="M613" i="1"/>
  <c r="M605" i="1"/>
  <c r="M514" i="1"/>
  <c r="L521" i="1"/>
  <c r="N469" i="1"/>
  <c r="M518" i="1"/>
  <c r="M452" i="1"/>
  <c r="M565" i="1"/>
  <c r="N14" i="1"/>
  <c r="N30" i="1"/>
  <c r="N57" i="1"/>
  <c r="L7" i="1"/>
  <c r="L23" i="1"/>
  <c r="M39" i="1"/>
  <c r="L187" i="1"/>
  <c r="M75" i="1"/>
  <c r="L123" i="1"/>
  <c r="N196" i="1"/>
  <c r="N52" i="1"/>
  <c r="N74" i="1"/>
  <c r="L155" i="1"/>
  <c r="L22" i="1"/>
  <c r="L66" i="1"/>
  <c r="N70" i="1"/>
  <c r="M77" i="1"/>
  <c r="N171" i="1"/>
  <c r="M1192" i="1"/>
  <c r="M1190" i="1"/>
  <c r="L1198" i="1"/>
  <c r="L1166" i="1"/>
  <c r="L1188" i="1"/>
  <c r="M1144" i="1"/>
  <c r="N1117" i="1"/>
  <c r="N1182" i="1"/>
  <c r="L1145" i="1"/>
  <c r="N1142" i="1"/>
  <c r="N1079" i="1"/>
  <c r="L1059" i="1"/>
  <c r="M1064" i="1"/>
  <c r="L1058" i="1"/>
  <c r="M1035" i="1"/>
  <c r="M1058" i="1"/>
  <c r="N1034" i="1"/>
  <c r="N1085" i="1"/>
  <c r="L1003" i="1"/>
  <c r="N996" i="1"/>
  <c r="M967" i="1"/>
  <c r="M906" i="1"/>
  <c r="L1000" i="1"/>
  <c r="M904" i="1"/>
  <c r="L936" i="1"/>
  <c r="L904" i="1"/>
  <c r="L877" i="1"/>
  <c r="N790" i="1"/>
  <c r="N966" i="1"/>
  <c r="M840" i="1"/>
  <c r="L807" i="1"/>
  <c r="L856" i="1"/>
  <c r="M911" i="1"/>
  <c r="L827" i="1"/>
  <c r="L728" i="1"/>
  <c r="N813" i="1"/>
  <c r="N755" i="1"/>
  <c r="M935" i="1"/>
  <c r="L843" i="1"/>
  <c r="L811" i="1"/>
  <c r="N744" i="1"/>
  <c r="M636" i="1"/>
  <c r="N678" i="1"/>
  <c r="L692" i="1"/>
  <c r="N680" i="1"/>
  <c r="M743" i="1"/>
  <c r="M653" i="1"/>
  <c r="M585" i="1"/>
  <c r="M656" i="1"/>
  <c r="M648" i="1"/>
  <c r="M629" i="1"/>
  <c r="M575" i="1"/>
  <c r="L486" i="1"/>
  <c r="L604" i="1"/>
  <c r="M543" i="1"/>
  <c r="N821" i="1"/>
  <c r="N518" i="1"/>
  <c r="N461" i="1"/>
  <c r="N510" i="1"/>
  <c r="M439" i="1"/>
  <c r="N536" i="1"/>
  <c r="N28" i="1"/>
  <c r="M14" i="1"/>
  <c r="M30" i="1"/>
  <c r="L39" i="1"/>
  <c r="M10" i="1"/>
  <c r="L26" i="1"/>
  <c r="N42" i="1"/>
  <c r="M196" i="1"/>
  <c r="M74" i="1"/>
  <c r="M38" i="1"/>
  <c r="M70" i="1"/>
  <c r="L77" i="1"/>
  <c r="M171" i="1"/>
  <c r="M1184" i="1"/>
  <c r="L1189" i="1"/>
  <c r="N1192" i="1"/>
  <c r="N1160" i="1"/>
  <c r="N1174" i="1"/>
  <c r="M1181" i="1"/>
  <c r="N1116" i="1"/>
  <c r="N1150" i="1"/>
  <c r="N1109" i="1"/>
  <c r="N1099" i="1"/>
  <c r="L1072" i="1"/>
  <c r="M1173" i="1"/>
  <c r="N1058" i="1"/>
  <c r="N1053" i="1"/>
  <c r="L1029" i="1"/>
  <c r="L1038" i="1"/>
  <c r="M1030" i="1"/>
  <c r="L1078" i="1"/>
  <c r="N1031" i="1"/>
  <c r="N1052" i="1"/>
  <c r="M1009" i="1"/>
  <c r="M898" i="1"/>
  <c r="M965" i="1"/>
  <c r="M896" i="1"/>
  <c r="N930" i="1"/>
  <c r="N898" i="1"/>
  <c r="L871" i="1"/>
  <c r="M927" i="1"/>
  <c r="N941" i="1"/>
  <c r="M832" i="1"/>
  <c r="M800" i="1"/>
  <c r="L848" i="1"/>
  <c r="L896" i="1"/>
  <c r="N776" i="1"/>
  <c r="L720" i="1"/>
  <c r="L795" i="1"/>
  <c r="N747" i="1"/>
  <c r="N888" i="1"/>
  <c r="N829" i="1"/>
  <c r="M871" i="1"/>
  <c r="M727" i="1"/>
  <c r="M903" i="1"/>
  <c r="L672" i="1"/>
  <c r="L689" i="1"/>
  <c r="N677" i="1"/>
  <c r="L697" i="1"/>
  <c r="M628" i="1"/>
  <c r="M577" i="1"/>
  <c r="L644" i="1"/>
  <c r="L636" i="1"/>
  <c r="L621" i="1"/>
  <c r="M567" i="1"/>
  <c r="L478" i="1"/>
  <c r="N566" i="1"/>
  <c r="M597" i="1"/>
  <c r="N621" i="1"/>
  <c r="L514" i="1"/>
  <c r="M573" i="1"/>
  <c r="N502" i="1"/>
  <c r="M438" i="1"/>
  <c r="N519" i="1"/>
  <c r="N415" i="1"/>
  <c r="N383" i="1"/>
  <c r="M494" i="1"/>
  <c r="L14" i="1"/>
  <c r="L30" i="1"/>
  <c r="N46" i="1"/>
  <c r="N33" i="1"/>
  <c r="N60" i="1"/>
  <c r="N4" i="1"/>
  <c r="N78" i="1"/>
  <c r="N13" i="1"/>
  <c r="L38" i="1"/>
  <c r="M59" i="1"/>
  <c r="L70" i="1"/>
  <c r="L171" i="1"/>
  <c r="M1176" i="1"/>
  <c r="M1182" i="1"/>
  <c r="L1190" i="1"/>
  <c r="L1158" i="1"/>
  <c r="L1156" i="1"/>
  <c r="L1180" i="1"/>
  <c r="M1115" i="1"/>
  <c r="M1145" i="1"/>
  <c r="N1098" i="1"/>
  <c r="M1142" i="1"/>
  <c r="M1066" i="1"/>
  <c r="M1138" i="1"/>
  <c r="M1123" i="1"/>
  <c r="L1106" i="1"/>
  <c r="N1020" i="1"/>
  <c r="L1035" i="1"/>
  <c r="L1020" i="1"/>
  <c r="M995" i="1"/>
  <c r="N1002" i="1"/>
  <c r="N1029" i="1"/>
  <c r="M959" i="1"/>
  <c r="M890" i="1"/>
  <c r="M946" i="1"/>
  <c r="M888" i="1"/>
  <c r="L928" i="1"/>
  <c r="N936" i="1"/>
  <c r="N865" i="1"/>
  <c r="L926" i="1"/>
  <c r="M919" i="1"/>
  <c r="L831" i="1"/>
  <c r="M792" i="1"/>
  <c r="L840" i="1"/>
  <c r="M880" i="1"/>
  <c r="L803" i="1"/>
  <c r="L712" i="1"/>
  <c r="L776" i="1"/>
  <c r="N739" i="1"/>
  <c r="L873" i="1"/>
  <c r="L46" i="1"/>
  <c r="M11" i="1"/>
  <c r="M27" i="1"/>
  <c r="L42" i="1"/>
  <c r="L196" i="1"/>
  <c r="N20" i="1"/>
  <c r="L74" i="1"/>
  <c r="M6" i="1"/>
  <c r="N66" i="1"/>
  <c r="M1160" i="1"/>
  <c r="M1174" i="1"/>
  <c r="L1182" i="1"/>
  <c r="M1158" i="1"/>
  <c r="L1133" i="1"/>
  <c r="L1144" i="1"/>
  <c r="L1104" i="1"/>
  <c r="L1130" i="1"/>
  <c r="L1172" i="1"/>
  <c r="M1099" i="1"/>
  <c r="M1059" i="1"/>
  <c r="N1064" i="1"/>
  <c r="L1083" i="1"/>
  <c r="N1066" i="1"/>
  <c r="M1011" i="1"/>
  <c r="L1019" i="1"/>
  <c r="L996" i="1"/>
  <c r="M1039" i="1"/>
  <c r="M1036" i="1"/>
  <c r="M996" i="1"/>
  <c r="M938" i="1"/>
  <c r="L999" i="1"/>
  <c r="M936" i="1"/>
  <c r="M981" i="1"/>
  <c r="L920" i="1"/>
  <c r="N890" i="1"/>
  <c r="N822" i="1"/>
  <c r="L879" i="1"/>
  <c r="N882" i="1"/>
  <c r="L823" i="1"/>
  <c r="N920" i="1"/>
  <c r="L824" i="1"/>
  <c r="L880" i="1"/>
  <c r="L760" i="1"/>
  <c r="L934" i="1"/>
  <c r="M772" i="1"/>
  <c r="N723" i="1"/>
  <c r="L819" i="1"/>
  <c r="L768" i="1"/>
  <c r="M836" i="1"/>
  <c r="M668" i="1"/>
  <c r="M719" i="1"/>
  <c r="M766" i="1"/>
  <c r="L771" i="1"/>
  <c r="N704" i="1"/>
  <c r="L652" i="1"/>
  <c r="M617" i="1"/>
  <c r="M553" i="1"/>
  <c r="M677" i="1"/>
  <c r="M621" i="1"/>
  <c r="M607" i="1"/>
  <c r="M551" i="1"/>
  <c r="L454" i="1"/>
  <c r="M533" i="1"/>
  <c r="M589" i="1"/>
  <c r="L572" i="1"/>
  <c r="N493" i="1"/>
  <c r="M537" i="1"/>
  <c r="L509" i="1"/>
  <c r="M510" i="1"/>
  <c r="N463" i="1"/>
  <c r="M406" i="1"/>
  <c r="M374" i="1"/>
  <c r="M446" i="1"/>
  <c r="N65" i="1"/>
  <c r="M43" i="1"/>
  <c r="N1184" i="1"/>
  <c r="L1114" i="1"/>
  <c r="L1062" i="1"/>
  <c r="M1019" i="1"/>
  <c r="L991" i="1"/>
  <c r="M941" i="1"/>
  <c r="N830" i="1"/>
  <c r="M1025" i="1"/>
  <c r="L704" i="1"/>
  <c r="M796" i="1"/>
  <c r="M660" i="1"/>
  <c r="N861" i="1"/>
  <c r="L623" i="1"/>
  <c r="L631" i="1"/>
  <c r="N574" i="1"/>
  <c r="N521" i="1"/>
  <c r="N485" i="1"/>
  <c r="M522" i="1"/>
  <c r="N407" i="1"/>
  <c r="M366" i="1"/>
  <c r="M399" i="1"/>
  <c r="M486" i="1"/>
  <c r="L415" i="1"/>
  <c r="M478" i="1"/>
  <c r="N439" i="1"/>
  <c r="N388" i="1"/>
  <c r="L410" i="1"/>
  <c r="M320" i="1"/>
  <c r="M256" i="1"/>
  <c r="M347" i="1"/>
  <c r="M290" i="1"/>
  <c r="M226" i="1"/>
  <c r="N300" i="1"/>
  <c r="N236" i="1"/>
  <c r="L370" i="1"/>
  <c r="M308" i="1"/>
  <c r="M244" i="1"/>
  <c r="N168" i="1"/>
  <c r="L184" i="1"/>
  <c r="L120" i="1"/>
  <c r="N189" i="1"/>
  <c r="N125" i="1"/>
  <c r="L149" i="1"/>
  <c r="N134" i="1"/>
  <c r="M5" i="1"/>
  <c r="L133" i="1"/>
  <c r="L68" i="1"/>
  <c r="L36" i="1"/>
  <c r="N183" i="1"/>
  <c r="L69" i="1"/>
  <c r="N35" i="1"/>
  <c r="N94" i="1"/>
  <c r="N207" i="1"/>
  <c r="M25" i="1"/>
  <c r="N191" i="1"/>
  <c r="M78" i="1"/>
  <c r="M41" i="1"/>
  <c r="M149" i="1"/>
  <c r="N67" i="1"/>
  <c r="M15" i="1"/>
  <c r="N31" i="1"/>
  <c r="M50" i="1"/>
  <c r="M139" i="1"/>
  <c r="N145" i="1"/>
  <c r="L260" i="1"/>
  <c r="M283" i="1"/>
  <c r="L324" i="1"/>
  <c r="L92" i="1"/>
  <c r="M103" i="1"/>
  <c r="L142" i="1"/>
  <c r="M180" i="1"/>
  <c r="M233" i="1"/>
  <c r="L239" i="1"/>
  <c r="M309" i="1"/>
  <c r="M24" i="1"/>
  <c r="M40" i="1"/>
  <c r="M64" i="1"/>
  <c r="M92" i="1"/>
  <c r="M156" i="1"/>
  <c r="L182" i="1"/>
  <c r="M90" i="1"/>
  <c r="M26" i="1"/>
  <c r="N1176" i="1"/>
  <c r="M1103" i="1"/>
  <c r="L1099" i="1"/>
  <c r="N1004" i="1"/>
  <c r="N994" i="1"/>
  <c r="M928" i="1"/>
  <c r="N814" i="1"/>
  <c r="N896" i="1"/>
  <c r="L859" i="1"/>
  <c r="M784" i="1"/>
  <c r="M769" i="1"/>
  <c r="N720" i="1"/>
  <c r="N620" i="1"/>
  <c r="L660" i="1"/>
  <c r="L510" i="1"/>
  <c r="N514" i="1"/>
  <c r="M559" i="1"/>
  <c r="L501" i="1"/>
  <c r="N399" i="1"/>
  <c r="M529" i="1"/>
  <c r="M391" i="1"/>
  <c r="L477" i="1"/>
  <c r="L407" i="1"/>
  <c r="L469" i="1"/>
  <c r="N335" i="1"/>
  <c r="N372" i="1"/>
  <c r="L394" i="1"/>
  <c r="M312" i="1"/>
  <c r="M248" i="1"/>
  <c r="L343" i="1"/>
  <c r="M282" i="1"/>
  <c r="N433" i="1"/>
  <c r="N292" i="1"/>
  <c r="N228" i="1"/>
  <c r="M363" i="1"/>
  <c r="M300" i="1"/>
  <c r="M236" i="1"/>
  <c r="N136" i="1"/>
  <c r="L176" i="1"/>
  <c r="L112" i="1"/>
  <c r="N181" i="1"/>
  <c r="N117" i="1"/>
  <c r="N111" i="1"/>
  <c r="M133" i="1"/>
  <c r="L5" i="1"/>
  <c r="L108" i="1"/>
  <c r="M61" i="1"/>
  <c r="M29" i="1"/>
  <c r="M181" i="1"/>
  <c r="L61" i="1"/>
  <c r="L33" i="1"/>
  <c r="M93" i="1"/>
  <c r="N167" i="1"/>
  <c r="M17" i="1"/>
  <c r="N190" i="1"/>
  <c r="M73" i="1"/>
  <c r="M33" i="1"/>
  <c r="M126" i="1"/>
  <c r="L65" i="1"/>
  <c r="L15" i="1"/>
  <c r="M31" i="1"/>
  <c r="N47" i="1"/>
  <c r="N58" i="1"/>
  <c r="L34" i="1"/>
  <c r="N50" i="1"/>
  <c r="L139" i="1"/>
  <c r="M145" i="1"/>
  <c r="L283" i="1"/>
  <c r="N104" i="1"/>
  <c r="N116" i="1"/>
  <c r="N179" i="1"/>
  <c r="L233" i="1"/>
  <c r="N245" i="1"/>
  <c r="L309" i="1"/>
  <c r="N329" i="1"/>
  <c r="L16" i="1"/>
  <c r="L55" i="1"/>
  <c r="M81" i="1"/>
  <c r="L93" i="1"/>
  <c r="N10" i="1"/>
  <c r="N1198" i="1"/>
  <c r="L1131" i="1"/>
  <c r="L1122" i="1"/>
  <c r="M1020" i="1"/>
  <c r="N1018" i="1"/>
  <c r="L1028" i="1"/>
  <c r="M887" i="1"/>
  <c r="L832" i="1"/>
  <c r="N774" i="1"/>
  <c r="L835" i="1"/>
  <c r="N736" i="1"/>
  <c r="L787" i="1"/>
  <c r="M609" i="1"/>
  <c r="M640" i="1"/>
  <c r="L470" i="1"/>
  <c r="N530" i="1"/>
  <c r="N558" i="1"/>
  <c r="M502" i="1"/>
  <c r="M398" i="1"/>
  <c r="M515" i="1"/>
  <c r="M383" i="1"/>
  <c r="M447" i="1"/>
  <c r="L399" i="1"/>
  <c r="L427" i="1"/>
  <c r="L331" i="1"/>
  <c r="L354" i="1"/>
  <c r="L378" i="1"/>
  <c r="M304" i="1"/>
  <c r="M240" i="1"/>
  <c r="L334" i="1"/>
  <c r="M274" i="1"/>
  <c r="N412" i="1"/>
  <c r="N284" i="1"/>
  <c r="N220" i="1"/>
  <c r="L341" i="1"/>
  <c r="M292" i="1"/>
  <c r="M228" i="1"/>
  <c r="M120" i="1"/>
  <c r="L168" i="1"/>
  <c r="L104" i="1"/>
  <c r="N173" i="1"/>
  <c r="N109" i="1"/>
  <c r="M109" i="1"/>
  <c r="L109" i="1"/>
  <c r="N19" i="1"/>
  <c r="M97" i="1"/>
  <c r="L60" i="1"/>
  <c r="L28" i="1"/>
  <c r="L157" i="1"/>
  <c r="L53" i="1"/>
  <c r="N27" i="1"/>
  <c r="M88" i="1"/>
  <c r="M165" i="1"/>
  <c r="M189" i="1"/>
  <c r="L72" i="1"/>
  <c r="L210" i="1"/>
  <c r="L125" i="1"/>
  <c r="N59" i="1"/>
  <c r="N9" i="1"/>
  <c r="L31" i="1"/>
  <c r="M47" i="1"/>
  <c r="M58" i="1"/>
  <c r="N73" i="1"/>
  <c r="N82" i="1"/>
  <c r="L145" i="1"/>
  <c r="N286" i="1"/>
  <c r="L48" i="1"/>
  <c r="L81" i="1"/>
  <c r="M116" i="1"/>
  <c r="M179" i="1"/>
  <c r="N185" i="1"/>
  <c r="M277" i="1"/>
  <c r="N303" i="1"/>
  <c r="M329" i="1"/>
  <c r="M337" i="1"/>
  <c r="M56" i="1"/>
  <c r="M94" i="1"/>
  <c r="N114" i="1"/>
  <c r="N161" i="1"/>
  <c r="N49" i="1"/>
  <c r="N6" i="1"/>
  <c r="L1157" i="1"/>
  <c r="M1102" i="1"/>
  <c r="N1152" i="1"/>
  <c r="L1011" i="1"/>
  <c r="M988" i="1"/>
  <c r="L946" i="1"/>
  <c r="M1001" i="1"/>
  <c r="L816" i="1"/>
  <c r="N770" i="1"/>
  <c r="N752" i="1"/>
  <c r="L718" i="1"/>
  <c r="M751" i="1"/>
  <c r="M569" i="1"/>
  <c r="N698" i="1"/>
  <c r="L462" i="1"/>
  <c r="N598" i="1"/>
  <c r="N529" i="1"/>
  <c r="L493" i="1"/>
  <c r="N391" i="1"/>
  <c r="L485" i="1"/>
  <c r="M375" i="1"/>
  <c r="L446" i="1"/>
  <c r="L391" i="1"/>
  <c r="N582" i="1"/>
  <c r="M525" i="1"/>
  <c r="M335" i="1"/>
  <c r="M358" i="1"/>
  <c r="M296" i="1"/>
  <c r="M232" i="1"/>
  <c r="M330" i="1"/>
  <c r="M266" i="1"/>
  <c r="N396" i="1"/>
  <c r="N276" i="1"/>
  <c r="N212" i="1"/>
  <c r="N340" i="1"/>
  <c r="M284" i="1"/>
  <c r="M220" i="1"/>
  <c r="M112" i="1"/>
  <c r="L160" i="1"/>
  <c r="N213" i="1"/>
  <c r="N165" i="1"/>
  <c r="N199" i="1"/>
  <c r="M3" i="1"/>
  <c r="N85" i="1"/>
  <c r="L172" i="1"/>
  <c r="L96" i="1"/>
  <c r="M53" i="1"/>
  <c r="M21" i="1"/>
  <c r="N119" i="1"/>
  <c r="L45" i="1"/>
  <c r="M182" i="1"/>
  <c r="L141" i="1"/>
  <c r="L2" i="1"/>
  <c r="L165" i="1"/>
  <c r="M65" i="1"/>
  <c r="M190" i="1"/>
  <c r="L84" i="1"/>
  <c r="L57" i="1"/>
  <c r="N25" i="1"/>
  <c r="L47" i="1"/>
  <c r="N18" i="1"/>
  <c r="N162" i="1"/>
  <c r="N251" i="1"/>
  <c r="N315" i="1"/>
  <c r="N93" i="1"/>
  <c r="N115" i="1"/>
  <c r="L179" i="1"/>
  <c r="M185" i="1"/>
  <c r="M217" i="1"/>
  <c r="L277" i="1"/>
  <c r="N297" i="1"/>
  <c r="M303" i="1"/>
  <c r="L329" i="1"/>
  <c r="L337" i="1"/>
  <c r="M16" i="1"/>
  <c r="M86" i="1"/>
  <c r="M114" i="1"/>
  <c r="M142" i="1"/>
  <c r="M161" i="1"/>
  <c r="M42" i="1"/>
  <c r="M1168" i="1"/>
  <c r="L1150" i="1"/>
  <c r="L1196" i="1"/>
  <c r="L1085" i="1"/>
  <c r="L1004" i="1"/>
  <c r="M951" i="1"/>
  <c r="N922" i="1"/>
  <c r="L918" i="1"/>
  <c r="N912" i="1"/>
  <c r="N731" i="1"/>
  <c r="M735" i="1"/>
  <c r="L668" i="1"/>
  <c r="L867" i="1"/>
  <c r="M561" i="1"/>
  <c r="M619" i="1"/>
  <c r="N685" i="1"/>
  <c r="M581" i="1"/>
  <c r="L558" i="1"/>
  <c r="M434" i="1"/>
  <c r="M390" i="1"/>
  <c r="N447" i="1"/>
  <c r="M367" i="1"/>
  <c r="L442" i="1"/>
  <c r="L383" i="1"/>
  <c r="M470" i="1"/>
  <c r="N453" i="1"/>
  <c r="L527" i="1"/>
  <c r="M355" i="1"/>
  <c r="M288" i="1"/>
  <c r="M436" i="1"/>
  <c r="M322" i="1"/>
  <c r="M258" i="1"/>
  <c r="N380" i="1"/>
  <c r="N268" i="1"/>
  <c r="M462" i="1"/>
  <c r="N336" i="1"/>
  <c r="M276" i="1"/>
  <c r="M206" i="1"/>
  <c r="M104" i="1"/>
  <c r="L152" i="1"/>
  <c r="N205" i="1"/>
  <c r="N157" i="1"/>
  <c r="M194" i="1"/>
  <c r="L17" i="1"/>
  <c r="N80" i="1"/>
  <c r="N159" i="1"/>
  <c r="M85" i="1"/>
  <c r="L52" i="1"/>
  <c r="L20" i="1"/>
  <c r="M117" i="1"/>
  <c r="L37" i="1"/>
  <c r="L181" i="1"/>
  <c r="N2" i="1"/>
  <c r="N103" i="1"/>
  <c r="L49" i="1"/>
  <c r="N127" i="1"/>
  <c r="L64" i="1"/>
  <c r="L189" i="1"/>
  <c r="N79" i="1"/>
  <c r="N51" i="1"/>
  <c r="N41" i="1"/>
  <c r="N99" i="1"/>
  <c r="L50" i="1"/>
  <c r="N54" i="1"/>
  <c r="M127" i="1"/>
  <c r="M162" i="1"/>
  <c r="M191" i="1"/>
  <c r="L228" i="1"/>
  <c r="M251" i="1"/>
  <c r="L292" i="1"/>
  <c r="M315" i="1"/>
  <c r="L32" i="1"/>
  <c r="L86" i="1"/>
  <c r="L94" i="1"/>
  <c r="N100" i="1"/>
  <c r="M115" i="1"/>
  <c r="N121" i="1"/>
  <c r="N138" i="1"/>
  <c r="L185" i="1"/>
  <c r="N217" i="1"/>
  <c r="M245" i="1"/>
  <c r="N271" i="1"/>
  <c r="M297" i="1"/>
  <c r="L303" i="1"/>
  <c r="L24" i="1"/>
  <c r="N17" i="1"/>
  <c r="M32" i="1"/>
  <c r="M48" i="1"/>
  <c r="L100" i="1"/>
  <c r="L114" i="1"/>
  <c r="M143" i="1"/>
  <c r="L161" i="1"/>
  <c r="N178" i="1"/>
  <c r="L8" i="1"/>
  <c r="M66" i="1"/>
  <c r="L1181" i="1"/>
  <c r="N1166" i="1"/>
  <c r="N1104" i="1"/>
  <c r="L1098" i="1"/>
  <c r="M1086" i="1"/>
  <c r="M882" i="1"/>
  <c r="N904" i="1"/>
  <c r="M824" i="1"/>
  <c r="M776" i="1"/>
  <c r="L851" i="1"/>
  <c r="L694" i="1"/>
  <c r="N728" i="1"/>
  <c r="L691" i="1"/>
  <c r="N712" i="1"/>
  <c r="M599" i="1"/>
  <c r="L550" i="1"/>
  <c r="N509" i="1"/>
  <c r="N479" i="1"/>
  <c r="M422" i="1"/>
  <c r="N375" i="1"/>
  <c r="N427" i="1"/>
  <c r="N560" i="1"/>
  <c r="M427" i="1"/>
  <c r="L367" i="1"/>
  <c r="N487" i="1"/>
  <c r="N420" i="1"/>
  <c r="N440" i="1"/>
  <c r="L335" i="1"/>
  <c r="M272" i="1"/>
  <c r="N359" i="1"/>
  <c r="M306" i="1"/>
  <c r="M242" i="1"/>
  <c r="M350" i="1"/>
  <c r="N252" i="1"/>
  <c r="L402" i="1"/>
  <c r="M324" i="1"/>
  <c r="M260" i="1"/>
  <c r="N184" i="1"/>
  <c r="M212" i="1"/>
  <c r="L136" i="1"/>
  <c r="M224" i="1"/>
  <c r="N141" i="1"/>
  <c r="N175" i="1"/>
  <c r="L173" i="1"/>
  <c r="M13" i="1"/>
  <c r="M157" i="1"/>
  <c r="L76" i="1"/>
  <c r="L44" i="1"/>
  <c r="L41" i="1"/>
  <c r="L83" i="1"/>
  <c r="L21" i="1"/>
  <c r="M141" i="1"/>
  <c r="L9" i="1"/>
  <c r="M210" i="1"/>
  <c r="M125" i="1"/>
  <c r="L56" i="1"/>
  <c r="N151" i="1"/>
  <c r="N75" i="1"/>
  <c r="M35" i="1"/>
  <c r="M62" i="1"/>
  <c r="M91" i="1"/>
  <c r="L99" i="1"/>
  <c r="L18" i="1"/>
  <c r="M34" i="1"/>
  <c r="L54" i="1"/>
  <c r="M82" i="1"/>
  <c r="L102" i="1"/>
  <c r="M140" i="1"/>
  <c r="L166" i="1"/>
  <c r="N254" i="1"/>
  <c r="N318" i="1"/>
  <c r="N88" i="1"/>
  <c r="L101" i="1"/>
  <c r="L121" i="1"/>
  <c r="L138" i="1"/>
  <c r="M167" i="1"/>
  <c r="L208" i="1"/>
  <c r="N239" i="1"/>
  <c r="M265" i="1"/>
  <c r="L271" i="1"/>
  <c r="N337" i="1"/>
  <c r="M72" i="1"/>
  <c r="N102" i="1"/>
  <c r="L118" i="1"/>
  <c r="N166" i="1"/>
  <c r="L178" i="1"/>
  <c r="N1145" i="1"/>
  <c r="L994" i="1"/>
  <c r="M889" i="1"/>
  <c r="N688" i="1"/>
  <c r="N426" i="1"/>
  <c r="N511" i="1"/>
  <c r="N404" i="1"/>
  <c r="L346" i="1"/>
  <c r="N244" i="1"/>
  <c r="N176" i="1"/>
  <c r="N133" i="1"/>
  <c r="M134" i="1"/>
  <c r="L80" i="1"/>
  <c r="L88" i="1"/>
  <c r="M57" i="1"/>
  <c r="M19" i="1"/>
  <c r="M51" i="1"/>
  <c r="M54" i="1"/>
  <c r="N140" i="1"/>
  <c r="N208" i="1"/>
  <c r="N265" i="1"/>
  <c r="N309" i="1"/>
  <c r="M63" i="1"/>
  <c r="M95" i="1"/>
  <c r="M98" i="1"/>
  <c r="M118" i="1"/>
  <c r="M1151" i="1"/>
  <c r="N914" i="1"/>
  <c r="M788" i="1"/>
  <c r="M615" i="1"/>
  <c r="N423" i="1"/>
  <c r="L437" i="1"/>
  <c r="M454" i="1"/>
  <c r="M314" i="1"/>
  <c r="L418" i="1"/>
  <c r="M96" i="1"/>
  <c r="L188" i="1"/>
  <c r="M80" i="1"/>
  <c r="L29" i="1"/>
  <c r="M49" i="1"/>
  <c r="N62" i="1"/>
  <c r="L315" i="1"/>
  <c r="L115" i="1"/>
  <c r="M208" i="1"/>
  <c r="L265" i="1"/>
  <c r="N277" i="1"/>
  <c r="L63" i="1"/>
  <c r="N8" i="1"/>
  <c r="N32" i="1"/>
  <c r="N64" i="1"/>
  <c r="L95" i="1"/>
  <c r="L98" i="1"/>
  <c r="M119" i="1"/>
  <c r="M46" i="1"/>
  <c r="N1125" i="1"/>
  <c r="L888" i="1"/>
  <c r="M693" i="1"/>
  <c r="L612" i="1"/>
  <c r="M414" i="1"/>
  <c r="L423" i="1"/>
  <c r="N431" i="1"/>
  <c r="M298" i="1"/>
  <c r="L386" i="1"/>
  <c r="L195" i="1"/>
  <c r="M173" i="1"/>
  <c r="M69" i="1"/>
  <c r="L13" i="1"/>
  <c r="M2" i="1"/>
  <c r="L164" i="1"/>
  <c r="L62" i="1"/>
  <c r="L82" i="1"/>
  <c r="N92" i="1"/>
  <c r="M100" i="1"/>
  <c r="M138" i="1"/>
  <c r="M166" i="1"/>
  <c r="N233" i="1"/>
  <c r="M178" i="1"/>
  <c r="N86" i="1"/>
  <c r="N120" i="1"/>
  <c r="N1082" i="1"/>
  <c r="N866" i="1"/>
  <c r="N789" i="1"/>
  <c r="N552" i="1"/>
  <c r="M382" i="1"/>
  <c r="L375" i="1"/>
  <c r="L338" i="1"/>
  <c r="M250" i="1"/>
  <c r="N331" i="1"/>
  <c r="L144" i="1"/>
  <c r="L194" i="1"/>
  <c r="M45" i="1"/>
  <c r="N143" i="1"/>
  <c r="N150" i="1"/>
  <c r="N1059" i="1"/>
  <c r="M816" i="1"/>
  <c r="L678" i="1"/>
  <c r="N627" i="1"/>
  <c r="N367" i="1"/>
  <c r="L359" i="1"/>
  <c r="M328" i="1"/>
  <c r="M234" i="1"/>
  <c r="M316" i="1"/>
  <c r="L128" i="1"/>
  <c r="N135" i="1"/>
  <c r="M37" i="1"/>
  <c r="L117" i="1"/>
  <c r="L25" i="1"/>
  <c r="L78" i="1"/>
  <c r="M99" i="1"/>
  <c r="N139" i="1"/>
  <c r="L40" i="1"/>
  <c r="M239" i="1"/>
  <c r="L71" i="1"/>
  <c r="N16" i="1"/>
  <c r="N40" i="1"/>
  <c r="N56" i="1"/>
  <c r="M1152" i="1"/>
  <c r="M1105" i="1"/>
  <c r="N875" i="1"/>
  <c r="L758" i="1"/>
  <c r="L530" i="1"/>
  <c r="N437" i="1"/>
  <c r="L461" i="1"/>
  <c r="M280" i="1"/>
  <c r="L362" i="1"/>
  <c r="M268" i="1"/>
  <c r="M218" i="1"/>
  <c r="L3" i="1"/>
  <c r="N43" i="1"/>
  <c r="L207" i="1"/>
  <c r="L73" i="1"/>
  <c r="M18" i="1"/>
  <c r="L217" i="1"/>
  <c r="M71" i="1"/>
  <c r="N83" i="1"/>
  <c r="L995" i="1"/>
  <c r="M407" i="1"/>
  <c r="M252" i="1"/>
  <c r="N283" i="1"/>
  <c r="M102" i="1"/>
  <c r="M121" i="1"/>
  <c r="M271" i="1"/>
  <c r="N81" i="1"/>
  <c r="M154" i="1"/>
  <c r="L201" i="1"/>
  <c r="N95" i="1"/>
  <c r="N113" i="1"/>
  <c r="M172" i="1"/>
  <c r="N182" i="1"/>
  <c r="M200" i="1"/>
  <c r="L110" i="1"/>
  <c r="N147" i="1"/>
  <c r="M193" i="1"/>
  <c r="L219" i="1"/>
  <c r="M4" i="1"/>
  <c r="L19" i="1"/>
  <c r="M44" i="1"/>
  <c r="L67" i="1"/>
  <c r="L204" i="1"/>
  <c r="N87" i="1"/>
  <c r="N110" i="1"/>
  <c r="L124" i="1"/>
  <c r="M151" i="1"/>
  <c r="L211" i="1"/>
  <c r="M205" i="1"/>
  <c r="N259" i="1"/>
  <c r="N323" i="1"/>
  <c r="L205" i="1"/>
  <c r="L253" i="1"/>
  <c r="N273" i="1"/>
  <c r="M279" i="1"/>
  <c r="L305" i="1"/>
  <c r="N317" i="1"/>
  <c r="M202" i="1"/>
  <c r="N235" i="1"/>
  <c r="N299" i="1"/>
  <c r="M261" i="1"/>
  <c r="N287" i="1"/>
  <c r="M313" i="1"/>
  <c r="L319" i="1"/>
  <c r="L119" i="1"/>
  <c r="M144" i="1"/>
  <c r="L167" i="1"/>
  <c r="M195" i="1"/>
  <c r="N206" i="1"/>
  <c r="N278" i="1"/>
  <c r="L333" i="1"/>
  <c r="L225" i="1"/>
  <c r="N237" i="1"/>
  <c r="L301" i="1"/>
  <c r="N321" i="1"/>
  <c r="M327" i="1"/>
  <c r="M401" i="1"/>
  <c r="L433" i="1"/>
  <c r="L445" i="1"/>
  <c r="L266" i="1"/>
  <c r="N308" i="1"/>
  <c r="N324" i="1"/>
  <c r="L349" i="1"/>
  <c r="M368" i="1"/>
  <c r="N384" i="1"/>
  <c r="N441" i="1"/>
  <c r="L356" i="1"/>
  <c r="M930" i="1"/>
  <c r="M359" i="1"/>
  <c r="N203" i="1"/>
  <c r="M9" i="1"/>
  <c r="N180" i="1"/>
  <c r="M101" i="1"/>
  <c r="M83" i="1"/>
  <c r="N132" i="1"/>
  <c r="N142" i="1"/>
  <c r="L154" i="1"/>
  <c r="M183" i="1"/>
  <c r="N96" i="1"/>
  <c r="M113" i="1"/>
  <c r="N130" i="1"/>
  <c r="N201" i="1"/>
  <c r="M147" i="1"/>
  <c r="N153" i="1"/>
  <c r="L193" i="1"/>
  <c r="N219" i="1"/>
  <c r="N5" i="1"/>
  <c r="M20" i="1"/>
  <c r="N45" i="1"/>
  <c r="M68" i="1"/>
  <c r="L79" i="1"/>
  <c r="N188" i="1"/>
  <c r="L126" i="1"/>
  <c r="N152" i="1"/>
  <c r="N174" i="1"/>
  <c r="N216" i="1"/>
  <c r="L236" i="1"/>
  <c r="M259" i="1"/>
  <c r="L300" i="1"/>
  <c r="M323" i="1"/>
  <c r="M213" i="1"/>
  <c r="N247" i="1"/>
  <c r="M273" i="1"/>
  <c r="L279" i="1"/>
  <c r="L212" i="1"/>
  <c r="M235" i="1"/>
  <c r="L276" i="1"/>
  <c r="M299" i="1"/>
  <c r="M331" i="1"/>
  <c r="L261" i="1"/>
  <c r="N281" i="1"/>
  <c r="M287" i="1"/>
  <c r="L313" i="1"/>
  <c r="N325" i="1"/>
  <c r="L206" i="1"/>
  <c r="N221" i="1"/>
  <c r="N243" i="1"/>
  <c r="N307" i="1"/>
  <c r="M269" i="1"/>
  <c r="N295" i="1"/>
  <c r="M321" i="1"/>
  <c r="L327" i="1"/>
  <c r="M348" i="1"/>
  <c r="L401" i="1"/>
  <c r="M429" i="1"/>
  <c r="L226" i="1"/>
  <c r="L290" i="1"/>
  <c r="M343" i="1"/>
  <c r="N361" i="1"/>
  <c r="L368" i="1"/>
  <c r="M384" i="1"/>
  <c r="N400" i="1"/>
  <c r="M441" i="1"/>
  <c r="L232" i="1"/>
  <c r="L248" i="1"/>
  <c r="L264" i="1"/>
  <c r="L280" i="1"/>
  <c r="L296" i="1"/>
  <c r="L752" i="1"/>
  <c r="L459" i="1"/>
  <c r="N194" i="1"/>
  <c r="N3" i="1"/>
  <c r="N34" i="1"/>
  <c r="M168" i="1"/>
  <c r="L297" i="1"/>
  <c r="N144" i="1"/>
  <c r="M132" i="1"/>
  <c r="L156" i="1"/>
  <c r="M184" i="1"/>
  <c r="N63" i="1"/>
  <c r="N76" i="1"/>
  <c r="L113" i="1"/>
  <c r="M130" i="1"/>
  <c r="L147" i="1"/>
  <c r="M153" i="1"/>
  <c r="N195" i="1"/>
  <c r="L4" i="1"/>
  <c r="N21" i="1"/>
  <c r="L35" i="1"/>
  <c r="L59" i="1"/>
  <c r="N69" i="1"/>
  <c r="M110" i="1"/>
  <c r="N129" i="1"/>
  <c r="M188" i="1"/>
  <c r="N164" i="1"/>
  <c r="N186" i="1"/>
  <c r="N192" i="1"/>
  <c r="M204" i="1"/>
  <c r="L216" i="1"/>
  <c r="L259" i="1"/>
  <c r="L323" i="1"/>
  <c r="L213" i="1"/>
  <c r="N241" i="1"/>
  <c r="M247" i="1"/>
  <c r="L273" i="1"/>
  <c r="N285" i="1"/>
  <c r="N214" i="1"/>
  <c r="L235" i="1"/>
  <c r="L299" i="1"/>
  <c r="M229" i="1"/>
  <c r="N255" i="1"/>
  <c r="M281" i="1"/>
  <c r="L287" i="1"/>
  <c r="L127" i="1"/>
  <c r="L151" i="1"/>
  <c r="L175" i="1"/>
  <c r="L197" i="1"/>
  <c r="M243" i="1"/>
  <c r="L284" i="1"/>
  <c r="M307" i="1"/>
  <c r="L269" i="1"/>
  <c r="N289" i="1"/>
  <c r="M295" i="1"/>
  <c r="L321" i="1"/>
  <c r="L348" i="1"/>
  <c r="N350" i="1"/>
  <c r="M380" i="1"/>
  <c r="N385" i="1"/>
  <c r="N429" i="1"/>
  <c r="N495" i="1"/>
  <c r="L250" i="1"/>
  <c r="L347" i="1"/>
  <c r="M361" i="1"/>
  <c r="L384" i="1"/>
  <c r="M400" i="1"/>
  <c r="N416" i="1"/>
  <c r="L441" i="1"/>
  <c r="N344" i="1"/>
  <c r="N379" i="1"/>
  <c r="N395" i="1"/>
  <c r="N411" i="1"/>
  <c r="L432" i="1"/>
  <c r="N436" i="1"/>
  <c r="N218" i="1"/>
  <c r="N234" i="1"/>
  <c r="N250" i="1"/>
  <c r="N266" i="1"/>
  <c r="N282" i="1"/>
  <c r="N298" i="1"/>
  <c r="N715" i="1"/>
  <c r="M425" i="1"/>
  <c r="N149" i="1"/>
  <c r="N128" i="1"/>
  <c r="L251" i="1"/>
  <c r="M8" i="1"/>
  <c r="N48" i="1"/>
  <c r="N131" i="1"/>
  <c r="L158" i="1"/>
  <c r="N97" i="1"/>
  <c r="N108" i="1"/>
  <c r="L130" i="1"/>
  <c r="M158" i="1"/>
  <c r="L153" i="1"/>
  <c r="M36" i="1"/>
  <c r="M60" i="1"/>
  <c r="M111" i="1"/>
  <c r="M129" i="1"/>
  <c r="N146" i="1"/>
  <c r="M164" i="1"/>
  <c r="M186" i="1"/>
  <c r="M192" i="1"/>
  <c r="N215" i="1"/>
  <c r="N262" i="1"/>
  <c r="N326" i="1"/>
  <c r="M241" i="1"/>
  <c r="L247" i="1"/>
  <c r="M317" i="1"/>
  <c r="M214" i="1"/>
  <c r="N238" i="1"/>
  <c r="N302" i="1"/>
  <c r="M197" i="1"/>
  <c r="L209" i="1"/>
  <c r="L229" i="1"/>
  <c r="N249" i="1"/>
  <c r="M255" i="1"/>
  <c r="L281" i="1"/>
  <c r="N293" i="1"/>
  <c r="M128" i="1"/>
  <c r="M152" i="1"/>
  <c r="N209" i="1"/>
  <c r="L243" i="1"/>
  <c r="L307" i="1"/>
  <c r="N197" i="1"/>
  <c r="M207" i="1"/>
  <c r="M237" i="1"/>
  <c r="N263" i="1"/>
  <c r="M289" i="1"/>
  <c r="L295" i="1"/>
  <c r="M385" i="1"/>
  <c r="L429" i="1"/>
  <c r="N512" i="1"/>
  <c r="L274" i="1"/>
  <c r="L314" i="1"/>
  <c r="L330" i="1"/>
  <c r="L361" i="1"/>
  <c r="L400" i="1"/>
  <c r="M416" i="1"/>
  <c r="L332" i="1"/>
  <c r="L344" i="1"/>
  <c r="M338" i="1"/>
  <c r="N623" i="1"/>
  <c r="M264" i="1"/>
  <c r="L12" i="1"/>
  <c r="N101" i="1"/>
  <c r="L140" i="1"/>
  <c r="L116" i="1"/>
  <c r="N24" i="1"/>
  <c r="N72" i="1"/>
  <c r="M131" i="1"/>
  <c r="L97" i="1"/>
  <c r="M108" i="1"/>
  <c r="N118" i="1"/>
  <c r="L132" i="1"/>
  <c r="M159" i="1"/>
  <c r="N177" i="1"/>
  <c r="L220" i="1"/>
  <c r="N170" i="1"/>
  <c r="L11" i="1"/>
  <c r="N37" i="1"/>
  <c r="L51" i="1"/>
  <c r="N61" i="1"/>
  <c r="N112" i="1"/>
  <c r="L129" i="1"/>
  <c r="M146" i="1"/>
  <c r="N204" i="1"/>
  <c r="M79" i="1"/>
  <c r="N105" i="1"/>
  <c r="N163" i="1"/>
  <c r="L186" i="1"/>
  <c r="L192" i="1"/>
  <c r="M215" i="1"/>
  <c r="N227" i="1"/>
  <c r="N291" i="1"/>
  <c r="L198" i="1"/>
  <c r="L241" i="1"/>
  <c r="N253" i="1"/>
  <c r="L317" i="1"/>
  <c r="L214" i="1"/>
  <c r="N222" i="1"/>
  <c r="N267" i="1"/>
  <c r="M249" i="1"/>
  <c r="L255" i="1"/>
  <c r="M325" i="1"/>
  <c r="L103" i="1"/>
  <c r="L183" i="1"/>
  <c r="L199" i="1"/>
  <c r="M221" i="1"/>
  <c r="N246" i="1"/>
  <c r="N310" i="1"/>
  <c r="M333" i="1"/>
  <c r="L237" i="1"/>
  <c r="N257" i="1"/>
  <c r="M263" i="1"/>
  <c r="L289" i="1"/>
  <c r="N301" i="1"/>
  <c r="L385" i="1"/>
  <c r="M412" i="1"/>
  <c r="N417" i="1"/>
  <c r="M512" i="1"/>
  <c r="L234" i="1"/>
  <c r="L298" i="1"/>
  <c r="N316" i="1"/>
  <c r="N334" i="1"/>
  <c r="N360" i="1"/>
  <c r="L416" i="1"/>
  <c r="N357" i="1"/>
  <c r="M545" i="1"/>
  <c r="M428" i="1"/>
  <c r="N158" i="1"/>
  <c r="N126" i="1"/>
  <c r="N15" i="1"/>
  <c r="L58" i="1"/>
  <c r="L180" i="1"/>
  <c r="L131" i="1"/>
  <c r="N137" i="1"/>
  <c r="N107" i="1"/>
  <c r="L134" i="1"/>
  <c r="N160" i="1"/>
  <c r="M177" i="1"/>
  <c r="L200" i="1"/>
  <c r="M87" i="1"/>
  <c r="N106" i="1"/>
  <c r="M135" i="1"/>
  <c r="M170" i="1"/>
  <c r="M12" i="1"/>
  <c r="L27" i="1"/>
  <c r="M52" i="1"/>
  <c r="L87" i="1"/>
  <c r="L146" i="1"/>
  <c r="M174" i="1"/>
  <c r="M105" i="1"/>
  <c r="N122" i="1"/>
  <c r="M163" i="1"/>
  <c r="N169" i="1"/>
  <c r="L190" i="1"/>
  <c r="N198" i="1"/>
  <c r="N223" i="1"/>
  <c r="M227" i="1"/>
  <c r="L268" i="1"/>
  <c r="M291" i="1"/>
  <c r="L215" i="1"/>
  <c r="M285" i="1"/>
  <c r="N311" i="1"/>
  <c r="M222" i="1"/>
  <c r="L244" i="1"/>
  <c r="M267" i="1"/>
  <c r="L308" i="1"/>
  <c r="L249" i="1"/>
  <c r="N261" i="1"/>
  <c r="L325" i="1"/>
  <c r="L135" i="1"/>
  <c r="L159" i="1"/>
  <c r="M203" i="1"/>
  <c r="L221" i="1"/>
  <c r="N275" i="1"/>
  <c r="N231" i="1"/>
  <c r="M257" i="1"/>
  <c r="L263" i="1"/>
  <c r="N369" i="1"/>
  <c r="M417" i="1"/>
  <c r="M445" i="1"/>
  <c r="M495" i="1"/>
  <c r="L512" i="1"/>
  <c r="L258" i="1"/>
  <c r="M360" i="1"/>
  <c r="N342" i="1"/>
  <c r="M357" i="1"/>
  <c r="N374" i="1"/>
  <c r="N390" i="1"/>
  <c r="N406" i="1"/>
  <c r="N432" i="1"/>
  <c r="L224" i="1"/>
  <c r="L240" i="1"/>
  <c r="L256" i="1"/>
  <c r="L272" i="1"/>
  <c r="L288" i="1"/>
  <c r="L304" i="1"/>
  <c r="N11" i="1"/>
  <c r="N91" i="1"/>
  <c r="L137" i="1"/>
  <c r="M201" i="1"/>
  <c r="L177" i="1"/>
  <c r="L43" i="1"/>
  <c r="M76" i="1"/>
  <c r="M176" i="1"/>
  <c r="N84" i="1"/>
  <c r="N202" i="1"/>
  <c r="N230" i="1"/>
  <c r="L202" i="1"/>
  <c r="M311" i="1"/>
  <c r="L293" i="1"/>
  <c r="L191" i="1"/>
  <c r="M199" i="1"/>
  <c r="N349" i="1"/>
  <c r="L242" i="1"/>
  <c r="L322" i="1"/>
  <c r="L395" i="1"/>
  <c r="N422" i="1"/>
  <c r="N274" i="1"/>
  <c r="N343" i="1"/>
  <c r="N355" i="1"/>
  <c r="M388" i="1"/>
  <c r="N393" i="1"/>
  <c r="L409" i="1"/>
  <c r="N353" i="1"/>
  <c r="M376" i="1"/>
  <c r="N392" i="1"/>
  <c r="L430" i="1"/>
  <c r="M262" i="1"/>
  <c r="M326" i="1"/>
  <c r="L340" i="1"/>
  <c r="M364" i="1"/>
  <c r="N364" i="1"/>
  <c r="N557" i="1"/>
  <c r="N378" i="1"/>
  <c r="N410" i="1"/>
  <c r="M437" i="1"/>
  <c r="L447" i="1"/>
  <c r="N468" i="1"/>
  <c r="N481" i="1"/>
  <c r="N503" i="1"/>
  <c r="N537" i="1"/>
  <c r="N523" i="1"/>
  <c r="L350" i="1"/>
  <c r="L382" i="1"/>
  <c r="L414" i="1"/>
  <c r="N456" i="1"/>
  <c r="N484" i="1"/>
  <c r="N497" i="1"/>
  <c r="M519" i="1"/>
  <c r="M547" i="1"/>
  <c r="L556" i="1"/>
  <c r="L590" i="1"/>
  <c r="M471" i="1"/>
  <c r="L492" i="1"/>
  <c r="L505" i="1"/>
  <c r="L522" i="1"/>
  <c r="L388" i="1"/>
  <c r="L420" i="1"/>
  <c r="N471" i="1"/>
  <c r="L491" i="1"/>
  <c r="M496" i="1"/>
  <c r="L599" i="1"/>
  <c r="L428" i="1"/>
  <c r="N450" i="1"/>
  <c r="M487" i="1"/>
  <c r="M508" i="1"/>
  <c r="L524" i="1"/>
  <c r="N564" i="1"/>
  <c r="M461" i="1"/>
  <c r="M493" i="1"/>
  <c r="M546" i="1"/>
  <c r="M563" i="1"/>
  <c r="N585" i="1"/>
  <c r="M606" i="1"/>
  <c r="L615" i="1"/>
  <c r="L657" i="1"/>
  <c r="L526" i="1"/>
  <c r="L544" i="1"/>
  <c r="L85" i="1"/>
  <c r="L91" i="1"/>
  <c r="L162" i="1"/>
  <c r="N98" i="1"/>
  <c r="N71" i="1"/>
  <c r="L170" i="1"/>
  <c r="N53" i="1"/>
  <c r="M169" i="1"/>
  <c r="N211" i="1"/>
  <c r="M223" i="1"/>
  <c r="L291" i="1"/>
  <c r="N279" i="1"/>
  <c r="L311" i="1"/>
  <c r="N313" i="1"/>
  <c r="L257" i="1"/>
  <c r="N269" i="1"/>
  <c r="M349" i="1"/>
  <c r="M369" i="1"/>
  <c r="M396" i="1"/>
  <c r="N445" i="1"/>
  <c r="N347" i="1"/>
  <c r="L342" i="1"/>
  <c r="M344" i="1"/>
  <c r="N356" i="1"/>
  <c r="N373" i="1"/>
  <c r="N405" i="1"/>
  <c r="N339" i="1"/>
  <c r="M393" i="1"/>
  <c r="L238" i="1"/>
  <c r="L254" i="1"/>
  <c r="L270" i="1"/>
  <c r="L286" i="1"/>
  <c r="L302" i="1"/>
  <c r="L318" i="1"/>
  <c r="M353" i="1"/>
  <c r="L376" i="1"/>
  <c r="M392" i="1"/>
  <c r="N408" i="1"/>
  <c r="M286" i="1"/>
  <c r="L364" i="1"/>
  <c r="N366" i="1"/>
  <c r="N382" i="1"/>
  <c r="N398" i="1"/>
  <c r="L365" i="1"/>
  <c r="N381" i="1"/>
  <c r="N413" i="1"/>
  <c r="M346" i="1"/>
  <c r="L557" i="1"/>
  <c r="M468" i="1"/>
  <c r="M481" i="1"/>
  <c r="N569" i="1"/>
  <c r="N434" i="1"/>
  <c r="N494" i="1"/>
  <c r="M523" i="1"/>
  <c r="N594" i="1"/>
  <c r="M415" i="1"/>
  <c r="L434" i="1"/>
  <c r="M456" i="1"/>
  <c r="M484" i="1"/>
  <c r="M497" i="1"/>
  <c r="L519" i="1"/>
  <c r="L547" i="1"/>
  <c r="N590" i="1"/>
  <c r="N451" i="1"/>
  <c r="L471" i="1"/>
  <c r="L496" i="1"/>
  <c r="M616" i="1"/>
  <c r="L436" i="1"/>
  <c r="M450" i="1"/>
  <c r="N459" i="1"/>
  <c r="L487" i="1"/>
  <c r="L508" i="1"/>
  <c r="M564" i="1"/>
  <c r="N462" i="1"/>
  <c r="M501" i="1"/>
  <c r="L546" i="1"/>
  <c r="N572" i="1"/>
  <c r="N602" i="1"/>
  <c r="L563" i="1"/>
  <c r="L606" i="1"/>
  <c r="N657" i="1"/>
  <c r="L490" i="1"/>
  <c r="N554" i="1"/>
  <c r="N571" i="1"/>
  <c r="N576" i="1"/>
  <c r="L1173" i="1"/>
  <c r="L245" i="1"/>
  <c r="N89" i="1"/>
  <c r="M106" i="1"/>
  <c r="M136" i="1"/>
  <c r="N148" i="1"/>
  <c r="L174" i="1"/>
  <c r="L169" i="1"/>
  <c r="M211" i="1"/>
  <c r="N294" i="1"/>
  <c r="L222" i="1"/>
  <c r="L111" i="1"/>
  <c r="M275" i="1"/>
  <c r="N225" i="1"/>
  <c r="L369" i="1"/>
  <c r="M433" i="1"/>
  <c r="N348" i="1"/>
  <c r="N242" i="1"/>
  <c r="L312" i="1"/>
  <c r="L328" i="1"/>
  <c r="L357" i="1"/>
  <c r="M373" i="1"/>
  <c r="M379" i="1"/>
  <c r="M405" i="1"/>
  <c r="M411" i="1"/>
  <c r="M372" i="1"/>
  <c r="N377" i="1"/>
  <c r="L393" i="1"/>
  <c r="L425" i="1"/>
  <c r="N460" i="1"/>
  <c r="N224" i="1"/>
  <c r="N240" i="1"/>
  <c r="N256" i="1"/>
  <c r="N272" i="1"/>
  <c r="N288" i="1"/>
  <c r="N304" i="1"/>
  <c r="N320" i="1"/>
  <c r="L339" i="1"/>
  <c r="L353" i="1"/>
  <c r="L392" i="1"/>
  <c r="M408" i="1"/>
  <c r="M246" i="1"/>
  <c r="M310" i="1"/>
  <c r="M351" i="1"/>
  <c r="L371" i="1"/>
  <c r="L387" i="1"/>
  <c r="L403" i="1"/>
  <c r="N414" i="1"/>
  <c r="N465" i="1"/>
  <c r="M381" i="1"/>
  <c r="M387" i="1"/>
  <c r="M413" i="1"/>
  <c r="M419" i="1"/>
  <c r="M370" i="1"/>
  <c r="M386" i="1"/>
  <c r="M402" i="1"/>
  <c r="M418" i="1"/>
  <c r="M557" i="1"/>
  <c r="N386" i="1"/>
  <c r="N418" i="1"/>
  <c r="L468" i="1"/>
  <c r="L481" i="1"/>
  <c r="N443" i="1"/>
  <c r="N467" i="1"/>
  <c r="N472" i="1"/>
  <c r="M594" i="1"/>
  <c r="L358" i="1"/>
  <c r="L390" i="1"/>
  <c r="L456" i="1"/>
  <c r="M463" i="1"/>
  <c r="L484" i="1"/>
  <c r="L497" i="1"/>
  <c r="N435" i="1"/>
  <c r="L444" i="1"/>
  <c r="M451" i="1"/>
  <c r="L396" i="1"/>
  <c r="L431" i="1"/>
  <c r="N500" i="1"/>
  <c r="N513" i="1"/>
  <c r="L616" i="1"/>
  <c r="M431" i="1"/>
  <c r="M440" i="1"/>
  <c r="L450" i="1"/>
  <c r="M459" i="1"/>
  <c r="L564" i="1"/>
  <c r="M469" i="1"/>
  <c r="M509" i="1"/>
  <c r="M572" i="1"/>
  <c r="M602" i="1"/>
  <c r="M625" i="1"/>
  <c r="N517" i="1"/>
  <c r="M1165" i="1"/>
  <c r="L89" i="1"/>
  <c r="L106" i="1"/>
  <c r="M148" i="1"/>
  <c r="M216" i="1"/>
  <c r="N319" i="1"/>
  <c r="L275" i="1"/>
  <c r="M225" i="1"/>
  <c r="L495" i="1"/>
  <c r="N368" i="1"/>
  <c r="N290" i="1"/>
  <c r="N314" i="1"/>
  <c r="N330" i="1"/>
  <c r="N338" i="1"/>
  <c r="N358" i="1"/>
  <c r="L373" i="1"/>
  <c r="L405" i="1"/>
  <c r="M377" i="1"/>
  <c r="L460" i="1"/>
  <c r="N352" i="1"/>
  <c r="L408" i="1"/>
  <c r="M270" i="1"/>
  <c r="L351" i="1"/>
  <c r="L419" i="1"/>
  <c r="M465" i="1"/>
  <c r="L363" i="1"/>
  <c r="L381" i="1"/>
  <c r="L413" i="1"/>
  <c r="N346" i="1"/>
  <c r="N448" i="1"/>
  <c r="M511" i="1"/>
  <c r="M467" i="1"/>
  <c r="M472" i="1"/>
  <c r="N520" i="1"/>
  <c r="L594" i="1"/>
  <c r="L422" i="1"/>
  <c r="L463" i="1"/>
  <c r="M455" i="1"/>
  <c r="N483" i="1"/>
  <c r="N488" i="1"/>
  <c r="L435" i="1"/>
  <c r="N452" i="1"/>
  <c r="M479" i="1"/>
  <c r="M500" i="1"/>
  <c r="M513" i="1"/>
  <c r="L440" i="1"/>
  <c r="N499" i="1"/>
  <c r="M524" i="1"/>
  <c r="N636" i="1"/>
  <c r="N470" i="1"/>
  <c r="N515" i="1"/>
  <c r="L602" i="1"/>
  <c r="N625" i="1"/>
  <c r="M568" i="1"/>
  <c r="N580" i="1"/>
  <c r="N610" i="1"/>
  <c r="L466" i="1"/>
  <c r="L498" i="1"/>
  <c r="N545" i="1"/>
  <c r="L554" i="1"/>
  <c r="N501" i="1"/>
  <c r="N154" i="1"/>
  <c r="N55" i="1"/>
  <c r="N172" i="1"/>
  <c r="N200" i="1"/>
  <c r="N193" i="1"/>
  <c r="M122" i="1"/>
  <c r="L163" i="1"/>
  <c r="L223" i="1"/>
  <c r="L285" i="1"/>
  <c r="M319" i="1"/>
  <c r="L218" i="1"/>
  <c r="L306" i="1"/>
  <c r="L379" i="1"/>
  <c r="L411" i="1"/>
  <c r="M432" i="1"/>
  <c r="N345" i="1"/>
  <c r="L355" i="1"/>
  <c r="L377" i="1"/>
  <c r="M420" i="1"/>
  <c r="M460" i="1"/>
  <c r="M352" i="1"/>
  <c r="N430" i="1"/>
  <c r="N449" i="1"/>
  <c r="M230" i="1"/>
  <c r="M294" i="1"/>
  <c r="L465" i="1"/>
  <c r="M336" i="1"/>
  <c r="N507" i="1"/>
  <c r="M354" i="1"/>
  <c r="N458" i="1"/>
  <c r="N473" i="1"/>
  <c r="N354" i="1"/>
  <c r="N394" i="1"/>
  <c r="N442" i="1"/>
  <c r="M448" i="1"/>
  <c r="N457" i="1"/>
  <c r="L511" i="1"/>
  <c r="L467" i="1"/>
  <c r="L472" i="1"/>
  <c r="M520" i="1"/>
  <c r="L366" i="1"/>
  <c r="L398" i="1"/>
  <c r="M423" i="1"/>
  <c r="N611" i="1"/>
  <c r="L455" i="1"/>
  <c r="M483" i="1"/>
  <c r="M488" i="1"/>
  <c r="L372" i="1"/>
  <c r="L404" i="1"/>
  <c r="L452" i="1"/>
  <c r="L479" i="1"/>
  <c r="L500" i="1"/>
  <c r="L513" i="1"/>
  <c r="M499" i="1"/>
  <c r="N504" i="1"/>
  <c r="N438" i="1"/>
  <c r="M477" i="1"/>
  <c r="N522" i="1"/>
  <c r="L625" i="1"/>
  <c r="N555" i="1"/>
  <c r="L568" i="1"/>
  <c r="M580" i="1"/>
  <c r="M610" i="1"/>
  <c r="N648" i="1"/>
  <c r="L518" i="1"/>
  <c r="M84" i="1"/>
  <c r="M89" i="1"/>
  <c r="M107" i="1"/>
  <c r="M28" i="1"/>
  <c r="N124" i="1"/>
  <c r="L122" i="1"/>
  <c r="M150" i="1"/>
  <c r="N305" i="1"/>
  <c r="L143" i="1"/>
  <c r="L252" i="1"/>
  <c r="N333" i="1"/>
  <c r="M231" i="1"/>
  <c r="M301" i="1"/>
  <c r="L417" i="1"/>
  <c r="L360" i="1"/>
  <c r="N258" i="1"/>
  <c r="M332" i="1"/>
  <c r="M345" i="1"/>
  <c r="N389" i="1"/>
  <c r="N421" i="1"/>
  <c r="N332" i="1"/>
  <c r="N425" i="1"/>
  <c r="L230" i="1"/>
  <c r="L246" i="1"/>
  <c r="L262" i="1"/>
  <c r="L278" i="1"/>
  <c r="L294" i="1"/>
  <c r="L310" i="1"/>
  <c r="L326" i="1"/>
  <c r="L352" i="1"/>
  <c r="M449" i="1"/>
  <c r="M254" i="1"/>
  <c r="M318" i="1"/>
  <c r="L336" i="1"/>
  <c r="N365" i="1"/>
  <c r="N424" i="1"/>
  <c r="N397" i="1"/>
  <c r="M507" i="1"/>
  <c r="M458" i="1"/>
  <c r="M473" i="1"/>
  <c r="M503" i="1"/>
  <c r="M516" i="1"/>
  <c r="N362" i="1"/>
  <c r="M442" i="1"/>
  <c r="L448" i="1"/>
  <c r="M457" i="1"/>
  <c r="N464" i="1"/>
  <c r="M697" i="1"/>
  <c r="N476" i="1"/>
  <c r="N489" i="1"/>
  <c r="L520" i="1"/>
  <c r="N475" i="1"/>
  <c r="N480" i="1"/>
  <c r="M611" i="1"/>
  <c r="L483" i="1"/>
  <c r="L488" i="1"/>
  <c r="L559" i="1"/>
  <c r="L439" i="1"/>
  <c r="N455" i="1"/>
  <c r="N616" i="1"/>
  <c r="M435" i="1"/>
  <c r="N444" i="1"/>
  <c r="L499" i="1"/>
  <c r="M504" i="1"/>
  <c r="N446" i="1"/>
  <c r="N478" i="1"/>
  <c r="M555" i="1"/>
  <c r="L610" i="1"/>
  <c r="L474" i="1"/>
  <c r="L506" i="1"/>
  <c r="M576" i="1"/>
  <c r="M614" i="1"/>
  <c r="M55" i="1"/>
  <c r="N29" i="1"/>
  <c r="N306" i="1"/>
  <c r="N409" i="1"/>
  <c r="N312" i="1"/>
  <c r="L397" i="1"/>
  <c r="L464" i="1"/>
  <c r="L523" i="1"/>
  <c r="M556" i="1"/>
  <c r="N492" i="1"/>
  <c r="L380" i="1"/>
  <c r="N508" i="1"/>
  <c r="N546" i="1"/>
  <c r="M554" i="1"/>
  <c r="M571" i="1"/>
  <c r="N562" i="1"/>
  <c r="L584" i="1"/>
  <c r="N596" i="1"/>
  <c r="L618" i="1"/>
  <c r="N482" i="1"/>
  <c r="N526" i="1"/>
  <c r="N542" i="1"/>
  <c r="M570" i="1"/>
  <c r="M604" i="1"/>
  <c r="N534" i="1"/>
  <c r="M548" i="1"/>
  <c r="L600" i="1"/>
  <c r="M612" i="1"/>
  <c r="L608" i="1"/>
  <c r="N639" i="1"/>
  <c r="M649" i="1"/>
  <c r="N675" i="1"/>
  <c r="N551" i="1"/>
  <c r="N567" i="1"/>
  <c r="L581" i="1"/>
  <c r="N619" i="1"/>
  <c r="N666" i="1"/>
  <c r="M670" i="1"/>
  <c r="N737" i="1"/>
  <c r="N581" i="1"/>
  <c r="N613" i="1"/>
  <c r="N635" i="1"/>
  <c r="N669" i="1"/>
  <c r="L633" i="1"/>
  <c r="N655" i="1"/>
  <c r="N775" i="1"/>
  <c r="L569" i="1"/>
  <c r="N654" i="1"/>
  <c r="M641" i="1"/>
  <c r="M702" i="1"/>
  <c r="L629" i="1"/>
  <c r="M650" i="1"/>
  <c r="L661" i="1"/>
  <c r="M679" i="1"/>
  <c r="N686" i="1"/>
  <c r="M716" i="1"/>
  <c r="L640" i="1"/>
  <c r="L677" i="1"/>
  <c r="L688" i="1"/>
  <c r="M741" i="1"/>
  <c r="L759" i="1"/>
  <c r="L844" i="1"/>
  <c r="M692" i="1"/>
  <c r="M710" i="1"/>
  <c r="M745" i="1"/>
  <c r="M778" i="1"/>
  <c r="L748" i="1"/>
  <c r="L693" i="1"/>
  <c r="M709" i="1"/>
  <c r="N756" i="1"/>
  <c r="L684" i="1"/>
  <c r="L695" i="1"/>
  <c r="N705" i="1"/>
  <c r="L722" i="1"/>
  <c r="M752" i="1"/>
  <c r="L708" i="1"/>
  <c r="M198" i="1"/>
  <c r="L203" i="1"/>
  <c r="M293" i="1"/>
  <c r="M409" i="1"/>
  <c r="M426" i="1"/>
  <c r="N232" i="1"/>
  <c r="M302" i="1"/>
  <c r="M365" i="1"/>
  <c r="N403" i="1"/>
  <c r="N351" i="1"/>
  <c r="M371" i="1"/>
  <c r="L507" i="1"/>
  <c r="M362" i="1"/>
  <c r="L458" i="1"/>
  <c r="N402" i="1"/>
  <c r="M489" i="1"/>
  <c r="L443" i="1"/>
  <c r="M492" i="1"/>
  <c r="L451" i="1"/>
  <c r="M453" i="1"/>
  <c r="M542" i="1"/>
  <c r="L571" i="1"/>
  <c r="N606" i="1"/>
  <c r="M482" i="1"/>
  <c r="M526" i="1"/>
  <c r="M562" i="1"/>
  <c r="M596" i="1"/>
  <c r="N490" i="1"/>
  <c r="N553" i="1"/>
  <c r="L570" i="1"/>
  <c r="L535" i="1"/>
  <c r="N578" i="1"/>
  <c r="N630" i="1"/>
  <c r="L525" i="1"/>
  <c r="M535" i="1"/>
  <c r="M558" i="1"/>
  <c r="N586" i="1"/>
  <c r="M639" i="1"/>
  <c r="L649" i="1"/>
  <c r="M675" i="1"/>
  <c r="L690" i="1"/>
  <c r="N732" i="1"/>
  <c r="N607" i="1"/>
  <c r="N629" i="1"/>
  <c r="L658" i="1"/>
  <c r="M666" i="1"/>
  <c r="L670" i="1"/>
  <c r="M737" i="1"/>
  <c r="N645" i="1"/>
  <c r="M669" i="1"/>
  <c r="M655" i="1"/>
  <c r="N687" i="1"/>
  <c r="L537" i="1"/>
  <c r="L593" i="1"/>
  <c r="L642" i="1"/>
  <c r="L655" i="1"/>
  <c r="N632" i="1"/>
  <c r="L641" i="1"/>
  <c r="N663" i="1"/>
  <c r="L702" i="1"/>
  <c r="M651" i="1"/>
  <c r="L686" i="1"/>
  <c r="L685" i="1"/>
  <c r="L716" i="1"/>
  <c r="N738" i="1"/>
  <c r="L664" i="1"/>
  <c r="N724" i="1"/>
  <c r="L741" i="1"/>
  <c r="M678" i="1"/>
  <c r="L711" i="1"/>
  <c r="L745" i="1"/>
  <c r="N757" i="1"/>
  <c r="N681" i="1"/>
  <c r="N706" i="1"/>
  <c r="M736" i="1"/>
  <c r="L709" i="1"/>
  <c r="M756" i="1"/>
  <c r="L773" i="1"/>
  <c r="N777" i="1"/>
  <c r="L667" i="1"/>
  <c r="M705" i="1"/>
  <c r="N734" i="1"/>
  <c r="N807" i="1"/>
  <c r="M730" i="1"/>
  <c r="M780" i="1"/>
  <c r="N751" i="1"/>
  <c r="N771" i="1"/>
  <c r="N785" i="1"/>
  <c r="N341" i="1"/>
  <c r="N156" i="1"/>
  <c r="L107" i="1"/>
  <c r="M253" i="1"/>
  <c r="M305" i="1"/>
  <c r="L267" i="1"/>
  <c r="N210" i="1"/>
  <c r="L282" i="1"/>
  <c r="M389" i="1"/>
  <c r="N280" i="1"/>
  <c r="M339" i="1"/>
  <c r="M394" i="1"/>
  <c r="L489" i="1"/>
  <c r="L374" i="1"/>
  <c r="M480" i="1"/>
  <c r="N547" i="1"/>
  <c r="L412" i="1"/>
  <c r="L504" i="1"/>
  <c r="N454" i="1"/>
  <c r="M598" i="1"/>
  <c r="N563" i="1"/>
  <c r="L482" i="1"/>
  <c r="M544" i="1"/>
  <c r="N588" i="1"/>
  <c r="M506" i="1"/>
  <c r="L528" i="1"/>
  <c r="N532" i="1"/>
  <c r="L562" i="1"/>
  <c r="N614" i="1"/>
  <c r="N498" i="1"/>
  <c r="M528" i="1"/>
  <c r="N533" i="1"/>
  <c r="N587" i="1"/>
  <c r="N592" i="1"/>
  <c r="M578" i="1"/>
  <c r="M630" i="1"/>
  <c r="L536" i="1"/>
  <c r="M560" i="1"/>
  <c r="M586" i="1"/>
  <c r="N640" i="1"/>
  <c r="L675" i="1"/>
  <c r="L682" i="1"/>
  <c r="M732" i="1"/>
  <c r="N583" i="1"/>
  <c r="L597" i="1"/>
  <c r="N638" i="1"/>
  <c r="N659" i="1"/>
  <c r="L737" i="1"/>
  <c r="N589" i="1"/>
  <c r="N634" i="1"/>
  <c r="L645" i="1"/>
  <c r="L669" i="1"/>
  <c r="N656" i="1"/>
  <c r="N673" i="1"/>
  <c r="M687" i="1"/>
  <c r="L545" i="1"/>
  <c r="L617" i="1"/>
  <c r="L628" i="1"/>
  <c r="N643" i="1"/>
  <c r="L626" i="1"/>
  <c r="L632" i="1"/>
  <c r="M663" i="1"/>
  <c r="M720" i="1"/>
  <c r="L651" i="1"/>
  <c r="N667" i="1"/>
  <c r="M688" i="1"/>
  <c r="M704" i="1"/>
  <c r="M738" i="1"/>
  <c r="M680" i="1"/>
  <c r="M724" i="1"/>
  <c r="M757" i="1"/>
  <c r="M782" i="1"/>
  <c r="M706" i="1"/>
  <c r="N753" i="1"/>
  <c r="N684" i="1"/>
  <c r="L756" i="1"/>
  <c r="M777" i="1"/>
  <c r="L705" i="1"/>
  <c r="N717" i="1"/>
  <c r="L726" i="1"/>
  <c r="M734" i="1"/>
  <c r="N713" i="1"/>
  <c r="L730" i="1"/>
  <c r="N260" i="1"/>
  <c r="M137" i="1"/>
  <c r="M175" i="1"/>
  <c r="N270" i="1"/>
  <c r="N401" i="1"/>
  <c r="L320" i="1"/>
  <c r="M342" i="1"/>
  <c r="L389" i="1"/>
  <c r="M404" i="1"/>
  <c r="N328" i="1"/>
  <c r="M430" i="1"/>
  <c r="M424" i="1"/>
  <c r="M340" i="1"/>
  <c r="L457" i="1"/>
  <c r="L480" i="1"/>
  <c r="N496" i="1"/>
  <c r="M485" i="1"/>
  <c r="L598" i="1"/>
  <c r="L576" i="1"/>
  <c r="M588" i="1"/>
  <c r="M466" i="1"/>
  <c r="M532" i="1"/>
  <c r="N541" i="1"/>
  <c r="N579" i="1"/>
  <c r="N584" i="1"/>
  <c r="M665" i="1"/>
  <c r="N506" i="1"/>
  <c r="L533" i="1"/>
  <c r="M587" i="1"/>
  <c r="L596" i="1"/>
  <c r="N539" i="1"/>
  <c r="L578" i="1"/>
  <c r="N595" i="1"/>
  <c r="N600" i="1"/>
  <c r="L548" i="1"/>
  <c r="L560" i="1"/>
  <c r="L586" i="1"/>
  <c r="N603" i="1"/>
  <c r="N608" i="1"/>
  <c r="M627" i="1"/>
  <c r="M638" i="1"/>
  <c r="M690" i="1"/>
  <c r="L732" i="1"/>
  <c r="N749" i="1"/>
  <c r="N559" i="1"/>
  <c r="L573" i="1"/>
  <c r="L639" i="1"/>
  <c r="M634" i="1"/>
  <c r="N628" i="1"/>
  <c r="M654" i="1"/>
  <c r="L553" i="1"/>
  <c r="L577" i="1"/>
  <c r="M620" i="1"/>
  <c r="N696" i="1"/>
  <c r="N662" i="1"/>
  <c r="L679" i="1"/>
  <c r="N721" i="1"/>
  <c r="L738" i="1"/>
  <c r="N750" i="1"/>
  <c r="L648" i="1"/>
  <c r="M691" i="1"/>
  <c r="L724" i="1"/>
  <c r="N746" i="1"/>
  <c r="N767" i="1"/>
  <c r="N740" i="1"/>
  <c r="L757" i="1"/>
  <c r="L782" i="1"/>
  <c r="N786" i="1"/>
  <c r="L706" i="1"/>
  <c r="N718" i="1"/>
  <c r="M753" i="1"/>
  <c r="N801" i="1"/>
  <c r="N694" i="1"/>
  <c r="N714" i="1"/>
  <c r="M744" i="1"/>
  <c r="L777" i="1"/>
  <c r="N672" i="1"/>
  <c r="M717" i="1"/>
  <c r="L735" i="1"/>
  <c r="M674" i="1"/>
  <c r="M713" i="1"/>
  <c r="N742" i="1"/>
  <c r="M760" i="1"/>
  <c r="L797" i="1"/>
  <c r="N826" i="1"/>
  <c r="N735" i="1"/>
  <c r="L785" i="1"/>
  <c r="L820" i="1"/>
  <c r="N825" i="1"/>
  <c r="N869" i="1"/>
  <c r="L148" i="1"/>
  <c r="N327" i="1"/>
  <c r="M356" i="1"/>
  <c r="N226" i="1"/>
  <c r="N322" i="1"/>
  <c r="N248" i="1"/>
  <c r="M278" i="1"/>
  <c r="N387" i="1"/>
  <c r="L424" i="1"/>
  <c r="M341" i="1"/>
  <c r="M403" i="1"/>
  <c r="N516" i="1"/>
  <c r="N370" i="1"/>
  <c r="L406" i="1"/>
  <c r="M590" i="1"/>
  <c r="N505" i="1"/>
  <c r="N524" i="1"/>
  <c r="N486" i="1"/>
  <c r="M657" i="1"/>
  <c r="L517" i="1"/>
  <c r="M490" i="1"/>
  <c r="L541" i="1"/>
  <c r="M579" i="1"/>
  <c r="L588" i="1"/>
  <c r="N647" i="1"/>
  <c r="L665" i="1"/>
  <c r="L534" i="1"/>
  <c r="M550" i="1"/>
  <c r="M566" i="1"/>
  <c r="L587" i="1"/>
  <c r="N609" i="1"/>
  <c r="N535" i="1"/>
  <c r="M539" i="1"/>
  <c r="N549" i="1"/>
  <c r="M595" i="1"/>
  <c r="N617" i="1"/>
  <c r="L529" i="1"/>
  <c r="N538" i="1"/>
  <c r="M549" i="1"/>
  <c r="M603" i="1"/>
  <c r="M646" i="1"/>
  <c r="L638" i="1"/>
  <c r="M667" i="1"/>
  <c r="M749" i="1"/>
  <c r="N599" i="1"/>
  <c r="L613" i="1"/>
  <c r="N658" i="1"/>
  <c r="N754" i="1"/>
  <c r="N565" i="1"/>
  <c r="N597" i="1"/>
  <c r="M635" i="1"/>
  <c r="N644" i="1"/>
  <c r="L654" i="1"/>
  <c r="M775" i="1"/>
  <c r="L601" i="1"/>
  <c r="N631" i="1"/>
  <c r="N642" i="1"/>
  <c r="N653" i="1"/>
  <c r="N664" i="1"/>
  <c r="M683" i="1"/>
  <c r="N626" i="1"/>
  <c r="M662" i="1"/>
  <c r="N668" i="1"/>
  <c r="L619" i="1"/>
  <c r="M632" i="1"/>
  <c r="L650" i="1"/>
  <c r="L663" i="1"/>
  <c r="M721" i="1"/>
  <c r="M750" i="1"/>
  <c r="M712" i="1"/>
  <c r="M746" i="1"/>
  <c r="M767" i="1"/>
  <c r="N844" i="1"/>
  <c r="N689" i="1"/>
  <c r="M740" i="1"/>
  <c r="M786" i="1"/>
  <c r="M718" i="1"/>
  <c r="L753" i="1"/>
  <c r="N765" i="1"/>
  <c r="M801" i="1"/>
  <c r="M694" i="1"/>
  <c r="M714" i="1"/>
  <c r="N761" i="1"/>
  <c r="L674" i="1"/>
  <c r="N695" i="1"/>
  <c r="N700" i="1"/>
  <c r="L717" i="1"/>
  <c r="L676" i="1"/>
  <c r="M695" i="1"/>
  <c r="M219" i="1"/>
  <c r="M124" i="1"/>
  <c r="N229" i="1"/>
  <c r="M160" i="1"/>
  <c r="L345" i="1"/>
  <c r="L421" i="1"/>
  <c r="N376" i="1"/>
  <c r="N419" i="1"/>
  <c r="L476" i="1"/>
  <c r="M475" i="1"/>
  <c r="M444" i="1"/>
  <c r="N491" i="1"/>
  <c r="L555" i="1"/>
  <c r="N568" i="1"/>
  <c r="L580" i="1"/>
  <c r="N593" i="1"/>
  <c r="M474" i="1"/>
  <c r="M517" i="1"/>
  <c r="N531" i="1"/>
  <c r="N540" i="1"/>
  <c r="L543" i="1"/>
  <c r="L567" i="1"/>
  <c r="L647" i="1"/>
  <c r="N466" i="1"/>
  <c r="M531" i="1"/>
  <c r="L540" i="1"/>
  <c r="L552" i="1"/>
  <c r="M592" i="1"/>
  <c r="N525" i="1"/>
  <c r="L551" i="1"/>
  <c r="M574" i="1"/>
  <c r="L583" i="1"/>
  <c r="L515" i="1"/>
  <c r="L538" i="1"/>
  <c r="N561" i="1"/>
  <c r="M582" i="1"/>
  <c r="L591" i="1"/>
  <c r="M682" i="1"/>
  <c r="L565" i="1"/>
  <c r="N615" i="1"/>
  <c r="L624" i="1"/>
  <c r="N637" i="1"/>
  <c r="M659" i="1"/>
  <c r="L754" i="1"/>
  <c r="N573" i="1"/>
  <c r="N605" i="1"/>
  <c r="M673" i="1"/>
  <c r="L585" i="1"/>
  <c r="M643" i="1"/>
  <c r="N683" i="1"/>
  <c r="M676" i="1"/>
  <c r="N671" i="1"/>
  <c r="L698" i="1"/>
  <c r="M733" i="1"/>
  <c r="L656" i="1"/>
  <c r="M685" i="1"/>
  <c r="M698" i="1"/>
  <c r="M729" i="1"/>
  <c r="N758" i="1"/>
  <c r="M865" i="1"/>
  <c r="M728" i="1"/>
  <c r="M762" i="1"/>
  <c r="N778" i="1"/>
  <c r="M701" i="1"/>
  <c r="N748" i="1"/>
  <c r="L765" i="1"/>
  <c r="M726" i="1"/>
  <c r="L761" i="1"/>
  <c r="N676" i="1"/>
  <c r="L700" i="1"/>
  <c r="N722" i="1"/>
  <c r="M764" i="1"/>
  <c r="M684" i="1"/>
  <c r="N697" i="1"/>
  <c r="N708" i="1"/>
  <c r="L725" i="1"/>
  <c r="N743" i="1"/>
  <c r="L878" i="1"/>
  <c r="L796" i="1"/>
  <c r="M810" i="1"/>
  <c r="L829" i="1"/>
  <c r="L699" i="1"/>
  <c r="M209" i="1"/>
  <c r="M410" i="1"/>
  <c r="N556" i="1"/>
  <c r="M530" i="1"/>
  <c r="N665" i="1"/>
  <c r="M536" i="1"/>
  <c r="N682" i="1"/>
  <c r="L627" i="1"/>
  <c r="L687" i="1"/>
  <c r="M623" i="1"/>
  <c r="M626" i="1"/>
  <c r="N661" i="1"/>
  <c r="M686" i="1"/>
  <c r="L733" i="1"/>
  <c r="L751" i="1"/>
  <c r="L729" i="1"/>
  <c r="M672" i="1"/>
  <c r="N701" i="1"/>
  <c r="M761" i="1"/>
  <c r="M681" i="1"/>
  <c r="M696" i="1"/>
  <c r="L826" i="1"/>
  <c r="M825" i="1"/>
  <c r="N805" i="1"/>
  <c r="N810" i="1"/>
  <c r="N834" i="1"/>
  <c r="L774" i="1"/>
  <c r="M804" i="1"/>
  <c r="M833" i="1"/>
  <c r="N842" i="1"/>
  <c r="M868" i="1"/>
  <c r="M779" i="1"/>
  <c r="L799" i="1"/>
  <c r="N854" i="1"/>
  <c r="L907" i="1"/>
  <c r="M790" i="1"/>
  <c r="M794" i="1"/>
  <c r="L812" i="1"/>
  <c r="N817" i="1"/>
  <c r="N849" i="1"/>
  <c r="L766" i="1"/>
  <c r="N780" i="1"/>
  <c r="N787" i="1"/>
  <c r="M793" i="1"/>
  <c r="L836" i="1"/>
  <c r="L857" i="1"/>
  <c r="M851" i="1"/>
  <c r="N895" i="1"/>
  <c r="N901" i="1"/>
  <c r="M910" i="1"/>
  <c r="L897" i="1"/>
  <c r="L910" i="1"/>
  <c r="M883" i="1"/>
  <c r="N909" i="1"/>
  <c r="M918" i="1"/>
  <c r="N932" i="1"/>
  <c r="M970" i="1"/>
  <c r="L979" i="1"/>
  <c r="L923" i="1"/>
  <c r="M815" i="1"/>
  <c r="M847" i="1"/>
  <c r="N891" i="1"/>
  <c r="M937" i="1"/>
  <c r="N940" i="1"/>
  <c r="N913" i="1"/>
  <c r="N916" i="1"/>
  <c r="N939" i="1"/>
  <c r="M971" i="1"/>
  <c r="M998" i="1"/>
  <c r="N919" i="1"/>
  <c r="L975" i="1"/>
  <c r="N949" i="1"/>
  <c r="N978" i="1"/>
  <c r="L1024" i="1"/>
  <c r="N945" i="1"/>
  <c r="N956" i="1"/>
  <c r="M960" i="1"/>
  <c r="N1021" i="1"/>
  <c r="N950" i="1"/>
  <c r="L963" i="1"/>
  <c r="N1040" i="1"/>
  <c r="L997" i="1"/>
  <c r="N1017" i="1"/>
  <c r="N264" i="1"/>
  <c r="M397" i="1"/>
  <c r="L579" i="1"/>
  <c r="N601" i="1"/>
  <c r="N474" i="1"/>
  <c r="N570" i="1"/>
  <c r="N604" i="1"/>
  <c r="M600" i="1"/>
  <c r="L582" i="1"/>
  <c r="M658" i="1"/>
  <c r="L775" i="1"/>
  <c r="N679" i="1"/>
  <c r="N741" i="1"/>
  <c r="M758" i="1"/>
  <c r="N762" i="1"/>
  <c r="L701" i="1"/>
  <c r="L719" i="1"/>
  <c r="N773" i="1"/>
  <c r="N703" i="1"/>
  <c r="N727" i="1"/>
  <c r="N759" i="1"/>
  <c r="L825" i="1"/>
  <c r="L810" i="1"/>
  <c r="N839" i="1"/>
  <c r="L804" i="1"/>
  <c r="N809" i="1"/>
  <c r="M834" i="1"/>
  <c r="M860" i="1"/>
  <c r="M699" i="1"/>
  <c r="M731" i="1"/>
  <c r="M763" i="1"/>
  <c r="M814" i="1"/>
  <c r="L833" i="1"/>
  <c r="M842" i="1"/>
  <c r="L868" i="1"/>
  <c r="M845" i="1"/>
  <c r="M854" i="1"/>
  <c r="L794" i="1"/>
  <c r="M817" i="1"/>
  <c r="M849" i="1"/>
  <c r="N858" i="1"/>
  <c r="L769" i="1"/>
  <c r="L781" i="1"/>
  <c r="M787" i="1"/>
  <c r="L793" i="1"/>
  <c r="M822" i="1"/>
  <c r="L895" i="1"/>
  <c r="M901" i="1"/>
  <c r="N921" i="1"/>
  <c r="N924" i="1"/>
  <c r="N795" i="1"/>
  <c r="N827" i="1"/>
  <c r="N915" i="1"/>
  <c r="L800" i="1"/>
  <c r="L883" i="1"/>
  <c r="M909" i="1"/>
  <c r="N929" i="1"/>
  <c r="M932" i="1"/>
  <c r="L970" i="1"/>
  <c r="L839" i="1"/>
  <c r="L874" i="1"/>
  <c r="N784" i="1"/>
  <c r="N816" i="1"/>
  <c r="L830" i="1"/>
  <c r="N848" i="1"/>
  <c r="M872" i="1"/>
  <c r="M891" i="1"/>
  <c r="N905" i="1"/>
  <c r="N908" i="1"/>
  <c r="M940" i="1"/>
  <c r="N984" i="1"/>
  <c r="N862" i="1"/>
  <c r="L890" i="1"/>
  <c r="L944" i="1"/>
  <c r="M913" i="1"/>
  <c r="M916" i="1"/>
  <c r="M939" i="1"/>
  <c r="L971" i="1"/>
  <c r="L998" i="1"/>
  <c r="L903" i="1"/>
  <c r="M966" i="1"/>
  <c r="N927" i="1"/>
  <c r="N961" i="1"/>
  <c r="L949" i="1"/>
  <c r="M978" i="1"/>
  <c r="M956" i="1"/>
  <c r="L960" i="1"/>
  <c r="M1021" i="1"/>
  <c r="L951" i="1"/>
  <c r="L75" i="1"/>
  <c r="M421" i="1"/>
  <c r="L449" i="1"/>
  <c r="L516" i="1"/>
  <c r="L630" i="1"/>
  <c r="N543" i="1"/>
  <c r="N575" i="1"/>
  <c r="L605" i="1"/>
  <c r="L637" i="1"/>
  <c r="L659" i="1"/>
  <c r="N670" i="1"/>
  <c r="M631" i="1"/>
  <c r="M633" i="1"/>
  <c r="N633" i="1"/>
  <c r="L662" i="1"/>
  <c r="N651" i="1"/>
  <c r="N692" i="1"/>
  <c r="L762" i="1"/>
  <c r="N693" i="1"/>
  <c r="N725" i="1"/>
  <c r="N852" i="1"/>
  <c r="M830" i="1"/>
  <c r="L715" i="1"/>
  <c r="L731" i="1"/>
  <c r="L747" i="1"/>
  <c r="L763" i="1"/>
  <c r="M809" i="1"/>
  <c r="L834" i="1"/>
  <c r="L842" i="1"/>
  <c r="L845" i="1"/>
  <c r="L854" i="1"/>
  <c r="L817" i="1"/>
  <c r="L849" i="1"/>
  <c r="M858" i="1"/>
  <c r="L943" i="1"/>
  <c r="L788" i="1"/>
  <c r="N853" i="1"/>
  <c r="M803" i="1"/>
  <c r="M819" i="1"/>
  <c r="M835" i="1"/>
  <c r="M873" i="1"/>
  <c r="L898" i="1"/>
  <c r="L901" i="1"/>
  <c r="M921" i="1"/>
  <c r="M924" i="1"/>
  <c r="L866" i="1"/>
  <c r="M915" i="1"/>
  <c r="N885" i="1"/>
  <c r="N892" i="1"/>
  <c r="L906" i="1"/>
  <c r="L909" i="1"/>
  <c r="M929" i="1"/>
  <c r="L932" i="1"/>
  <c r="L862" i="1"/>
  <c r="L806" i="1"/>
  <c r="M831" i="1"/>
  <c r="L891" i="1"/>
  <c r="M905" i="1"/>
  <c r="M908" i="1"/>
  <c r="M944" i="1"/>
  <c r="M948" i="1"/>
  <c r="M877" i="1"/>
  <c r="L940" i="1"/>
  <c r="N889" i="1"/>
  <c r="L916" i="1"/>
  <c r="N934" i="1"/>
  <c r="L939" i="1"/>
  <c r="L935" i="1"/>
  <c r="L966" i="1"/>
  <c r="M976" i="1"/>
  <c r="N989" i="1"/>
  <c r="N1008" i="1"/>
  <c r="N935" i="1"/>
  <c r="L942" i="1"/>
  <c r="M958" i="1"/>
  <c r="L978" i="1"/>
  <c r="L988" i="1"/>
  <c r="N954" i="1"/>
  <c r="L1021" i="1"/>
  <c r="N952" i="1"/>
  <c r="N955" i="1"/>
  <c r="N986" i="1"/>
  <c r="L993" i="1"/>
  <c r="L972" i="1"/>
  <c r="N990" i="1"/>
  <c r="L227" i="1"/>
  <c r="L473" i="1"/>
  <c r="M476" i="1"/>
  <c r="M491" i="1"/>
  <c r="L614" i="1"/>
  <c r="M534" i="1"/>
  <c r="L542" i="1"/>
  <c r="M584" i="1"/>
  <c r="M647" i="1"/>
  <c r="M541" i="1"/>
  <c r="L592" i="1"/>
  <c r="N548" i="1"/>
  <c r="L603" i="1"/>
  <c r="N660" i="1"/>
  <c r="M645" i="1"/>
  <c r="L561" i="1"/>
  <c r="N641" i="1"/>
  <c r="L671" i="1"/>
  <c r="L746" i="1"/>
  <c r="L767" i="1"/>
  <c r="N782" i="1"/>
  <c r="N709" i="1"/>
  <c r="N726" i="1"/>
  <c r="M722" i="1"/>
  <c r="M725" i="1"/>
  <c r="N797" i="1"/>
  <c r="N711" i="1"/>
  <c r="N766" i="1"/>
  <c r="M785" i="1"/>
  <c r="M806" i="1"/>
  <c r="N831" i="1"/>
  <c r="L783" i="1"/>
  <c r="M820" i="1"/>
  <c r="M852" i="1"/>
  <c r="N860" i="1"/>
  <c r="L809" i="1"/>
  <c r="N838" i="1"/>
  <c r="M707" i="1"/>
  <c r="M739" i="1"/>
  <c r="M768" i="1"/>
  <c r="N828" i="1"/>
  <c r="N846" i="1"/>
  <c r="N876" i="1"/>
  <c r="N818" i="1"/>
  <c r="N894" i="1"/>
  <c r="N788" i="1"/>
  <c r="L858" i="1"/>
  <c r="M771" i="1"/>
  <c r="M789" i="1"/>
  <c r="N802" i="1"/>
  <c r="M861" i="1"/>
  <c r="N870" i="1"/>
  <c r="M859" i="1"/>
  <c r="L924" i="1"/>
  <c r="N803" i="1"/>
  <c r="N835" i="1"/>
  <c r="N897" i="1"/>
  <c r="L915" i="1"/>
  <c r="L881" i="1"/>
  <c r="M885" i="1"/>
  <c r="M892" i="1"/>
  <c r="L790" i="1"/>
  <c r="M807" i="1"/>
  <c r="N832" i="1"/>
  <c r="M855" i="1"/>
  <c r="M886" i="1"/>
  <c r="L908" i="1"/>
  <c r="N948" i="1"/>
  <c r="N899" i="1"/>
  <c r="M867" i="1"/>
  <c r="N925" i="1"/>
  <c r="M934" i="1"/>
  <c r="N985" i="1"/>
  <c r="L911" i="1"/>
  <c r="L967" i="1"/>
  <c r="L976" i="1"/>
  <c r="M989" i="1"/>
  <c r="M1008" i="1"/>
  <c r="M942" i="1"/>
  <c r="M949" i="1"/>
  <c r="M954" i="1"/>
  <c r="N953" i="1"/>
  <c r="L955" i="1"/>
  <c r="M986" i="1"/>
  <c r="N977" i="1"/>
  <c r="M990" i="1"/>
  <c r="N967" i="1"/>
  <c r="L105" i="1"/>
  <c r="L231" i="1"/>
  <c r="N363" i="1"/>
  <c r="L475" i="1"/>
  <c r="M443" i="1"/>
  <c r="N544" i="1"/>
  <c r="L575" i="1"/>
  <c r="L622" i="1"/>
  <c r="L634" i="1"/>
  <c r="L742" i="1"/>
  <c r="L703" i="1"/>
  <c r="L609" i="1"/>
  <c r="N674" i="1"/>
  <c r="M844" i="1"/>
  <c r="L801" i="1"/>
  <c r="L727" i="1"/>
  <c r="N769" i="1"/>
  <c r="N820" i="1"/>
  <c r="N878" i="1"/>
  <c r="M838" i="1"/>
  <c r="N791" i="1"/>
  <c r="M813" i="1"/>
  <c r="M837" i="1"/>
  <c r="M846" i="1"/>
  <c r="N863" i="1"/>
  <c r="L876" i="1"/>
  <c r="M818" i="1"/>
  <c r="N841" i="1"/>
  <c r="M894" i="1"/>
  <c r="L789" i="1"/>
  <c r="N812" i="1"/>
  <c r="N845" i="1"/>
  <c r="N943" i="1"/>
  <c r="M798" i="1"/>
  <c r="M802" i="1"/>
  <c r="M821" i="1"/>
  <c r="N836" i="1"/>
  <c r="L861" i="1"/>
  <c r="M870" i="1"/>
  <c r="N933" i="1"/>
  <c r="N843" i="1"/>
  <c r="N873" i="1"/>
  <c r="N893" i="1"/>
  <c r="N884" i="1"/>
  <c r="L892" i="1"/>
  <c r="L847" i="1"/>
  <c r="M881" i="1"/>
  <c r="N792" i="1"/>
  <c r="N808" i="1"/>
  <c r="L822" i="1"/>
  <c r="N856" i="1"/>
  <c r="M874" i="1"/>
  <c r="N917" i="1"/>
  <c r="N926" i="1"/>
  <c r="L937" i="1"/>
  <c r="L948" i="1"/>
  <c r="N872" i="1"/>
  <c r="M899" i="1"/>
  <c r="M875" i="1"/>
  <c r="M925" i="1"/>
  <c r="N962" i="1"/>
  <c r="L989" i="1"/>
  <c r="L1008" i="1"/>
  <c r="M950" i="1"/>
  <c r="L950" i="1"/>
  <c r="N960" i="1"/>
  <c r="M982" i="1"/>
  <c r="M953" i="1"/>
  <c r="L956" i="1"/>
  <c r="L986" i="1"/>
  <c r="L1040" i="1"/>
  <c r="L1017" i="1"/>
  <c r="N951" i="1"/>
  <c r="L316" i="1"/>
  <c r="M334" i="1"/>
  <c r="L503" i="1"/>
  <c r="L531" i="1"/>
  <c r="N618" i="1"/>
  <c r="N528" i="1"/>
  <c r="L574" i="1"/>
  <c r="M538" i="1"/>
  <c r="M608" i="1"/>
  <c r="L646" i="1"/>
  <c r="N690" i="1"/>
  <c r="N649" i="1"/>
  <c r="L666" i="1"/>
  <c r="M754" i="1"/>
  <c r="N652" i="1"/>
  <c r="N702" i="1"/>
  <c r="N716" i="1"/>
  <c r="L750" i="1"/>
  <c r="L740" i="1"/>
  <c r="L714" i="1"/>
  <c r="N781" i="1"/>
  <c r="N730" i="1"/>
  <c r="M742" i="1"/>
  <c r="M869" i="1"/>
  <c r="M878" i="1"/>
  <c r="L770" i="1"/>
  <c r="N804" i="1"/>
  <c r="L838" i="1"/>
  <c r="M715" i="1"/>
  <c r="M747" i="1"/>
  <c r="M791" i="1"/>
  <c r="L813" i="1"/>
  <c r="L837" i="1"/>
  <c r="L846" i="1"/>
  <c r="M863" i="1"/>
  <c r="M876" i="1"/>
  <c r="L818" i="1"/>
  <c r="M841" i="1"/>
  <c r="N850" i="1"/>
  <c r="L894" i="1"/>
  <c r="N823" i="1"/>
  <c r="M853" i="1"/>
  <c r="L802" i="1"/>
  <c r="L821" i="1"/>
  <c r="L870" i="1"/>
  <c r="M843" i="1"/>
  <c r="M864" i="1"/>
  <c r="M933" i="1"/>
  <c r="N811" i="1"/>
  <c r="N851" i="1"/>
  <c r="M893" i="1"/>
  <c r="N881" i="1"/>
  <c r="M884" i="1"/>
  <c r="N900" i="1"/>
  <c r="L938" i="1"/>
  <c r="L885" i="1"/>
  <c r="M823" i="1"/>
  <c r="M839" i="1"/>
  <c r="M917" i="1"/>
  <c r="M926" i="1"/>
  <c r="M984" i="1"/>
  <c r="N1005" i="1"/>
  <c r="L899" i="1"/>
  <c r="N931" i="1"/>
  <c r="L913" i="1"/>
  <c r="L922" i="1"/>
  <c r="L925" i="1"/>
  <c r="M962" i="1"/>
  <c r="L919" i="1"/>
  <c r="N1036" i="1"/>
  <c r="N428" i="1"/>
  <c r="L611" i="1"/>
  <c r="M540" i="1"/>
  <c r="L532" i="1"/>
  <c r="L643" i="1"/>
  <c r="N733" i="1"/>
  <c r="N745" i="1"/>
  <c r="M765" i="1"/>
  <c r="M700" i="1"/>
  <c r="N764" i="1"/>
  <c r="L805" i="1"/>
  <c r="N772" i="1"/>
  <c r="N907" i="1"/>
  <c r="N794" i="1"/>
  <c r="M812" i="1"/>
  <c r="N857" i="1"/>
  <c r="M811" i="1"/>
  <c r="N910" i="1"/>
  <c r="L792" i="1"/>
  <c r="L884" i="1"/>
  <c r="L900" i="1"/>
  <c r="M979" i="1"/>
  <c r="N824" i="1"/>
  <c r="M902" i="1"/>
  <c r="N971" i="1"/>
  <c r="N942" i="1"/>
  <c r="L957" i="1"/>
  <c r="L959" i="1"/>
  <c r="L1041" i="1"/>
  <c r="L973" i="1"/>
  <c r="M1028" i="1"/>
  <c r="M1067" i="1"/>
  <c r="N973" i="1"/>
  <c r="M991" i="1"/>
  <c r="M1027" i="1"/>
  <c r="M1015" i="1"/>
  <c r="N995" i="1"/>
  <c r="M1007" i="1"/>
  <c r="M1055" i="1"/>
  <c r="L1069" i="1"/>
  <c r="M1046" i="1"/>
  <c r="L1094" i="1"/>
  <c r="L1071" i="1"/>
  <c r="L1042" i="1"/>
  <c r="M1048" i="1"/>
  <c r="N1065" i="1"/>
  <c r="L1036" i="1"/>
  <c r="N1044" i="1"/>
  <c r="L1052" i="1"/>
  <c r="L1080" i="1"/>
  <c r="L1082" i="1"/>
  <c r="L1088" i="1"/>
  <c r="M1097" i="1"/>
  <c r="M1080" i="1"/>
  <c r="L1108" i="1"/>
  <c r="M1090" i="1"/>
  <c r="M1073" i="1"/>
  <c r="N1089" i="1"/>
  <c r="N1096" i="1"/>
  <c r="L1112" i="1"/>
  <c r="L1124" i="1"/>
  <c r="L1101" i="1"/>
  <c r="M1124" i="1"/>
  <c r="N1102" i="1"/>
  <c r="M1130" i="1"/>
  <c r="L1171" i="1"/>
  <c r="L1129" i="1"/>
  <c r="N1103" i="1"/>
  <c r="M1116" i="1"/>
  <c r="M1134" i="1"/>
  <c r="M1153" i="1"/>
  <c r="L1170" i="1"/>
  <c r="M1139" i="1"/>
  <c r="L1143" i="1"/>
  <c r="N1167" i="1"/>
  <c r="N1185" i="1"/>
  <c r="N1194" i="1"/>
  <c r="N1179" i="1"/>
  <c r="L1111" i="1"/>
  <c r="L1140" i="1"/>
  <c r="N1144" i="1"/>
  <c r="M1156" i="1"/>
  <c r="M1193" i="1"/>
  <c r="N1199" i="1"/>
  <c r="N1154" i="1"/>
  <c r="M1159" i="1"/>
  <c r="L1162" i="1"/>
  <c r="M1177" i="1"/>
  <c r="N1183" i="1"/>
  <c r="M1186" i="1"/>
  <c r="N1157" i="1"/>
  <c r="M238" i="1"/>
  <c r="L607" i="1"/>
  <c r="N550" i="1"/>
  <c r="N646" i="1"/>
  <c r="L749" i="1"/>
  <c r="L721" i="1"/>
  <c r="M748" i="1"/>
  <c r="L764" i="1"/>
  <c r="N719" i="1"/>
  <c r="M829" i="1"/>
  <c r="L723" i="1"/>
  <c r="M774" i="1"/>
  <c r="M907" i="1"/>
  <c r="N793" i="1"/>
  <c r="M857" i="1"/>
  <c r="L921" i="1"/>
  <c r="L930" i="1"/>
  <c r="N918" i="1"/>
  <c r="L872" i="1"/>
  <c r="N937" i="1"/>
  <c r="N944" i="1"/>
  <c r="M931" i="1"/>
  <c r="L889" i="1"/>
  <c r="N998" i="1"/>
  <c r="N1024" i="1"/>
  <c r="L958" i="1"/>
  <c r="L953" i="1"/>
  <c r="M993" i="1"/>
  <c r="L990" i="1"/>
  <c r="L1009" i="1"/>
  <c r="M1032" i="1"/>
  <c r="L1067" i="1"/>
  <c r="L1027" i="1"/>
  <c r="L1015" i="1"/>
  <c r="L977" i="1"/>
  <c r="L1007" i="1"/>
  <c r="L1055" i="1"/>
  <c r="M969" i="1"/>
  <c r="N1014" i="1"/>
  <c r="M1070" i="1"/>
  <c r="N1011" i="1"/>
  <c r="N1026" i="1"/>
  <c r="N1054" i="1"/>
  <c r="L1046" i="1"/>
  <c r="N1057" i="1"/>
  <c r="L1061" i="1"/>
  <c r="L1043" i="1"/>
  <c r="L1048" i="1"/>
  <c r="L1060" i="1"/>
  <c r="L1097" i="1"/>
  <c r="L1084" i="1"/>
  <c r="M1050" i="1"/>
  <c r="L1073" i="1"/>
  <c r="L1090" i="1"/>
  <c r="L1089" i="1"/>
  <c r="N1080" i="1"/>
  <c r="N1137" i="1"/>
  <c r="M1101" i="1"/>
  <c r="N1155" i="1"/>
  <c r="M1125" i="1"/>
  <c r="N1138" i="1"/>
  <c r="L1132" i="1"/>
  <c r="L1103" i="1"/>
  <c r="M1117" i="1"/>
  <c r="L1134" i="1"/>
  <c r="L1153" i="1"/>
  <c r="N1139" i="1"/>
  <c r="M1167" i="1"/>
  <c r="M1185" i="1"/>
  <c r="N1191" i="1"/>
  <c r="M1194" i="1"/>
  <c r="M1179" i="1"/>
  <c r="L1175" i="1"/>
  <c r="M1119" i="1"/>
  <c r="L1193" i="1"/>
  <c r="M1199" i="1"/>
  <c r="L1125" i="1"/>
  <c r="M1154" i="1"/>
  <c r="L1177" i="1"/>
  <c r="M1183" i="1"/>
  <c r="L1186" i="1"/>
  <c r="M1172" i="1"/>
  <c r="N1197" i="1"/>
  <c r="L150" i="1"/>
  <c r="M378" i="1"/>
  <c r="N577" i="1"/>
  <c r="N622" i="1"/>
  <c r="N783" i="1"/>
  <c r="M755" i="1"/>
  <c r="N833" i="1"/>
  <c r="L841" i="1"/>
  <c r="M897" i="1"/>
  <c r="L929" i="1"/>
  <c r="N970" i="1"/>
  <c r="N840" i="1"/>
  <c r="N874" i="1"/>
  <c r="L931" i="1"/>
  <c r="L962" i="1"/>
  <c r="M1024" i="1"/>
  <c r="L982" i="1"/>
  <c r="N993" i="1"/>
  <c r="M968" i="1"/>
  <c r="N959" i="1"/>
  <c r="N975" i="1"/>
  <c r="L987" i="1"/>
  <c r="N1000" i="1"/>
  <c r="N981" i="1"/>
  <c r="N1023" i="1"/>
  <c r="M1014" i="1"/>
  <c r="L1070" i="1"/>
  <c r="M1018" i="1"/>
  <c r="M1026" i="1"/>
  <c r="N1077" i="1"/>
  <c r="L1037" i="1"/>
  <c r="N1037" i="1"/>
  <c r="M1057" i="1"/>
  <c r="M1072" i="1"/>
  <c r="N1043" i="1"/>
  <c r="N1049" i="1"/>
  <c r="N1033" i="1"/>
  <c r="M1044" i="1"/>
  <c r="M1071" i="1"/>
  <c r="M1031" i="1"/>
  <c r="N1087" i="1"/>
  <c r="M1079" i="1"/>
  <c r="N1090" i="1"/>
  <c r="M1137" i="1"/>
  <c r="M1155" i="1"/>
  <c r="N1126" i="1"/>
  <c r="N1118" i="1"/>
  <c r="N1128" i="1"/>
  <c r="L1139" i="1"/>
  <c r="N1147" i="1"/>
  <c r="L1185" i="1"/>
  <c r="M1191" i="1"/>
  <c r="L1194" i="1"/>
  <c r="L1179" i="1"/>
  <c r="L1119" i="1"/>
  <c r="L1149" i="1"/>
  <c r="L1184" i="1"/>
  <c r="N1127" i="1"/>
  <c r="L1154" i="1"/>
  <c r="N1187" i="1"/>
  <c r="L1168" i="1"/>
  <c r="N1173" i="1"/>
  <c r="N1172" i="1"/>
  <c r="N296" i="1"/>
  <c r="M498" i="1"/>
  <c r="L539" i="1"/>
  <c r="L549" i="1"/>
  <c r="N624" i="1"/>
  <c r="N710" i="1"/>
  <c r="L778" i="1"/>
  <c r="L786" i="1"/>
  <c r="L743" i="1"/>
  <c r="M783" i="1"/>
  <c r="N796" i="1"/>
  <c r="L860" i="1"/>
  <c r="L755" i="1"/>
  <c r="N815" i="1"/>
  <c r="L828" i="1"/>
  <c r="L863" i="1"/>
  <c r="N799" i="1"/>
  <c r="N819" i="1"/>
  <c r="L855" i="1"/>
  <c r="L886" i="1"/>
  <c r="L905" i="1"/>
  <c r="L914" i="1"/>
  <c r="M1005" i="1"/>
  <c r="N976" i="1"/>
  <c r="N903" i="1"/>
  <c r="M952" i="1"/>
  <c r="L954" i="1"/>
  <c r="N972" i="1"/>
  <c r="M945" i="1"/>
  <c r="L968" i="1"/>
  <c r="N988" i="1"/>
  <c r="N997" i="1"/>
  <c r="L1001" i="1"/>
  <c r="N1016" i="1"/>
  <c r="M1000" i="1"/>
  <c r="N1003" i="1"/>
  <c r="L961" i="1"/>
  <c r="M1023" i="1"/>
  <c r="M977" i="1"/>
  <c r="L1014" i="1"/>
  <c r="N1019" i="1"/>
  <c r="N1022" i="1"/>
  <c r="L1026" i="1"/>
  <c r="N1074" i="1"/>
  <c r="L1077" i="1"/>
  <c r="M1037" i="1"/>
  <c r="L1030" i="1"/>
  <c r="N1046" i="1"/>
  <c r="L1057" i="1"/>
  <c r="M1049" i="1"/>
  <c r="N1056" i="1"/>
  <c r="M1068" i="1"/>
  <c r="L1010" i="1"/>
  <c r="N1146" i="1"/>
  <c r="L1033" i="1"/>
  <c r="N1039" i="1"/>
  <c r="N1060" i="1"/>
  <c r="N1063" i="1"/>
  <c r="M1045" i="1"/>
  <c r="N1081" i="1"/>
  <c r="N1083" i="1"/>
  <c r="M1075" i="1"/>
  <c r="M1087" i="1"/>
  <c r="N1148" i="1"/>
  <c r="N1062" i="1"/>
  <c r="L1091" i="1"/>
  <c r="L1137" i="1"/>
  <c r="L1155" i="1"/>
  <c r="M1126" i="1"/>
  <c r="L1152" i="1"/>
  <c r="M1109" i="1"/>
  <c r="L1102" i="1"/>
  <c r="N1115" i="1"/>
  <c r="L1192" i="1"/>
  <c r="M1118" i="1"/>
  <c r="M1128" i="1"/>
  <c r="M1147" i="1"/>
  <c r="N1169" i="1"/>
  <c r="N1178" i="1"/>
  <c r="M1127" i="1"/>
  <c r="N1163" i="1"/>
  <c r="L1109" i="1"/>
  <c r="N1135" i="1"/>
  <c r="M1187" i="1"/>
  <c r="L1142" i="1"/>
  <c r="M1188" i="1"/>
  <c r="N1196" i="1"/>
  <c r="M618" i="1"/>
  <c r="L589" i="1"/>
  <c r="M708" i="1"/>
  <c r="L869" i="1"/>
  <c r="L707" i="1"/>
  <c r="L791" i="1"/>
  <c r="N868" i="1"/>
  <c r="M799" i="1"/>
  <c r="M850" i="1"/>
  <c r="M795" i="1"/>
  <c r="L882" i="1"/>
  <c r="L798" i="1"/>
  <c r="M862" i="1"/>
  <c r="L1005" i="1"/>
  <c r="L980" i="1"/>
  <c r="N911" i="1"/>
  <c r="M974" i="1"/>
  <c r="N964" i="1"/>
  <c r="L983" i="1"/>
  <c r="L952" i="1"/>
  <c r="L964" i="1"/>
  <c r="N963" i="1"/>
  <c r="M972" i="1"/>
  <c r="M997" i="1"/>
  <c r="L965" i="1"/>
  <c r="N1013" i="1"/>
  <c r="M1016" i="1"/>
  <c r="N1025" i="1"/>
  <c r="N1032" i="1"/>
  <c r="N987" i="1"/>
  <c r="N1001" i="1"/>
  <c r="N992" i="1"/>
  <c r="L985" i="1"/>
  <c r="L1023" i="1"/>
  <c r="N1006" i="1"/>
  <c r="M1022" i="1"/>
  <c r="N1047" i="1"/>
  <c r="M1074" i="1"/>
  <c r="L1076" i="1"/>
  <c r="L1049" i="1"/>
  <c r="M1056" i="1"/>
  <c r="L1146" i="1"/>
  <c r="L1039" i="1"/>
  <c r="M1060" i="1"/>
  <c r="M1063" i="1"/>
  <c r="L1081" i="1"/>
  <c r="M1083" i="1"/>
  <c r="N1078" i="1"/>
  <c r="N1084" i="1"/>
  <c r="L1087" i="1"/>
  <c r="M1095" i="1"/>
  <c r="N1108" i="1"/>
  <c r="M1078" i="1"/>
  <c r="M1093" i="1"/>
  <c r="N1107" i="1"/>
  <c r="M1148" i="1"/>
  <c r="L1079" i="1"/>
  <c r="N1091" i="1"/>
  <c r="N1121" i="1"/>
  <c r="N1088" i="1"/>
  <c r="L1147" i="1"/>
  <c r="M1106" i="1"/>
  <c r="L1126" i="1"/>
  <c r="N1110" i="1"/>
  <c r="N1120" i="1"/>
  <c r="N1136" i="1"/>
  <c r="N1161" i="1"/>
  <c r="N1131" i="1"/>
  <c r="N1195" i="1"/>
  <c r="L1116" i="1"/>
  <c r="L1096" i="1"/>
  <c r="M505" i="1"/>
  <c r="L566" i="1"/>
  <c r="L595" i="1"/>
  <c r="L683" i="1"/>
  <c r="N729" i="1"/>
  <c r="M826" i="1"/>
  <c r="L852" i="1"/>
  <c r="L739" i="1"/>
  <c r="M770" i="1"/>
  <c r="N855" i="1"/>
  <c r="L779" i="1"/>
  <c r="N779" i="1"/>
  <c r="N867" i="1"/>
  <c r="N859" i="1"/>
  <c r="M895" i="1"/>
  <c r="M923" i="1"/>
  <c r="M980" i="1"/>
  <c r="N947" i="1"/>
  <c r="L945" i="1"/>
  <c r="M957" i="1"/>
  <c r="N982" i="1"/>
  <c r="N968" i="1"/>
  <c r="M994" i="1"/>
  <c r="N999" i="1"/>
  <c r="L1013" i="1"/>
  <c r="N965" i="1"/>
  <c r="L1002" i="1"/>
  <c r="M1012" i="1"/>
  <c r="L969" i="1"/>
  <c r="L1006" i="1"/>
  <c r="L1047" i="1"/>
  <c r="L1051" i="1"/>
  <c r="L1034" i="1"/>
  <c r="L1054" i="1"/>
  <c r="M1069" i="1"/>
  <c r="M1038" i="1"/>
  <c r="N1076" i="1"/>
  <c r="N1042" i="1"/>
  <c r="L1044" i="1"/>
  <c r="L1065" i="1"/>
  <c r="L1053" i="1"/>
  <c r="N1068" i="1"/>
  <c r="N1035" i="1"/>
  <c r="M1042" i="1"/>
  <c r="L1075" i="1"/>
  <c r="L1086" i="1"/>
  <c r="L1105" i="1"/>
  <c r="L1093" i="1"/>
  <c r="N1100" i="1"/>
  <c r="L1107" i="1"/>
  <c r="L1092" i="1"/>
  <c r="L1121" i="1"/>
  <c r="N1075" i="1"/>
  <c r="N1092" i="1"/>
  <c r="N1112" i="1"/>
  <c r="M1122" i="1"/>
  <c r="L1110" i="1"/>
  <c r="L1120" i="1"/>
  <c r="L1136" i="1"/>
  <c r="L1161" i="1"/>
  <c r="N1171" i="1"/>
  <c r="L1195" i="1"/>
  <c r="N1129" i="1"/>
  <c r="N1141" i="1"/>
  <c r="M1114" i="1"/>
  <c r="M1133" i="1"/>
  <c r="L1141" i="1"/>
  <c r="N1170" i="1"/>
  <c r="L1113" i="1"/>
  <c r="N1143" i="1"/>
  <c r="L1191" i="1"/>
  <c r="N1140" i="1"/>
  <c r="N1149" i="1"/>
  <c r="M1140" i="1"/>
  <c r="L1117" i="1"/>
  <c r="N1162" i="1"/>
  <c r="M1180" i="1"/>
  <c r="L635" i="1"/>
  <c r="L653" i="1"/>
  <c r="M805" i="1"/>
  <c r="L853" i="1"/>
  <c r="N979" i="1"/>
  <c r="N969" i="1"/>
  <c r="M955" i="1"/>
  <c r="M1017" i="1"/>
  <c r="N991" i="1"/>
  <c r="M961" i="1"/>
  <c r="M1077" i="1"/>
  <c r="M1051" i="1"/>
  <c r="M1082" i="1"/>
  <c r="N1097" i="1"/>
  <c r="M1107" i="1"/>
  <c r="M1091" i="1"/>
  <c r="M1088" i="1"/>
  <c r="M1120" i="1"/>
  <c r="L1135" i="1"/>
  <c r="N1111" i="1"/>
  <c r="L1159" i="1"/>
  <c r="N1200" i="1"/>
  <c r="N1189" i="1"/>
  <c r="M943" i="1"/>
  <c r="L984" i="1"/>
  <c r="N957" i="1"/>
  <c r="N1007" i="1"/>
  <c r="M1175" i="1"/>
  <c r="N1181" i="1"/>
  <c r="L1169" i="1"/>
  <c r="M552" i="1"/>
  <c r="N612" i="1"/>
  <c r="M642" i="1"/>
  <c r="L850" i="1"/>
  <c r="L784" i="1"/>
  <c r="M1040" i="1"/>
  <c r="M1002" i="1"/>
  <c r="N1015" i="1"/>
  <c r="L992" i="1"/>
  <c r="M1061" i="1"/>
  <c r="N1094" i="1"/>
  <c r="M1065" i="1"/>
  <c r="N1071" i="1"/>
  <c r="M1052" i="1"/>
  <c r="M1108" i="1"/>
  <c r="M1112" i="1"/>
  <c r="L1138" i="1"/>
  <c r="M1141" i="1"/>
  <c r="N1153" i="1"/>
  <c r="M1143" i="1"/>
  <c r="M1178" i="1"/>
  <c r="M1135" i="1"/>
  <c r="N1193" i="1"/>
  <c r="N883" i="1"/>
  <c r="N974" i="1"/>
  <c r="L1123" i="1"/>
  <c r="N1134" i="1"/>
  <c r="M1121" i="1"/>
  <c r="N1156" i="1"/>
  <c r="M395" i="1"/>
  <c r="N591" i="1"/>
  <c r="N650" i="1"/>
  <c r="L917" i="1"/>
  <c r="L927" i="1"/>
  <c r="L947" i="1"/>
  <c r="N1028" i="1"/>
  <c r="M992" i="1"/>
  <c r="N1051" i="1"/>
  <c r="L1068" i="1"/>
  <c r="L1018" i="1"/>
  <c r="M1053" i="1"/>
  <c r="L1100" i="1"/>
  <c r="M1170" i="1"/>
  <c r="L1167" i="1"/>
  <c r="L1178" i="1"/>
  <c r="M1163" i="1"/>
  <c r="N1119" i="1"/>
  <c r="N1177" i="1"/>
  <c r="N1164" i="1"/>
  <c r="N1188" i="1"/>
  <c r="M1010" i="1"/>
  <c r="M1043" i="1"/>
  <c r="N1123" i="1"/>
  <c r="L1115" i="1"/>
  <c r="M1171" i="1"/>
  <c r="M464" i="1"/>
  <c r="L893" i="1"/>
  <c r="N958" i="1"/>
  <c r="M1013" i="1"/>
  <c r="L1025" i="1"/>
  <c r="N1012" i="1"/>
  <c r="N1055" i="1"/>
  <c r="L1022" i="1"/>
  <c r="M1054" i="1"/>
  <c r="N1038" i="1"/>
  <c r="M1094" i="1"/>
  <c r="L1031" i="1"/>
  <c r="N1048" i="1"/>
  <c r="M1146" i="1"/>
  <c r="M1085" i="1"/>
  <c r="M1100" i="1"/>
  <c r="N1073" i="1"/>
  <c r="L1128" i="1"/>
  <c r="N1113" i="1"/>
  <c r="L1176" i="1"/>
  <c r="L1163" i="1"/>
  <c r="M1149" i="1"/>
  <c r="N1159" i="1"/>
  <c r="L1151" i="1"/>
  <c r="M797" i="1"/>
  <c r="L814" i="1"/>
  <c r="N983" i="1"/>
  <c r="L1056" i="1"/>
  <c r="N1086" i="1"/>
  <c r="L1160" i="1"/>
  <c r="L1199" i="1"/>
  <c r="M900" i="1"/>
  <c r="N800" i="1"/>
  <c r="N980" i="1"/>
  <c r="M964" i="1"/>
  <c r="N1041" i="1"/>
  <c r="L981" i="1"/>
  <c r="M999" i="1"/>
  <c r="L1012" i="1"/>
  <c r="M1006" i="1"/>
  <c r="M1047" i="1"/>
  <c r="N1030" i="1"/>
  <c r="N1105" i="1"/>
  <c r="N1122" i="1"/>
  <c r="M1110" i="1"/>
  <c r="M1136" i="1"/>
  <c r="M1129" i="1"/>
  <c r="N1114" i="1"/>
  <c r="M1131" i="1"/>
  <c r="M1113" i="1"/>
  <c r="N1175" i="1"/>
  <c r="N1186" i="1"/>
  <c r="M1196" i="1"/>
  <c r="L1032" i="1"/>
  <c r="N1070" i="1"/>
  <c r="L1148" i="1"/>
  <c r="M1164" i="1"/>
  <c r="L1063" i="1"/>
  <c r="L713" i="1"/>
  <c r="N886" i="1"/>
  <c r="L865" i="1"/>
  <c r="N902" i="1"/>
  <c r="M1041" i="1"/>
  <c r="N1009" i="1"/>
  <c r="L1074" i="1"/>
  <c r="M1062" i="1"/>
  <c r="M1076" i="1"/>
  <c r="L1095" i="1"/>
  <c r="N1093" i="1"/>
  <c r="M1161" i="1"/>
  <c r="N1130" i="1"/>
  <c r="M1195" i="1"/>
  <c r="M1104" i="1"/>
  <c r="L1118" i="1"/>
  <c r="L1127" i="1"/>
  <c r="M1169" i="1"/>
  <c r="L1200" i="1"/>
  <c r="M1162" i="1"/>
  <c r="L1187" i="1"/>
  <c r="L1183" i="1"/>
  <c r="N1165" i="1"/>
  <c r="N371" i="1"/>
  <c r="L696" i="1"/>
  <c r="L734" i="1"/>
  <c r="N847" i="1"/>
  <c r="M723" i="1"/>
  <c r="L772" i="1"/>
  <c r="M827" i="1"/>
  <c r="L933" i="1"/>
  <c r="N864" i="1"/>
  <c r="N923" i="1"/>
  <c r="L887" i="1"/>
  <c r="L974" i="1"/>
  <c r="M947" i="1"/>
  <c r="M963" i="1"/>
  <c r="N1067" i="1"/>
  <c r="N1027" i="1"/>
  <c r="M1029" i="1"/>
  <c r="M1034" i="1"/>
  <c r="N1069" i="1"/>
  <c r="L1045" i="1"/>
  <c r="N1050" i="1"/>
  <c r="M1111" i="1"/>
  <c r="N1180" i="1"/>
  <c r="T2" i="9"/>
  <c r="D5" i="9" s="1"/>
  <c r="S2" i="9"/>
  <c r="C5" i="9" s="1"/>
  <c r="R2" i="9"/>
  <c r="B5" i="9" s="1"/>
  <c r="J2" i="9"/>
  <c r="D3" i="9" s="1"/>
  <c r="I2" i="9"/>
  <c r="C3" i="9" s="1"/>
  <c r="H2" i="9"/>
  <c r="B3" i="9" s="1"/>
  <c r="O2" i="9"/>
  <c r="D4" i="9" s="1"/>
  <c r="N2" i="9"/>
  <c r="C4" i="9" s="1"/>
  <c r="M2" i="9"/>
  <c r="B4" i="9" s="1"/>
  <c r="G73" i="1" l="1"/>
  <c r="G272" i="1"/>
  <c r="G252" i="1"/>
  <c r="G902" i="1"/>
  <c r="G670" i="1"/>
  <c r="G1084" i="1"/>
  <c r="G1018" i="1"/>
  <c r="G847" i="1"/>
  <c r="G711" i="1"/>
  <c r="G1056" i="1"/>
  <c r="G970" i="1"/>
  <c r="G789" i="1"/>
  <c r="G441" i="1"/>
  <c r="G404" i="1"/>
  <c r="G614" i="1"/>
  <c r="G1009" i="1"/>
  <c r="G962" i="1"/>
  <c r="G134" i="1"/>
  <c r="G370" i="1"/>
  <c r="G247" i="1"/>
  <c r="G764" i="1"/>
  <c r="G881" i="1"/>
  <c r="G706" i="1"/>
  <c r="G1054" i="1"/>
  <c r="G974" i="1"/>
  <c r="G97" i="1"/>
  <c r="G188" i="1"/>
  <c r="G1182" i="1"/>
  <c r="G1050" i="1"/>
  <c r="G418" i="1"/>
  <c r="G461" i="1"/>
  <c r="G770" i="1"/>
  <c r="G943" i="1"/>
  <c r="G648" i="1"/>
  <c r="G894" i="1"/>
  <c r="G348" i="1"/>
  <c r="G342" i="1"/>
  <c r="G719" i="1"/>
  <c r="G16" i="1"/>
  <c r="G366" i="1"/>
  <c r="G385" i="1"/>
  <c r="G1139" i="1"/>
  <c r="G164" i="1"/>
  <c r="G214" i="1"/>
  <c r="G907" i="1"/>
  <c r="G926" i="1"/>
  <c r="G361" i="1"/>
  <c r="G356" i="1"/>
  <c r="G264" i="1"/>
  <c r="G202" i="1"/>
  <c r="G278" i="1"/>
  <c r="G243" i="1"/>
  <c r="G86" i="1"/>
  <c r="G44" i="1"/>
  <c r="G862" i="1"/>
  <c r="G1043" i="1"/>
  <c r="G1051" i="1"/>
  <c r="G761" i="1"/>
  <c r="G620" i="1"/>
  <c r="G858" i="1"/>
  <c r="G425" i="1"/>
  <c r="G882" i="1"/>
  <c r="G426" i="1"/>
  <c r="G433" i="1"/>
  <c r="G604" i="1"/>
  <c r="G409" i="1"/>
  <c r="G592" i="1"/>
  <c r="G440" i="1"/>
  <c r="G934" i="1"/>
  <c r="G91" i="1"/>
  <c r="G137" i="1"/>
  <c r="G273" i="1"/>
  <c r="G850" i="1"/>
  <c r="G411" i="1"/>
  <c r="G966" i="1"/>
  <c r="G298" i="1"/>
  <c r="G396" i="1"/>
  <c r="G163" i="1"/>
  <c r="G1132" i="1"/>
  <c r="G1031" i="1"/>
  <c r="G845" i="1"/>
  <c r="G594" i="1"/>
  <c r="G1052" i="1"/>
  <c r="G576" i="1"/>
  <c r="G870" i="1"/>
  <c r="G922" i="1"/>
  <c r="G17" i="1"/>
  <c r="G38" i="1"/>
  <c r="G668" i="1"/>
  <c r="G878" i="1"/>
  <c r="G5" i="1"/>
  <c r="G713" i="1"/>
  <c r="G837" i="1"/>
  <c r="G824" i="1"/>
  <c r="G588" i="1"/>
  <c r="G777" i="1"/>
  <c r="G336" i="1"/>
  <c r="G216" i="1"/>
  <c r="G898" i="1"/>
  <c r="G500" i="1"/>
  <c r="G10" i="1"/>
  <c r="G1154" i="1"/>
  <c r="G1125" i="1"/>
  <c r="G889" i="1"/>
  <c r="G745" i="1"/>
  <c r="G982" i="1"/>
  <c r="G346" i="1"/>
  <c r="G76" i="1"/>
  <c r="G148" i="1"/>
  <c r="G1002" i="1"/>
  <c r="G879" i="1"/>
  <c r="G877" i="1"/>
  <c r="G574" i="1"/>
  <c r="G487" i="1"/>
  <c r="G401" i="1"/>
  <c r="G312" i="1"/>
  <c r="G35" i="1"/>
  <c r="G19" i="1"/>
  <c r="G357" i="1"/>
  <c r="G119" i="1"/>
  <c r="G353" i="1"/>
  <c r="G222" i="1"/>
  <c r="G1151" i="1"/>
  <c r="G890" i="1"/>
  <c r="G987" i="1"/>
  <c r="G23" i="1"/>
  <c r="G399" i="1"/>
  <c r="G344" i="1"/>
  <c r="G104" i="1"/>
  <c r="G9" i="1"/>
  <c r="G372" i="1"/>
  <c r="G75" i="1"/>
  <c r="G143" i="1"/>
  <c r="G74" i="1"/>
  <c r="G1113" i="1"/>
  <c r="G875" i="1"/>
  <c r="G679" i="1"/>
  <c r="G1104" i="1"/>
  <c r="G1047" i="1"/>
  <c r="G886" i="1"/>
  <c r="G403" i="1"/>
  <c r="G550" i="1"/>
  <c r="G582" i="1"/>
  <c r="G577" i="1"/>
  <c r="G499" i="1"/>
  <c r="G178" i="1"/>
  <c r="G162" i="1"/>
  <c r="G59" i="1"/>
  <c r="G1146" i="1"/>
  <c r="G977" i="1"/>
  <c r="G674" i="1"/>
  <c r="G1060" i="1"/>
  <c r="G955" i="1"/>
  <c r="G751" i="1"/>
  <c r="G1007" i="1"/>
  <c r="G756" i="1"/>
  <c r="G1010" i="1"/>
  <c r="G893" i="1"/>
  <c r="G454" i="1"/>
  <c r="G445" i="1"/>
  <c r="G322" i="1"/>
  <c r="G472" i="1"/>
  <c r="G436" i="1"/>
  <c r="G512" i="1"/>
  <c r="G405" i="1"/>
  <c r="G254" i="1"/>
  <c r="G281" i="1"/>
  <c r="G696" i="1"/>
  <c r="G3" i="1"/>
  <c r="G24" i="1"/>
  <c r="G362" i="1"/>
  <c r="G7" i="1"/>
  <c r="G287" i="1"/>
  <c r="G274" i="1"/>
  <c r="G367" i="1"/>
  <c r="G212" i="1"/>
  <c r="G93" i="1"/>
  <c r="G1186" i="1"/>
  <c r="G1122" i="1"/>
  <c r="G916" i="1"/>
  <c r="G820" i="1"/>
  <c r="G715" i="1"/>
  <c r="G854" i="1"/>
  <c r="G690" i="1"/>
  <c r="G531" i="1"/>
  <c r="G459" i="1"/>
  <c r="G408" i="1"/>
  <c r="G457" i="1"/>
  <c r="G765" i="1"/>
  <c r="G938" i="1"/>
  <c r="G51" i="1"/>
  <c r="G355" i="1"/>
  <c r="G206" i="1"/>
  <c r="G378" i="1"/>
  <c r="G1184" i="1"/>
  <c r="G1026" i="1"/>
  <c r="G1194" i="1"/>
  <c r="G834" i="1"/>
  <c r="G1189" i="1"/>
  <c r="G844" i="1"/>
  <c r="G1081" i="1"/>
  <c r="G1005" i="1"/>
  <c r="G891" i="1"/>
  <c r="G1168" i="1"/>
  <c r="G887" i="1"/>
  <c r="G885" i="1"/>
  <c r="G699" i="1"/>
  <c r="G480" i="1"/>
  <c r="G636" i="1"/>
  <c r="G400" i="1"/>
  <c r="G430" i="1"/>
  <c r="G583" i="1"/>
  <c r="G640" i="1"/>
  <c r="G444" i="1"/>
  <c r="G580" i="1"/>
  <c r="G978" i="1"/>
  <c r="G387" i="1"/>
  <c r="G179" i="1"/>
  <c r="G45" i="1"/>
  <c r="G4" i="1"/>
  <c r="G30" i="1"/>
  <c r="G156" i="1"/>
  <c r="G1100" i="1"/>
  <c r="G791" i="1"/>
  <c r="G853" i="1"/>
  <c r="G759" i="1"/>
  <c r="G896" i="1"/>
  <c r="G1096" i="1"/>
  <c r="G915" i="1"/>
  <c r="G913" i="1"/>
  <c r="G840" i="1"/>
  <c r="G468" i="1"/>
  <c r="G950" i="1"/>
  <c r="G449" i="1"/>
  <c r="G460" i="1"/>
  <c r="G595" i="1"/>
  <c r="G40" i="1"/>
  <c r="G32" i="1"/>
  <c r="G79" i="1"/>
  <c r="G159" i="1"/>
  <c r="G352" i="1"/>
  <c r="G1140" i="1"/>
  <c r="G735" i="1"/>
  <c r="G747" i="1"/>
  <c r="G1003" i="1"/>
  <c r="G1066" i="1"/>
  <c r="G1174" i="1"/>
  <c r="G1048" i="1"/>
  <c r="G754" i="1"/>
  <c r="G652" i="1"/>
  <c r="G581" i="1"/>
  <c r="G452" i="1"/>
  <c r="G96" i="1"/>
  <c r="G103" i="1"/>
  <c r="G267" i="1"/>
  <c r="G234" i="1"/>
  <c r="G230" i="1"/>
  <c r="G351" i="1"/>
  <c r="G1019" i="1"/>
  <c r="G808" i="1"/>
  <c r="G437" i="1"/>
  <c r="G689" i="1"/>
  <c r="G632" i="1"/>
  <c r="G331" i="1"/>
  <c r="G260" i="1"/>
  <c r="G994" i="1"/>
  <c r="G919" i="1"/>
  <c r="G412" i="1"/>
  <c r="G725" i="1"/>
  <c r="G995" i="1"/>
  <c r="G587" i="1"/>
  <c r="G1127" i="1"/>
  <c r="G1181" i="1"/>
  <c r="G310" i="1"/>
  <c r="G224" i="1"/>
  <c r="G463" i="1"/>
  <c r="G240" i="1"/>
  <c r="G68" i="1"/>
  <c r="G251" i="1"/>
  <c r="G128" i="1"/>
  <c r="G1188" i="1"/>
  <c r="G1197" i="1"/>
  <c r="G1192" i="1"/>
  <c r="G748" i="1"/>
  <c r="G897" i="1"/>
  <c r="G114" i="1"/>
  <c r="G26" i="1"/>
  <c r="G265" i="1"/>
  <c r="G296" i="1"/>
  <c r="G47" i="1"/>
  <c r="G381" i="1"/>
  <c r="G261" i="1"/>
  <c r="G107" i="1"/>
  <c r="G762" i="1"/>
  <c r="G1006" i="1"/>
  <c r="G774" i="1"/>
  <c r="G729" i="1"/>
  <c r="G895" i="1"/>
  <c r="G1133" i="1"/>
  <c r="G1011" i="1"/>
  <c r="G908" i="1"/>
  <c r="G1156" i="1"/>
  <c r="G989" i="1"/>
  <c r="G415" i="1"/>
  <c r="G13" i="1"/>
  <c r="G688" i="1"/>
  <c r="G259" i="1"/>
  <c r="G284" i="1"/>
  <c r="G58" i="1"/>
  <c r="G207" i="1"/>
  <c r="G193" i="1"/>
  <c r="G743" i="1"/>
  <c r="G851" i="1"/>
  <c r="G579" i="1"/>
  <c r="G992" i="1"/>
  <c r="G343" i="1"/>
  <c r="G294" i="1"/>
  <c r="G84" i="1"/>
  <c r="G241" i="1"/>
  <c r="G180" i="1"/>
  <c r="G157" i="1"/>
  <c r="G220" i="1"/>
  <c r="G1196" i="1"/>
  <c r="G912" i="1"/>
  <c r="G841" i="1"/>
  <c r="G997" i="1"/>
  <c r="G660" i="1"/>
  <c r="G599" i="1"/>
  <c r="G555" i="1"/>
  <c r="G438" i="1"/>
  <c r="G466" i="1"/>
  <c r="G199" i="1"/>
  <c r="G380" i="1"/>
  <c r="G1177" i="1"/>
  <c r="G867" i="1"/>
  <c r="G959" i="1"/>
  <c r="G465" i="1"/>
  <c r="G106" i="1"/>
  <c r="G786" i="1"/>
  <c r="G307" i="1"/>
  <c r="G804" i="1"/>
  <c r="G901" i="1"/>
  <c r="G77" i="1"/>
  <c r="G127" i="1"/>
  <c r="G377" i="1"/>
  <c r="G94" i="1"/>
  <c r="G828" i="1"/>
  <c r="G757" i="1"/>
  <c r="G283" i="1"/>
  <c r="G364" i="1"/>
  <c r="G250" i="1"/>
  <c r="G53" i="1"/>
  <c r="G124" i="1"/>
  <c r="G98" i="1"/>
  <c r="G176" i="1"/>
  <c r="G1175" i="1"/>
  <c r="G1187" i="1"/>
  <c r="G1008" i="1"/>
  <c r="G753" i="1"/>
  <c r="G455" i="1"/>
  <c r="G20" i="1"/>
  <c r="G308" i="1"/>
  <c r="G36" i="1"/>
  <c r="G263" i="1"/>
  <c r="G277" i="1"/>
  <c r="G50" i="1"/>
  <c r="G219" i="1"/>
  <c r="G269" i="1"/>
  <c r="G138" i="1"/>
  <c r="G154" i="1"/>
  <c r="G171" i="1"/>
  <c r="G397" i="1"/>
  <c r="G147" i="1"/>
  <c r="G21" i="1"/>
  <c r="G181" i="1"/>
  <c r="G204" i="1"/>
  <c r="G15" i="1"/>
  <c r="G136" i="1"/>
  <c r="G85" i="1"/>
  <c r="G236" i="1"/>
  <c r="G187" i="1"/>
  <c r="G175" i="1"/>
  <c r="G329" i="1"/>
  <c r="G142" i="1"/>
  <c r="G239" i="1"/>
  <c r="G249" i="1"/>
  <c r="G108" i="1"/>
  <c r="G237" i="1"/>
  <c r="G195" i="1"/>
  <c r="G1158" i="1"/>
  <c r="G1027" i="1"/>
  <c r="G1035" i="1"/>
  <c r="G705" i="1"/>
  <c r="G704" i="1"/>
  <c r="G1088" i="1"/>
  <c r="G839" i="1"/>
  <c r="G810" i="1"/>
  <c r="G793" i="1"/>
  <c r="G573" i="1"/>
  <c r="G602" i="1"/>
  <c r="G453" i="1"/>
  <c r="G769" i="1"/>
  <c r="G538" i="1"/>
  <c r="G835" i="1"/>
  <c r="G619" i="1"/>
  <c r="G435" i="1"/>
  <c r="G642" i="1"/>
  <c r="G414" i="1"/>
  <c r="G548" i="1"/>
  <c r="G733" i="1"/>
  <c r="G552" i="1"/>
  <c r="G799" i="1"/>
  <c r="G494" i="1"/>
  <c r="G561" i="1"/>
  <c r="G790" i="1"/>
  <c r="G483" i="1"/>
  <c r="G805" i="1"/>
  <c r="G402" i="1"/>
  <c r="G523" i="1"/>
  <c r="G737" i="1"/>
  <c r="G669" i="1"/>
  <c r="G866" i="1"/>
  <c r="G1136" i="1"/>
  <c r="G998" i="1"/>
  <c r="G1023" i="1"/>
  <c r="G1131" i="1"/>
  <c r="G971" i="1"/>
  <c r="G905" i="1"/>
  <c r="G1076" i="1"/>
  <c r="G928" i="1"/>
  <c r="G1014" i="1"/>
  <c r="G973" i="1"/>
  <c r="G1078" i="1"/>
  <c r="G365" i="1"/>
  <c r="G170" i="1"/>
  <c r="G172" i="1"/>
  <c r="G337" i="1"/>
  <c r="G112" i="1"/>
  <c r="G221" i="1"/>
  <c r="G305" i="1"/>
  <c r="G333" i="1"/>
  <c r="G132" i="1"/>
  <c r="G42" i="1"/>
  <c r="G285" i="1"/>
  <c r="G360" i="1"/>
  <c r="G67" i="1"/>
  <c r="G22" i="1"/>
  <c r="G189" i="1"/>
  <c r="G65" i="1"/>
  <c r="G395" i="1"/>
  <c r="G72" i="1"/>
  <c r="G345" i="1"/>
  <c r="G1123" i="1"/>
  <c r="G1142" i="1"/>
  <c r="G1134" i="1"/>
  <c r="G1093" i="1"/>
  <c r="G996" i="1"/>
  <c r="G1105" i="1"/>
  <c r="G1039" i="1"/>
  <c r="G1144" i="1"/>
  <c r="G993" i="1"/>
  <c r="G584" i="1"/>
  <c r="G1090" i="1"/>
  <c r="G600" i="1"/>
  <c r="G780" i="1"/>
  <c r="G420" i="1"/>
  <c r="G869" i="1"/>
  <c r="G694" i="1"/>
  <c r="G521" i="1"/>
  <c r="G173" i="1"/>
  <c r="G932" i="1"/>
  <c r="G490" i="1"/>
  <c r="G615" i="1"/>
  <c r="G491" i="1"/>
  <c r="G549" i="1"/>
  <c r="G760" i="1"/>
  <c r="G492" i="1"/>
  <c r="G553" i="1"/>
  <c r="G809" i="1"/>
  <c r="G495" i="1"/>
  <c r="G565" i="1"/>
  <c r="G798" i="1"/>
  <c r="G439" i="1"/>
  <c r="G567" i="1"/>
  <c r="G235" i="1"/>
  <c r="G526" i="1"/>
  <c r="G727" i="1"/>
  <c r="G831" i="1"/>
  <c r="G1148" i="1"/>
  <c r="G1107" i="1"/>
  <c r="G980" i="1"/>
  <c r="G1091" i="1"/>
  <c r="G921" i="1"/>
  <c r="G1082" i="1"/>
  <c r="G946" i="1"/>
  <c r="G1021" i="1"/>
  <c r="G855" i="1"/>
  <c r="G1028" i="1"/>
  <c r="G1165" i="1"/>
  <c r="G1161" i="1"/>
  <c r="G326" i="1"/>
  <c r="G335" i="1"/>
  <c r="G288" i="1"/>
  <c r="G200" i="1"/>
  <c r="G340" i="1"/>
  <c r="G37" i="1"/>
  <c r="G332" i="1"/>
  <c r="G123" i="1"/>
  <c r="G330" i="1"/>
  <c r="G303" i="1"/>
  <c r="G213" i="1"/>
  <c r="G318" i="1"/>
  <c r="G63" i="1"/>
  <c r="G146" i="1"/>
  <c r="G282" i="1"/>
  <c r="G327" i="1"/>
  <c r="G379" i="1"/>
  <c r="G1199" i="1"/>
  <c r="G852" i="1"/>
  <c r="G772" i="1"/>
  <c r="G1068" i="1"/>
  <c r="G692" i="1"/>
  <c r="G849" i="1"/>
  <c r="G622" i="1"/>
  <c r="G572" i="1"/>
  <c r="G664" i="1"/>
  <c r="G564" i="1"/>
  <c r="G413" i="1"/>
  <c r="G603" i="1"/>
  <c r="G948" i="1"/>
  <c r="G476" i="1"/>
  <c r="G803" i="1"/>
  <c r="G551" i="1"/>
  <c r="G659" i="1"/>
  <c r="G423" i="1"/>
  <c r="G634" i="1"/>
  <c r="G1024" i="1"/>
  <c r="G458" i="1"/>
  <c r="G611" i="1"/>
  <c r="G464" i="1"/>
  <c r="G653" i="1"/>
  <c r="G787" i="1"/>
  <c r="G578" i="1"/>
  <c r="G796" i="1"/>
  <c r="G554" i="1"/>
  <c r="G784" i="1"/>
  <c r="G1106" i="1"/>
  <c r="G606" i="1"/>
  <c r="G815" i="1"/>
  <c r="G1098" i="1"/>
  <c r="G953" i="1"/>
  <c r="G462" i="1"/>
  <c r="G723" i="1"/>
  <c r="G999" i="1"/>
  <c r="G957" i="1"/>
  <c r="G975" i="1"/>
  <c r="G1071" i="1"/>
  <c r="G1152" i="1"/>
  <c r="G144" i="1"/>
  <c r="G88" i="1"/>
  <c r="G227" i="1"/>
  <c r="G191" i="1"/>
  <c r="G317" i="1"/>
  <c r="G299" i="1"/>
  <c r="G306" i="1"/>
  <c r="G39" i="1"/>
  <c r="G384" i="1"/>
  <c r="G392" i="1"/>
  <c r="G177" i="1"/>
  <c r="G167" i="1"/>
  <c r="G28" i="1"/>
  <c r="G391" i="1"/>
  <c r="G66" i="1"/>
  <c r="G228" i="1"/>
  <c r="G369" i="1"/>
  <c r="G1169" i="1"/>
  <c r="G1145" i="1"/>
  <c r="G1195" i="1"/>
  <c r="G1178" i="1"/>
  <c r="G1053" i="1"/>
  <c r="G883" i="1"/>
  <c r="G1057" i="1"/>
  <c r="G947" i="1"/>
  <c r="G1119" i="1"/>
  <c r="G985" i="1"/>
  <c r="G812" i="1"/>
  <c r="G842" i="1"/>
  <c r="G685" i="1"/>
  <c r="G1086" i="1"/>
  <c r="G446" i="1"/>
  <c r="G1016" i="1"/>
  <c r="G612" i="1"/>
  <c r="G672" i="1"/>
  <c r="G598" i="1"/>
  <c r="G1117" i="1"/>
  <c r="G593" i="1"/>
  <c r="G708" i="1"/>
  <c r="G949" i="1"/>
  <c r="G547" i="1"/>
  <c r="G424" i="1"/>
  <c r="G575" i="1"/>
  <c r="G489" i="1"/>
  <c r="G601" i="1"/>
  <c r="G519" i="1"/>
  <c r="G638" i="1"/>
  <c r="G795" i="1"/>
  <c r="G520" i="1"/>
  <c r="G646" i="1"/>
  <c r="G1069" i="1"/>
  <c r="G532" i="1"/>
  <c r="G546" i="1"/>
  <c r="G1070" i="1"/>
  <c r="G542" i="1"/>
  <c r="G621" i="1"/>
  <c r="G801" i="1"/>
  <c r="G558" i="1"/>
  <c r="G794" i="1"/>
  <c r="G1067" i="1"/>
  <c r="G422" i="1"/>
  <c r="G586" i="1"/>
  <c r="G717" i="1"/>
  <c r="G1034" i="1"/>
  <c r="G410" i="1"/>
  <c r="G535" i="1"/>
  <c r="G655" i="1"/>
  <c r="G1160" i="1"/>
  <c r="G1029" i="1"/>
  <c r="G1137" i="1"/>
  <c r="G984" i="1"/>
  <c r="G1095" i="1"/>
  <c r="G1055" i="1"/>
  <c r="G929" i="1"/>
  <c r="G1022" i="1"/>
  <c r="G257" i="1"/>
  <c r="G61" i="1"/>
  <c r="G275" i="1"/>
  <c r="G258" i="1"/>
  <c r="G323" i="1"/>
  <c r="G201" i="1"/>
  <c r="G56" i="1"/>
  <c r="G185" i="1"/>
  <c r="G186" i="1"/>
  <c r="G87" i="1"/>
  <c r="G270" i="1"/>
  <c r="G319" i="1"/>
  <c r="G316" i="1"/>
  <c r="G280" i="1"/>
  <c r="G121" i="1"/>
  <c r="G81" i="1"/>
  <c r="G242" i="1"/>
  <c r="G141" i="1"/>
  <c r="G196" i="1"/>
  <c r="G105" i="1"/>
  <c r="G232" i="1"/>
  <c r="G149" i="1"/>
  <c r="G80" i="1"/>
  <c r="G25" i="1"/>
  <c r="G349" i="1"/>
  <c r="G311" i="1"/>
  <c r="G248" i="1"/>
  <c r="G83" i="1"/>
  <c r="G1166" i="1"/>
  <c r="G911" i="1"/>
  <c r="G863" i="1"/>
  <c r="G739" i="1"/>
  <c r="G1062" i="1"/>
  <c r="G676" i="1"/>
  <c r="G814" i="1"/>
  <c r="G903" i="1"/>
  <c r="G1085" i="1"/>
  <c r="G702" i="1"/>
  <c r="G703" i="1"/>
  <c r="G1138" i="1"/>
  <c r="G541" i="1"/>
  <c r="G624" i="1"/>
  <c r="G474" i="1"/>
  <c r="G639" i="1"/>
  <c r="G924" i="1"/>
  <c r="G442" i="1"/>
  <c r="G533" i="1"/>
  <c r="G647" i="1"/>
  <c r="G797" i="1"/>
  <c r="G782" i="1"/>
  <c r="G515" i="1"/>
  <c r="G783" i="1"/>
  <c r="G1167" i="1"/>
  <c r="G516" i="1"/>
  <c r="G1173" i="1"/>
  <c r="G528" i="1"/>
  <c r="G657" i="1"/>
  <c r="G1121" i="1"/>
  <c r="G513" i="1"/>
  <c r="G629" i="1"/>
  <c r="G807" i="1"/>
  <c r="G484" i="1"/>
  <c r="G625" i="1"/>
  <c r="G811" i="1"/>
  <c r="G571" i="1"/>
  <c r="G930" i="1"/>
  <c r="G936" i="1"/>
  <c r="G904" i="1"/>
  <c r="G860" i="1"/>
  <c r="G1111" i="1"/>
  <c r="G961" i="1"/>
  <c r="G979" i="1"/>
  <c r="G1110" i="1"/>
  <c r="G954" i="1"/>
  <c r="G825" i="1"/>
  <c r="G1171" i="1"/>
  <c r="G350" i="1"/>
  <c r="G386" i="1"/>
  <c r="G244" i="1"/>
  <c r="G182" i="1"/>
  <c r="G89" i="1"/>
  <c r="G152" i="1"/>
  <c r="G158" i="1"/>
  <c r="G102" i="1"/>
  <c r="G203" i="1"/>
  <c r="G18" i="1"/>
  <c r="G253" i="1"/>
  <c r="G290" i="1"/>
  <c r="G390" i="1"/>
  <c r="G29" i="1"/>
  <c r="G153" i="1"/>
  <c r="G279" i="1"/>
  <c r="G324" i="1"/>
  <c r="G194" i="1"/>
  <c r="G31" i="1"/>
  <c r="G246" i="1"/>
  <c r="G314" i="1"/>
  <c r="G338" i="1"/>
  <c r="G110" i="1"/>
  <c r="G174" i="1"/>
  <c r="G69" i="1"/>
  <c r="G130" i="1"/>
  <c r="G131" i="1"/>
  <c r="G266" i="1"/>
  <c r="G223" i="1"/>
  <c r="G320" i="1"/>
  <c r="G33" i="1"/>
  <c r="G11" i="1"/>
  <c r="G325" i="1"/>
  <c r="G359" i="1"/>
  <c r="G139" i="1"/>
  <c r="G297" i="1"/>
  <c r="G1163" i="1"/>
  <c r="G1191" i="1"/>
  <c r="G1080" i="1"/>
  <c r="G826" i="1"/>
  <c r="G682" i="1"/>
  <c r="G906" i="1"/>
  <c r="G1074" i="1"/>
  <c r="G910" i="1"/>
  <c r="G856" i="1"/>
  <c r="G832" i="1"/>
  <c r="G734" i="1"/>
  <c r="G434" i="1"/>
  <c r="G616" i="1"/>
  <c r="G656" i="1"/>
  <c r="G488" i="1"/>
  <c r="G493" i="1"/>
  <c r="G591" i="1"/>
  <c r="G448" i="1"/>
  <c r="G610" i="1"/>
  <c r="G431" i="1"/>
  <c r="G596" i="1"/>
  <c r="G1042" i="1"/>
  <c r="G630" i="1"/>
  <c r="G1059" i="1"/>
  <c r="G475" i="1"/>
  <c r="G730" i="1"/>
  <c r="G1176" i="1"/>
  <c r="G511" i="1"/>
  <c r="G732" i="1"/>
  <c r="G819" i="1"/>
  <c r="G540" i="1"/>
  <c r="G661" i="1"/>
  <c r="G818" i="1"/>
  <c r="G1120" i="1"/>
  <c r="G496" i="1"/>
  <c r="G569" i="1"/>
  <c r="G821" i="1"/>
  <c r="G428" i="1"/>
  <c r="G920" i="1"/>
  <c r="G937" i="1"/>
  <c r="G1033" i="1"/>
  <c r="G1143" i="1"/>
  <c r="G1037" i="1"/>
  <c r="G923" i="1"/>
  <c r="G1089" i="1"/>
  <c r="G864" i="1"/>
  <c r="G1164" i="1"/>
  <c r="G398" i="1"/>
  <c r="G374" i="1"/>
  <c r="G211" i="1"/>
  <c r="G49" i="1"/>
  <c r="G109" i="1"/>
  <c r="B8" i="9"/>
  <c r="G295" i="1"/>
  <c r="G389" i="1"/>
  <c r="G151" i="1"/>
  <c r="G133" i="1"/>
  <c r="G256" i="1"/>
  <c r="G129" i="1"/>
  <c r="G60" i="1"/>
  <c r="G215" i="1"/>
  <c r="G111" i="1"/>
  <c r="G41" i="1"/>
  <c r="G78" i="1"/>
  <c r="G393" i="1"/>
  <c r="G225" i="1"/>
  <c r="G1153" i="1"/>
  <c r="G1040" i="1"/>
  <c r="G792" i="1"/>
  <c r="G1200" i="1"/>
  <c r="G1172" i="1"/>
  <c r="G1112" i="1"/>
  <c r="G677" i="1"/>
  <c r="G859" i="1"/>
  <c r="G1058" i="1"/>
  <c r="G686" i="1"/>
  <c r="G939" i="1"/>
  <c r="G1072" i="1"/>
  <c r="G1097" i="1"/>
  <c r="G816" i="1"/>
  <c r="G722" i="1"/>
  <c r="G802" i="1"/>
  <c r="G700" i="1"/>
  <c r="G544" i="1"/>
  <c r="G618" i="1"/>
  <c r="G628" i="1"/>
  <c r="G530" i="1"/>
  <c r="G568" i="1"/>
  <c r="G649" i="1"/>
  <c r="G597" i="1"/>
  <c r="G406" i="1"/>
  <c r="G421" i="1"/>
  <c r="G738" i="1"/>
  <c r="G486" i="1"/>
  <c r="G641" i="1"/>
  <c r="G543" i="1"/>
  <c r="G590" i="1"/>
  <c r="G781" i="1"/>
  <c r="G510" i="1"/>
  <c r="G740" i="1"/>
  <c r="G873" i="1"/>
  <c r="G728" i="1"/>
  <c r="G874" i="1"/>
  <c r="G527" i="1"/>
  <c r="G537" i="1"/>
  <c r="G724" i="1"/>
  <c r="G470" i="1"/>
  <c r="G507" i="1"/>
  <c r="G707" i="1"/>
  <c r="G823" i="1"/>
  <c r="G607" i="1"/>
  <c r="G427" i="1"/>
  <c r="G742" i="1"/>
  <c r="G1038" i="1"/>
  <c r="G958" i="1"/>
  <c r="G944" i="1"/>
  <c r="G1063" i="1"/>
  <c r="G909" i="1"/>
  <c r="G880" i="1"/>
  <c r="G1135" i="1"/>
  <c r="G1115" i="1"/>
  <c r="G965" i="1"/>
  <c r="G1114" i="1"/>
  <c r="G940" i="1"/>
  <c r="G155" i="1"/>
  <c r="G292" i="1"/>
  <c r="G208" i="1"/>
  <c r="G300" i="1"/>
  <c r="G321" i="1"/>
  <c r="G334" i="1"/>
  <c r="G229" i="1"/>
  <c r="G113" i="1"/>
  <c r="G276" i="1"/>
  <c r="G161" i="1"/>
  <c r="G116" i="1"/>
  <c r="G14" i="1"/>
  <c r="G1129" i="1"/>
  <c r="G1109" i="1"/>
  <c r="G1118" i="1"/>
  <c r="G750" i="1"/>
  <c r="G927" i="1"/>
  <c r="G843" i="1"/>
  <c r="G1000" i="1"/>
  <c r="G678" i="1"/>
  <c r="G525" i="1"/>
  <c r="G501" i="1"/>
  <c r="G469" i="1"/>
  <c r="G644" i="1"/>
  <c r="G522" i="1"/>
  <c r="G560" i="1"/>
  <c r="G467" i="1"/>
  <c r="G432" i="1"/>
  <c r="G498" i="1"/>
  <c r="G623" i="1"/>
  <c r="G755" i="1"/>
  <c r="G1083" i="1"/>
  <c r="G695" i="1"/>
  <c r="G505" i="1"/>
  <c r="G654" i="1"/>
  <c r="G209" i="1"/>
  <c r="G506" i="1"/>
  <c r="G658" i="1"/>
  <c r="G871" i="1"/>
  <c r="G662" i="1"/>
  <c r="G502" i="1"/>
  <c r="G720" i="1"/>
  <c r="G451" i="1"/>
  <c r="G562" i="1"/>
  <c r="G1102" i="1"/>
  <c r="G485" i="1"/>
  <c r="G633" i="1"/>
  <c r="G817" i="1"/>
  <c r="G986" i="1"/>
  <c r="G968" i="1"/>
  <c r="G1150" i="1"/>
  <c r="G963" i="1"/>
  <c r="G1087" i="1"/>
  <c r="G960" i="1"/>
  <c r="G1064" i="1"/>
  <c r="G861" i="1"/>
  <c r="G1012" i="1"/>
  <c r="G1149" i="1"/>
  <c r="G983" i="1"/>
  <c r="G1032" i="1"/>
  <c r="G884" i="1"/>
  <c r="G8" i="1"/>
  <c r="G46" i="1"/>
  <c r="G197" i="1"/>
  <c r="G358" i="1"/>
  <c r="G373" i="1"/>
  <c r="G169" i="1"/>
  <c r="G71" i="1"/>
  <c r="G54" i="1"/>
  <c r="G394" i="1"/>
  <c r="G210" i="1"/>
  <c r="G302" i="1"/>
  <c r="G99" i="1"/>
  <c r="G48" i="1"/>
  <c r="G62" i="1"/>
  <c r="G64" i="1"/>
  <c r="G368" i="1"/>
  <c r="G166" i="1"/>
  <c r="G231" i="1"/>
  <c r="G1198" i="1"/>
  <c r="G752" i="1"/>
  <c r="G1116" i="1"/>
  <c r="G900" i="1"/>
  <c r="G1065" i="1"/>
  <c r="G838" i="1"/>
  <c r="G788" i="1"/>
  <c r="G800" i="1"/>
  <c r="G1044" i="1"/>
  <c r="G990" i="1"/>
  <c r="G744" i="1"/>
  <c r="G613" i="1"/>
  <c r="G479" i="1"/>
  <c r="G556" i="1"/>
  <c r="G663" i="1"/>
  <c r="G557" i="1"/>
  <c r="G585" i="1"/>
  <c r="G680" i="1"/>
  <c r="G471" i="1"/>
  <c r="G407" i="1"/>
  <c r="G775" i="1"/>
  <c r="G609" i="1"/>
  <c r="G509" i="1"/>
  <c r="G872" i="1"/>
  <c r="G504" i="1"/>
  <c r="G698" i="1"/>
  <c r="G524" i="1"/>
  <c r="G536" i="1"/>
  <c r="G710" i="1"/>
  <c r="G447" i="1"/>
  <c r="G559" i="1"/>
  <c r="G145" i="1"/>
  <c r="G721" i="1"/>
  <c r="G514" i="1"/>
  <c r="G637" i="1"/>
  <c r="G813" i="1"/>
  <c r="G497" i="1"/>
  <c r="G741" i="1"/>
  <c r="G1046" i="1"/>
  <c r="G972" i="1"/>
  <c r="G952" i="1"/>
  <c r="G1075" i="1"/>
  <c r="G1147" i="1"/>
  <c r="G1030" i="1"/>
  <c r="G1041" i="1"/>
  <c r="G935" i="1"/>
  <c r="G1094" i="1"/>
  <c r="G190" i="1"/>
  <c r="G57" i="1"/>
  <c r="G339" i="1"/>
  <c r="G95" i="1"/>
  <c r="G6" i="1"/>
  <c r="G354" i="1"/>
  <c r="G383" i="1"/>
  <c r="G301" i="1"/>
  <c r="G371" i="1"/>
  <c r="G328" i="1"/>
  <c r="G226" i="1"/>
  <c r="G126" i="1"/>
  <c r="G382" i="1"/>
  <c r="G184" i="1"/>
  <c r="G192" i="1"/>
  <c r="G117" i="1"/>
  <c r="G255" i="1"/>
  <c r="G291" i="1"/>
  <c r="G90" i="1"/>
  <c r="G122" i="1"/>
  <c r="G315" i="1"/>
  <c r="G135" i="1"/>
  <c r="G1190" i="1"/>
  <c r="G1183" i="1"/>
  <c r="G1170" i="1"/>
  <c r="G1179" i="1"/>
  <c r="G1157" i="1"/>
  <c r="G1061" i="1"/>
  <c r="G1193" i="1"/>
  <c r="G683" i="1"/>
  <c r="G681" i="1"/>
  <c r="G691" i="1"/>
  <c r="G918" i="1"/>
  <c r="G981" i="1"/>
  <c r="G758" i="1"/>
  <c r="G726" i="1"/>
  <c r="G1092" i="1"/>
  <c r="G899" i="1"/>
  <c r="G773" i="1"/>
  <c r="G481" i="1"/>
  <c r="G626" i="1"/>
  <c r="G473" i="1"/>
  <c r="G749" i="1"/>
  <c r="G631" i="1"/>
  <c r="G956" i="1"/>
  <c r="G539" i="1"/>
  <c r="G429" i="1"/>
  <c r="G518" i="1"/>
  <c r="G570" i="1"/>
  <c r="G778" i="1"/>
  <c r="G478" i="1"/>
  <c r="G650" i="1"/>
  <c r="G217" i="1"/>
  <c r="G545" i="1"/>
  <c r="G675" i="1"/>
  <c r="G1020" i="1"/>
  <c r="G829" i="1"/>
  <c r="G651" i="1"/>
  <c r="G833" i="1"/>
  <c r="G925" i="1"/>
  <c r="G443" i="1"/>
  <c r="G563" i="1"/>
  <c r="G876" i="1"/>
  <c r="G218" i="1"/>
  <c r="G665" i="1"/>
  <c r="G822" i="1"/>
  <c r="G608" i="1"/>
  <c r="G763" i="1"/>
  <c r="G991" i="1"/>
  <c r="G967" i="1"/>
  <c r="G1162" i="1"/>
  <c r="G1013" i="1"/>
  <c r="G969" i="1"/>
  <c r="G1077" i="1"/>
  <c r="G951" i="1"/>
  <c r="G43" i="1"/>
  <c r="G388" i="1"/>
  <c r="G82" i="1"/>
  <c r="G118" i="1"/>
  <c r="G92" i="1"/>
  <c r="G101" i="1"/>
  <c r="G198" i="1"/>
  <c r="G293" i="1"/>
  <c r="G262" i="1"/>
  <c r="G150" i="1"/>
  <c r="G375" i="1"/>
  <c r="G12" i="1"/>
  <c r="G238" i="1"/>
  <c r="G1128" i="1"/>
  <c r="G1141" i="1"/>
  <c r="G1124" i="1"/>
  <c r="G865" i="1"/>
  <c r="G1004" i="1"/>
  <c r="G785" i="1"/>
  <c r="G768" i="1"/>
  <c r="G776" i="1"/>
  <c r="G701" i="1"/>
  <c r="G666" i="1"/>
  <c r="G779" i="1"/>
  <c r="G718" i="1"/>
  <c r="G477" i="1"/>
  <c r="G767" i="1"/>
  <c r="G667" i="1"/>
  <c r="G736" i="1"/>
  <c r="G529" i="1"/>
  <c r="G766" i="1"/>
  <c r="G503" i="1"/>
  <c r="G687" i="1"/>
  <c r="G627" i="1"/>
  <c r="G635" i="1"/>
  <c r="G888" i="1"/>
  <c r="G643" i="1"/>
  <c r="G892" i="1"/>
  <c r="G416" i="1"/>
  <c r="G714" i="1"/>
  <c r="G964" i="1"/>
  <c r="G419" i="1"/>
  <c r="G945" i="1"/>
  <c r="G508" i="1"/>
  <c r="G827" i="1"/>
  <c r="G70" i="1"/>
  <c r="G517" i="1"/>
  <c r="G566" i="1"/>
  <c r="G1099" i="1"/>
  <c r="G1015" i="1"/>
  <c r="G976" i="1"/>
  <c r="G1079" i="1"/>
  <c r="G988" i="1"/>
  <c r="G1159" i="1"/>
  <c r="G1155" i="1"/>
  <c r="G1036" i="1"/>
  <c r="G55" i="1"/>
  <c r="G347" i="1"/>
  <c r="G286" i="1"/>
  <c r="G268" i="1"/>
  <c r="G205" i="1"/>
  <c r="G245" i="1"/>
  <c r="G271" i="1"/>
  <c r="G309" i="1"/>
  <c r="G363" i="1"/>
  <c r="G100" i="1"/>
  <c r="G160" i="1"/>
  <c r="G115" i="1"/>
  <c r="G168" i="1"/>
  <c r="G165" i="1"/>
  <c r="G140" i="1"/>
  <c r="G125" i="1"/>
  <c r="G120" i="1"/>
  <c r="G183" i="1"/>
  <c r="G233" i="1"/>
  <c r="G341" i="1"/>
  <c r="G1130" i="1"/>
  <c r="G1185" i="1"/>
  <c r="G1180" i="1"/>
  <c r="G1101" i="1"/>
  <c r="G1049" i="1"/>
  <c r="G846" i="1"/>
  <c r="G697" i="1"/>
  <c r="G830" i="1"/>
  <c r="G712" i="1"/>
  <c r="G731" i="1"/>
  <c r="G917" i="1"/>
  <c r="G848" i="1"/>
  <c r="G806" i="1"/>
  <c r="G1108" i="1"/>
  <c r="G914" i="1"/>
  <c r="G857" i="1"/>
  <c r="G746" i="1"/>
  <c r="G1073" i="1"/>
  <c r="G836" i="1"/>
  <c r="G617" i="1"/>
  <c r="G684" i="1"/>
  <c r="G304" i="1"/>
  <c r="G771" i="1"/>
  <c r="G605" i="1"/>
  <c r="G589" i="1"/>
  <c r="G673" i="1"/>
  <c r="G868" i="1"/>
  <c r="G534" i="1"/>
  <c r="G671" i="1"/>
  <c r="G941" i="1"/>
  <c r="G933" i="1"/>
  <c r="G693" i="1"/>
  <c r="G931" i="1"/>
  <c r="G376" i="1"/>
  <c r="G942" i="1"/>
  <c r="G482" i="1"/>
  <c r="G417" i="1"/>
  <c r="G716" i="1"/>
  <c r="G1025" i="1"/>
  <c r="G313" i="1"/>
  <c r="G456" i="1"/>
  <c r="G709" i="1"/>
  <c r="G450" i="1"/>
  <c r="G645" i="1"/>
  <c r="G1103" i="1"/>
  <c r="G1017" i="1"/>
  <c r="G1001" i="1"/>
  <c r="G1126" i="1"/>
  <c r="G1045" i="1"/>
  <c r="G34" i="1"/>
  <c r="G27" i="1"/>
  <c r="G289" i="1"/>
  <c r="G52" i="1"/>
  <c r="C8" i="9"/>
  <c r="D8" i="9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<sst xmlns="http://schemas.openxmlformats.org/spreadsheetml/2006/main" count="130" uniqueCount="86">
  <si>
    <r>
      <t xml:space="preserve">SCAN or TYPE
NUMBER
include N or S
</t>
    </r>
    <r>
      <rPr>
        <b/>
        <sz val="8"/>
        <color rgb="FF00B050"/>
        <rFont val="Calibri"/>
        <family val="2"/>
        <scheme val="minor"/>
      </rPr>
      <t>(last two digits on
card not required)</t>
    </r>
  </si>
  <si>
    <t>BARCODE
CHECK</t>
  </si>
  <si>
    <t>Scanned
Barcode
(with
corrections
if needed)</t>
  </si>
  <si>
    <t>Name</t>
  </si>
  <si>
    <t>Staff or
Student
or
Visitor
?</t>
  </si>
  <si>
    <t>Document
version
number</t>
  </si>
  <si>
    <t>Corrected
number
format</t>
  </si>
  <si>
    <r>
      <rPr>
        <b/>
        <sz val="12"/>
        <color theme="4" tint="-0.249977111117893"/>
        <rFont val="Calibri"/>
        <family val="2"/>
        <scheme val="minor"/>
      </rPr>
      <t>Acrylic</t>
    </r>
    <r>
      <rPr>
        <b/>
        <sz val="11"/>
        <color theme="4" tint="-0.249977111117893"/>
        <rFont val="Calibri"/>
        <family val="2"/>
        <scheme val="minor"/>
      </rPr>
      <t xml:space="preserve">
</t>
    </r>
    <r>
      <rPr>
        <b/>
        <sz val="9"/>
        <color theme="4" tint="-0.249977111117893"/>
        <rFont val="Calibri"/>
        <family val="2"/>
        <scheme val="minor"/>
      </rPr>
      <t>number
of new
sheets</t>
    </r>
  </si>
  <si>
    <r>
      <rPr>
        <b/>
        <sz val="12"/>
        <color rgb="FFBE4502"/>
        <rFont val="Calibri"/>
        <family val="2"/>
        <scheme val="minor"/>
      </rPr>
      <t>HDF</t>
    </r>
    <r>
      <rPr>
        <b/>
        <sz val="11"/>
        <color rgb="FFBE4502"/>
        <rFont val="Calibri"/>
        <family val="2"/>
        <scheme val="minor"/>
      </rPr>
      <t xml:space="preserve">
</t>
    </r>
    <r>
      <rPr>
        <b/>
        <sz val="9"/>
        <color rgb="FFBE4502"/>
        <rFont val="Calibri"/>
        <family val="2"/>
        <scheme val="minor"/>
      </rPr>
      <t>number
of new
sheets</t>
    </r>
  </si>
  <si>
    <r>
      <rPr>
        <b/>
        <sz val="12"/>
        <color theme="4" tint="-0.249977111117893"/>
        <rFont val="Calibri"/>
        <family val="2"/>
        <scheme val="minor"/>
      </rPr>
      <t>Acrylic</t>
    </r>
    <r>
      <rPr>
        <b/>
        <sz val="11"/>
        <color theme="4" tint="-0.249977111117893"/>
        <rFont val="Calibri"/>
        <family val="2"/>
        <scheme val="minor"/>
      </rPr>
      <t xml:space="preserve">
</t>
    </r>
    <r>
      <rPr>
        <b/>
        <sz val="9"/>
        <color theme="4" tint="-0.249977111117893"/>
        <rFont val="Calibri"/>
        <family val="2"/>
        <scheme val="minor"/>
      </rPr>
      <t>total
used</t>
    </r>
  </si>
  <si>
    <r>
      <rPr>
        <b/>
        <sz val="12"/>
        <color rgb="FFBE4502"/>
        <rFont val="Calibri"/>
        <family val="2"/>
        <scheme val="minor"/>
      </rPr>
      <t>HDF</t>
    </r>
    <r>
      <rPr>
        <b/>
        <sz val="11"/>
        <color rgb="FFBE4502"/>
        <rFont val="Calibri"/>
        <family val="2"/>
        <scheme val="minor"/>
      </rPr>
      <t xml:space="preserve">
</t>
    </r>
    <r>
      <rPr>
        <b/>
        <sz val="9"/>
        <color rgb="FFBE4502"/>
        <rFont val="Calibri"/>
        <family val="2"/>
        <scheme val="minor"/>
      </rPr>
      <t>total
used</t>
    </r>
  </si>
  <si>
    <r>
      <rPr>
        <b/>
        <sz val="12"/>
        <color rgb="FFBE4502"/>
        <rFont val="Calibri"/>
        <family val="2"/>
        <scheme val="minor"/>
      </rPr>
      <t>HDF</t>
    </r>
    <r>
      <rPr>
        <b/>
        <sz val="11"/>
        <color rgb="FFBE4502"/>
        <rFont val="Calibri"/>
        <family val="2"/>
        <scheme val="minor"/>
      </rPr>
      <t xml:space="preserve">
</t>
    </r>
    <r>
      <rPr>
        <b/>
        <sz val="9"/>
        <color rgb="FFBE4502"/>
        <rFont val="Calibri"/>
        <family val="2"/>
        <scheme val="minor"/>
      </rPr>
      <t>MAX</t>
    </r>
    <r>
      <rPr>
        <b/>
        <sz val="11"/>
        <color rgb="FFBE4502"/>
        <rFont val="Calibri"/>
        <family val="2"/>
        <scheme val="minor"/>
      </rPr>
      <t xml:space="preserve">
per
student</t>
    </r>
  </si>
  <si>
    <r>
      <rPr>
        <b/>
        <sz val="12"/>
        <color theme="4" tint="-0.249977111117893"/>
        <rFont val="Calibri"/>
        <family val="2"/>
        <scheme val="minor"/>
      </rPr>
      <t>Acrylic</t>
    </r>
    <r>
      <rPr>
        <b/>
        <sz val="11"/>
        <color theme="4" tint="-0.249977111117893"/>
        <rFont val="Calibri"/>
        <family val="2"/>
        <scheme val="minor"/>
      </rPr>
      <t xml:space="preserve">
</t>
    </r>
    <r>
      <rPr>
        <b/>
        <sz val="9"/>
        <color theme="4" tint="-0.249977111117893"/>
        <rFont val="Calibri"/>
        <family val="2"/>
        <scheme val="minor"/>
      </rPr>
      <t>MAX</t>
    </r>
    <r>
      <rPr>
        <b/>
        <sz val="11"/>
        <color theme="4" tint="-0.249977111117893"/>
        <rFont val="Calibri"/>
        <family val="2"/>
        <scheme val="minor"/>
      </rPr>
      <t xml:space="preserve">
per
student</t>
    </r>
  </si>
  <si>
    <t>ID</t>
  </si>
  <si>
    <t>GROUP</t>
  </si>
  <si>
    <t>UNIT</t>
  </si>
  <si>
    <t>Student
Number
without
"N"</t>
  </si>
  <si>
    <t>Max Ply</t>
  </si>
  <si>
    <t>Max Acrylic</t>
  </si>
  <si>
    <t>Max HDF</t>
  </si>
  <si>
    <t>KIT
collect</t>
  </si>
  <si>
    <r>
      <rPr>
        <b/>
        <sz val="12"/>
        <color theme="7" tint="-0.499984740745262"/>
        <rFont val="Calibri"/>
        <family val="2"/>
        <scheme val="minor"/>
      </rPr>
      <t>Plywood</t>
    </r>
    <r>
      <rPr>
        <b/>
        <sz val="11"/>
        <color theme="7" tint="-0.499984740745262"/>
        <rFont val="Calibri"/>
        <family val="2"/>
        <scheme val="minor"/>
      </rPr>
      <t xml:space="preserve">
</t>
    </r>
    <r>
      <rPr>
        <b/>
        <sz val="9"/>
        <color theme="7" tint="-0.499984740745262"/>
        <rFont val="Calibri"/>
        <family val="2"/>
        <scheme val="minor"/>
      </rPr>
      <t>MAX</t>
    </r>
    <r>
      <rPr>
        <b/>
        <sz val="11"/>
        <color theme="7" tint="-0.499984740745262"/>
        <rFont val="Calibri"/>
        <family val="2"/>
        <scheme val="minor"/>
      </rPr>
      <t xml:space="preserve">
per
student</t>
    </r>
  </si>
  <si>
    <t>SHEET
QUANTITY
dropdown</t>
  </si>
  <si>
    <t>EGB210</t>
  </si>
  <si>
    <r>
      <rPr>
        <b/>
        <sz val="12"/>
        <color theme="7" tint="-0.499984740745262"/>
        <rFont val="Calibri"/>
        <family val="2"/>
        <scheme val="minor"/>
      </rPr>
      <t>Ply</t>
    </r>
    <r>
      <rPr>
        <b/>
        <sz val="11"/>
        <color theme="7" tint="-0.499984740745262"/>
        <rFont val="Calibri"/>
        <family val="2"/>
        <scheme val="minor"/>
      </rPr>
      <t xml:space="preserve">
</t>
    </r>
    <r>
      <rPr>
        <b/>
        <sz val="9"/>
        <color theme="7" tint="-0.499984740745262"/>
        <rFont val="Calibri"/>
        <family val="2"/>
        <scheme val="minor"/>
      </rPr>
      <t>number
of new
sheets</t>
    </r>
  </si>
  <si>
    <r>
      <rPr>
        <b/>
        <sz val="12"/>
        <color theme="7" tint="-0.499984740745262"/>
        <rFont val="Calibri"/>
        <family val="2"/>
        <scheme val="minor"/>
      </rPr>
      <t>Ply</t>
    </r>
    <r>
      <rPr>
        <b/>
        <sz val="11"/>
        <color theme="7" tint="-0.499984740745262"/>
        <rFont val="Calibri"/>
        <family val="2"/>
        <scheme val="minor"/>
      </rPr>
      <t xml:space="preserve">
</t>
    </r>
    <r>
      <rPr>
        <b/>
        <sz val="9"/>
        <color theme="7" tint="-0.499984740745262"/>
        <rFont val="Calibri"/>
        <family val="2"/>
        <scheme val="minor"/>
      </rPr>
      <t>total
used</t>
    </r>
  </si>
  <si>
    <t>1A</t>
  </si>
  <si>
    <t>SPECIAL
GROUP</t>
  </si>
  <si>
    <t>SPECIAL
GROUPS
dropdown</t>
  </si>
  <si>
    <t>Motorsport</t>
  </si>
  <si>
    <t>EGB345</t>
  </si>
  <si>
    <t>EGB320</t>
  </si>
  <si>
    <t>Acrylic
total</t>
  </si>
  <si>
    <t>Plywood
total</t>
  </si>
  <si>
    <t>HDF
total</t>
  </si>
  <si>
    <t>KITS
colle
cted</t>
  </si>
  <si>
    <r>
      <rPr>
        <b/>
        <sz val="12"/>
        <color theme="7" tint="-0.499984740745262"/>
        <rFont val="Calibri"/>
        <family val="2"/>
        <scheme val="minor"/>
      </rPr>
      <t xml:space="preserve">Ply
</t>
    </r>
    <r>
      <rPr>
        <b/>
        <sz val="9"/>
        <color theme="7" tint="-0.499984740745262"/>
        <rFont val="Calibri"/>
        <family val="2"/>
        <scheme val="minor"/>
      </rPr>
      <t>total
used</t>
    </r>
  </si>
  <si>
    <r>
      <rPr>
        <b/>
        <sz val="12"/>
        <color theme="4" tint="-0.249977111117893"/>
        <rFont val="Calibri"/>
        <family val="2"/>
        <scheme val="minor"/>
      </rPr>
      <t xml:space="preserve">Acrylic
</t>
    </r>
    <r>
      <rPr>
        <b/>
        <sz val="9"/>
        <color theme="4" tint="-0.249977111117893"/>
        <rFont val="Calibri"/>
        <family val="2"/>
        <scheme val="minor"/>
      </rPr>
      <t>total
used</t>
    </r>
  </si>
  <si>
    <r>
      <rPr>
        <b/>
        <sz val="12"/>
        <color rgb="FFBE4502"/>
        <rFont val="Calibri"/>
        <family val="2"/>
        <scheme val="minor"/>
      </rPr>
      <t xml:space="preserve">HDF
</t>
    </r>
    <r>
      <rPr>
        <b/>
        <sz val="9"/>
        <color rgb="FFBE4502"/>
        <rFont val="Calibri"/>
        <family val="2"/>
        <scheme val="minor"/>
      </rPr>
      <t>total
used</t>
    </r>
  </si>
  <si>
    <t>Unit</t>
  </si>
  <si>
    <t>Acrylic</t>
  </si>
  <si>
    <t>Plywood</t>
  </si>
  <si>
    <t>HDF</t>
  </si>
  <si>
    <t>NO unit</t>
  </si>
  <si>
    <t>check</t>
  </si>
  <si>
    <t>TOTAL</t>
  </si>
  <si>
    <t>Student</t>
  </si>
  <si>
    <t>SIS User ID</t>
  </si>
  <si>
    <t>SIS Login ID</t>
  </si>
  <si>
    <t>Integration ID</t>
  </si>
  <si>
    <t>Section</t>
  </si>
  <si>
    <t>Records Current Points</t>
  </si>
  <si>
    <t>Records Final Points</t>
  </si>
  <si>
    <t>Records Current Score</t>
  </si>
  <si>
    <t>Records Unposted Current Score</t>
  </si>
  <si>
    <t>Records Final Score</t>
  </si>
  <si>
    <t>Records Unposted Final Score</t>
  </si>
  <si>
    <t>Submissions Current Points</t>
  </si>
  <si>
    <t>Submissions Final Points</t>
  </si>
  <si>
    <t>Submissions Current Score</t>
  </si>
  <si>
    <t>Submissions Unposted Current Score</t>
  </si>
  <si>
    <t>Submissions Final Score</t>
  </si>
  <si>
    <t>Submissions Unposted Final Score</t>
  </si>
  <si>
    <t>Current Points</t>
  </si>
  <si>
    <t>Final Points</t>
  </si>
  <si>
    <t>Current Score</t>
  </si>
  <si>
    <t>Unposted Current Score</t>
  </si>
  <si>
    <t>Final Score</t>
  </si>
  <si>
    <t>Unposted Final Score</t>
  </si>
  <si>
    <t>Manual Posting</t>
  </si>
  <si>
    <t xml:space="preserve">    Points Possible</t>
  </si>
  <si>
    <t>(read only)</t>
  </si>
  <si>
    <t>EGH400</t>
  </si>
  <si>
    <t>SPECIAL
GROUPS
QUANTITY
dropdown</t>
  </si>
  <si>
    <t>FoS staff</t>
  </si>
  <si>
    <t>FoE staff</t>
  </si>
  <si>
    <t>KIT
QUANTITY
(unit blue)
dropdown</t>
  </si>
  <si>
    <t>KIT
QUANTITY
(unit yellow)
dropdown</t>
  </si>
  <si>
    <t>Aerospace</t>
  </si>
  <si>
    <t>WIL projects</t>
  </si>
  <si>
    <t>Staff Induction Certificate Submission (213930)</t>
  </si>
  <si>
    <t>Current Grade</t>
  </si>
  <si>
    <t>Unposted Current Grade</t>
  </si>
  <si>
    <t>Final Grade</t>
  </si>
  <si>
    <t>Unposted Final Grade</t>
  </si>
  <si>
    <t>EGx101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</si>
</sst>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b/>
      <sz val="16"/>
      <color rgb="FF7030A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b/>
      <sz val="9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rgb="FFBE4502"/>
      <name val="Calibri"/>
      <family val="2"/>
      <scheme val="minor"/>
    </font>
    <font>
      <b/>
      <sz val="12"/>
      <color rgb="FFBE4502"/>
      <name val="Calibri"/>
      <family val="2"/>
      <scheme val="minor"/>
    </font>
    <font>
      <b/>
      <sz val="9"/>
      <color rgb="FFBE4502"/>
      <name val="Calibri"/>
      <family val="2"/>
      <scheme val="minor"/>
    </font>
    <font>
      <sz val="11"/>
      <color rgb="FFBE4502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7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3FB"/>
        <bgColor indexed="64"/>
      </patternFill>
    </fill>
    <fill>
      <patternFill patternType="solid">
        <fgColor rgb="FFE7FFFC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8" fillId="0" borderId="0"/>
    <xf numFmtId="0" fontId="9" fillId="0" borderId="0"/>
    <xf numFmtId="0" fontId="8" fillId="0" borderId="0"/>
  </cellStyleXfs>
  <cellXfs count="104">
    <xf numFmtId="0" fontId="0" fillId="0" borderId="0" xfId="0"/>
    <xf numFmtId="0" fontId="3" fillId="0" borderId="0" xfId="0" applyFont="1" applyAlignment="1">
      <alignment wrapText="1"/>
    </xf>
    <xf numFmtId="1" fontId="8" fillId="0" borderId="0" xfId="2" applyNumberFormat="1" applyFont="1" applyProtection="1">
      <protection locked="0"/>
    </xf>
    <xf numFmtId="0" fontId="7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1" fontId="11" fillId="0" borderId="0" xfId="0" applyNumberFormat="1" applyFont="1" applyAlignment="1">
      <alignment horizontal="center" wrapText="1"/>
    </xf>
    <xf numFmtId="1" fontId="15" fillId="0" borderId="0" xfId="0" applyNumberFormat="1" applyFont="1" applyAlignment="1">
      <alignment horizontal="center" wrapText="1"/>
    </xf>
    <xf numFmtId="1" fontId="19" fillId="0" borderId="0" xfId="0" applyNumberFormat="1" applyFont="1" applyAlignment="1">
      <alignment horizontal="center" wrapText="1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right" wrapText="1"/>
    </xf>
    <xf numFmtId="0" fontId="10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  <xf numFmtId="1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3" borderId="0" xfId="0" applyNumberFormat="1" applyFill="1" applyAlignment="1">
      <alignment horizontal="center"/>
    </xf>
    <xf numFmtId="0" fontId="2" fillId="0" borderId="0" xfId="0" applyFont="1"/>
    <xf numFmtId="0" fontId="6" fillId="3" borderId="0" xfId="0" applyFont="1" applyFill="1" applyAlignment="1">
      <alignment horizontal="center"/>
    </xf>
    <xf numFmtId="0" fontId="2" fillId="2" borderId="0" xfId="0" applyFont="1" applyFill="1"/>
    <xf numFmtId="14" fontId="0" fillId="2" borderId="0" xfId="0" applyNumberForma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" fontId="18" fillId="2" borderId="0" xfId="0" applyNumberFormat="1" applyFont="1" applyFill="1" applyAlignment="1">
      <alignment horizontal="center"/>
    </xf>
    <xf numFmtId="1" fontId="2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" fontId="18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1" fontId="14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0" fontId="15" fillId="5" borderId="0" xfId="0" applyFont="1" applyFill="1" applyAlignment="1">
      <alignment horizontal="center" wrapText="1"/>
    </xf>
    <xf numFmtId="0" fontId="19" fillId="5" borderId="0" xfId="0" applyFont="1" applyFill="1" applyAlignment="1">
      <alignment horizontal="center" wrapText="1"/>
    </xf>
    <xf numFmtId="0" fontId="2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 wrapText="1"/>
    </xf>
    <xf numFmtId="0" fontId="2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4" fillId="2" borderId="0" xfId="0" applyFont="1" applyFill="1" applyAlignment="1">
      <alignment horizontal="center"/>
    </xf>
    <xf numFmtId="0" fontId="24" fillId="0" borderId="0" xfId="0" applyFont="1" applyAlignment="1" applyProtection="1">
      <alignment horizontal="center"/>
      <protection locked="0"/>
    </xf>
    <xf numFmtId="0" fontId="25" fillId="6" borderId="0" xfId="0" applyFont="1" applyFill="1" applyAlignment="1">
      <alignment horizontal="center" wrapText="1"/>
    </xf>
    <xf numFmtId="1" fontId="0" fillId="0" borderId="0" xfId="0" applyNumberFormat="1"/>
    <xf numFmtId="0" fontId="1" fillId="0" borderId="0" xfId="0" applyFont="1" applyAlignment="1">
      <alignment wrapText="1"/>
    </xf>
    <xf numFmtId="0" fontId="0" fillId="6" borderId="0" xfId="0" applyFill="1" applyAlignment="1">
      <alignment wrapText="1"/>
    </xf>
    <xf numFmtId="0" fontId="11" fillId="6" borderId="0" xfId="0" applyFont="1" applyFill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24" fillId="0" borderId="0" xfId="0" applyFont="1"/>
    <xf numFmtId="0" fontId="24" fillId="2" borderId="0" xfId="0" applyFont="1" applyFill="1"/>
    <xf numFmtId="0" fontId="26" fillId="0" borderId="0" xfId="0" applyFont="1" applyAlignment="1">
      <alignment horizontal="center"/>
    </xf>
    <xf numFmtId="0" fontId="26" fillId="0" borderId="0" xfId="0" applyFont="1"/>
    <xf numFmtId="0" fontId="26" fillId="2" borderId="0" xfId="0" applyFont="1" applyFill="1"/>
    <xf numFmtId="0" fontId="14" fillId="0" borderId="0" xfId="0" applyFont="1"/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29" fillId="0" borderId="0" xfId="0" applyFont="1"/>
    <xf numFmtId="1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14" fontId="31" fillId="0" borderId="0" xfId="0" applyNumberFormat="1" applyFont="1" applyAlignment="1">
      <alignment horizontal="center"/>
    </xf>
    <xf numFmtId="0" fontId="32" fillId="2" borderId="0" xfId="0" applyFont="1" applyFill="1"/>
    <xf numFmtId="14" fontId="31" fillId="2" borderId="0" xfId="0" applyNumberFormat="1" applyFont="1" applyFill="1" applyAlignment="1">
      <alignment horizontal="center"/>
    </xf>
    <xf numFmtId="0" fontId="33" fillId="0" borderId="0" xfId="0" applyFont="1" applyAlignment="1">
      <alignment horizontal="center"/>
    </xf>
    <xf numFmtId="0" fontId="34" fillId="2" borderId="0" xfId="0" applyFont="1" applyFill="1"/>
    <xf numFmtId="0" fontId="33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Protection="1">
      <protection locked="0"/>
    </xf>
    <xf numFmtId="0" fontId="0" fillId="7" borderId="0" xfId="0" applyFill="1"/>
    <xf numFmtId="0" fontId="0" fillId="0" borderId="0" xfId="0" applyAlignment="1" applyProtection="1">
      <alignment horizontal="right"/>
      <protection locked="0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7" fillId="0" borderId="0" xfId="0" applyFont="1" applyAlignment="1">
      <alignment horizontal="left"/>
    </xf>
    <xf numFmtId="1" fontId="37" fillId="0" borderId="0" xfId="0" applyNumberFormat="1" applyFont="1" applyAlignment="1">
      <alignment horizontal="center"/>
    </xf>
    <xf numFmtId="0" fontId="37" fillId="2" borderId="0" xfId="0" applyFont="1" applyFill="1" applyAlignment="1">
      <alignment horizontal="left"/>
    </xf>
    <xf numFmtId="0" fontId="37" fillId="2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3" borderId="0" xfId="0" applyFont="1" applyFill="1" applyAlignment="1">
      <alignment wrapText="1"/>
    </xf>
    <xf numFmtId="1" fontId="0" fillId="3" borderId="0" xfId="0" applyNumberFormat="1" applyFill="1"/>
    <xf numFmtId="0" fontId="0" fillId="3" borderId="0" xfId="0" applyFill="1"/>
    <xf numFmtId="0" fontId="35" fillId="5" borderId="0" xfId="0" applyFont="1" applyFill="1" applyAlignment="1">
      <alignment horizontal="center" wrapText="1"/>
    </xf>
    <xf numFmtId="0" fontId="35" fillId="8" borderId="0" xfId="0" applyFont="1" applyFill="1" applyAlignment="1">
      <alignment horizontal="center" wrapText="1"/>
    </xf>
    <xf numFmtId="0" fontId="35" fillId="4" borderId="0" xfId="0" applyFont="1" applyFill="1" applyAlignment="1">
      <alignment horizontal="center" wrapText="1"/>
    </xf>
    <xf numFmtId="1" fontId="11" fillId="4" borderId="0" xfId="0" applyNumberFormat="1" applyFont="1" applyFill="1" applyAlignment="1">
      <alignment horizontal="center" wrapText="1"/>
    </xf>
    <xf numFmtId="1" fontId="15" fillId="4" borderId="0" xfId="0" applyNumberFormat="1" applyFont="1" applyFill="1" applyAlignment="1">
      <alignment horizontal="center" wrapText="1"/>
    </xf>
    <xf numFmtId="1" fontId="19" fillId="4" borderId="0" xfId="0" applyNumberFormat="1" applyFont="1" applyFill="1" applyAlignment="1">
      <alignment horizontal="center" wrapText="1"/>
    </xf>
    <xf numFmtId="0" fontId="6" fillId="4" borderId="0" xfId="0" applyFont="1" applyFill="1" applyAlignment="1" applyProtection="1">
      <alignment horizontal="center"/>
      <protection locked="0"/>
    </xf>
    <xf numFmtId="0" fontId="36" fillId="9" borderId="0" xfId="0" applyFont="1" applyFill="1" applyAlignment="1">
      <alignment horizontal="center" wrapText="1"/>
    </xf>
    <xf numFmtId="0" fontId="35" fillId="10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/>
    </xf>
    <xf numFmtId="0" fontId="0" fillId="5" borderId="0" xfId="0" applyFill="1" applyAlignment="1" applyProtection="1">
      <alignment horizontal="center"/>
      <protection locked="0"/>
    </xf>
    <xf numFmtId="0" fontId="1" fillId="6" borderId="0" xfId="0" applyFont="1" applyFill="1" applyAlignment="1">
      <alignment horizontal="center"/>
    </xf>
    <xf numFmtId="0" fontId="0" fillId="6" borderId="0" xfId="0" applyFill="1" applyAlignment="1" applyProtection="1">
      <alignment horizontal="center"/>
      <protection locked="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46">
    <dxf>
      <font>
        <color theme="0"/>
      </font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rgb="FFFFF5D9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rgb="FFE7FFFC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rgb="FFF8F3FB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9E7"/>
      <color rgb="FFE7FFFC"/>
      <color rgb="FFF8F3FB"/>
      <color rgb="FFFFF5D9"/>
      <color rgb="FFCEFEF8"/>
      <color rgb="FF7C3275"/>
      <color rgb="FFE4D3F1"/>
      <color rgb="FFE2E0FC"/>
      <color rgb="FFD8D5FB"/>
      <color rgb="FFC6C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80433</xdr:colOff>
      <xdr:row>0</xdr:row>
      <xdr:rowOff>899583</xdr:rowOff>
    </xdr:from>
    <xdr:to>
      <xdr:col>57</xdr:col>
      <xdr:colOff>313268</xdr:colOff>
      <xdr:row>8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D06FAA-7F9F-4ED5-A1BB-813DD087F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48600" y="899583"/>
          <a:ext cx="6985001" cy="1485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FAA3B2-AFB3-40CA-8EA1-407DCE71FFF7}" name="Table3" displayName="Table3" ref="AK1:AK4" totalsRowShown="0" headerRowDxfId="45" dataDxfId="44">
  <autoFilter ref="AK1:AK4" xr:uid="{8AFAA3B2-AFB3-40CA-8EA1-407DCE71FFF7}"/>
  <tableColumns count="1">
    <tableColumn id="1" xr3:uid="{C47869E6-AE47-4303-A98F-9FD34D042183}" name="SHEET_x000a_QUANTITY_x000a_dropdown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CA6F4A-A0FC-4F2C-93D8-A7B03212FAA7}" name="Table6" displayName="Table6" ref="AN1:AN9" totalsRowShown="0" headerRowDxfId="42" dataDxfId="41">
  <autoFilter ref="AN1:AN9" xr:uid="{FECA6F4A-A0FC-4F2C-93D8-A7B03212FAA7}"/>
  <tableColumns count="1">
    <tableColumn id="1" xr3:uid="{C3C116F1-CD4C-4086-B56B-9FDF96BA6DF6}" name="SPECIAL_x000a_GROUPS_x000a_dropdown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AB32B0-3B1F-4ECE-BE58-161C2ECEF1CC}" name="Table7" displayName="Table7" ref="AO1:AO5" totalsRowShown="0" headerRowDxfId="39" dataDxfId="38">
  <autoFilter ref="AO1:AO5" xr:uid="{D4AB32B0-3B1F-4ECE-BE58-161C2ECEF1CC}"/>
  <tableColumns count="1">
    <tableColumn id="1" xr3:uid="{CFCE6AAC-4489-48DC-B19D-85285C2D05F4}" name="SPECIAL_x000a_GROUPS_x000a_QUANTITY_x000a_dropdown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0F3639-FFFC-4C35-BFBF-809081E9EBE7}" name="Table525" displayName="Table525" ref="AL1:AL2" totalsRowShown="0" headerRowDxfId="36" dataDxfId="35">
  <autoFilter ref="AL1:AL2" xr:uid="{9D0F3639-FFFC-4C35-BFBF-809081E9EBE7}"/>
  <tableColumns count="1">
    <tableColumn id="1" xr3:uid="{CD28D2E2-29A5-4552-92D4-F29EB2CD6D43}" name="KIT_x000a_QUANTITY_x000a_(unit blue)_x000a_dropdown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98B8BD-8550-4814-8298-88D9C290D3C9}" name="Table539" displayName="Table539" ref="AM1:AM2" totalsRowShown="0" headerRowDxfId="33" dataDxfId="32">
  <autoFilter ref="AM1:AM2" xr:uid="{2A98B8BD-8550-4814-8298-88D9C290D3C9}"/>
  <tableColumns count="1">
    <tableColumn id="1" xr3:uid="{EF9DC07D-FEE7-4399-8ADF-C5E1CA2C5F2F}" name="KIT_x000a_QUANTITY_x000a_(unit yellow)_x000a_dropdown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</sheetPr>
  <dimension ref="A1:AX1300"/>
  <sheetViews>
    <sheetView tabSelected="1" defaultGridColor="0" colorId="40" zoomScale="90" zoomScaleNormal="90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3.5703125" style="16" customWidth="1"/>
    <col min="2" max="2" width="6.85546875" style="71" customWidth="1"/>
    <col min="3" max="3" width="22.5703125" style="68" customWidth="1"/>
    <col min="4" max="4" width="7.42578125" style="13" customWidth="1"/>
    <col min="5" max="5" width="7.5703125" style="25" customWidth="1"/>
    <col min="6" max="6" width="7.140625" style="26" customWidth="1"/>
    <col min="7" max="7" width="7.7109375" style="14" customWidth="1"/>
    <col min="8" max="8" width="6.85546875" style="29" customWidth="1"/>
    <col min="9" max="9" width="5.42578125" style="29" customWidth="1"/>
    <col min="10" max="10" width="6.140625" style="29" customWidth="1"/>
    <col min="11" max="11" width="7.85546875" style="32" customWidth="1"/>
    <col min="12" max="12" width="7.5703125" style="33" customWidth="1"/>
    <col min="13" max="13" width="6" style="33" customWidth="1"/>
    <col min="14" max="14" width="5.85546875" style="33" customWidth="1"/>
    <col min="15" max="15" width="6.5703125" style="14" customWidth="1"/>
    <col min="16" max="16" width="7.42578125" style="33" customWidth="1"/>
    <col min="17" max="17" width="8.42578125" style="35" customWidth="1"/>
    <col min="18" max="18" width="8" style="36" customWidth="1"/>
    <col min="19" max="19" width="5.28515625" style="36" customWidth="1"/>
    <col min="20" max="20" width="6.140625" style="36" customWidth="1"/>
    <col min="21" max="21" width="7.140625" style="14" customWidth="1"/>
    <col min="22" max="22" width="5.7109375" style="37" customWidth="1"/>
    <col min="23" max="23" width="12.85546875" style="39" customWidth="1"/>
    <col min="24" max="24" width="8.140625" style="14" customWidth="1"/>
    <col min="25" max="25" width="7.140625" style="14" customWidth="1"/>
    <col min="26" max="26" width="7.42578125" style="14" customWidth="1"/>
    <col min="27" max="27" width="136.5703125" style="12" customWidth="1"/>
    <col min="28" max="28" width="10.85546875" style="13" customWidth="1"/>
    <col min="29" max="29" width="10.140625" style="25" customWidth="1"/>
    <col min="30" max="30" width="10" style="26" customWidth="1"/>
    <col min="31" max="31" width="4.28515625" customWidth="1"/>
    <col min="32" max="32" width="11.140625" style="82" customWidth="1"/>
    <col min="33" max="33" width="10.140625" style="86" customWidth="1"/>
    <col min="34" max="34" width="11.5703125" style="82" customWidth="1"/>
    <col min="35" max="35" width="13.85546875" style="82" customWidth="1"/>
    <col min="36" max="36" width="4.28515625" customWidth="1"/>
    <col min="37" max="37" width="11.5703125" style="14" customWidth="1"/>
    <col min="38" max="38" width="11.7109375" style="80" customWidth="1"/>
    <col min="39" max="39" width="12.5703125" style="80" customWidth="1"/>
    <col min="40" max="40" width="12.7109375" style="80" customWidth="1"/>
    <col min="41" max="41" width="12.85546875" style="14" customWidth="1"/>
    <col min="42" max="42" width="3.5703125" customWidth="1"/>
    <col min="43" max="43" width="11.5703125" customWidth="1"/>
  </cols>
  <sheetData>
    <row r="1" spans="1:50" s="11" customFormat="1" ht="75.75" customHeight="1" x14ac:dyDescent="0.35">
      <c r="A1" s="1" t="s">
        <v>0</v>
      </c>
      <c r="B1" s="3" t="s">
        <v>1</v>
      </c>
      <c r="C1" s="67" t="s">
        <v>3</v>
      </c>
      <c r="D1" s="5" t="s">
        <v>7</v>
      </c>
      <c r="E1" s="6" t="s">
        <v>24</v>
      </c>
      <c r="F1" s="7" t="s">
        <v>8</v>
      </c>
      <c r="G1" s="8"/>
      <c r="H1" s="29" t="s">
        <v>9</v>
      </c>
      <c r="I1" s="29" t="s">
        <v>25</v>
      </c>
      <c r="J1" s="29" t="s">
        <v>10</v>
      </c>
      <c r="K1" s="32" t="str">
        <f>'Group List A'!D2</f>
        <v>EGx101</v>
      </c>
      <c r="L1" s="47" t="s">
        <v>37</v>
      </c>
      <c r="M1" s="30" t="s">
        <v>36</v>
      </c>
      <c r="N1" s="33" t="s">
        <v>10</v>
      </c>
      <c r="O1" s="31" t="s">
        <v>20</v>
      </c>
      <c r="P1" s="48" t="s">
        <v>35</v>
      </c>
      <c r="Q1" s="42" t="str">
        <f>'Group List B'!D2</f>
        <v>EGB210</v>
      </c>
      <c r="R1" s="46" t="s">
        <v>37</v>
      </c>
      <c r="S1" s="36" t="s">
        <v>36</v>
      </c>
      <c r="T1" s="36" t="s">
        <v>38</v>
      </c>
      <c r="U1" s="34" t="s">
        <v>20</v>
      </c>
      <c r="V1" s="45" t="s">
        <v>35</v>
      </c>
      <c r="W1" s="38" t="s">
        <v>27</v>
      </c>
      <c r="X1" s="5" t="s">
        <v>7</v>
      </c>
      <c r="Y1" s="6" t="s">
        <v>24</v>
      </c>
      <c r="Z1" s="7" t="s">
        <v>8</v>
      </c>
      <c r="AA1" s="8"/>
      <c r="AB1" s="94" t="s">
        <v>12</v>
      </c>
      <c r="AC1" s="95" t="s">
        <v>21</v>
      </c>
      <c r="AD1" s="96" t="s">
        <v>11</v>
      </c>
      <c r="AE1" s="88"/>
      <c r="AF1" s="98" t="s">
        <v>2</v>
      </c>
      <c r="AG1" s="98" t="s">
        <v>4</v>
      </c>
      <c r="AH1" s="98" t="s">
        <v>6</v>
      </c>
      <c r="AI1" s="98" t="s">
        <v>16</v>
      </c>
      <c r="AJ1" s="88"/>
      <c r="AK1" s="93" t="s">
        <v>22</v>
      </c>
      <c r="AL1" s="91" t="s">
        <v>76</v>
      </c>
      <c r="AM1" s="92" t="s">
        <v>77</v>
      </c>
      <c r="AN1" s="99" t="s">
        <v>28</v>
      </c>
      <c r="AO1" s="99" t="s">
        <v>73</v>
      </c>
      <c r="AP1" s="88"/>
      <c r="AQ1" s="9" t="s">
        <v>5</v>
      </c>
      <c r="AR1" s="10">
        <v>14</v>
      </c>
      <c r="AS1" s="10"/>
      <c r="AT1" s="44"/>
    </row>
    <row r="2" spans="1:50" x14ac:dyDescent="0.25">
      <c r="A2" s="2"/>
      <c r="C2" s="68" t="str" cm="1">
        <f t="array" ref="C2">IF(AF2&lt;&gt;"",
IFERROR(INDEX('LaunchPad Markbook'!A:A,MATCH(AH2,'LaunchPad Markbook'!D:D,0),0),"-"),"")</f>
        <v/>
      </c>
      <c r="D2" s="27"/>
      <c r="E2" s="27"/>
      <c r="F2" s="27"/>
      <c r="G2" s="14">
        <f>IF(OR(H2&gt;AB$2,I2&gt;AC$2,J2&gt;AD$2,
P2&gt;1,V2&gt;1,
L2&gt;'Group List A'!E$2,M2&gt;'Group List A'!F$2,N2&gt;'Group List A'!G$2,
R2&gt;'Group List B'!E$2,S2&gt;'Group List B'!F$2,T2&gt;'Group List B'!G$2),"Exceed",
IF(OR(H2=AB$2,I2=AC$2,J2=AD$2,
P2=1,V2=1,
L2='Group List A'!E$2,M2='Group List A'!F$2,N2='Group List A'!G$2,
R2='Group List B'!E$2,S2='Group List B'!F$2,T2='Group List B'!G$2),"Limit",0))</f>
        <v>0</v>
      </c>
      <c r="H2" s="29">
        <f>IF(AND(K2="-",Q2="-"),
SUMIFS(D$2:D$2000,$AH$2:$AH$2000,$AH2),0)</f>
        <v>0</v>
      </c>
      <c r="I2" s="29">
        <f>IF(AND(K2="-",Q2="-"),
SUMIFS(E$2:E$2000,$AH$2:$AH$2000,$AH2),0)</f>
        <v>0</v>
      </c>
      <c r="J2" s="29">
        <f>IF(AND(K2="-",Q2="-"),
SUMIFS(F$2:F$2000,$AH$2:$AH$2000,$AH2),0)</f>
        <v>0</v>
      </c>
      <c r="K2" s="32" t="str" cm="1">
        <f t="array" ref="K2">IF(AF2&lt;&gt;"",IFERROR(INDEX('Group List A'!B:B,MATCH(AI2,'Group List A'!A:A,0),0),"-"),"")</f>
        <v/>
      </c>
      <c r="L2" s="33">
        <f>IF($K2&lt;&gt;"-",SUMIFS(D$2:D$2000,$K$2:$K$2000,$K2),0)</f>
        <v>0</v>
      </c>
      <c r="M2" s="33">
        <f>IF($K2&lt;&gt;"-",SUMIFS(E$2:E$2000,$K$2:$K$2000,$K2),0)</f>
        <v>0</v>
      </c>
      <c r="N2" s="33">
        <f>IF($K2&lt;&gt;"-",SUMIFS(F$2:F$2000,$K$2:$K$2000,$K2),0)</f>
        <v>0</v>
      </c>
      <c r="O2" s="28"/>
      <c r="P2" s="33">
        <f>SUMIFS(O$2:O$2000,$AH$2:$AH$2000,$AH2)</f>
        <v>0</v>
      </c>
      <c r="Q2" s="35" t="str" cm="1">
        <f t="array" ref="Q2">IF(AF2&lt;&gt;"",IFERROR(INDEX('Group List B'!B:B,MATCH(AI2,'Group List B'!A:A,0),0),"-"),"")</f>
        <v/>
      </c>
      <c r="R2" s="36">
        <f>IF($Q2&lt;&gt;"-",SUMIFS(D$2:D$2000,$Q$2:$Q$2000,$Q2),0)</f>
        <v>0</v>
      </c>
      <c r="S2" s="36">
        <f>IF($Q2&lt;&gt;"-",SUMIFS(E$2:E$2000,$Q$2:$Q$2000,$Q2),0)</f>
        <v>0</v>
      </c>
      <c r="T2" s="36">
        <f>IF($Q2&lt;&gt;"-",SUMIFS(F$2:F$2000,$Q$2:$Q$2000,$Q2),0)</f>
        <v>0</v>
      </c>
      <c r="U2" s="28"/>
      <c r="V2" s="37">
        <f>SUMIFS(U$2:U$2000,$AH$2:$AH$2000,$AH2)</f>
        <v>0</v>
      </c>
      <c r="W2" s="41"/>
      <c r="X2" s="27"/>
      <c r="Y2" s="27"/>
      <c r="Z2" s="27"/>
      <c r="AA2" s="15"/>
      <c r="AB2" s="97">
        <v>2</v>
      </c>
      <c r="AC2" s="97">
        <v>2</v>
      </c>
      <c r="AD2" s="97">
        <v>2</v>
      </c>
      <c r="AE2" s="89"/>
      <c r="AF2" s="82" t="str">
        <f t="shared" ref="AF2" si="0">IF(A2&lt;&gt;"",A2,"")</f>
        <v/>
      </c>
      <c r="AG2" s="83" t="str">
        <f t="shared" ref="AG2" si="1">IF(MID(AF2,1,1)="N","STUDENT",
IF(MID(AF2,1,1)="S","STAFF",
IF(MID(AF2,1,1)="V","VISITOR",
IF(AF2&lt;&gt;"","ERROR",""))))</f>
        <v/>
      </c>
      <c r="AH2" s="82" t="str">
        <f>IF(AG2="STUDENT","N"&amp;(MID(AF2,2,8)-0),
IF(AG2="STAFF","S"&amp;MID(AF2,2,8),""))</f>
        <v/>
      </c>
      <c r="AI2" s="82" t="str">
        <f>IF(AG2="STUDENT",(MID(AF2,2,8)-0),
IF(AG2="STAFF","STAFF",""))</f>
        <v/>
      </c>
      <c r="AJ2" s="89"/>
      <c r="AK2" s="14">
        <v>1</v>
      </c>
      <c r="AL2" s="80">
        <v>1</v>
      </c>
      <c r="AM2" s="80">
        <v>1</v>
      </c>
      <c r="AN2" s="80" t="s">
        <v>29</v>
      </c>
      <c r="AO2" s="87">
        <v>1</v>
      </c>
      <c r="AP2" s="88"/>
      <c r="AR2" s="43"/>
      <c r="AS2" s="43"/>
      <c r="AT2" s="43"/>
      <c r="AV2" s="43"/>
      <c r="AW2" s="43"/>
      <c r="AX2" s="43"/>
    </row>
    <row r="3" spans="1:50" x14ac:dyDescent="0.25">
      <c r="A3" s="2"/>
      <c r="C3" s="68" t="str" cm="1">
        <f t="array" ref="C3">IF(AF3&lt;&gt;"",
IFERROR(INDEX('LaunchPad Markbook'!A:A,MATCH(AH3,'LaunchPad Markbook'!D:D,0),0),"-"),"")</f>
        <v/>
      </c>
      <c r="D3" s="27"/>
      <c r="E3" s="27"/>
      <c r="F3" s="27"/>
      <c r="G3" s="14">
        <f>IF(OR(H3&gt;AB$2,I3&gt;AC$2,J3&gt;AD$2,
P3&gt;1,V3&gt;1,
L3&gt;'Group List A'!E$2,M3&gt;'Group List A'!F$2,N3&gt;'Group List A'!G$2,
R3&gt;'Group List B'!E$2,S3&gt;'Group List B'!F$2,T3&gt;'Group List B'!G$2),"Exceed",
IF(OR(H3=AB$2,I3=AC$2,J3=AD$2,
P3=1,V3=1,
L3='Group List A'!E$2,M3='Group List A'!F$2,N3='Group List A'!G$2,
R3='Group List B'!E$2,S3='Group List B'!F$2,T3='Group List B'!G$2),"Limit",0))</f>
        <v>0</v>
      </c>
      <c r="H3" s="29">
        <f t="shared" ref="H3:H66" si="2">IF(AND(K3="-",Q3="-"),
SUMIFS(D$2:D$2000,$AH$2:$AH$2000,$AH3),0)</f>
        <v>0</v>
      </c>
      <c r="I3" s="29">
        <f t="shared" ref="I3:I66" si="3">IF(AND(K3="-",Q3="-"),
SUMIFS(E$2:E$2000,$AH$2:$AH$2000,$AH3),0)</f>
        <v>0</v>
      </c>
      <c r="J3" s="29">
        <f t="shared" ref="J3:J66" si="4">IF(AND(K3="-",Q3="-"),
SUMIFS(F$2:F$2000,$AH$2:$AH$2000,$AH3),0)</f>
        <v>0</v>
      </c>
      <c r="K3" s="32" t="str" cm="1">
        <f t="array" ref="K3">IF(AF3&lt;&gt;"",IFERROR(INDEX('Group List A'!B:B,MATCH(AI3,'Group List A'!A:A,0),0),"-"),"")</f>
        <v/>
      </c>
      <c r="L3" s="33">
        <f t="shared" ref="L3:L66" si="5">IF($K3&lt;&gt;"-",SUMIFS(D$2:D$2000,$K$2:$K$2000,$K3),0)</f>
        <v>0</v>
      </c>
      <c r="M3" s="33">
        <f t="shared" ref="M3:M66" si="6">IF($K3&lt;&gt;"-",SUMIFS(E$2:E$2000,$K$2:$K$2000,$K3),0)</f>
        <v>0</v>
      </c>
      <c r="N3" s="33">
        <f t="shared" ref="N3:N66" si="7">IF($K3&lt;&gt;"-",SUMIFS(F$2:F$2000,$K$2:$K$2000,$K3),0)</f>
        <v>0</v>
      </c>
      <c r="O3" s="28"/>
      <c r="P3" s="33">
        <f t="shared" ref="P3:P66" si="8">SUMIFS(O$2:O$2000,$AH$2:$AH$2000,$AH3)</f>
        <v>0</v>
      </c>
      <c r="Q3" s="35" t="str" cm="1">
        <f t="array" ref="Q3">IF(AF3&lt;&gt;"",IFERROR(INDEX('Group List B'!B:B,MATCH(AI3,'Group List B'!A:A,0),0),"-"),"")</f>
        <v/>
      </c>
      <c r="R3" s="36">
        <f t="shared" ref="R3:R66" si="9">IF($Q3&lt;&gt;"-",SUMIFS(D$2:D$2000,$Q$2:$Q$2000,$Q3),0)</f>
        <v>0</v>
      </c>
      <c r="S3" s="36">
        <f t="shared" ref="S3:S66" si="10">IF($Q3&lt;&gt;"-",SUMIFS(E$2:E$2000,$Q$2:$Q$2000,$Q3),0)</f>
        <v>0</v>
      </c>
      <c r="T3" s="36">
        <f t="shared" ref="T3:T66" si="11">IF($Q3&lt;&gt;"-",SUMIFS(F$2:F$2000,$Q$2:$Q$2000,$Q3),0)</f>
        <v>0</v>
      </c>
      <c r="U3" s="28"/>
      <c r="V3" s="37">
        <f t="shared" ref="V3:V66" si="12">SUMIFS(U$2:U$2000,$AH$2:$AH$2000,$AH3)</f>
        <v>0</v>
      </c>
      <c r="W3" s="41"/>
      <c r="X3" s="27"/>
      <c r="Y3" s="27"/>
      <c r="Z3" s="27"/>
      <c r="AA3" s="15"/>
      <c r="AB3" s="17"/>
      <c r="AC3" s="17"/>
      <c r="AD3" s="17"/>
      <c r="AE3" s="90"/>
      <c r="AF3" s="82" t="str">
        <f t="shared" ref="AF3:AF66" si="13">IF(A3&lt;&gt;"",A3,"")</f>
        <v/>
      </c>
      <c r="AG3" s="83" t="str">
        <f t="shared" ref="AG3:AG66" si="14">IF(MID(AF3,1,1)="N","STUDENT",
IF(MID(AF3,1,1)="S","STAFF",
IF(MID(AF3,1,1)="V","VISITOR",
IF(AF3&lt;&gt;"","ERROR",""))))</f>
        <v/>
      </c>
      <c r="AH3" s="82" t="str">
        <f t="shared" ref="AH3:AH66" si="15">IF(AG3="STUDENT","N"&amp;(MID(AF3,2,8)-0),
IF(AG3="STAFF","S"&amp;MID(AF3,2,8),""))</f>
        <v/>
      </c>
      <c r="AI3" s="82" t="str">
        <f t="shared" ref="AI3:AI66" si="16">IF(AG3="STUDENT",(MID(AF3,2,8)-0),
IF(AG3="STAFF","STAFF",""))</f>
        <v/>
      </c>
      <c r="AJ3" s="90"/>
      <c r="AK3" s="14">
        <v>2</v>
      </c>
      <c r="AN3" s="80" t="s">
        <v>30</v>
      </c>
      <c r="AO3" s="14">
        <v>2</v>
      </c>
      <c r="AP3" s="88"/>
    </row>
    <row r="4" spans="1:50" x14ac:dyDescent="0.25">
      <c r="A4" s="2"/>
      <c r="C4" s="68" t="str" cm="1">
        <f t="array" ref="C4">IF(AF4&lt;&gt;"",
IFERROR(INDEX('LaunchPad Markbook'!A:A,MATCH(AH4,'LaunchPad Markbook'!D:D,0),0),"-"),"")</f>
        <v/>
      </c>
      <c r="D4" s="27"/>
      <c r="E4" s="27"/>
      <c r="F4" s="27"/>
      <c r="G4" s="14">
        <f>IF(OR(H4&gt;AB$2,I4&gt;AC$2,J4&gt;AD$2,
P4&gt;1,V4&gt;1,
L4&gt;'Group List A'!E$2,M4&gt;'Group List A'!F$2,N4&gt;'Group List A'!G$2,
R4&gt;'Group List B'!E$2,S4&gt;'Group List B'!F$2,T4&gt;'Group List B'!G$2),"Exceed",
IF(OR(H4=AB$2,I4=AC$2,J4=AD$2,
P4=1,V4=1,
L4='Group List A'!E$2,M4='Group List A'!F$2,N4='Group List A'!G$2,
R4='Group List B'!E$2,S4='Group List B'!F$2,T4='Group List B'!G$2),"Limit",0))</f>
        <v>0</v>
      </c>
      <c r="H4" s="29">
        <f t="shared" si="2"/>
        <v>0</v>
      </c>
      <c r="I4" s="29">
        <f t="shared" si="3"/>
        <v>0</v>
      </c>
      <c r="J4" s="29">
        <f t="shared" si="4"/>
        <v>0</v>
      </c>
      <c r="K4" s="32" t="str" cm="1">
        <f t="array" ref="K4">IF(AF4&lt;&gt;"",IFERROR(INDEX('Group List A'!B:B,MATCH(AI4,'Group List A'!A:A,0),0),"-"),"")</f>
        <v/>
      </c>
      <c r="L4" s="33">
        <f t="shared" si="5"/>
        <v>0</v>
      </c>
      <c r="M4" s="33">
        <f t="shared" si="6"/>
        <v>0</v>
      </c>
      <c r="N4" s="33">
        <f t="shared" si="7"/>
        <v>0</v>
      </c>
      <c r="O4" s="28"/>
      <c r="P4" s="33">
        <f t="shared" si="8"/>
        <v>0</v>
      </c>
      <c r="Q4" s="35" t="str" cm="1">
        <f t="array" ref="Q4">IF(AF4&lt;&gt;"",IFERROR(INDEX('Group List B'!B:B,MATCH(AI4,'Group List B'!A:A,0),0),"-"),"")</f>
        <v/>
      </c>
      <c r="R4" s="36">
        <f t="shared" si="9"/>
        <v>0</v>
      </c>
      <c r="S4" s="36">
        <f t="shared" si="10"/>
        <v>0</v>
      </c>
      <c r="T4" s="36">
        <f t="shared" si="11"/>
        <v>0</v>
      </c>
      <c r="U4" s="28"/>
      <c r="V4" s="37">
        <f t="shared" si="12"/>
        <v>0</v>
      </c>
      <c r="W4" s="41"/>
      <c r="X4" s="27"/>
      <c r="Y4" s="27"/>
      <c r="Z4" s="27"/>
      <c r="AA4" s="15"/>
      <c r="AB4" s="17"/>
      <c r="AC4" s="17"/>
      <c r="AD4" s="17"/>
      <c r="AE4" s="90"/>
      <c r="AF4" s="82" t="str">
        <f t="shared" si="13"/>
        <v/>
      </c>
      <c r="AG4" s="83" t="str">
        <f t="shared" si="14"/>
        <v/>
      </c>
      <c r="AH4" s="82" t="str">
        <f t="shared" si="15"/>
        <v/>
      </c>
      <c r="AI4" s="82" t="str">
        <f t="shared" si="16"/>
        <v/>
      </c>
      <c r="AJ4" s="90"/>
      <c r="AK4" s="14">
        <v>3</v>
      </c>
      <c r="AN4" s="80" t="s">
        <v>31</v>
      </c>
      <c r="AO4" s="14">
        <v>3</v>
      </c>
      <c r="AP4" s="88"/>
    </row>
    <row r="5" spans="1:50" x14ac:dyDescent="0.25">
      <c r="A5" s="2"/>
      <c r="C5" s="68" t="str" cm="1">
        <f t="array" ref="C5">IF(AF5&lt;&gt;"",
IFERROR(INDEX('LaunchPad Markbook'!A:A,MATCH(AH5,'LaunchPad Markbook'!D:D,0),0),"-"),"")</f>
        <v/>
      </c>
      <c r="D5" s="27"/>
      <c r="E5" s="27"/>
      <c r="F5" s="27"/>
      <c r="G5" s="14">
        <f>IF(OR(H5&gt;AB$2,I5&gt;AC$2,J5&gt;AD$2,
P5&gt;1,V5&gt;1,
L5&gt;'Group List A'!E$2,M5&gt;'Group List A'!F$2,N5&gt;'Group List A'!G$2,
R5&gt;'Group List B'!E$2,S5&gt;'Group List B'!F$2,T5&gt;'Group List B'!G$2),"Exceed",
IF(OR(H5=AB$2,I5=AC$2,J5=AD$2,
P5=1,V5=1,
L5='Group List A'!E$2,M5='Group List A'!F$2,N5='Group List A'!G$2,
R5='Group List B'!E$2,S5='Group List B'!F$2,T5='Group List B'!G$2),"Limit",0))</f>
        <v>0</v>
      </c>
      <c r="H5" s="29">
        <f t="shared" si="2"/>
        <v>0</v>
      </c>
      <c r="I5" s="29">
        <f t="shared" si="3"/>
        <v>0</v>
      </c>
      <c r="J5" s="29">
        <f t="shared" si="4"/>
        <v>0</v>
      </c>
      <c r="K5" s="32" t="str" cm="1">
        <f t="array" ref="K5">IF(AF5&lt;&gt;"",IFERROR(INDEX('Group List A'!B:B,MATCH(AI5,'Group List A'!A:A,0),0),"-"),"")</f>
        <v/>
      </c>
      <c r="L5" s="33">
        <f t="shared" si="5"/>
        <v>0</v>
      </c>
      <c r="M5" s="33">
        <f t="shared" si="6"/>
        <v>0</v>
      </c>
      <c r="N5" s="33">
        <f t="shared" si="7"/>
        <v>0</v>
      </c>
      <c r="O5" s="28"/>
      <c r="P5" s="33">
        <f t="shared" si="8"/>
        <v>0</v>
      </c>
      <c r="Q5" s="35" t="str" cm="1">
        <f t="array" ref="Q5">IF(AF5&lt;&gt;"",IFERROR(INDEX('Group List B'!B:B,MATCH(AI5,'Group List B'!A:A,0),0),"-"),"")</f>
        <v/>
      </c>
      <c r="R5" s="36">
        <f t="shared" si="9"/>
        <v>0</v>
      </c>
      <c r="S5" s="36">
        <f t="shared" si="10"/>
        <v>0</v>
      </c>
      <c r="T5" s="36">
        <f t="shared" si="11"/>
        <v>0</v>
      </c>
      <c r="U5" s="28"/>
      <c r="V5" s="37">
        <f t="shared" si="12"/>
        <v>0</v>
      </c>
      <c r="W5" s="41"/>
      <c r="X5" s="27"/>
      <c r="Y5" s="27"/>
      <c r="Z5" s="27"/>
      <c r="AA5" s="15"/>
      <c r="AB5" s="17"/>
      <c r="AC5" s="17"/>
      <c r="AD5" s="17"/>
      <c r="AE5" s="90"/>
      <c r="AF5" s="82" t="str">
        <f t="shared" si="13"/>
        <v/>
      </c>
      <c r="AG5" s="83" t="str">
        <f t="shared" si="14"/>
        <v/>
      </c>
      <c r="AH5" s="82" t="str">
        <f t="shared" si="15"/>
        <v/>
      </c>
      <c r="AI5" s="82" t="str">
        <f t="shared" si="16"/>
        <v/>
      </c>
      <c r="AJ5" s="90"/>
      <c r="AN5" s="80" t="s">
        <v>72</v>
      </c>
      <c r="AO5" s="14">
        <v>4</v>
      </c>
      <c r="AP5" s="88"/>
    </row>
    <row r="6" spans="1:50" x14ac:dyDescent="0.25">
      <c r="A6" s="2"/>
      <c r="C6" s="68" t="str" cm="1">
        <f t="array" ref="C6">IF(AF6&lt;&gt;"",
IFERROR(INDEX('LaunchPad Markbook'!A:A,MATCH(AH6,'LaunchPad Markbook'!D:D,0),0),"-"),"")</f>
        <v/>
      </c>
      <c r="D6" s="27"/>
      <c r="E6" s="27"/>
      <c r="F6" s="27"/>
      <c r="G6" s="14">
        <f>IF(OR(H6&gt;AB$2,I6&gt;AC$2,J6&gt;AD$2,
P6&gt;1,V6&gt;1,
L6&gt;'Group List A'!E$2,M6&gt;'Group List A'!F$2,N6&gt;'Group List A'!G$2,
R6&gt;'Group List B'!E$2,S6&gt;'Group List B'!F$2,T6&gt;'Group List B'!G$2),"Exceed",
IF(OR(H6=AB$2,I6=AC$2,J6=AD$2,
P6=1,V6=1,
L6='Group List A'!E$2,M6='Group List A'!F$2,N6='Group List A'!G$2,
R6='Group List B'!E$2,S6='Group List B'!F$2,T6='Group List B'!G$2),"Limit",0))</f>
        <v>0</v>
      </c>
      <c r="H6" s="29">
        <f t="shared" si="2"/>
        <v>0</v>
      </c>
      <c r="I6" s="29">
        <f t="shared" si="3"/>
        <v>0</v>
      </c>
      <c r="J6" s="29">
        <f t="shared" si="4"/>
        <v>0</v>
      </c>
      <c r="K6" s="32" t="str" cm="1">
        <f t="array" ref="K6">IF(AF6&lt;&gt;"",IFERROR(INDEX('Group List A'!B:B,MATCH(AI6,'Group List A'!A:A,0),0),"-"),"")</f>
        <v/>
      </c>
      <c r="L6" s="33">
        <f t="shared" si="5"/>
        <v>0</v>
      </c>
      <c r="M6" s="33">
        <f t="shared" si="6"/>
        <v>0</v>
      </c>
      <c r="N6" s="33">
        <f t="shared" si="7"/>
        <v>0</v>
      </c>
      <c r="O6" s="28"/>
      <c r="P6" s="33">
        <f t="shared" si="8"/>
        <v>0</v>
      </c>
      <c r="Q6" s="35" t="str" cm="1">
        <f t="array" ref="Q6">IF(AF6&lt;&gt;"",IFERROR(INDEX('Group List B'!B:B,MATCH(AI6,'Group List B'!A:A,0),0),"-"),"")</f>
        <v/>
      </c>
      <c r="R6" s="36">
        <f t="shared" si="9"/>
        <v>0</v>
      </c>
      <c r="S6" s="36">
        <f t="shared" si="10"/>
        <v>0</v>
      </c>
      <c r="T6" s="36">
        <f t="shared" si="11"/>
        <v>0</v>
      </c>
      <c r="U6" s="28"/>
      <c r="V6" s="37">
        <f t="shared" si="12"/>
        <v>0</v>
      </c>
      <c r="W6" s="41"/>
      <c r="X6" s="27"/>
      <c r="Y6" s="27"/>
      <c r="Z6" s="27"/>
      <c r="AA6" s="15"/>
      <c r="AB6" s="17"/>
      <c r="AC6" s="17"/>
      <c r="AD6" s="17"/>
      <c r="AE6" s="90"/>
      <c r="AF6" s="82" t="str">
        <f t="shared" si="13"/>
        <v/>
      </c>
      <c r="AG6" s="83" t="str">
        <f t="shared" si="14"/>
        <v/>
      </c>
      <c r="AH6" s="82" t="str">
        <f t="shared" si="15"/>
        <v/>
      </c>
      <c r="AI6" s="82" t="str">
        <f t="shared" si="16"/>
        <v/>
      </c>
      <c r="AJ6" s="90"/>
      <c r="AN6" s="80" t="s">
        <v>75</v>
      </c>
      <c r="AP6" s="88"/>
    </row>
    <row r="7" spans="1:50" x14ac:dyDescent="0.25">
      <c r="A7" s="2"/>
      <c r="C7" s="68" t="str" cm="1">
        <f t="array" ref="C7">IF(AF7&lt;&gt;"",
IFERROR(INDEX('LaunchPad Markbook'!A:A,MATCH(AH7,'LaunchPad Markbook'!D:D,0),0),"-"),"")</f>
        <v/>
      </c>
      <c r="D7" s="27"/>
      <c r="E7" s="27"/>
      <c r="F7" s="27"/>
      <c r="G7" s="14">
        <f>IF(OR(H7&gt;AB$2,I7&gt;AC$2,J7&gt;AD$2,
P7&gt;1,V7&gt;1,
L7&gt;'Group List A'!E$2,M7&gt;'Group List A'!F$2,N7&gt;'Group List A'!G$2,
R7&gt;'Group List B'!E$2,S7&gt;'Group List B'!F$2,T7&gt;'Group List B'!G$2),"Exceed",
IF(OR(H7=AB$2,I7=AC$2,J7=AD$2,
P7=1,V7=1,
L7='Group List A'!E$2,M7='Group List A'!F$2,N7='Group List A'!G$2,
R7='Group List B'!E$2,S7='Group List B'!F$2,T7='Group List B'!G$2),"Limit",0))</f>
        <v>0</v>
      </c>
      <c r="H7" s="29">
        <f t="shared" si="2"/>
        <v>0</v>
      </c>
      <c r="I7" s="29">
        <f t="shared" si="3"/>
        <v>0</v>
      </c>
      <c r="J7" s="29">
        <f t="shared" si="4"/>
        <v>0</v>
      </c>
      <c r="K7" s="32" t="str" cm="1">
        <f t="array" ref="K7">IF(AF7&lt;&gt;"",IFERROR(INDEX('Group List A'!B:B,MATCH(AI7,'Group List A'!A:A,0),0),"-"),"")</f>
        <v/>
      </c>
      <c r="L7" s="33">
        <f t="shared" si="5"/>
        <v>0</v>
      </c>
      <c r="M7" s="33">
        <f t="shared" si="6"/>
        <v>0</v>
      </c>
      <c r="N7" s="33">
        <f t="shared" si="7"/>
        <v>0</v>
      </c>
      <c r="O7" s="28"/>
      <c r="P7" s="33">
        <f t="shared" si="8"/>
        <v>0</v>
      </c>
      <c r="Q7" s="35" t="str" cm="1">
        <f t="array" ref="Q7">IF(AF7&lt;&gt;"",IFERROR(INDEX('Group List B'!B:B,MATCH(AI7,'Group List B'!A:A,0),0),"-"),"")</f>
        <v/>
      </c>
      <c r="R7" s="36">
        <f t="shared" si="9"/>
        <v>0</v>
      </c>
      <c r="S7" s="36">
        <f t="shared" si="10"/>
        <v>0</v>
      </c>
      <c r="T7" s="36">
        <f t="shared" si="11"/>
        <v>0</v>
      </c>
      <c r="U7" s="28"/>
      <c r="V7" s="37">
        <f t="shared" si="12"/>
        <v>0</v>
      </c>
      <c r="W7" s="41"/>
      <c r="X7" s="27"/>
      <c r="Y7" s="27"/>
      <c r="Z7" s="27"/>
      <c r="AA7" s="15"/>
      <c r="AB7" s="17"/>
      <c r="AC7" s="17"/>
      <c r="AD7" s="17"/>
      <c r="AE7" s="90"/>
      <c r="AF7" s="82" t="str">
        <f t="shared" si="13"/>
        <v/>
      </c>
      <c r="AG7" s="83" t="str">
        <f t="shared" si="14"/>
        <v/>
      </c>
      <c r="AH7" s="82" t="str">
        <f t="shared" si="15"/>
        <v/>
      </c>
      <c r="AI7" s="82" t="str">
        <f t="shared" si="16"/>
        <v/>
      </c>
      <c r="AJ7" s="90"/>
      <c r="AN7" s="80" t="s">
        <v>74</v>
      </c>
      <c r="AP7" s="88"/>
    </row>
    <row r="8" spans="1:50" x14ac:dyDescent="0.25">
      <c r="A8" s="2"/>
      <c r="C8" s="68" t="str" cm="1">
        <f t="array" ref="C8">IF(AF8&lt;&gt;"",
IFERROR(INDEX('LaunchPad Markbook'!A:A,MATCH(AH8,'LaunchPad Markbook'!D:D,0),0),"-"),"")</f>
        <v/>
      </c>
      <c r="D8" s="27"/>
      <c r="E8" s="27"/>
      <c r="F8" s="27"/>
      <c r="G8" s="14">
        <f>IF(OR(H8&gt;AB$2,I8&gt;AC$2,J8&gt;AD$2,
P8&gt;1,V8&gt;1,
L8&gt;'Group List A'!E$2,M8&gt;'Group List A'!F$2,N8&gt;'Group List A'!G$2,
R8&gt;'Group List B'!E$2,S8&gt;'Group List B'!F$2,T8&gt;'Group List B'!G$2),"Exceed",
IF(OR(H8=AB$2,I8=AC$2,J8=AD$2,
P8=1,V8=1,
L8='Group List A'!E$2,M8='Group List A'!F$2,N8='Group List A'!G$2,
R8='Group List B'!E$2,S8='Group List B'!F$2,T8='Group List B'!G$2),"Limit",0))</f>
        <v>0</v>
      </c>
      <c r="H8" s="29">
        <f t="shared" si="2"/>
        <v>0</v>
      </c>
      <c r="I8" s="29">
        <f t="shared" si="3"/>
        <v>0</v>
      </c>
      <c r="J8" s="29">
        <f t="shared" si="4"/>
        <v>0</v>
      </c>
      <c r="K8" s="32" t="str" cm="1">
        <f t="array" ref="K8">IF(AF8&lt;&gt;"",IFERROR(INDEX('Group List A'!B:B,MATCH(AI8,'Group List A'!A:A,0),0),"-"),"")</f>
        <v/>
      </c>
      <c r="L8" s="33">
        <f t="shared" si="5"/>
        <v>0</v>
      </c>
      <c r="M8" s="33">
        <f t="shared" si="6"/>
        <v>0</v>
      </c>
      <c r="N8" s="33">
        <f t="shared" si="7"/>
        <v>0</v>
      </c>
      <c r="O8" s="28"/>
      <c r="P8" s="33">
        <f t="shared" si="8"/>
        <v>0</v>
      </c>
      <c r="Q8" s="35" t="str" cm="1">
        <f t="array" ref="Q8">IF(AF8&lt;&gt;"",IFERROR(INDEX('Group List B'!B:B,MATCH(AI8,'Group List B'!A:A,0),0),"-"),"")</f>
        <v/>
      </c>
      <c r="R8" s="36">
        <f t="shared" si="9"/>
        <v>0</v>
      </c>
      <c r="S8" s="36">
        <f t="shared" si="10"/>
        <v>0</v>
      </c>
      <c r="T8" s="36">
        <f t="shared" si="11"/>
        <v>0</v>
      </c>
      <c r="U8" s="28"/>
      <c r="V8" s="37">
        <f t="shared" si="12"/>
        <v>0</v>
      </c>
      <c r="W8" s="41"/>
      <c r="X8" s="27"/>
      <c r="Y8" s="27"/>
      <c r="Z8" s="27"/>
      <c r="AA8" s="15"/>
      <c r="AB8" s="17"/>
      <c r="AC8" s="17"/>
      <c r="AD8" s="17"/>
      <c r="AE8" s="90"/>
      <c r="AF8" s="82" t="str">
        <f t="shared" si="13"/>
        <v/>
      </c>
      <c r="AG8" s="83" t="str">
        <f t="shared" si="14"/>
        <v/>
      </c>
      <c r="AH8" s="82" t="str">
        <f t="shared" si="15"/>
        <v/>
      </c>
      <c r="AI8" s="82" t="str">
        <f t="shared" si="16"/>
        <v/>
      </c>
      <c r="AJ8" s="90"/>
      <c r="AN8" s="80" t="s">
        <v>78</v>
      </c>
      <c r="AP8" s="88"/>
    </row>
    <row r="9" spans="1:50" x14ac:dyDescent="0.25">
      <c r="A9" s="2"/>
      <c r="C9" s="68" t="str" cm="1">
        <f t="array" ref="C9">IF(AF9&lt;&gt;"",
IFERROR(INDEX('LaunchPad Markbook'!A:A,MATCH(AH9,'LaunchPad Markbook'!D:D,0),0),"-"),"")</f>
        <v/>
      </c>
      <c r="D9" s="27"/>
      <c r="E9" s="27"/>
      <c r="F9" s="27"/>
      <c r="G9" s="14">
        <f>IF(OR(H9&gt;AB$2,I9&gt;AC$2,J9&gt;AD$2,
P9&gt;1,V9&gt;1,
L9&gt;'Group List A'!E$2,M9&gt;'Group List A'!F$2,N9&gt;'Group List A'!G$2,
R9&gt;'Group List B'!E$2,S9&gt;'Group List B'!F$2,T9&gt;'Group List B'!G$2),"Exceed",
IF(OR(H9=AB$2,I9=AC$2,J9=AD$2,
P9=1,V9=1,
L9='Group List A'!E$2,M9='Group List A'!F$2,N9='Group List A'!G$2,
R9='Group List B'!E$2,S9='Group List B'!F$2,T9='Group List B'!G$2),"Limit",0))</f>
        <v>0</v>
      </c>
      <c r="H9" s="29">
        <f t="shared" si="2"/>
        <v>0</v>
      </c>
      <c r="I9" s="29">
        <f t="shared" si="3"/>
        <v>0</v>
      </c>
      <c r="J9" s="29">
        <f t="shared" si="4"/>
        <v>0</v>
      </c>
      <c r="K9" s="32" t="str" cm="1">
        <f t="array" ref="K9">IF(AF9&lt;&gt;"",IFERROR(INDEX('Group List A'!B:B,MATCH(AI9,'Group List A'!A:A,0),0),"-"),"")</f>
        <v/>
      </c>
      <c r="L9" s="33">
        <f t="shared" si="5"/>
        <v>0</v>
      </c>
      <c r="M9" s="33">
        <f t="shared" si="6"/>
        <v>0</v>
      </c>
      <c r="N9" s="33">
        <f t="shared" si="7"/>
        <v>0</v>
      </c>
      <c r="O9" s="28"/>
      <c r="P9" s="33">
        <f t="shared" si="8"/>
        <v>0</v>
      </c>
      <c r="Q9" s="35" t="str" cm="1">
        <f t="array" ref="Q9">IF(AF9&lt;&gt;"",IFERROR(INDEX('Group List B'!B:B,MATCH(AI9,'Group List B'!A:A,0),0),"-"),"")</f>
        <v/>
      </c>
      <c r="R9" s="36">
        <f t="shared" si="9"/>
        <v>0</v>
      </c>
      <c r="S9" s="36">
        <f t="shared" si="10"/>
        <v>0</v>
      </c>
      <c r="T9" s="36">
        <f t="shared" si="11"/>
        <v>0</v>
      </c>
      <c r="U9" s="28"/>
      <c r="V9" s="37">
        <f t="shared" si="12"/>
        <v>0</v>
      </c>
      <c r="W9" s="41"/>
      <c r="X9" s="27"/>
      <c r="Y9" s="27"/>
      <c r="Z9" s="27"/>
      <c r="AA9" s="15"/>
      <c r="AB9" s="17"/>
      <c r="AC9" s="17"/>
      <c r="AD9" s="17"/>
      <c r="AE9" s="90"/>
      <c r="AF9" s="82" t="str">
        <f t="shared" si="13"/>
        <v/>
      </c>
      <c r="AG9" s="83" t="str">
        <f t="shared" si="14"/>
        <v/>
      </c>
      <c r="AH9" s="82" t="str">
        <f t="shared" si="15"/>
        <v/>
      </c>
      <c r="AI9" s="82" t="str">
        <f t="shared" si="16"/>
        <v/>
      </c>
      <c r="AJ9" s="90"/>
      <c r="AN9" s="80" t="s">
        <v>79</v>
      </c>
      <c r="AP9" s="88"/>
    </row>
    <row r="10" spans="1:50" x14ac:dyDescent="0.25">
      <c r="A10" s="2"/>
      <c r="C10" s="68" t="str" cm="1">
        <f t="array" ref="C10">IF(AF10&lt;&gt;"",
IFERROR(INDEX('LaunchPad Markbook'!A:A,MATCH(AH10,'LaunchPad Markbook'!D:D,0),0),"-"),"")</f>
        <v/>
      </c>
      <c r="D10" s="27"/>
      <c r="E10" s="27"/>
      <c r="F10" s="27"/>
      <c r="G10" s="14">
        <f>IF(OR(H10&gt;AB$2,I10&gt;AC$2,J10&gt;AD$2,
P10&gt;1,V10&gt;1,
L10&gt;'Group List A'!E$2,M10&gt;'Group List A'!F$2,N10&gt;'Group List A'!G$2,
R10&gt;'Group List B'!E$2,S10&gt;'Group List B'!F$2,T10&gt;'Group List B'!G$2),"Exceed",
IF(OR(H10=AB$2,I10=AC$2,J10=AD$2,
P10=1,V10=1,
L10='Group List A'!E$2,M10='Group List A'!F$2,N10='Group List A'!G$2,
R10='Group List B'!E$2,S10='Group List B'!F$2,T10='Group List B'!G$2),"Limit",0))</f>
        <v>0</v>
      </c>
      <c r="H10" s="29">
        <f t="shared" si="2"/>
        <v>0</v>
      </c>
      <c r="I10" s="29">
        <f t="shared" si="3"/>
        <v>0</v>
      </c>
      <c r="J10" s="29">
        <f t="shared" si="4"/>
        <v>0</v>
      </c>
      <c r="K10" s="32" t="str" cm="1">
        <f t="array" ref="K10">IF(AF10&lt;&gt;"",IFERROR(INDEX('Group List A'!B:B,MATCH(AI10,'Group List A'!A:A,0),0),"-"),"")</f>
        <v/>
      </c>
      <c r="L10" s="33">
        <f t="shared" si="5"/>
        <v>0</v>
      </c>
      <c r="M10" s="33">
        <f t="shared" si="6"/>
        <v>0</v>
      </c>
      <c r="N10" s="33">
        <f t="shared" si="7"/>
        <v>0</v>
      </c>
      <c r="O10" s="28"/>
      <c r="P10" s="33">
        <f t="shared" si="8"/>
        <v>0</v>
      </c>
      <c r="Q10" s="35" t="str" cm="1">
        <f t="array" ref="Q10">IF(AF10&lt;&gt;"",IFERROR(INDEX('Group List B'!B:B,MATCH(AI10,'Group List B'!A:A,0),0),"-"),"")</f>
        <v/>
      </c>
      <c r="R10" s="36">
        <f t="shared" si="9"/>
        <v>0</v>
      </c>
      <c r="S10" s="36">
        <f t="shared" si="10"/>
        <v>0</v>
      </c>
      <c r="T10" s="36">
        <f t="shared" si="11"/>
        <v>0</v>
      </c>
      <c r="U10" s="28"/>
      <c r="V10" s="37">
        <f t="shared" si="12"/>
        <v>0</v>
      </c>
      <c r="W10" s="41"/>
      <c r="X10" s="27"/>
      <c r="Y10" s="27"/>
      <c r="Z10" s="27"/>
      <c r="AA10" s="15"/>
      <c r="AB10" s="17"/>
      <c r="AC10" s="17"/>
      <c r="AD10" s="17"/>
      <c r="AE10" s="90"/>
      <c r="AF10" s="82" t="str">
        <f t="shared" si="13"/>
        <v/>
      </c>
      <c r="AG10" s="83" t="str">
        <f t="shared" si="14"/>
        <v/>
      </c>
      <c r="AH10" s="82" t="str">
        <f t="shared" si="15"/>
        <v/>
      </c>
      <c r="AI10" s="82" t="str">
        <f t="shared" si="16"/>
        <v/>
      </c>
      <c r="AJ10" s="90"/>
      <c r="AP10" s="88"/>
    </row>
    <row r="11" spans="1:50" x14ac:dyDescent="0.25">
      <c r="A11" s="2"/>
      <c r="C11" s="68" t="str" cm="1">
        <f t="array" ref="C11">IF(AF11&lt;&gt;"",
IFERROR(INDEX('LaunchPad Markbook'!A:A,MATCH(AH11,'LaunchPad Markbook'!D:D,0),0),"-"),"")</f>
        <v/>
      </c>
      <c r="D11" s="27"/>
      <c r="E11" s="27"/>
      <c r="F11" s="27"/>
      <c r="G11" s="14">
        <f>IF(OR(H11&gt;AB$2,I11&gt;AC$2,J11&gt;AD$2,
P11&gt;1,V11&gt;1,
L11&gt;'Group List A'!E$2,M11&gt;'Group List A'!F$2,N11&gt;'Group List A'!G$2,
R11&gt;'Group List B'!E$2,S11&gt;'Group List B'!F$2,T11&gt;'Group List B'!G$2),"Exceed",
IF(OR(H11=AB$2,I11=AC$2,J11=AD$2,
P11=1,V11=1,
L11='Group List A'!E$2,M11='Group List A'!F$2,N11='Group List A'!G$2,
R11='Group List B'!E$2,S11='Group List B'!F$2,T11='Group List B'!G$2),"Limit",0))</f>
        <v>0</v>
      </c>
      <c r="H11" s="29">
        <f t="shared" si="2"/>
        <v>0</v>
      </c>
      <c r="I11" s="29">
        <f t="shared" si="3"/>
        <v>0</v>
      </c>
      <c r="J11" s="29">
        <f t="shared" si="4"/>
        <v>0</v>
      </c>
      <c r="K11" s="32" t="str" cm="1">
        <f t="array" ref="K11">IF(AF11&lt;&gt;"",IFERROR(INDEX('Group List A'!B:B,MATCH(AI11,'Group List A'!A:A,0),0),"-"),"")</f>
        <v/>
      </c>
      <c r="L11" s="33">
        <f t="shared" si="5"/>
        <v>0</v>
      </c>
      <c r="M11" s="33">
        <f t="shared" si="6"/>
        <v>0</v>
      </c>
      <c r="N11" s="33">
        <f t="shared" si="7"/>
        <v>0</v>
      </c>
      <c r="O11" s="28"/>
      <c r="P11" s="33">
        <f t="shared" si="8"/>
        <v>0</v>
      </c>
      <c r="Q11" s="35" t="str" cm="1">
        <f t="array" ref="Q11">IF(AF11&lt;&gt;"",IFERROR(INDEX('Group List B'!B:B,MATCH(AI11,'Group List B'!A:A,0),0),"-"),"")</f>
        <v/>
      </c>
      <c r="R11" s="36">
        <f t="shared" si="9"/>
        <v>0</v>
      </c>
      <c r="S11" s="36">
        <f t="shared" si="10"/>
        <v>0</v>
      </c>
      <c r="T11" s="36">
        <f t="shared" si="11"/>
        <v>0</v>
      </c>
      <c r="U11" s="28"/>
      <c r="V11" s="37">
        <f t="shared" si="12"/>
        <v>0</v>
      </c>
      <c r="W11" s="41"/>
      <c r="X11" s="27"/>
      <c r="Y11" s="27"/>
      <c r="Z11" s="27"/>
      <c r="AA11" s="15"/>
      <c r="AB11" s="17"/>
      <c r="AC11" s="17"/>
      <c r="AD11" s="17"/>
      <c r="AE11" s="90"/>
      <c r="AF11" s="82" t="str">
        <f t="shared" si="13"/>
        <v/>
      </c>
      <c r="AG11" s="83" t="str">
        <f t="shared" si="14"/>
        <v/>
      </c>
      <c r="AH11" s="82" t="str">
        <f t="shared" si="15"/>
        <v/>
      </c>
      <c r="AI11" s="82" t="str">
        <f t="shared" si="16"/>
        <v/>
      </c>
      <c r="AJ11" s="90"/>
      <c r="AP11" s="88"/>
    </row>
    <row r="12" spans="1:50" x14ac:dyDescent="0.25">
      <c r="A12" s="2"/>
      <c r="C12" s="68" t="str" cm="1">
        <f t="array" ref="C12">IF(AF12&lt;&gt;"",
IFERROR(INDEX('LaunchPad Markbook'!A:A,MATCH(AH12,'LaunchPad Markbook'!D:D,0),0),"-"),"")</f>
        <v/>
      </c>
      <c r="D12" s="27"/>
      <c r="E12" s="27"/>
      <c r="F12" s="27"/>
      <c r="G12" s="14">
        <f>IF(OR(H12&gt;AB$2,I12&gt;AC$2,J12&gt;AD$2,
P12&gt;1,V12&gt;1,
L12&gt;'Group List A'!E$2,M12&gt;'Group List A'!F$2,N12&gt;'Group List A'!G$2,
R12&gt;'Group List B'!E$2,S12&gt;'Group List B'!F$2,T12&gt;'Group List B'!G$2),"Exceed",
IF(OR(H12=AB$2,I12=AC$2,J12=AD$2,
P12=1,V12=1,
L12='Group List A'!E$2,M12='Group List A'!F$2,N12='Group List A'!G$2,
R12='Group List B'!E$2,S12='Group List B'!F$2,T12='Group List B'!G$2),"Limit",0))</f>
        <v>0</v>
      </c>
      <c r="H12" s="29">
        <f t="shared" si="2"/>
        <v>0</v>
      </c>
      <c r="I12" s="29">
        <f t="shared" si="3"/>
        <v>0</v>
      </c>
      <c r="J12" s="29">
        <f t="shared" si="4"/>
        <v>0</v>
      </c>
      <c r="K12" s="32" t="str" cm="1">
        <f t="array" ref="K12">IF(AF12&lt;&gt;"",IFERROR(INDEX('Group List A'!B:B,MATCH(AI12,'Group List A'!A:A,0),0),"-"),"")</f>
        <v/>
      </c>
      <c r="L12" s="33">
        <f t="shared" si="5"/>
        <v>0</v>
      </c>
      <c r="M12" s="33">
        <f t="shared" si="6"/>
        <v>0</v>
      </c>
      <c r="N12" s="33">
        <f t="shared" si="7"/>
        <v>0</v>
      </c>
      <c r="O12" s="28"/>
      <c r="P12" s="33">
        <f t="shared" si="8"/>
        <v>0</v>
      </c>
      <c r="Q12" s="35" t="str" cm="1">
        <f t="array" ref="Q12">IF(AF12&lt;&gt;"",IFERROR(INDEX('Group List B'!B:B,MATCH(AI12,'Group List B'!A:A,0),0),"-"),"")</f>
        <v/>
      </c>
      <c r="R12" s="36">
        <f t="shared" si="9"/>
        <v>0</v>
      </c>
      <c r="S12" s="36">
        <f t="shared" si="10"/>
        <v>0</v>
      </c>
      <c r="T12" s="36">
        <f t="shared" si="11"/>
        <v>0</v>
      </c>
      <c r="U12" s="28"/>
      <c r="V12" s="37">
        <f t="shared" si="12"/>
        <v>0</v>
      </c>
      <c r="W12" s="41"/>
      <c r="X12" s="27"/>
      <c r="Y12" s="27"/>
      <c r="Z12" s="27"/>
      <c r="AA12" s="15"/>
      <c r="AB12" s="17"/>
      <c r="AC12" s="17"/>
      <c r="AD12" s="17"/>
      <c r="AE12" s="90"/>
      <c r="AF12" s="82" t="str">
        <f t="shared" si="13"/>
        <v/>
      </c>
      <c r="AG12" s="83" t="str">
        <f t="shared" si="14"/>
        <v/>
      </c>
      <c r="AH12" s="82" t="str">
        <f t="shared" si="15"/>
        <v/>
      </c>
      <c r="AI12" s="82" t="str">
        <f t="shared" si="16"/>
        <v/>
      </c>
      <c r="AJ12" s="90"/>
      <c r="AP12" s="88"/>
    </row>
    <row r="13" spans="1:50" x14ac:dyDescent="0.25">
      <c r="A13" s="2"/>
      <c r="C13" s="68" t="str" cm="1">
        <f t="array" ref="C13">IF(AF13&lt;&gt;"",
IFERROR(INDEX('LaunchPad Markbook'!A:A,MATCH(AH13,'LaunchPad Markbook'!D:D,0),0),"-"),"")</f>
        <v/>
      </c>
      <c r="D13" s="27"/>
      <c r="E13" s="27"/>
      <c r="F13" s="27"/>
      <c r="G13" s="14">
        <f>IF(OR(H13&gt;AB$2,I13&gt;AC$2,J13&gt;AD$2,
P13&gt;1,V13&gt;1,
L13&gt;'Group List A'!E$2,M13&gt;'Group List A'!F$2,N13&gt;'Group List A'!G$2,
R13&gt;'Group List B'!E$2,S13&gt;'Group List B'!F$2,T13&gt;'Group List B'!G$2),"Exceed",
IF(OR(H13=AB$2,I13=AC$2,J13=AD$2,
P13=1,V13=1,
L13='Group List A'!E$2,M13='Group List A'!F$2,N13='Group List A'!G$2,
R13='Group List B'!E$2,S13='Group List B'!F$2,T13='Group List B'!G$2),"Limit",0))</f>
        <v>0</v>
      </c>
      <c r="H13" s="29">
        <f t="shared" si="2"/>
        <v>0</v>
      </c>
      <c r="I13" s="29">
        <f t="shared" si="3"/>
        <v>0</v>
      </c>
      <c r="J13" s="29">
        <f t="shared" si="4"/>
        <v>0</v>
      </c>
      <c r="K13" s="32" t="str" cm="1">
        <f t="array" ref="K13">IF(AF13&lt;&gt;"",IFERROR(INDEX('Group List A'!B:B,MATCH(AI13,'Group List A'!A:A,0),0),"-"),"")</f>
        <v/>
      </c>
      <c r="L13" s="33">
        <f t="shared" si="5"/>
        <v>0</v>
      </c>
      <c r="M13" s="33">
        <f t="shared" si="6"/>
        <v>0</v>
      </c>
      <c r="N13" s="33">
        <f t="shared" si="7"/>
        <v>0</v>
      </c>
      <c r="O13" s="28"/>
      <c r="P13" s="33">
        <f t="shared" si="8"/>
        <v>0</v>
      </c>
      <c r="Q13" s="35" t="str" cm="1">
        <f t="array" ref="Q13">IF(AF13&lt;&gt;"",IFERROR(INDEX('Group List B'!B:B,MATCH(AI13,'Group List B'!A:A,0),0),"-"),"")</f>
        <v/>
      </c>
      <c r="R13" s="36">
        <f t="shared" si="9"/>
        <v>0</v>
      </c>
      <c r="S13" s="36">
        <f t="shared" si="10"/>
        <v>0</v>
      </c>
      <c r="T13" s="36">
        <f t="shared" si="11"/>
        <v>0</v>
      </c>
      <c r="U13" s="28"/>
      <c r="V13" s="37">
        <f t="shared" si="12"/>
        <v>0</v>
      </c>
      <c r="W13" s="41"/>
      <c r="X13" s="27"/>
      <c r="Y13" s="27"/>
      <c r="Z13" s="27"/>
      <c r="AA13" s="15"/>
      <c r="AB13" s="17"/>
      <c r="AC13" s="17"/>
      <c r="AD13" s="17"/>
      <c r="AE13" s="90"/>
      <c r="AF13" s="82" t="str">
        <f t="shared" si="13"/>
        <v/>
      </c>
      <c r="AG13" s="83" t="str">
        <f t="shared" si="14"/>
        <v/>
      </c>
      <c r="AH13" s="82" t="str">
        <f t="shared" si="15"/>
        <v/>
      </c>
      <c r="AI13" s="82" t="str">
        <f t="shared" si="16"/>
        <v/>
      </c>
      <c r="AJ13" s="90"/>
      <c r="AP13" s="88"/>
    </row>
    <row r="14" spans="1:50" x14ac:dyDescent="0.25">
      <c r="A14" s="2"/>
      <c r="C14" s="68" t="str" cm="1">
        <f t="array" ref="C14">IF(AF14&lt;&gt;"",
IFERROR(INDEX('LaunchPad Markbook'!A:A,MATCH(AH14,'LaunchPad Markbook'!D:D,0),0),"-"),"")</f>
        <v/>
      </c>
      <c r="D14" s="27"/>
      <c r="E14" s="27"/>
      <c r="F14" s="27"/>
      <c r="G14" s="14">
        <f>IF(OR(H14&gt;AB$2,I14&gt;AC$2,J14&gt;AD$2,
P14&gt;1,V14&gt;1,
L14&gt;'Group List A'!E$2,M14&gt;'Group List A'!F$2,N14&gt;'Group List A'!G$2,
R14&gt;'Group List B'!E$2,S14&gt;'Group List B'!F$2,T14&gt;'Group List B'!G$2),"Exceed",
IF(OR(H14=AB$2,I14=AC$2,J14=AD$2,
P14=1,V14=1,
L14='Group List A'!E$2,M14='Group List A'!F$2,N14='Group List A'!G$2,
R14='Group List B'!E$2,S14='Group List B'!F$2,T14='Group List B'!G$2),"Limit",0))</f>
        <v>0</v>
      </c>
      <c r="H14" s="29">
        <f t="shared" si="2"/>
        <v>0</v>
      </c>
      <c r="I14" s="29">
        <f t="shared" si="3"/>
        <v>0</v>
      </c>
      <c r="J14" s="29">
        <f t="shared" si="4"/>
        <v>0</v>
      </c>
      <c r="K14" s="32" t="str" cm="1">
        <f t="array" ref="K14">IF(AF14&lt;&gt;"",IFERROR(INDEX('Group List A'!B:B,MATCH(AI14,'Group List A'!A:A,0),0),"-"),"")</f>
        <v/>
      </c>
      <c r="L14" s="33">
        <f t="shared" si="5"/>
        <v>0</v>
      </c>
      <c r="M14" s="33">
        <f t="shared" si="6"/>
        <v>0</v>
      </c>
      <c r="N14" s="33">
        <f t="shared" si="7"/>
        <v>0</v>
      </c>
      <c r="O14" s="28"/>
      <c r="P14" s="33">
        <f t="shared" si="8"/>
        <v>0</v>
      </c>
      <c r="Q14" s="35" t="str" cm="1">
        <f t="array" ref="Q14">IF(AF14&lt;&gt;"",IFERROR(INDEX('Group List B'!B:B,MATCH(AI14,'Group List B'!A:A,0),0),"-"),"")</f>
        <v/>
      </c>
      <c r="R14" s="36">
        <f t="shared" si="9"/>
        <v>0</v>
      </c>
      <c r="S14" s="36">
        <f t="shared" si="10"/>
        <v>0</v>
      </c>
      <c r="T14" s="36">
        <f t="shared" si="11"/>
        <v>0</v>
      </c>
      <c r="U14" s="28"/>
      <c r="V14" s="37">
        <f t="shared" si="12"/>
        <v>0</v>
      </c>
      <c r="W14" s="41"/>
      <c r="X14" s="27"/>
      <c r="Y14" s="27"/>
      <c r="Z14" s="27"/>
      <c r="AA14" s="15"/>
      <c r="AB14" s="17"/>
      <c r="AC14" s="17"/>
      <c r="AD14" s="17"/>
      <c r="AE14" s="90"/>
      <c r="AF14" s="82" t="str">
        <f t="shared" si="13"/>
        <v/>
      </c>
      <c r="AG14" s="83" t="str">
        <f t="shared" si="14"/>
        <v/>
      </c>
      <c r="AH14" s="82" t="str">
        <f t="shared" si="15"/>
        <v/>
      </c>
      <c r="AI14" s="82" t="str">
        <f t="shared" si="16"/>
        <v/>
      </c>
      <c r="AJ14" s="90"/>
      <c r="AP14" s="88"/>
    </row>
    <row r="15" spans="1:50" x14ac:dyDescent="0.25">
      <c r="A15" s="2"/>
      <c r="C15" s="68" t="str" cm="1">
        <f t="array" ref="C15">IF(AF15&lt;&gt;"",
IFERROR(INDEX('LaunchPad Markbook'!A:A,MATCH(AH15,'LaunchPad Markbook'!D:D,0),0),"-"),"")</f>
        <v/>
      </c>
      <c r="D15" s="27"/>
      <c r="E15" s="27"/>
      <c r="F15" s="27"/>
      <c r="G15" s="14">
        <f>IF(OR(H15&gt;AB$2,I15&gt;AC$2,J15&gt;AD$2,
P15&gt;1,V15&gt;1,
L15&gt;'Group List A'!E$2,M15&gt;'Group List A'!F$2,N15&gt;'Group List A'!G$2,
R15&gt;'Group List B'!E$2,S15&gt;'Group List B'!F$2,T15&gt;'Group List B'!G$2),"Exceed",
IF(OR(H15=AB$2,I15=AC$2,J15=AD$2,
P15=1,V15=1,
L15='Group List A'!E$2,M15='Group List A'!F$2,N15='Group List A'!G$2,
R15='Group List B'!E$2,S15='Group List B'!F$2,T15='Group List B'!G$2),"Limit",0))</f>
        <v>0</v>
      </c>
      <c r="H15" s="29">
        <f t="shared" si="2"/>
        <v>0</v>
      </c>
      <c r="I15" s="29">
        <f t="shared" si="3"/>
        <v>0</v>
      </c>
      <c r="J15" s="29">
        <f t="shared" si="4"/>
        <v>0</v>
      </c>
      <c r="K15" s="32" t="str" cm="1">
        <f t="array" ref="K15">IF(AF15&lt;&gt;"",IFERROR(INDEX('Group List A'!B:B,MATCH(AI15,'Group List A'!A:A,0),0),"-"),"")</f>
        <v/>
      </c>
      <c r="L15" s="33">
        <f t="shared" si="5"/>
        <v>0</v>
      </c>
      <c r="M15" s="33">
        <f t="shared" si="6"/>
        <v>0</v>
      </c>
      <c r="N15" s="33">
        <f t="shared" si="7"/>
        <v>0</v>
      </c>
      <c r="O15" s="28"/>
      <c r="P15" s="33">
        <f t="shared" si="8"/>
        <v>0</v>
      </c>
      <c r="Q15" s="35" t="str" cm="1">
        <f t="array" ref="Q15">IF(AF15&lt;&gt;"",IFERROR(INDEX('Group List B'!B:B,MATCH(AI15,'Group List B'!A:A,0),0),"-"),"")</f>
        <v/>
      </c>
      <c r="R15" s="36">
        <f t="shared" si="9"/>
        <v>0</v>
      </c>
      <c r="S15" s="36">
        <f t="shared" si="10"/>
        <v>0</v>
      </c>
      <c r="T15" s="36">
        <f t="shared" si="11"/>
        <v>0</v>
      </c>
      <c r="U15" s="28"/>
      <c r="V15" s="37">
        <f t="shared" si="12"/>
        <v>0</v>
      </c>
      <c r="W15" s="41"/>
      <c r="X15" s="27"/>
      <c r="Y15" s="27"/>
      <c r="Z15" s="27"/>
      <c r="AA15" s="15"/>
      <c r="AB15" s="17"/>
      <c r="AC15" s="17"/>
      <c r="AD15" s="17"/>
      <c r="AE15" s="90"/>
      <c r="AF15" s="82" t="str">
        <f t="shared" si="13"/>
        <v/>
      </c>
      <c r="AG15" s="83" t="str">
        <f t="shared" si="14"/>
        <v/>
      </c>
      <c r="AH15" s="82" t="str">
        <f t="shared" si="15"/>
        <v/>
      </c>
      <c r="AI15" s="82" t="str">
        <f t="shared" si="16"/>
        <v/>
      </c>
      <c r="AJ15" s="90"/>
      <c r="AP15" s="88"/>
    </row>
    <row r="16" spans="1:50" x14ac:dyDescent="0.25">
      <c r="A16" s="2"/>
      <c r="C16" s="68" t="str" cm="1">
        <f t="array" ref="C16">IF(AF16&lt;&gt;"",
IFERROR(INDEX('LaunchPad Markbook'!A:A,MATCH(AH16,'LaunchPad Markbook'!D:D,0),0),"-"),"")</f>
        <v/>
      </c>
      <c r="D16" s="27"/>
      <c r="E16" s="27"/>
      <c r="F16" s="27"/>
      <c r="G16" s="14">
        <f>IF(OR(H16&gt;AB$2,I16&gt;AC$2,J16&gt;AD$2,
P16&gt;1,V16&gt;1,
L16&gt;'Group List A'!E$2,M16&gt;'Group List A'!F$2,N16&gt;'Group List A'!G$2,
R16&gt;'Group List B'!E$2,S16&gt;'Group List B'!F$2,T16&gt;'Group List B'!G$2),"Exceed",
IF(OR(H16=AB$2,I16=AC$2,J16=AD$2,
P16=1,V16=1,
L16='Group List A'!E$2,M16='Group List A'!F$2,N16='Group List A'!G$2,
R16='Group List B'!E$2,S16='Group List B'!F$2,T16='Group List B'!G$2),"Limit",0))</f>
        <v>0</v>
      </c>
      <c r="H16" s="29">
        <f t="shared" si="2"/>
        <v>0</v>
      </c>
      <c r="I16" s="29">
        <f t="shared" si="3"/>
        <v>0</v>
      </c>
      <c r="J16" s="29">
        <f t="shared" si="4"/>
        <v>0</v>
      </c>
      <c r="K16" s="32" t="str" cm="1">
        <f t="array" ref="K16">IF(AF16&lt;&gt;"",IFERROR(INDEX('Group List A'!B:B,MATCH(AI16,'Group List A'!A:A,0),0),"-"),"")</f>
        <v/>
      </c>
      <c r="L16" s="33">
        <f t="shared" si="5"/>
        <v>0</v>
      </c>
      <c r="M16" s="33">
        <f t="shared" si="6"/>
        <v>0</v>
      </c>
      <c r="N16" s="33">
        <f t="shared" si="7"/>
        <v>0</v>
      </c>
      <c r="O16" s="28"/>
      <c r="P16" s="33">
        <f t="shared" si="8"/>
        <v>0</v>
      </c>
      <c r="Q16" s="35" t="str" cm="1">
        <f t="array" ref="Q16">IF(AF16&lt;&gt;"",IFERROR(INDEX('Group List B'!B:B,MATCH(AI16,'Group List B'!A:A,0),0),"-"),"")</f>
        <v/>
      </c>
      <c r="R16" s="36">
        <f t="shared" si="9"/>
        <v>0</v>
      </c>
      <c r="S16" s="36">
        <f t="shared" si="10"/>
        <v>0</v>
      </c>
      <c r="T16" s="36">
        <f t="shared" si="11"/>
        <v>0</v>
      </c>
      <c r="U16" s="28"/>
      <c r="V16" s="37">
        <f t="shared" si="12"/>
        <v>0</v>
      </c>
      <c r="W16" s="41"/>
      <c r="X16" s="27"/>
      <c r="Y16" s="27"/>
      <c r="Z16" s="27"/>
      <c r="AA16" s="15"/>
      <c r="AB16" s="17"/>
      <c r="AC16" s="17"/>
      <c r="AD16" s="17"/>
      <c r="AE16" s="90"/>
      <c r="AF16" s="82" t="str">
        <f t="shared" si="13"/>
        <v/>
      </c>
      <c r="AG16" s="83" t="str">
        <f t="shared" si="14"/>
        <v/>
      </c>
      <c r="AH16" s="82" t="str">
        <f t="shared" si="15"/>
        <v/>
      </c>
      <c r="AI16" s="82" t="str">
        <f t="shared" si="16"/>
        <v/>
      </c>
      <c r="AJ16" s="90"/>
      <c r="AP16" s="88"/>
    </row>
    <row r="17" spans="1:42" x14ac:dyDescent="0.25">
      <c r="A17" s="2"/>
      <c r="C17" s="68" t="str" cm="1">
        <f t="array" ref="C17">IF(AF17&lt;&gt;"",
IFERROR(INDEX('LaunchPad Markbook'!A:A,MATCH(AH17,'LaunchPad Markbook'!D:D,0),0),"-"),"")</f>
        <v/>
      </c>
      <c r="D17" s="27"/>
      <c r="E17" s="27"/>
      <c r="F17" s="27"/>
      <c r="G17" s="14">
        <f>IF(OR(H17&gt;AB$2,I17&gt;AC$2,J17&gt;AD$2,
P17&gt;1,V17&gt;1,
L17&gt;'Group List A'!E$2,M17&gt;'Group List A'!F$2,N17&gt;'Group List A'!G$2,
R17&gt;'Group List B'!E$2,S17&gt;'Group List B'!F$2,T17&gt;'Group List B'!G$2),"Exceed",
IF(OR(H17=AB$2,I17=AC$2,J17=AD$2,
P17=1,V17=1,
L17='Group List A'!E$2,M17='Group List A'!F$2,N17='Group List A'!G$2,
R17='Group List B'!E$2,S17='Group List B'!F$2,T17='Group List B'!G$2),"Limit",0))</f>
        <v>0</v>
      </c>
      <c r="H17" s="29">
        <f t="shared" si="2"/>
        <v>0</v>
      </c>
      <c r="I17" s="29">
        <f t="shared" si="3"/>
        <v>0</v>
      </c>
      <c r="J17" s="29">
        <f t="shared" si="4"/>
        <v>0</v>
      </c>
      <c r="K17" s="32" t="str" cm="1">
        <f t="array" ref="K17">IF(AF17&lt;&gt;"",IFERROR(INDEX('Group List A'!B:B,MATCH(AI17,'Group List A'!A:A,0),0),"-"),"")</f>
        <v/>
      </c>
      <c r="L17" s="33">
        <f t="shared" si="5"/>
        <v>0</v>
      </c>
      <c r="M17" s="33">
        <f t="shared" si="6"/>
        <v>0</v>
      </c>
      <c r="N17" s="33">
        <f t="shared" si="7"/>
        <v>0</v>
      </c>
      <c r="O17" s="28"/>
      <c r="P17" s="33">
        <f t="shared" si="8"/>
        <v>0</v>
      </c>
      <c r="Q17" s="35" t="str" cm="1">
        <f t="array" ref="Q17">IF(AF17&lt;&gt;"",IFERROR(INDEX('Group List B'!B:B,MATCH(AI17,'Group List B'!A:A,0),0),"-"),"")</f>
        <v/>
      </c>
      <c r="R17" s="36">
        <f t="shared" si="9"/>
        <v>0</v>
      </c>
      <c r="S17" s="36">
        <f t="shared" si="10"/>
        <v>0</v>
      </c>
      <c r="T17" s="36">
        <f t="shared" si="11"/>
        <v>0</v>
      </c>
      <c r="U17" s="28"/>
      <c r="V17" s="37">
        <f t="shared" si="12"/>
        <v>0</v>
      </c>
      <c r="W17" s="41"/>
      <c r="X17" s="27"/>
      <c r="Y17" s="27"/>
      <c r="Z17" s="27"/>
      <c r="AA17" s="15"/>
      <c r="AB17" s="17"/>
      <c r="AC17" s="17"/>
      <c r="AD17" s="17"/>
      <c r="AE17" s="90"/>
      <c r="AF17" s="82" t="str">
        <f t="shared" si="13"/>
        <v/>
      </c>
      <c r="AG17" s="83" t="str">
        <f t="shared" si="14"/>
        <v/>
      </c>
      <c r="AH17" s="82" t="str">
        <f t="shared" si="15"/>
        <v/>
      </c>
      <c r="AI17" s="82" t="str">
        <f t="shared" si="16"/>
        <v/>
      </c>
      <c r="AJ17" s="90"/>
      <c r="AP17" s="88"/>
    </row>
    <row r="18" spans="1:42" x14ac:dyDescent="0.25">
      <c r="A18" s="2"/>
      <c r="C18" s="68" t="str" cm="1">
        <f t="array" ref="C18">IF(AF18&lt;&gt;"",
IFERROR(INDEX('LaunchPad Markbook'!A:A,MATCH(AH18,'LaunchPad Markbook'!D:D,0),0),"-"),"")</f>
        <v/>
      </c>
      <c r="D18" s="27"/>
      <c r="E18" s="27"/>
      <c r="F18" s="27"/>
      <c r="G18" s="14">
        <f>IF(OR(H18&gt;AB$2,I18&gt;AC$2,J18&gt;AD$2,
P18&gt;1,V18&gt;1,
L18&gt;'Group List A'!E$2,M18&gt;'Group List A'!F$2,N18&gt;'Group List A'!G$2,
R18&gt;'Group List B'!E$2,S18&gt;'Group List B'!F$2,T18&gt;'Group List B'!G$2),"Exceed",
IF(OR(H18=AB$2,I18=AC$2,J18=AD$2,
P18=1,V18=1,
L18='Group List A'!E$2,M18='Group List A'!F$2,N18='Group List A'!G$2,
R18='Group List B'!E$2,S18='Group List B'!F$2,T18='Group List B'!G$2),"Limit",0))</f>
        <v>0</v>
      </c>
      <c r="H18" s="29">
        <f t="shared" si="2"/>
        <v>0</v>
      </c>
      <c r="I18" s="29">
        <f t="shared" si="3"/>
        <v>0</v>
      </c>
      <c r="J18" s="29">
        <f t="shared" si="4"/>
        <v>0</v>
      </c>
      <c r="K18" s="32" t="str" cm="1">
        <f t="array" ref="K18">IF(AF18&lt;&gt;"",IFERROR(INDEX('Group List A'!B:B,MATCH(AI18,'Group List A'!A:A,0),0),"-"),"")</f>
        <v/>
      </c>
      <c r="L18" s="33">
        <f t="shared" si="5"/>
        <v>0</v>
      </c>
      <c r="M18" s="33">
        <f t="shared" si="6"/>
        <v>0</v>
      </c>
      <c r="N18" s="33">
        <f t="shared" si="7"/>
        <v>0</v>
      </c>
      <c r="O18" s="28"/>
      <c r="P18" s="33">
        <f t="shared" si="8"/>
        <v>0</v>
      </c>
      <c r="Q18" s="35" t="str" cm="1">
        <f t="array" ref="Q18">IF(AF18&lt;&gt;"",IFERROR(INDEX('Group List B'!B:B,MATCH(AI18,'Group List B'!A:A,0),0),"-"),"")</f>
        <v/>
      </c>
      <c r="R18" s="36">
        <f t="shared" si="9"/>
        <v>0</v>
      </c>
      <c r="S18" s="36">
        <f t="shared" si="10"/>
        <v>0</v>
      </c>
      <c r="T18" s="36">
        <f t="shared" si="11"/>
        <v>0</v>
      </c>
      <c r="U18" s="28"/>
      <c r="V18" s="37">
        <f t="shared" si="12"/>
        <v>0</v>
      </c>
      <c r="W18" s="41"/>
      <c r="X18" s="27"/>
      <c r="Y18" s="27"/>
      <c r="Z18" s="27"/>
      <c r="AA18" s="15"/>
      <c r="AB18" s="17"/>
      <c r="AC18" s="17"/>
      <c r="AD18" s="17"/>
      <c r="AE18" s="90"/>
      <c r="AF18" s="82" t="str">
        <f t="shared" si="13"/>
        <v/>
      </c>
      <c r="AG18" s="83" t="str">
        <f t="shared" si="14"/>
        <v/>
      </c>
      <c r="AH18" s="82" t="str">
        <f t="shared" si="15"/>
        <v/>
      </c>
      <c r="AI18" s="82" t="str">
        <f t="shared" si="16"/>
        <v/>
      </c>
      <c r="AJ18" s="90"/>
      <c r="AP18" s="88"/>
    </row>
    <row r="19" spans="1:42" x14ac:dyDescent="0.25">
      <c r="A19" s="2"/>
      <c r="C19" s="68" t="str" cm="1">
        <f t="array" ref="C19">IF(AF19&lt;&gt;"",
IFERROR(INDEX('LaunchPad Markbook'!A:A,MATCH(AH19,'LaunchPad Markbook'!D:D,0),0),"-"),"")</f>
        <v/>
      </c>
      <c r="D19" s="27"/>
      <c r="E19" s="27"/>
      <c r="F19" s="27"/>
      <c r="G19" s="14">
        <f>IF(OR(H19&gt;AB$2,I19&gt;AC$2,J19&gt;AD$2,
P19&gt;1,V19&gt;1,
L19&gt;'Group List A'!E$2,M19&gt;'Group List A'!F$2,N19&gt;'Group List A'!G$2,
R19&gt;'Group List B'!E$2,S19&gt;'Group List B'!F$2,T19&gt;'Group List B'!G$2),"Exceed",
IF(OR(H19=AB$2,I19=AC$2,J19=AD$2,
P19=1,V19=1,
L19='Group List A'!E$2,M19='Group List A'!F$2,N19='Group List A'!G$2,
R19='Group List B'!E$2,S19='Group List B'!F$2,T19='Group List B'!G$2),"Limit",0))</f>
        <v>0</v>
      </c>
      <c r="H19" s="29">
        <f t="shared" si="2"/>
        <v>0</v>
      </c>
      <c r="I19" s="29">
        <f t="shared" si="3"/>
        <v>0</v>
      </c>
      <c r="J19" s="29">
        <f t="shared" si="4"/>
        <v>0</v>
      </c>
      <c r="K19" s="32" t="str" cm="1">
        <f t="array" ref="K19">IF(AF19&lt;&gt;"",IFERROR(INDEX('Group List A'!B:B,MATCH(AI19,'Group List A'!A:A,0),0),"-"),"")</f>
        <v/>
      </c>
      <c r="L19" s="33">
        <f t="shared" si="5"/>
        <v>0</v>
      </c>
      <c r="M19" s="33">
        <f t="shared" si="6"/>
        <v>0</v>
      </c>
      <c r="N19" s="33">
        <f t="shared" si="7"/>
        <v>0</v>
      </c>
      <c r="O19" s="28"/>
      <c r="P19" s="33">
        <f t="shared" si="8"/>
        <v>0</v>
      </c>
      <c r="Q19" s="35" t="str" cm="1">
        <f t="array" ref="Q19">IF(AF19&lt;&gt;"",IFERROR(INDEX('Group List B'!B:B,MATCH(AI19,'Group List B'!A:A,0),0),"-"),"")</f>
        <v/>
      </c>
      <c r="R19" s="36">
        <f t="shared" si="9"/>
        <v>0</v>
      </c>
      <c r="S19" s="36">
        <f t="shared" si="10"/>
        <v>0</v>
      </c>
      <c r="T19" s="36">
        <f t="shared" si="11"/>
        <v>0</v>
      </c>
      <c r="U19" s="28"/>
      <c r="V19" s="37">
        <f t="shared" si="12"/>
        <v>0</v>
      </c>
      <c r="W19" s="41"/>
      <c r="X19" s="27"/>
      <c r="Y19" s="27"/>
      <c r="Z19" s="27"/>
      <c r="AA19" s="15"/>
      <c r="AB19" s="17"/>
      <c r="AC19" s="17"/>
      <c r="AD19" s="17"/>
      <c r="AE19" s="90"/>
      <c r="AF19" s="82" t="str">
        <f t="shared" si="13"/>
        <v/>
      </c>
      <c r="AG19" s="83" t="str">
        <f t="shared" si="14"/>
        <v/>
      </c>
      <c r="AH19" s="82" t="str">
        <f t="shared" si="15"/>
        <v/>
      </c>
      <c r="AI19" s="82" t="str">
        <f t="shared" si="16"/>
        <v/>
      </c>
      <c r="AJ19" s="90"/>
      <c r="AP19" s="88"/>
    </row>
    <row r="20" spans="1:42" x14ac:dyDescent="0.25">
      <c r="A20" s="2"/>
      <c r="C20" s="68" t="str" cm="1">
        <f t="array" ref="C20">IF(AF20&lt;&gt;"",
IFERROR(INDEX('LaunchPad Markbook'!A:A,MATCH(AH20,'LaunchPad Markbook'!D:D,0),0),"-"),"")</f>
        <v/>
      </c>
      <c r="D20" s="27"/>
      <c r="E20" s="27"/>
      <c r="F20" s="27"/>
      <c r="G20" s="14">
        <f>IF(OR(H20&gt;AB$2,I20&gt;AC$2,J20&gt;AD$2,
P20&gt;1,V20&gt;1,
L20&gt;'Group List A'!E$2,M20&gt;'Group List A'!F$2,N20&gt;'Group List A'!G$2,
R20&gt;'Group List B'!E$2,S20&gt;'Group List B'!F$2,T20&gt;'Group List B'!G$2),"Exceed",
IF(OR(H20=AB$2,I20=AC$2,J20=AD$2,
P20=1,V20=1,
L20='Group List A'!E$2,M20='Group List A'!F$2,N20='Group List A'!G$2,
R20='Group List B'!E$2,S20='Group List B'!F$2,T20='Group List B'!G$2),"Limit",0))</f>
        <v>0</v>
      </c>
      <c r="H20" s="29">
        <f t="shared" si="2"/>
        <v>0</v>
      </c>
      <c r="I20" s="29">
        <f t="shared" si="3"/>
        <v>0</v>
      </c>
      <c r="J20" s="29">
        <f t="shared" si="4"/>
        <v>0</v>
      </c>
      <c r="K20" s="32" t="str" cm="1">
        <f t="array" ref="K20">IF(AF20&lt;&gt;"",IFERROR(INDEX('Group List A'!B:B,MATCH(AI20,'Group List A'!A:A,0),0),"-"),"")</f>
        <v/>
      </c>
      <c r="L20" s="33">
        <f t="shared" si="5"/>
        <v>0</v>
      </c>
      <c r="M20" s="33">
        <f t="shared" si="6"/>
        <v>0</v>
      </c>
      <c r="N20" s="33">
        <f t="shared" si="7"/>
        <v>0</v>
      </c>
      <c r="O20" s="28"/>
      <c r="P20" s="33">
        <f t="shared" si="8"/>
        <v>0</v>
      </c>
      <c r="Q20" s="35" t="str" cm="1">
        <f t="array" ref="Q20">IF(AF20&lt;&gt;"",IFERROR(INDEX('Group List B'!B:B,MATCH(AI20,'Group List B'!A:A,0),0),"-"),"")</f>
        <v/>
      </c>
      <c r="R20" s="36">
        <f t="shared" si="9"/>
        <v>0</v>
      </c>
      <c r="S20" s="36">
        <f t="shared" si="10"/>
        <v>0</v>
      </c>
      <c r="T20" s="36">
        <f t="shared" si="11"/>
        <v>0</v>
      </c>
      <c r="U20" s="28"/>
      <c r="V20" s="37">
        <f t="shared" si="12"/>
        <v>0</v>
      </c>
      <c r="W20" s="41"/>
      <c r="X20" s="27"/>
      <c r="Y20" s="27"/>
      <c r="Z20" s="27"/>
      <c r="AA20" s="15"/>
      <c r="AB20" s="17"/>
      <c r="AC20" s="17"/>
      <c r="AD20" s="17"/>
      <c r="AE20" s="90"/>
      <c r="AF20" s="82" t="str">
        <f t="shared" si="13"/>
        <v/>
      </c>
      <c r="AG20" s="83" t="str">
        <f t="shared" si="14"/>
        <v/>
      </c>
      <c r="AH20" s="82" t="str">
        <f t="shared" si="15"/>
        <v/>
      </c>
      <c r="AI20" s="82" t="str">
        <f t="shared" si="16"/>
        <v/>
      </c>
      <c r="AJ20" s="90"/>
      <c r="AP20" s="88"/>
    </row>
    <row r="21" spans="1:42" x14ac:dyDescent="0.25">
      <c r="A21" s="2"/>
      <c r="C21" s="68" t="str" cm="1">
        <f t="array" ref="C21">IF(AF21&lt;&gt;"",
IFERROR(INDEX('LaunchPad Markbook'!A:A,MATCH(AH21,'LaunchPad Markbook'!D:D,0),0),"-"),"")</f>
        <v/>
      </c>
      <c r="D21" s="27"/>
      <c r="E21" s="27"/>
      <c r="F21" s="27"/>
      <c r="G21" s="14">
        <f>IF(OR(H21&gt;AB$2,I21&gt;AC$2,J21&gt;AD$2,
P21&gt;1,V21&gt;1,
L21&gt;'Group List A'!E$2,M21&gt;'Group List A'!F$2,N21&gt;'Group List A'!G$2,
R21&gt;'Group List B'!E$2,S21&gt;'Group List B'!F$2,T21&gt;'Group List B'!G$2),"Exceed",
IF(OR(H21=AB$2,I21=AC$2,J21=AD$2,
P21=1,V21=1,
L21='Group List A'!E$2,M21='Group List A'!F$2,N21='Group List A'!G$2,
R21='Group List B'!E$2,S21='Group List B'!F$2,T21='Group List B'!G$2),"Limit",0))</f>
        <v>0</v>
      </c>
      <c r="H21" s="29">
        <f t="shared" si="2"/>
        <v>0</v>
      </c>
      <c r="I21" s="29">
        <f t="shared" si="3"/>
        <v>0</v>
      </c>
      <c r="J21" s="29">
        <f t="shared" si="4"/>
        <v>0</v>
      </c>
      <c r="K21" s="32" t="str" cm="1">
        <f t="array" ref="K21">IF(AF21&lt;&gt;"",IFERROR(INDEX('Group List A'!B:B,MATCH(AI21,'Group List A'!A:A,0),0),"-"),"")</f>
        <v/>
      </c>
      <c r="L21" s="33">
        <f t="shared" si="5"/>
        <v>0</v>
      </c>
      <c r="M21" s="33">
        <f t="shared" si="6"/>
        <v>0</v>
      </c>
      <c r="N21" s="33">
        <f t="shared" si="7"/>
        <v>0</v>
      </c>
      <c r="O21" s="28"/>
      <c r="P21" s="33">
        <f t="shared" si="8"/>
        <v>0</v>
      </c>
      <c r="Q21" s="35" t="str" cm="1">
        <f t="array" ref="Q21">IF(AF21&lt;&gt;"",IFERROR(INDEX('Group List B'!B:B,MATCH(AI21,'Group List B'!A:A,0),0),"-"),"")</f>
        <v/>
      </c>
      <c r="R21" s="36">
        <f t="shared" si="9"/>
        <v>0</v>
      </c>
      <c r="S21" s="36">
        <f t="shared" si="10"/>
        <v>0</v>
      </c>
      <c r="T21" s="36">
        <f t="shared" si="11"/>
        <v>0</v>
      </c>
      <c r="U21" s="28"/>
      <c r="V21" s="37">
        <f t="shared" si="12"/>
        <v>0</v>
      </c>
      <c r="W21" s="41"/>
      <c r="X21" s="27"/>
      <c r="Y21" s="27"/>
      <c r="Z21" s="27"/>
      <c r="AA21" s="15"/>
      <c r="AB21" s="17"/>
      <c r="AC21" s="17"/>
      <c r="AD21" s="17"/>
      <c r="AE21" s="90"/>
      <c r="AF21" s="82" t="str">
        <f t="shared" si="13"/>
        <v/>
      </c>
      <c r="AG21" s="83" t="str">
        <f t="shared" si="14"/>
        <v/>
      </c>
      <c r="AH21" s="82" t="str">
        <f t="shared" si="15"/>
        <v/>
      </c>
      <c r="AI21" s="82" t="str">
        <f t="shared" si="16"/>
        <v/>
      </c>
      <c r="AJ21" s="90"/>
      <c r="AP21" s="88"/>
    </row>
    <row r="22" spans="1:42" x14ac:dyDescent="0.25">
      <c r="A22" s="2"/>
      <c r="C22" s="68" t="str" cm="1">
        <f t="array" ref="C22">IF(AF22&lt;&gt;"",
IFERROR(INDEX('LaunchPad Markbook'!A:A,MATCH(AH22,'LaunchPad Markbook'!D:D,0),0),"-"),"")</f>
        <v/>
      </c>
      <c r="D22" s="27"/>
      <c r="E22" s="27"/>
      <c r="F22" s="27"/>
      <c r="G22" s="14">
        <f>IF(OR(H22&gt;AB$2,I22&gt;AC$2,J22&gt;AD$2,
P22&gt;1,V22&gt;1,
L22&gt;'Group List A'!E$2,M22&gt;'Group List A'!F$2,N22&gt;'Group List A'!G$2,
R22&gt;'Group List B'!E$2,S22&gt;'Group List B'!F$2,T22&gt;'Group List B'!G$2),"Exceed",
IF(OR(H22=AB$2,I22=AC$2,J22=AD$2,
P22=1,V22=1,
L22='Group List A'!E$2,M22='Group List A'!F$2,N22='Group List A'!G$2,
R22='Group List B'!E$2,S22='Group List B'!F$2,T22='Group List B'!G$2),"Limit",0))</f>
        <v>0</v>
      </c>
      <c r="H22" s="29">
        <f t="shared" si="2"/>
        <v>0</v>
      </c>
      <c r="I22" s="29">
        <f t="shared" si="3"/>
        <v>0</v>
      </c>
      <c r="J22" s="29">
        <f t="shared" si="4"/>
        <v>0</v>
      </c>
      <c r="K22" s="32" t="str" cm="1">
        <f t="array" ref="K22">IF(AF22&lt;&gt;"",IFERROR(INDEX('Group List A'!B:B,MATCH(AI22,'Group List A'!A:A,0),0),"-"),"")</f>
        <v/>
      </c>
      <c r="L22" s="33">
        <f t="shared" si="5"/>
        <v>0</v>
      </c>
      <c r="M22" s="33">
        <f t="shared" si="6"/>
        <v>0</v>
      </c>
      <c r="N22" s="33">
        <f t="shared" si="7"/>
        <v>0</v>
      </c>
      <c r="O22" s="28"/>
      <c r="P22" s="33">
        <f t="shared" si="8"/>
        <v>0</v>
      </c>
      <c r="Q22" s="35" t="str" cm="1">
        <f t="array" ref="Q22">IF(AF22&lt;&gt;"",IFERROR(INDEX('Group List B'!B:B,MATCH(AI22,'Group List B'!A:A,0),0),"-"),"")</f>
        <v/>
      </c>
      <c r="R22" s="36">
        <f t="shared" si="9"/>
        <v>0</v>
      </c>
      <c r="S22" s="36">
        <f t="shared" si="10"/>
        <v>0</v>
      </c>
      <c r="T22" s="36">
        <f t="shared" si="11"/>
        <v>0</v>
      </c>
      <c r="U22" s="28"/>
      <c r="V22" s="37">
        <f t="shared" si="12"/>
        <v>0</v>
      </c>
      <c r="W22" s="41"/>
      <c r="X22" s="27"/>
      <c r="Y22" s="27"/>
      <c r="Z22" s="27"/>
      <c r="AA22" s="15"/>
      <c r="AB22" s="17"/>
      <c r="AC22" s="17"/>
      <c r="AD22" s="17"/>
      <c r="AE22" s="90"/>
      <c r="AF22" s="82" t="str">
        <f t="shared" si="13"/>
        <v/>
      </c>
      <c r="AG22" s="83" t="str">
        <f t="shared" si="14"/>
        <v/>
      </c>
      <c r="AH22" s="82" t="str">
        <f t="shared" si="15"/>
        <v/>
      </c>
      <c r="AI22" s="82" t="str">
        <f t="shared" si="16"/>
        <v/>
      </c>
      <c r="AJ22" s="90"/>
      <c r="AP22" s="88"/>
    </row>
    <row r="23" spans="1:42" x14ac:dyDescent="0.25">
      <c r="A23" s="2"/>
      <c r="C23" s="68" t="str" cm="1">
        <f t="array" ref="C23">IF(AF23&lt;&gt;"",
IFERROR(INDEX('LaunchPad Markbook'!A:A,MATCH(AH23,'LaunchPad Markbook'!D:D,0),0),"-"),"")</f>
        <v/>
      </c>
      <c r="D23" s="27"/>
      <c r="E23" s="27"/>
      <c r="F23" s="27"/>
      <c r="G23" s="14">
        <f>IF(OR(H23&gt;AB$2,I23&gt;AC$2,J23&gt;AD$2,
P23&gt;1,V23&gt;1,
L23&gt;'Group List A'!E$2,M23&gt;'Group List A'!F$2,N23&gt;'Group List A'!G$2,
R23&gt;'Group List B'!E$2,S23&gt;'Group List B'!F$2,T23&gt;'Group List B'!G$2),"Exceed",
IF(OR(H23=AB$2,I23=AC$2,J23=AD$2,
P23=1,V23=1,
L23='Group List A'!E$2,M23='Group List A'!F$2,N23='Group List A'!G$2,
R23='Group List B'!E$2,S23='Group List B'!F$2,T23='Group List B'!G$2),"Limit",0))</f>
        <v>0</v>
      </c>
      <c r="H23" s="29">
        <f t="shared" si="2"/>
        <v>0</v>
      </c>
      <c r="I23" s="29">
        <f t="shared" si="3"/>
        <v>0</v>
      </c>
      <c r="J23" s="29">
        <f t="shared" si="4"/>
        <v>0</v>
      </c>
      <c r="K23" s="32" t="str" cm="1">
        <f t="array" ref="K23">IF(AF23&lt;&gt;"",IFERROR(INDEX('Group List A'!B:B,MATCH(AI23,'Group List A'!A:A,0),0),"-"),"")</f>
        <v/>
      </c>
      <c r="L23" s="33">
        <f t="shared" si="5"/>
        <v>0</v>
      </c>
      <c r="M23" s="33">
        <f t="shared" si="6"/>
        <v>0</v>
      </c>
      <c r="N23" s="33">
        <f t="shared" si="7"/>
        <v>0</v>
      </c>
      <c r="O23" s="28"/>
      <c r="P23" s="33">
        <f t="shared" si="8"/>
        <v>0</v>
      </c>
      <c r="Q23" s="35" t="str" cm="1">
        <f t="array" ref="Q23">IF(AF23&lt;&gt;"",IFERROR(INDEX('Group List B'!B:B,MATCH(AI23,'Group List B'!A:A,0),0),"-"),"")</f>
        <v/>
      </c>
      <c r="R23" s="36">
        <f t="shared" si="9"/>
        <v>0</v>
      </c>
      <c r="S23" s="36">
        <f t="shared" si="10"/>
        <v>0</v>
      </c>
      <c r="T23" s="36">
        <f t="shared" si="11"/>
        <v>0</v>
      </c>
      <c r="U23" s="28"/>
      <c r="V23" s="37">
        <f t="shared" si="12"/>
        <v>0</v>
      </c>
      <c r="W23" s="41"/>
      <c r="X23" s="27"/>
      <c r="Y23" s="27"/>
      <c r="Z23" s="27"/>
      <c r="AA23" s="15"/>
      <c r="AB23" s="17"/>
      <c r="AC23" s="17"/>
      <c r="AD23" s="17"/>
      <c r="AE23" s="90"/>
      <c r="AF23" s="82" t="str">
        <f t="shared" si="13"/>
        <v/>
      </c>
      <c r="AG23" s="83" t="str">
        <f t="shared" si="14"/>
        <v/>
      </c>
      <c r="AH23" s="82" t="str">
        <f t="shared" si="15"/>
        <v/>
      </c>
      <c r="AI23" s="82" t="str">
        <f t="shared" si="16"/>
        <v/>
      </c>
      <c r="AJ23" s="90"/>
      <c r="AP23" s="88"/>
    </row>
    <row r="24" spans="1:42" x14ac:dyDescent="0.25">
      <c r="A24" s="2"/>
      <c r="C24" s="68" t="str" cm="1">
        <f t="array" ref="C24">IF(AF24&lt;&gt;"",
IFERROR(INDEX('LaunchPad Markbook'!A:A,MATCH(AH24,'LaunchPad Markbook'!D:D,0),0),"-"),"")</f>
        <v/>
      </c>
      <c r="D24" s="27"/>
      <c r="E24" s="27"/>
      <c r="F24" s="27"/>
      <c r="G24" s="14">
        <f>IF(OR(H24&gt;AB$2,I24&gt;AC$2,J24&gt;AD$2,
P24&gt;1,V24&gt;1,
L24&gt;'Group List A'!E$2,M24&gt;'Group List A'!F$2,N24&gt;'Group List A'!G$2,
R24&gt;'Group List B'!E$2,S24&gt;'Group List B'!F$2,T24&gt;'Group List B'!G$2),"Exceed",
IF(OR(H24=AB$2,I24=AC$2,J24=AD$2,
P24=1,V24=1,
L24='Group List A'!E$2,M24='Group List A'!F$2,N24='Group List A'!G$2,
R24='Group List B'!E$2,S24='Group List B'!F$2,T24='Group List B'!G$2),"Limit",0))</f>
        <v>0</v>
      </c>
      <c r="H24" s="29">
        <f t="shared" si="2"/>
        <v>0</v>
      </c>
      <c r="I24" s="29">
        <f t="shared" si="3"/>
        <v>0</v>
      </c>
      <c r="J24" s="29">
        <f t="shared" si="4"/>
        <v>0</v>
      </c>
      <c r="K24" s="32" t="str" cm="1">
        <f t="array" ref="K24">IF(AF24&lt;&gt;"",IFERROR(INDEX('Group List A'!B:B,MATCH(AI24,'Group List A'!A:A,0),0),"-"),"")</f>
        <v/>
      </c>
      <c r="L24" s="33">
        <f t="shared" si="5"/>
        <v>0</v>
      </c>
      <c r="M24" s="33">
        <f t="shared" si="6"/>
        <v>0</v>
      </c>
      <c r="N24" s="33">
        <f t="shared" si="7"/>
        <v>0</v>
      </c>
      <c r="O24" s="28"/>
      <c r="P24" s="33">
        <f t="shared" si="8"/>
        <v>0</v>
      </c>
      <c r="Q24" s="35" t="str" cm="1">
        <f t="array" ref="Q24">IF(AF24&lt;&gt;"",IFERROR(INDEX('Group List B'!B:B,MATCH(AI24,'Group List B'!A:A,0),0),"-"),"")</f>
        <v/>
      </c>
      <c r="R24" s="36">
        <f t="shared" si="9"/>
        <v>0</v>
      </c>
      <c r="S24" s="36">
        <f t="shared" si="10"/>
        <v>0</v>
      </c>
      <c r="T24" s="36">
        <f t="shared" si="11"/>
        <v>0</v>
      </c>
      <c r="U24" s="28"/>
      <c r="V24" s="37">
        <f t="shared" si="12"/>
        <v>0</v>
      </c>
      <c r="W24" s="41"/>
      <c r="X24" s="27"/>
      <c r="Y24" s="27"/>
      <c r="Z24" s="27"/>
      <c r="AA24" s="15"/>
      <c r="AB24" s="17"/>
      <c r="AC24" s="17"/>
      <c r="AD24" s="17"/>
      <c r="AE24" s="90"/>
      <c r="AF24" s="82" t="str">
        <f t="shared" si="13"/>
        <v/>
      </c>
      <c r="AG24" s="83" t="str">
        <f t="shared" si="14"/>
        <v/>
      </c>
      <c r="AH24" s="82" t="str">
        <f t="shared" si="15"/>
        <v/>
      </c>
      <c r="AI24" s="82" t="str">
        <f t="shared" si="16"/>
        <v/>
      </c>
      <c r="AJ24" s="90"/>
      <c r="AP24" s="88"/>
    </row>
    <row r="25" spans="1:42" x14ac:dyDescent="0.25">
      <c r="A25" s="2"/>
      <c r="C25" s="68" t="str" cm="1">
        <f t="array" ref="C25">IF(AF25&lt;&gt;"",
IFERROR(INDEX('LaunchPad Markbook'!A:A,MATCH(AH25,'LaunchPad Markbook'!D:D,0),0),"-"),"")</f>
        <v/>
      </c>
      <c r="D25" s="27"/>
      <c r="E25" s="27"/>
      <c r="F25" s="27"/>
      <c r="G25" s="14">
        <f>IF(OR(H25&gt;AB$2,I25&gt;AC$2,J25&gt;AD$2,
P25&gt;1,V25&gt;1,
L25&gt;'Group List A'!E$2,M25&gt;'Group List A'!F$2,N25&gt;'Group List A'!G$2,
R25&gt;'Group List B'!E$2,S25&gt;'Group List B'!F$2,T25&gt;'Group List B'!G$2),"Exceed",
IF(OR(H25=AB$2,I25=AC$2,J25=AD$2,
P25=1,V25=1,
L25='Group List A'!E$2,M25='Group List A'!F$2,N25='Group List A'!G$2,
R25='Group List B'!E$2,S25='Group List B'!F$2,T25='Group List B'!G$2),"Limit",0))</f>
        <v>0</v>
      </c>
      <c r="H25" s="29">
        <f t="shared" si="2"/>
        <v>0</v>
      </c>
      <c r="I25" s="29">
        <f t="shared" si="3"/>
        <v>0</v>
      </c>
      <c r="J25" s="29">
        <f t="shared" si="4"/>
        <v>0</v>
      </c>
      <c r="K25" s="32" t="str" cm="1">
        <f t="array" ref="K25">IF(AF25&lt;&gt;"",IFERROR(INDEX('Group List A'!B:B,MATCH(AI25,'Group List A'!A:A,0),0),"-"),"")</f>
        <v/>
      </c>
      <c r="L25" s="33">
        <f t="shared" si="5"/>
        <v>0</v>
      </c>
      <c r="M25" s="33">
        <f t="shared" si="6"/>
        <v>0</v>
      </c>
      <c r="N25" s="33">
        <f t="shared" si="7"/>
        <v>0</v>
      </c>
      <c r="O25" s="28"/>
      <c r="P25" s="33">
        <f t="shared" si="8"/>
        <v>0</v>
      </c>
      <c r="Q25" s="35" t="str" cm="1">
        <f t="array" ref="Q25">IF(AF25&lt;&gt;"",IFERROR(INDEX('Group List B'!B:B,MATCH(AI25,'Group List B'!A:A,0),0),"-"),"")</f>
        <v/>
      </c>
      <c r="R25" s="36">
        <f t="shared" si="9"/>
        <v>0</v>
      </c>
      <c r="S25" s="36">
        <f t="shared" si="10"/>
        <v>0</v>
      </c>
      <c r="T25" s="36">
        <f t="shared" si="11"/>
        <v>0</v>
      </c>
      <c r="U25" s="28"/>
      <c r="V25" s="37">
        <f t="shared" si="12"/>
        <v>0</v>
      </c>
      <c r="W25" s="41"/>
      <c r="X25" s="27"/>
      <c r="Y25" s="27"/>
      <c r="Z25" s="27"/>
      <c r="AA25" s="15"/>
      <c r="AB25" s="17"/>
      <c r="AC25" s="17"/>
      <c r="AD25" s="17"/>
      <c r="AE25" s="90"/>
      <c r="AF25" s="82" t="str">
        <f t="shared" si="13"/>
        <v/>
      </c>
      <c r="AG25" s="83" t="str">
        <f t="shared" si="14"/>
        <v/>
      </c>
      <c r="AH25" s="82" t="str">
        <f t="shared" si="15"/>
        <v/>
      </c>
      <c r="AI25" s="82" t="str">
        <f t="shared" si="16"/>
        <v/>
      </c>
      <c r="AJ25" s="90"/>
      <c r="AP25" s="88"/>
    </row>
    <row r="26" spans="1:42" x14ac:dyDescent="0.25">
      <c r="A26" s="2"/>
      <c r="C26" s="68" t="str" cm="1">
        <f t="array" ref="C26">IF(AF26&lt;&gt;"",
IFERROR(INDEX('LaunchPad Markbook'!A:A,MATCH(AH26,'LaunchPad Markbook'!D:D,0),0),"-"),"")</f>
        <v/>
      </c>
      <c r="D26" s="27"/>
      <c r="E26" s="27"/>
      <c r="F26" s="27"/>
      <c r="G26" s="14">
        <f>IF(OR(H26&gt;AB$2,I26&gt;AC$2,J26&gt;AD$2,
P26&gt;1,V26&gt;1,
L26&gt;'Group List A'!E$2,M26&gt;'Group List A'!F$2,N26&gt;'Group List A'!G$2,
R26&gt;'Group List B'!E$2,S26&gt;'Group List B'!F$2,T26&gt;'Group List B'!G$2),"Exceed",
IF(OR(H26=AB$2,I26=AC$2,J26=AD$2,
P26=1,V26=1,
L26='Group List A'!E$2,M26='Group List A'!F$2,N26='Group List A'!G$2,
R26='Group List B'!E$2,S26='Group List B'!F$2,T26='Group List B'!G$2),"Limit",0))</f>
        <v>0</v>
      </c>
      <c r="H26" s="29">
        <f t="shared" si="2"/>
        <v>0</v>
      </c>
      <c r="I26" s="29">
        <f t="shared" si="3"/>
        <v>0</v>
      </c>
      <c r="J26" s="29">
        <f t="shared" si="4"/>
        <v>0</v>
      </c>
      <c r="K26" s="32" t="str" cm="1">
        <f t="array" ref="K26">IF(AF26&lt;&gt;"",IFERROR(INDEX('Group List A'!B:B,MATCH(AI26,'Group List A'!A:A,0),0),"-"),"")</f>
        <v/>
      </c>
      <c r="L26" s="33">
        <f t="shared" si="5"/>
        <v>0</v>
      </c>
      <c r="M26" s="33">
        <f t="shared" si="6"/>
        <v>0</v>
      </c>
      <c r="N26" s="33">
        <f t="shared" si="7"/>
        <v>0</v>
      </c>
      <c r="O26" s="28"/>
      <c r="P26" s="33">
        <f t="shared" si="8"/>
        <v>0</v>
      </c>
      <c r="Q26" s="35" t="str" cm="1">
        <f t="array" ref="Q26">IF(AF26&lt;&gt;"",IFERROR(INDEX('Group List B'!B:B,MATCH(AI26,'Group List B'!A:A,0),0),"-"),"")</f>
        <v/>
      </c>
      <c r="R26" s="36">
        <f t="shared" si="9"/>
        <v>0</v>
      </c>
      <c r="S26" s="36">
        <f t="shared" si="10"/>
        <v>0</v>
      </c>
      <c r="T26" s="36">
        <f t="shared" si="11"/>
        <v>0</v>
      </c>
      <c r="U26" s="28"/>
      <c r="V26" s="37">
        <f t="shared" si="12"/>
        <v>0</v>
      </c>
      <c r="W26" s="41"/>
      <c r="X26" s="27"/>
      <c r="Y26" s="27"/>
      <c r="Z26" s="27"/>
      <c r="AA26" s="15"/>
      <c r="AB26" s="17"/>
      <c r="AC26" s="17"/>
      <c r="AD26" s="17"/>
      <c r="AE26" s="90"/>
      <c r="AF26" s="82" t="str">
        <f t="shared" si="13"/>
        <v/>
      </c>
      <c r="AG26" s="83" t="str">
        <f t="shared" si="14"/>
        <v/>
      </c>
      <c r="AH26" s="82" t="str">
        <f t="shared" si="15"/>
        <v/>
      </c>
      <c r="AI26" s="82" t="str">
        <f t="shared" si="16"/>
        <v/>
      </c>
      <c r="AJ26" s="90"/>
      <c r="AP26" s="88"/>
    </row>
    <row r="27" spans="1:42" x14ac:dyDescent="0.25">
      <c r="A27" s="12"/>
      <c r="C27" s="68" t="str" cm="1">
        <f t="array" ref="C27">IF(AF27&lt;&gt;"",
IFERROR(INDEX('LaunchPad Markbook'!A:A,MATCH(AH27,'LaunchPad Markbook'!D:D,0),0),"-"),"")</f>
        <v/>
      </c>
      <c r="D27" s="27"/>
      <c r="E27" s="27"/>
      <c r="F27" s="27"/>
      <c r="G27" s="14">
        <f>IF(OR(H27&gt;AB$2,I27&gt;AC$2,J27&gt;AD$2,
P27&gt;1,V27&gt;1,
L27&gt;'Group List A'!E$2,M27&gt;'Group List A'!F$2,N27&gt;'Group List A'!G$2,
R27&gt;'Group List B'!E$2,S27&gt;'Group List B'!F$2,T27&gt;'Group List B'!G$2),"Exceed",
IF(OR(H27=AB$2,I27=AC$2,J27=AD$2,
P27=1,V27=1,
L27='Group List A'!E$2,M27='Group List A'!F$2,N27='Group List A'!G$2,
R27='Group List B'!E$2,S27='Group List B'!F$2,T27='Group List B'!G$2),"Limit",0))</f>
        <v>0</v>
      </c>
      <c r="H27" s="29">
        <f t="shared" si="2"/>
        <v>0</v>
      </c>
      <c r="I27" s="29">
        <f t="shared" si="3"/>
        <v>0</v>
      </c>
      <c r="J27" s="29">
        <f t="shared" si="4"/>
        <v>0</v>
      </c>
      <c r="K27" s="32" t="str" cm="1">
        <f t="array" ref="K27">IF(AF27&lt;&gt;"",IFERROR(INDEX('Group List A'!B:B,MATCH(AI27,'Group List A'!A:A,0),0),"-"),"")</f>
        <v/>
      </c>
      <c r="L27" s="33">
        <f t="shared" si="5"/>
        <v>0</v>
      </c>
      <c r="M27" s="33">
        <f t="shared" si="6"/>
        <v>0</v>
      </c>
      <c r="N27" s="33">
        <f t="shared" si="7"/>
        <v>0</v>
      </c>
      <c r="O27" s="28"/>
      <c r="P27" s="33">
        <f t="shared" si="8"/>
        <v>0</v>
      </c>
      <c r="Q27" s="35" t="str" cm="1">
        <f t="array" ref="Q27">IF(AF27&lt;&gt;"",IFERROR(INDEX('Group List B'!B:B,MATCH(AI27,'Group List B'!A:A,0),0),"-"),"")</f>
        <v/>
      </c>
      <c r="R27" s="36">
        <f t="shared" si="9"/>
        <v>0</v>
      </c>
      <c r="S27" s="36">
        <f t="shared" si="10"/>
        <v>0</v>
      </c>
      <c r="T27" s="36">
        <f t="shared" si="11"/>
        <v>0</v>
      </c>
      <c r="U27" s="28"/>
      <c r="V27" s="37">
        <f t="shared" si="12"/>
        <v>0</v>
      </c>
      <c r="W27" s="41"/>
      <c r="X27" s="27"/>
      <c r="Y27" s="27"/>
      <c r="Z27" s="27"/>
      <c r="AA27" s="15"/>
      <c r="AB27" s="17"/>
      <c r="AC27" s="17"/>
      <c r="AD27" s="17"/>
      <c r="AE27" s="90"/>
      <c r="AF27" s="82" t="str">
        <f t="shared" si="13"/>
        <v/>
      </c>
      <c r="AG27" s="83" t="str">
        <f t="shared" si="14"/>
        <v/>
      </c>
      <c r="AH27" s="82" t="str">
        <f t="shared" si="15"/>
        <v/>
      </c>
      <c r="AI27" s="82" t="str">
        <f t="shared" si="16"/>
        <v/>
      </c>
      <c r="AJ27" s="90"/>
      <c r="AP27" s="88"/>
    </row>
    <row r="28" spans="1:42" x14ac:dyDescent="0.25">
      <c r="A28" s="2"/>
      <c r="C28" s="68" t="str" cm="1">
        <f t="array" ref="C28">IF(AF28&lt;&gt;"",
IFERROR(INDEX('LaunchPad Markbook'!A:A,MATCH(AH28,'LaunchPad Markbook'!D:D,0),0),"-"),"")</f>
        <v/>
      </c>
      <c r="D28" s="27"/>
      <c r="E28" s="27"/>
      <c r="F28" s="27"/>
      <c r="G28" s="14">
        <f>IF(OR(H28&gt;AB$2,I28&gt;AC$2,J28&gt;AD$2,
P28&gt;1,V28&gt;1,
L28&gt;'Group List A'!E$2,M28&gt;'Group List A'!F$2,N28&gt;'Group List A'!G$2,
R28&gt;'Group List B'!E$2,S28&gt;'Group List B'!F$2,T28&gt;'Group List B'!G$2),"Exceed",
IF(OR(H28=AB$2,I28=AC$2,J28=AD$2,
P28=1,V28=1,
L28='Group List A'!E$2,M28='Group List A'!F$2,N28='Group List A'!G$2,
R28='Group List B'!E$2,S28='Group List B'!F$2,T28='Group List B'!G$2),"Limit",0))</f>
        <v>0</v>
      </c>
      <c r="H28" s="29">
        <f t="shared" si="2"/>
        <v>0</v>
      </c>
      <c r="I28" s="29">
        <f t="shared" si="3"/>
        <v>0</v>
      </c>
      <c r="J28" s="29">
        <f t="shared" si="4"/>
        <v>0</v>
      </c>
      <c r="K28" s="32" t="str" cm="1">
        <f t="array" ref="K28">IF(AF28&lt;&gt;"",IFERROR(INDEX('Group List A'!B:B,MATCH(AI28,'Group List A'!A:A,0),0),"-"),"")</f>
        <v/>
      </c>
      <c r="L28" s="33">
        <f t="shared" si="5"/>
        <v>0</v>
      </c>
      <c r="M28" s="33">
        <f t="shared" si="6"/>
        <v>0</v>
      </c>
      <c r="N28" s="33">
        <f t="shared" si="7"/>
        <v>0</v>
      </c>
      <c r="O28" s="28"/>
      <c r="P28" s="33">
        <f t="shared" si="8"/>
        <v>0</v>
      </c>
      <c r="Q28" s="35" t="str" cm="1">
        <f t="array" ref="Q28">IF(AF28&lt;&gt;"",IFERROR(INDEX('Group List B'!B:B,MATCH(AI28,'Group List B'!A:A,0),0),"-"),"")</f>
        <v/>
      </c>
      <c r="R28" s="36">
        <f t="shared" si="9"/>
        <v>0</v>
      </c>
      <c r="S28" s="36">
        <f t="shared" si="10"/>
        <v>0</v>
      </c>
      <c r="T28" s="36">
        <f t="shared" si="11"/>
        <v>0</v>
      </c>
      <c r="U28" s="28"/>
      <c r="V28" s="37">
        <f t="shared" si="12"/>
        <v>0</v>
      </c>
      <c r="W28" s="41"/>
      <c r="X28" s="27"/>
      <c r="Y28" s="27"/>
      <c r="Z28" s="27"/>
      <c r="AA28" s="15"/>
      <c r="AB28" s="17"/>
      <c r="AC28" s="17"/>
      <c r="AD28" s="17"/>
      <c r="AE28" s="90"/>
      <c r="AF28" s="82" t="str">
        <f t="shared" si="13"/>
        <v/>
      </c>
      <c r="AG28" s="83" t="str">
        <f t="shared" si="14"/>
        <v/>
      </c>
      <c r="AH28" s="82" t="str">
        <f t="shared" si="15"/>
        <v/>
      </c>
      <c r="AI28" s="82" t="str">
        <f t="shared" si="16"/>
        <v/>
      </c>
      <c r="AJ28" s="90"/>
      <c r="AP28" s="88"/>
    </row>
    <row r="29" spans="1:42" x14ac:dyDescent="0.25">
      <c r="A29" s="2"/>
      <c r="C29" s="68" t="str" cm="1">
        <f t="array" ref="C29">IF(AF29&lt;&gt;"",
IFERROR(INDEX('LaunchPad Markbook'!A:A,MATCH(AH29,'LaunchPad Markbook'!D:D,0),0),"-"),"")</f>
        <v/>
      </c>
      <c r="D29" s="27"/>
      <c r="E29" s="27"/>
      <c r="F29" s="27"/>
      <c r="G29" s="14">
        <f>IF(OR(H29&gt;AB$2,I29&gt;AC$2,J29&gt;AD$2,
P29&gt;1,V29&gt;1,
L29&gt;'Group List A'!E$2,M29&gt;'Group List A'!F$2,N29&gt;'Group List A'!G$2,
R29&gt;'Group List B'!E$2,S29&gt;'Group List B'!F$2,T29&gt;'Group List B'!G$2),"Exceed",
IF(OR(H29=AB$2,I29=AC$2,J29=AD$2,
P29=1,V29=1,
L29='Group List A'!E$2,M29='Group List A'!F$2,N29='Group List A'!G$2,
R29='Group List B'!E$2,S29='Group List B'!F$2,T29='Group List B'!G$2),"Limit",0))</f>
        <v>0</v>
      </c>
      <c r="H29" s="29">
        <f t="shared" si="2"/>
        <v>0</v>
      </c>
      <c r="I29" s="29">
        <f t="shared" si="3"/>
        <v>0</v>
      </c>
      <c r="J29" s="29">
        <f t="shared" si="4"/>
        <v>0</v>
      </c>
      <c r="K29" s="32" t="str" cm="1">
        <f t="array" ref="K29">IF(AF29&lt;&gt;"",IFERROR(INDEX('Group List A'!B:B,MATCH(AI29,'Group List A'!A:A,0),0),"-"),"")</f>
        <v/>
      </c>
      <c r="L29" s="33">
        <f t="shared" si="5"/>
        <v>0</v>
      </c>
      <c r="M29" s="33">
        <f t="shared" si="6"/>
        <v>0</v>
      </c>
      <c r="N29" s="33">
        <f t="shared" si="7"/>
        <v>0</v>
      </c>
      <c r="O29" s="28"/>
      <c r="P29" s="33">
        <f t="shared" si="8"/>
        <v>0</v>
      </c>
      <c r="Q29" s="35" t="str" cm="1">
        <f t="array" ref="Q29">IF(AF29&lt;&gt;"",IFERROR(INDEX('Group List B'!B:B,MATCH(AI29,'Group List B'!A:A,0),0),"-"),"")</f>
        <v/>
      </c>
      <c r="R29" s="36">
        <f t="shared" si="9"/>
        <v>0</v>
      </c>
      <c r="S29" s="36">
        <f t="shared" si="10"/>
        <v>0</v>
      </c>
      <c r="T29" s="36">
        <f t="shared" si="11"/>
        <v>0</v>
      </c>
      <c r="U29" s="28"/>
      <c r="V29" s="37">
        <f t="shared" si="12"/>
        <v>0</v>
      </c>
      <c r="W29" s="41"/>
      <c r="X29" s="27"/>
      <c r="Y29" s="27"/>
      <c r="Z29" s="27"/>
      <c r="AA29" s="15"/>
      <c r="AB29" s="17"/>
      <c r="AC29" s="17"/>
      <c r="AD29" s="17"/>
      <c r="AE29" s="90"/>
      <c r="AF29" s="82" t="str">
        <f t="shared" si="13"/>
        <v/>
      </c>
      <c r="AG29" s="83" t="str">
        <f t="shared" si="14"/>
        <v/>
      </c>
      <c r="AH29" s="82" t="str">
        <f t="shared" si="15"/>
        <v/>
      </c>
      <c r="AI29" s="82" t="str">
        <f t="shared" si="16"/>
        <v/>
      </c>
      <c r="AJ29" s="90"/>
      <c r="AP29" s="88"/>
    </row>
    <row r="30" spans="1:42" x14ac:dyDescent="0.25">
      <c r="A30" s="2"/>
      <c r="C30" s="68" t="str" cm="1">
        <f t="array" ref="C30">IF(AF30&lt;&gt;"",
IFERROR(INDEX('LaunchPad Markbook'!A:A,MATCH(AH30,'LaunchPad Markbook'!D:D,0),0),"-"),"")</f>
        <v/>
      </c>
      <c r="D30" s="27"/>
      <c r="E30" s="27"/>
      <c r="F30" s="27"/>
      <c r="G30" s="14">
        <f>IF(OR(H30&gt;AB$2,I30&gt;AC$2,J30&gt;AD$2,
P30&gt;1,V30&gt;1,
L30&gt;'Group List A'!E$2,M30&gt;'Group List A'!F$2,N30&gt;'Group List A'!G$2,
R30&gt;'Group List B'!E$2,S30&gt;'Group List B'!F$2,T30&gt;'Group List B'!G$2),"Exceed",
IF(OR(H30=AB$2,I30=AC$2,J30=AD$2,
P30=1,V30=1,
L30='Group List A'!E$2,M30='Group List A'!F$2,N30='Group List A'!G$2,
R30='Group List B'!E$2,S30='Group List B'!F$2,T30='Group List B'!G$2),"Limit",0))</f>
        <v>0</v>
      </c>
      <c r="H30" s="29">
        <f t="shared" si="2"/>
        <v>0</v>
      </c>
      <c r="I30" s="29">
        <f t="shared" si="3"/>
        <v>0</v>
      </c>
      <c r="J30" s="29">
        <f t="shared" si="4"/>
        <v>0</v>
      </c>
      <c r="K30" s="32" t="str" cm="1">
        <f t="array" ref="K30">IF(AF30&lt;&gt;"",IFERROR(INDEX('Group List A'!B:B,MATCH(AI30,'Group List A'!A:A,0),0),"-"),"")</f>
        <v/>
      </c>
      <c r="L30" s="33">
        <f t="shared" si="5"/>
        <v>0</v>
      </c>
      <c r="M30" s="33">
        <f t="shared" si="6"/>
        <v>0</v>
      </c>
      <c r="N30" s="33">
        <f t="shared" si="7"/>
        <v>0</v>
      </c>
      <c r="O30" s="28"/>
      <c r="P30" s="33">
        <f t="shared" si="8"/>
        <v>0</v>
      </c>
      <c r="Q30" s="35" t="str" cm="1">
        <f t="array" ref="Q30">IF(AF30&lt;&gt;"",IFERROR(INDEX('Group List B'!B:B,MATCH(AI30,'Group List B'!A:A,0),0),"-"),"")</f>
        <v/>
      </c>
      <c r="R30" s="36">
        <f t="shared" si="9"/>
        <v>0</v>
      </c>
      <c r="S30" s="36">
        <f t="shared" si="10"/>
        <v>0</v>
      </c>
      <c r="T30" s="36">
        <f t="shared" si="11"/>
        <v>0</v>
      </c>
      <c r="U30" s="28"/>
      <c r="V30" s="37">
        <f t="shared" si="12"/>
        <v>0</v>
      </c>
      <c r="W30" s="41"/>
      <c r="X30" s="27"/>
      <c r="Y30" s="27"/>
      <c r="Z30" s="27"/>
      <c r="AA30" s="15"/>
      <c r="AB30" s="17"/>
      <c r="AC30" s="17"/>
      <c r="AD30" s="17"/>
      <c r="AE30" s="90"/>
      <c r="AF30" s="82" t="str">
        <f t="shared" si="13"/>
        <v/>
      </c>
      <c r="AG30" s="83" t="str">
        <f t="shared" si="14"/>
        <v/>
      </c>
      <c r="AH30" s="82" t="str">
        <f t="shared" si="15"/>
        <v/>
      </c>
      <c r="AI30" s="82" t="str">
        <f t="shared" si="16"/>
        <v/>
      </c>
      <c r="AJ30" s="90"/>
      <c r="AP30" s="88"/>
    </row>
    <row r="31" spans="1:42" x14ac:dyDescent="0.25">
      <c r="A31" s="2"/>
      <c r="C31" s="68" t="str" cm="1">
        <f t="array" ref="C31">IF(AF31&lt;&gt;"",
IFERROR(INDEX('LaunchPad Markbook'!A:A,MATCH(AH31,'LaunchPad Markbook'!D:D,0),0),"-"),"")</f>
        <v/>
      </c>
      <c r="D31" s="27"/>
      <c r="E31" s="27"/>
      <c r="F31" s="27"/>
      <c r="G31" s="14">
        <f>IF(OR(H31&gt;AB$2,I31&gt;AC$2,J31&gt;AD$2,
P31&gt;1,V31&gt;1,
L31&gt;'Group List A'!E$2,M31&gt;'Group List A'!F$2,N31&gt;'Group List A'!G$2,
R31&gt;'Group List B'!E$2,S31&gt;'Group List B'!F$2,T31&gt;'Group List B'!G$2),"Exceed",
IF(OR(H31=AB$2,I31=AC$2,J31=AD$2,
P31=1,V31=1,
L31='Group List A'!E$2,M31='Group List A'!F$2,N31='Group List A'!G$2,
R31='Group List B'!E$2,S31='Group List B'!F$2,T31='Group List B'!G$2),"Limit",0))</f>
        <v>0</v>
      </c>
      <c r="H31" s="29">
        <f t="shared" si="2"/>
        <v>0</v>
      </c>
      <c r="I31" s="29">
        <f t="shared" si="3"/>
        <v>0</v>
      </c>
      <c r="J31" s="29">
        <f t="shared" si="4"/>
        <v>0</v>
      </c>
      <c r="K31" s="32" t="str" cm="1">
        <f t="array" ref="K31">IF(AF31&lt;&gt;"",IFERROR(INDEX('Group List A'!B:B,MATCH(AI31,'Group List A'!A:A,0),0),"-"),"")</f>
        <v/>
      </c>
      <c r="L31" s="33">
        <f t="shared" si="5"/>
        <v>0</v>
      </c>
      <c r="M31" s="33">
        <f t="shared" si="6"/>
        <v>0</v>
      </c>
      <c r="N31" s="33">
        <f t="shared" si="7"/>
        <v>0</v>
      </c>
      <c r="O31" s="28"/>
      <c r="P31" s="33">
        <f t="shared" si="8"/>
        <v>0</v>
      </c>
      <c r="Q31" s="35" t="str" cm="1">
        <f t="array" ref="Q31">IF(AF31&lt;&gt;"",IFERROR(INDEX('Group List B'!B:B,MATCH(AI31,'Group List B'!A:A,0),0),"-"),"")</f>
        <v/>
      </c>
      <c r="R31" s="36">
        <f t="shared" si="9"/>
        <v>0</v>
      </c>
      <c r="S31" s="36">
        <f t="shared" si="10"/>
        <v>0</v>
      </c>
      <c r="T31" s="36">
        <f t="shared" si="11"/>
        <v>0</v>
      </c>
      <c r="U31" s="28"/>
      <c r="V31" s="37">
        <f t="shared" si="12"/>
        <v>0</v>
      </c>
      <c r="W31" s="41"/>
      <c r="X31" s="27"/>
      <c r="Y31" s="27"/>
      <c r="Z31" s="27"/>
      <c r="AA31" s="15"/>
      <c r="AB31" s="17"/>
      <c r="AC31" s="17"/>
      <c r="AD31" s="17"/>
      <c r="AE31" s="90"/>
      <c r="AF31" s="82" t="str">
        <f t="shared" si="13"/>
        <v/>
      </c>
      <c r="AG31" s="83" t="str">
        <f t="shared" si="14"/>
        <v/>
      </c>
      <c r="AH31" s="82" t="str">
        <f t="shared" si="15"/>
        <v/>
      </c>
      <c r="AI31" s="82" t="str">
        <f t="shared" si="16"/>
        <v/>
      </c>
      <c r="AJ31" s="90"/>
      <c r="AP31" s="88"/>
    </row>
    <row r="32" spans="1:42" x14ac:dyDescent="0.25">
      <c r="A32" s="2"/>
      <c r="C32" s="68" t="str" cm="1">
        <f t="array" ref="C32">IF(AF32&lt;&gt;"",
IFERROR(INDEX('LaunchPad Markbook'!A:A,MATCH(AH32,'LaunchPad Markbook'!D:D,0),0),"-"),"")</f>
        <v/>
      </c>
      <c r="D32" s="27"/>
      <c r="E32" s="27"/>
      <c r="F32" s="27"/>
      <c r="G32" s="14">
        <f>IF(OR(H32&gt;AB$2,I32&gt;AC$2,J32&gt;AD$2,
P32&gt;1,V32&gt;1,
L32&gt;'Group List A'!E$2,M32&gt;'Group List A'!F$2,N32&gt;'Group List A'!G$2,
R32&gt;'Group List B'!E$2,S32&gt;'Group List B'!F$2,T32&gt;'Group List B'!G$2),"Exceed",
IF(OR(H32=AB$2,I32=AC$2,J32=AD$2,
P32=1,V32=1,
L32='Group List A'!E$2,M32='Group List A'!F$2,N32='Group List A'!G$2,
R32='Group List B'!E$2,S32='Group List B'!F$2,T32='Group List B'!G$2),"Limit",0))</f>
        <v>0</v>
      </c>
      <c r="H32" s="29">
        <f t="shared" si="2"/>
        <v>0</v>
      </c>
      <c r="I32" s="29">
        <f t="shared" si="3"/>
        <v>0</v>
      </c>
      <c r="J32" s="29">
        <f t="shared" si="4"/>
        <v>0</v>
      </c>
      <c r="K32" s="32" t="str" cm="1">
        <f t="array" ref="K32">IF(AF32&lt;&gt;"",IFERROR(INDEX('Group List A'!B:B,MATCH(AI32,'Group List A'!A:A,0),0),"-"),"")</f>
        <v/>
      </c>
      <c r="L32" s="33">
        <f t="shared" si="5"/>
        <v>0</v>
      </c>
      <c r="M32" s="33">
        <f t="shared" si="6"/>
        <v>0</v>
      </c>
      <c r="N32" s="33">
        <f t="shared" si="7"/>
        <v>0</v>
      </c>
      <c r="O32" s="28"/>
      <c r="P32" s="33">
        <f t="shared" si="8"/>
        <v>0</v>
      </c>
      <c r="Q32" s="35" t="str" cm="1">
        <f t="array" ref="Q32">IF(AF32&lt;&gt;"",IFERROR(INDEX('Group List B'!B:B,MATCH(AI32,'Group List B'!A:A,0),0),"-"),"")</f>
        <v/>
      </c>
      <c r="R32" s="36">
        <f t="shared" si="9"/>
        <v>0</v>
      </c>
      <c r="S32" s="36">
        <f t="shared" si="10"/>
        <v>0</v>
      </c>
      <c r="T32" s="36">
        <f t="shared" si="11"/>
        <v>0</v>
      </c>
      <c r="U32" s="28"/>
      <c r="V32" s="37">
        <f t="shared" si="12"/>
        <v>0</v>
      </c>
      <c r="W32" s="41"/>
      <c r="X32" s="27"/>
      <c r="Y32" s="27"/>
      <c r="Z32" s="27"/>
      <c r="AA32" s="15"/>
      <c r="AB32" s="17"/>
      <c r="AC32" s="17"/>
      <c r="AD32" s="17"/>
      <c r="AE32" s="90"/>
      <c r="AF32" s="82" t="str">
        <f t="shared" si="13"/>
        <v/>
      </c>
      <c r="AG32" s="83" t="str">
        <f t="shared" si="14"/>
        <v/>
      </c>
      <c r="AH32" s="82" t="str">
        <f t="shared" si="15"/>
        <v/>
      </c>
      <c r="AI32" s="82" t="str">
        <f t="shared" si="16"/>
        <v/>
      </c>
      <c r="AJ32" s="90"/>
      <c r="AP32" s="88"/>
    </row>
    <row r="33" spans="1:42" x14ac:dyDescent="0.25">
      <c r="A33" s="2"/>
      <c r="C33" s="68" t="str" cm="1">
        <f t="array" ref="C33">IF(AF33&lt;&gt;"",
IFERROR(INDEX('LaunchPad Markbook'!A:A,MATCH(AH33,'LaunchPad Markbook'!D:D,0),0),"-"),"")</f>
        <v/>
      </c>
      <c r="D33" s="27"/>
      <c r="E33" s="27"/>
      <c r="F33" s="27"/>
      <c r="G33" s="14">
        <f>IF(OR(H33&gt;AB$2,I33&gt;AC$2,J33&gt;AD$2,
P33&gt;1,V33&gt;1,
L33&gt;'Group List A'!E$2,M33&gt;'Group List A'!F$2,N33&gt;'Group List A'!G$2,
R33&gt;'Group List B'!E$2,S33&gt;'Group List B'!F$2,T33&gt;'Group List B'!G$2),"Exceed",
IF(OR(H33=AB$2,I33=AC$2,J33=AD$2,
P33=1,V33=1,
L33='Group List A'!E$2,M33='Group List A'!F$2,N33='Group List A'!G$2,
R33='Group List B'!E$2,S33='Group List B'!F$2,T33='Group List B'!G$2),"Limit",0))</f>
        <v>0</v>
      </c>
      <c r="H33" s="29">
        <f t="shared" si="2"/>
        <v>0</v>
      </c>
      <c r="I33" s="29">
        <f t="shared" si="3"/>
        <v>0</v>
      </c>
      <c r="J33" s="29">
        <f t="shared" si="4"/>
        <v>0</v>
      </c>
      <c r="K33" s="32" t="str" cm="1">
        <f t="array" ref="K33">IF(AF33&lt;&gt;"",IFERROR(INDEX('Group List A'!B:B,MATCH(AI33,'Group List A'!A:A,0),0),"-"),"")</f>
        <v/>
      </c>
      <c r="L33" s="33">
        <f t="shared" si="5"/>
        <v>0</v>
      </c>
      <c r="M33" s="33">
        <f t="shared" si="6"/>
        <v>0</v>
      </c>
      <c r="N33" s="33">
        <f t="shared" si="7"/>
        <v>0</v>
      </c>
      <c r="O33" s="28"/>
      <c r="P33" s="33">
        <f t="shared" si="8"/>
        <v>0</v>
      </c>
      <c r="Q33" s="35" t="str" cm="1">
        <f t="array" ref="Q33">IF(AF33&lt;&gt;"",IFERROR(INDEX('Group List B'!B:B,MATCH(AI33,'Group List B'!A:A,0),0),"-"),"")</f>
        <v/>
      </c>
      <c r="R33" s="36">
        <f t="shared" si="9"/>
        <v>0</v>
      </c>
      <c r="S33" s="36">
        <f t="shared" si="10"/>
        <v>0</v>
      </c>
      <c r="T33" s="36">
        <f t="shared" si="11"/>
        <v>0</v>
      </c>
      <c r="U33" s="28"/>
      <c r="V33" s="37">
        <f t="shared" si="12"/>
        <v>0</v>
      </c>
      <c r="W33" s="41"/>
      <c r="X33" s="27"/>
      <c r="Y33" s="27"/>
      <c r="Z33" s="27"/>
      <c r="AA33" s="15"/>
      <c r="AB33" s="17"/>
      <c r="AC33" s="17"/>
      <c r="AD33" s="17"/>
      <c r="AE33" s="90"/>
      <c r="AF33" s="82" t="str">
        <f t="shared" si="13"/>
        <v/>
      </c>
      <c r="AG33" s="83" t="str">
        <f t="shared" si="14"/>
        <v/>
      </c>
      <c r="AH33" s="82" t="str">
        <f t="shared" si="15"/>
        <v/>
      </c>
      <c r="AI33" s="82" t="str">
        <f t="shared" si="16"/>
        <v/>
      </c>
      <c r="AJ33" s="90"/>
      <c r="AP33" s="88"/>
    </row>
    <row r="34" spans="1:42" x14ac:dyDescent="0.25">
      <c r="A34" s="2"/>
      <c r="C34" s="68" t="str" cm="1">
        <f t="array" ref="C34">IF(AF34&lt;&gt;"",
IFERROR(INDEX('LaunchPad Markbook'!A:A,MATCH(AH34,'LaunchPad Markbook'!D:D,0),0),"-"),"")</f>
        <v/>
      </c>
      <c r="D34" s="27"/>
      <c r="E34" s="27"/>
      <c r="F34" s="27"/>
      <c r="G34" s="14">
        <f>IF(OR(H34&gt;AB$2,I34&gt;AC$2,J34&gt;AD$2,
P34&gt;1,V34&gt;1,
L34&gt;'Group List A'!E$2,M34&gt;'Group List A'!F$2,N34&gt;'Group List A'!G$2,
R34&gt;'Group List B'!E$2,S34&gt;'Group List B'!F$2,T34&gt;'Group List B'!G$2),"Exceed",
IF(OR(H34=AB$2,I34=AC$2,J34=AD$2,
P34=1,V34=1,
L34='Group List A'!E$2,M34='Group List A'!F$2,N34='Group List A'!G$2,
R34='Group List B'!E$2,S34='Group List B'!F$2,T34='Group List B'!G$2),"Limit",0))</f>
        <v>0</v>
      </c>
      <c r="H34" s="29">
        <f t="shared" si="2"/>
        <v>0</v>
      </c>
      <c r="I34" s="29">
        <f t="shared" si="3"/>
        <v>0</v>
      </c>
      <c r="J34" s="29">
        <f t="shared" si="4"/>
        <v>0</v>
      </c>
      <c r="K34" s="32" t="str" cm="1">
        <f t="array" ref="K34">IF(AF34&lt;&gt;"",IFERROR(INDEX('Group List A'!B:B,MATCH(AI34,'Group List A'!A:A,0),0),"-"),"")</f>
        <v/>
      </c>
      <c r="L34" s="33">
        <f t="shared" si="5"/>
        <v>0</v>
      </c>
      <c r="M34" s="33">
        <f t="shared" si="6"/>
        <v>0</v>
      </c>
      <c r="N34" s="33">
        <f t="shared" si="7"/>
        <v>0</v>
      </c>
      <c r="O34" s="28"/>
      <c r="P34" s="33">
        <f t="shared" si="8"/>
        <v>0</v>
      </c>
      <c r="Q34" s="35" t="str" cm="1">
        <f t="array" ref="Q34">IF(AF34&lt;&gt;"",IFERROR(INDEX('Group List B'!B:B,MATCH(AI34,'Group List B'!A:A,0),0),"-"),"")</f>
        <v/>
      </c>
      <c r="R34" s="36">
        <f t="shared" si="9"/>
        <v>0</v>
      </c>
      <c r="S34" s="36">
        <f t="shared" si="10"/>
        <v>0</v>
      </c>
      <c r="T34" s="36">
        <f t="shared" si="11"/>
        <v>0</v>
      </c>
      <c r="U34" s="28"/>
      <c r="V34" s="37">
        <f t="shared" si="12"/>
        <v>0</v>
      </c>
      <c r="W34" s="41"/>
      <c r="X34" s="27"/>
      <c r="Y34" s="27"/>
      <c r="Z34" s="27"/>
      <c r="AA34" s="15"/>
      <c r="AB34" s="17"/>
      <c r="AC34" s="17"/>
      <c r="AD34" s="17"/>
      <c r="AE34" s="90"/>
      <c r="AF34" s="82" t="str">
        <f t="shared" si="13"/>
        <v/>
      </c>
      <c r="AG34" s="83" t="str">
        <f t="shared" si="14"/>
        <v/>
      </c>
      <c r="AH34" s="82" t="str">
        <f t="shared" si="15"/>
        <v/>
      </c>
      <c r="AI34" s="82" t="str">
        <f t="shared" si="16"/>
        <v/>
      </c>
      <c r="AJ34" s="90"/>
      <c r="AP34" s="88"/>
    </row>
    <row r="35" spans="1:42" x14ac:dyDescent="0.25">
      <c r="A35" s="2"/>
      <c r="C35" s="68" t="str" cm="1">
        <f t="array" ref="C35">IF(AF35&lt;&gt;"",
IFERROR(INDEX('LaunchPad Markbook'!A:A,MATCH(AH35,'LaunchPad Markbook'!D:D,0),0),"-"),"")</f>
        <v/>
      </c>
      <c r="D35" s="27"/>
      <c r="E35" s="27"/>
      <c r="F35" s="27"/>
      <c r="G35" s="14">
        <f>IF(OR(H35&gt;AB$2,I35&gt;AC$2,J35&gt;AD$2,
P35&gt;1,V35&gt;1,
L35&gt;'Group List A'!E$2,M35&gt;'Group List A'!F$2,N35&gt;'Group List A'!G$2,
R35&gt;'Group List B'!E$2,S35&gt;'Group List B'!F$2,T35&gt;'Group List B'!G$2),"Exceed",
IF(OR(H35=AB$2,I35=AC$2,J35=AD$2,
P35=1,V35=1,
L35='Group List A'!E$2,M35='Group List A'!F$2,N35='Group List A'!G$2,
R35='Group List B'!E$2,S35='Group List B'!F$2,T35='Group List B'!G$2),"Limit",0))</f>
        <v>0</v>
      </c>
      <c r="H35" s="29">
        <f t="shared" si="2"/>
        <v>0</v>
      </c>
      <c r="I35" s="29">
        <f t="shared" si="3"/>
        <v>0</v>
      </c>
      <c r="J35" s="29">
        <f t="shared" si="4"/>
        <v>0</v>
      </c>
      <c r="K35" s="32" t="str" cm="1">
        <f t="array" ref="K35">IF(AF35&lt;&gt;"",IFERROR(INDEX('Group List A'!B:B,MATCH(AI35,'Group List A'!A:A,0),0),"-"),"")</f>
        <v/>
      </c>
      <c r="L35" s="33">
        <f t="shared" si="5"/>
        <v>0</v>
      </c>
      <c r="M35" s="33">
        <f t="shared" si="6"/>
        <v>0</v>
      </c>
      <c r="N35" s="33">
        <f t="shared" si="7"/>
        <v>0</v>
      </c>
      <c r="O35" s="28"/>
      <c r="P35" s="33">
        <f t="shared" si="8"/>
        <v>0</v>
      </c>
      <c r="Q35" s="35" t="str" cm="1">
        <f t="array" ref="Q35">IF(AF35&lt;&gt;"",IFERROR(INDEX('Group List B'!B:B,MATCH(AI35,'Group List B'!A:A,0),0),"-"),"")</f>
        <v/>
      </c>
      <c r="R35" s="36">
        <f t="shared" si="9"/>
        <v>0</v>
      </c>
      <c r="S35" s="36">
        <f t="shared" si="10"/>
        <v>0</v>
      </c>
      <c r="T35" s="36">
        <f t="shared" si="11"/>
        <v>0</v>
      </c>
      <c r="U35" s="28"/>
      <c r="V35" s="37">
        <f t="shared" si="12"/>
        <v>0</v>
      </c>
      <c r="W35" s="41"/>
      <c r="X35" s="27"/>
      <c r="Y35" s="27"/>
      <c r="Z35" s="27"/>
      <c r="AA35" s="15"/>
      <c r="AB35" s="17"/>
      <c r="AC35" s="17"/>
      <c r="AD35" s="17"/>
      <c r="AE35" s="90"/>
      <c r="AF35" s="82" t="str">
        <f t="shared" si="13"/>
        <v/>
      </c>
      <c r="AG35" s="83" t="str">
        <f t="shared" si="14"/>
        <v/>
      </c>
      <c r="AH35" s="82" t="str">
        <f t="shared" si="15"/>
        <v/>
      </c>
      <c r="AI35" s="82" t="str">
        <f t="shared" si="16"/>
        <v/>
      </c>
      <c r="AJ35" s="90"/>
      <c r="AP35" s="88"/>
    </row>
    <row r="36" spans="1:42" x14ac:dyDescent="0.25">
      <c r="A36" s="2"/>
      <c r="C36" s="68" t="str" cm="1">
        <f t="array" ref="C36">IF(AF36&lt;&gt;"",
IFERROR(INDEX('LaunchPad Markbook'!A:A,MATCH(AH36,'LaunchPad Markbook'!D:D,0),0),"-"),"")</f>
        <v/>
      </c>
      <c r="D36" s="27"/>
      <c r="E36" s="27"/>
      <c r="F36" s="27"/>
      <c r="G36" s="14">
        <f>IF(OR(H36&gt;AB$2,I36&gt;AC$2,J36&gt;AD$2,
P36&gt;1,V36&gt;1,
L36&gt;'Group List A'!E$2,M36&gt;'Group List A'!F$2,N36&gt;'Group List A'!G$2,
R36&gt;'Group List B'!E$2,S36&gt;'Group List B'!F$2,T36&gt;'Group List B'!G$2),"Exceed",
IF(OR(H36=AB$2,I36=AC$2,J36=AD$2,
P36=1,V36=1,
L36='Group List A'!E$2,M36='Group List A'!F$2,N36='Group List A'!G$2,
R36='Group List B'!E$2,S36='Group List B'!F$2,T36='Group List B'!G$2),"Limit",0))</f>
        <v>0</v>
      </c>
      <c r="H36" s="29">
        <f t="shared" si="2"/>
        <v>0</v>
      </c>
      <c r="I36" s="29">
        <f t="shared" si="3"/>
        <v>0</v>
      </c>
      <c r="J36" s="29">
        <f t="shared" si="4"/>
        <v>0</v>
      </c>
      <c r="K36" s="32" t="str" cm="1">
        <f t="array" ref="K36">IF(AF36&lt;&gt;"",IFERROR(INDEX('Group List A'!B:B,MATCH(AI36,'Group List A'!A:A,0),0),"-"),"")</f>
        <v/>
      </c>
      <c r="L36" s="33">
        <f t="shared" si="5"/>
        <v>0</v>
      </c>
      <c r="M36" s="33">
        <f t="shared" si="6"/>
        <v>0</v>
      </c>
      <c r="N36" s="33">
        <f t="shared" si="7"/>
        <v>0</v>
      </c>
      <c r="O36" s="28"/>
      <c r="P36" s="33">
        <f t="shared" si="8"/>
        <v>0</v>
      </c>
      <c r="Q36" s="35" t="str" cm="1">
        <f t="array" ref="Q36">IF(AF36&lt;&gt;"",IFERROR(INDEX('Group List B'!B:B,MATCH(AI36,'Group List B'!A:A,0),0),"-"),"")</f>
        <v/>
      </c>
      <c r="R36" s="36">
        <f t="shared" si="9"/>
        <v>0</v>
      </c>
      <c r="S36" s="36">
        <f t="shared" si="10"/>
        <v>0</v>
      </c>
      <c r="T36" s="36">
        <f t="shared" si="11"/>
        <v>0</v>
      </c>
      <c r="U36" s="28"/>
      <c r="V36" s="37">
        <f t="shared" si="12"/>
        <v>0</v>
      </c>
      <c r="W36" s="41"/>
      <c r="X36" s="27"/>
      <c r="Y36" s="27"/>
      <c r="Z36" s="27"/>
      <c r="AA36" s="15"/>
      <c r="AB36" s="17"/>
      <c r="AC36" s="17"/>
      <c r="AD36" s="17"/>
      <c r="AE36" s="90"/>
      <c r="AF36" s="82" t="str">
        <f t="shared" si="13"/>
        <v/>
      </c>
      <c r="AG36" s="83" t="str">
        <f t="shared" si="14"/>
        <v/>
      </c>
      <c r="AH36" s="82" t="str">
        <f t="shared" si="15"/>
        <v/>
      </c>
      <c r="AI36" s="82" t="str">
        <f t="shared" si="16"/>
        <v/>
      </c>
      <c r="AJ36" s="90"/>
      <c r="AP36" s="88"/>
    </row>
    <row r="37" spans="1:42" x14ac:dyDescent="0.25">
      <c r="A37" s="2"/>
      <c r="C37" s="68" t="str" cm="1">
        <f t="array" ref="C37">IF(AF37&lt;&gt;"",
IFERROR(INDEX('LaunchPad Markbook'!A:A,MATCH(AH37,'LaunchPad Markbook'!D:D,0),0),"-"),"")</f>
        <v/>
      </c>
      <c r="D37" s="27"/>
      <c r="E37" s="27"/>
      <c r="F37" s="27"/>
      <c r="G37" s="14">
        <f>IF(OR(H37&gt;AB$2,I37&gt;AC$2,J37&gt;AD$2,
P37&gt;1,V37&gt;1,
L37&gt;'Group List A'!E$2,M37&gt;'Group List A'!F$2,N37&gt;'Group List A'!G$2,
R37&gt;'Group List B'!E$2,S37&gt;'Group List B'!F$2,T37&gt;'Group List B'!G$2),"Exceed",
IF(OR(H37=AB$2,I37=AC$2,J37=AD$2,
P37=1,V37=1,
L37='Group List A'!E$2,M37='Group List A'!F$2,N37='Group List A'!G$2,
R37='Group List B'!E$2,S37='Group List B'!F$2,T37='Group List B'!G$2),"Limit",0))</f>
        <v>0</v>
      </c>
      <c r="H37" s="29">
        <f t="shared" si="2"/>
        <v>0</v>
      </c>
      <c r="I37" s="29">
        <f t="shared" si="3"/>
        <v>0</v>
      </c>
      <c r="J37" s="29">
        <f t="shared" si="4"/>
        <v>0</v>
      </c>
      <c r="K37" s="32" t="str" cm="1">
        <f t="array" ref="K37">IF(AF37&lt;&gt;"",IFERROR(INDEX('Group List A'!B:B,MATCH(AI37,'Group List A'!A:A,0),0),"-"),"")</f>
        <v/>
      </c>
      <c r="L37" s="33">
        <f t="shared" si="5"/>
        <v>0</v>
      </c>
      <c r="M37" s="33">
        <f t="shared" si="6"/>
        <v>0</v>
      </c>
      <c r="N37" s="33">
        <f t="shared" si="7"/>
        <v>0</v>
      </c>
      <c r="O37" s="28"/>
      <c r="P37" s="33">
        <f t="shared" si="8"/>
        <v>0</v>
      </c>
      <c r="Q37" s="35" t="str" cm="1">
        <f t="array" ref="Q37">IF(AF37&lt;&gt;"",IFERROR(INDEX('Group List B'!B:B,MATCH(AI37,'Group List B'!A:A,0),0),"-"),"")</f>
        <v/>
      </c>
      <c r="R37" s="36">
        <f t="shared" si="9"/>
        <v>0</v>
      </c>
      <c r="S37" s="36">
        <f t="shared" si="10"/>
        <v>0</v>
      </c>
      <c r="T37" s="36">
        <f t="shared" si="11"/>
        <v>0</v>
      </c>
      <c r="U37" s="28"/>
      <c r="V37" s="37">
        <f t="shared" si="12"/>
        <v>0</v>
      </c>
      <c r="W37" s="41"/>
      <c r="X37" s="27"/>
      <c r="Y37" s="27"/>
      <c r="Z37" s="27"/>
      <c r="AA37" s="15"/>
      <c r="AB37" s="17"/>
      <c r="AC37" s="17"/>
      <c r="AD37" s="17"/>
      <c r="AE37" s="90"/>
      <c r="AF37" s="82" t="str">
        <f t="shared" si="13"/>
        <v/>
      </c>
      <c r="AG37" s="83" t="str">
        <f t="shared" si="14"/>
        <v/>
      </c>
      <c r="AH37" s="82" t="str">
        <f t="shared" si="15"/>
        <v/>
      </c>
      <c r="AI37" s="82" t="str">
        <f t="shared" si="16"/>
        <v/>
      </c>
      <c r="AJ37" s="90"/>
      <c r="AP37" s="88"/>
    </row>
    <row r="38" spans="1:42" x14ac:dyDescent="0.25">
      <c r="A38" s="2"/>
      <c r="C38" s="68" t="str" cm="1">
        <f t="array" ref="C38">IF(AF38&lt;&gt;"",
IFERROR(INDEX('LaunchPad Markbook'!A:A,MATCH(AH38,'LaunchPad Markbook'!D:D,0),0),"-"),"")</f>
        <v/>
      </c>
      <c r="D38" s="27"/>
      <c r="E38" s="27"/>
      <c r="F38" s="27"/>
      <c r="G38" s="14">
        <f>IF(OR(H38&gt;AB$2,I38&gt;AC$2,J38&gt;AD$2,
P38&gt;1,V38&gt;1,
L38&gt;'Group List A'!E$2,M38&gt;'Group List A'!F$2,N38&gt;'Group List A'!G$2,
R38&gt;'Group List B'!E$2,S38&gt;'Group List B'!F$2,T38&gt;'Group List B'!G$2),"Exceed",
IF(OR(H38=AB$2,I38=AC$2,J38=AD$2,
P38=1,V38=1,
L38='Group List A'!E$2,M38='Group List A'!F$2,N38='Group List A'!G$2,
R38='Group List B'!E$2,S38='Group List B'!F$2,T38='Group List B'!G$2),"Limit",0))</f>
        <v>0</v>
      </c>
      <c r="H38" s="29">
        <f t="shared" si="2"/>
        <v>0</v>
      </c>
      <c r="I38" s="29">
        <f t="shared" si="3"/>
        <v>0</v>
      </c>
      <c r="J38" s="29">
        <f t="shared" si="4"/>
        <v>0</v>
      </c>
      <c r="K38" s="32" t="str" cm="1">
        <f t="array" ref="K38">IF(AF38&lt;&gt;"",IFERROR(INDEX('Group List A'!B:B,MATCH(AI38,'Group List A'!A:A,0),0),"-"),"")</f>
        <v/>
      </c>
      <c r="L38" s="33">
        <f t="shared" si="5"/>
        <v>0</v>
      </c>
      <c r="M38" s="33">
        <f t="shared" si="6"/>
        <v>0</v>
      </c>
      <c r="N38" s="33">
        <f t="shared" si="7"/>
        <v>0</v>
      </c>
      <c r="O38" s="28"/>
      <c r="P38" s="33">
        <f t="shared" si="8"/>
        <v>0</v>
      </c>
      <c r="Q38" s="35" t="str" cm="1">
        <f t="array" ref="Q38">IF(AF38&lt;&gt;"",IFERROR(INDEX('Group List B'!B:B,MATCH(AI38,'Group List B'!A:A,0),0),"-"),"")</f>
        <v/>
      </c>
      <c r="R38" s="36">
        <f t="shared" si="9"/>
        <v>0</v>
      </c>
      <c r="S38" s="36">
        <f t="shared" si="10"/>
        <v>0</v>
      </c>
      <c r="T38" s="36">
        <f t="shared" si="11"/>
        <v>0</v>
      </c>
      <c r="U38" s="28"/>
      <c r="V38" s="37">
        <f t="shared" si="12"/>
        <v>0</v>
      </c>
      <c r="W38" s="41"/>
      <c r="X38" s="27"/>
      <c r="Y38" s="27"/>
      <c r="Z38" s="27"/>
      <c r="AA38" s="15"/>
      <c r="AB38" s="17"/>
      <c r="AC38" s="17"/>
      <c r="AD38" s="17"/>
      <c r="AE38" s="90"/>
      <c r="AF38" s="82" t="str">
        <f t="shared" si="13"/>
        <v/>
      </c>
      <c r="AG38" s="83" t="str">
        <f t="shared" si="14"/>
        <v/>
      </c>
      <c r="AH38" s="82" t="str">
        <f t="shared" si="15"/>
        <v/>
      </c>
      <c r="AI38" s="82" t="str">
        <f t="shared" si="16"/>
        <v/>
      </c>
      <c r="AJ38" s="90"/>
      <c r="AP38" s="88"/>
    </row>
    <row r="39" spans="1:42" x14ac:dyDescent="0.25">
      <c r="A39" s="2"/>
      <c r="C39" s="68" t="str" cm="1">
        <f t="array" ref="C39">IF(AF39&lt;&gt;"",
IFERROR(INDEX('LaunchPad Markbook'!A:A,MATCH(AH39,'LaunchPad Markbook'!D:D,0),0),"-"),"")</f>
        <v/>
      </c>
      <c r="D39" s="27"/>
      <c r="E39" s="27"/>
      <c r="F39" s="27"/>
      <c r="G39" s="14">
        <f>IF(OR(H39&gt;AB$2,I39&gt;AC$2,J39&gt;AD$2,
P39&gt;1,V39&gt;1,
L39&gt;'Group List A'!E$2,M39&gt;'Group List A'!F$2,N39&gt;'Group List A'!G$2,
R39&gt;'Group List B'!E$2,S39&gt;'Group List B'!F$2,T39&gt;'Group List B'!G$2),"Exceed",
IF(OR(H39=AB$2,I39=AC$2,J39=AD$2,
P39=1,V39=1,
L39='Group List A'!E$2,M39='Group List A'!F$2,N39='Group List A'!G$2,
R39='Group List B'!E$2,S39='Group List B'!F$2,T39='Group List B'!G$2),"Limit",0))</f>
        <v>0</v>
      </c>
      <c r="H39" s="29">
        <f t="shared" si="2"/>
        <v>0</v>
      </c>
      <c r="I39" s="29">
        <f t="shared" si="3"/>
        <v>0</v>
      </c>
      <c r="J39" s="29">
        <f t="shared" si="4"/>
        <v>0</v>
      </c>
      <c r="K39" s="32" t="str" cm="1">
        <f t="array" ref="K39">IF(AF39&lt;&gt;"",IFERROR(INDEX('Group List A'!B:B,MATCH(AI39,'Group List A'!A:A,0),0),"-"),"")</f>
        <v/>
      </c>
      <c r="L39" s="33">
        <f t="shared" si="5"/>
        <v>0</v>
      </c>
      <c r="M39" s="33">
        <f t="shared" si="6"/>
        <v>0</v>
      </c>
      <c r="N39" s="33">
        <f t="shared" si="7"/>
        <v>0</v>
      </c>
      <c r="O39" s="28"/>
      <c r="P39" s="33">
        <f t="shared" si="8"/>
        <v>0</v>
      </c>
      <c r="Q39" s="35" t="str" cm="1">
        <f t="array" ref="Q39">IF(AF39&lt;&gt;"",IFERROR(INDEX('Group List B'!B:B,MATCH(AI39,'Group List B'!A:A,0),0),"-"),"")</f>
        <v/>
      </c>
      <c r="R39" s="36">
        <f t="shared" si="9"/>
        <v>0</v>
      </c>
      <c r="S39" s="36">
        <f t="shared" si="10"/>
        <v>0</v>
      </c>
      <c r="T39" s="36">
        <f t="shared" si="11"/>
        <v>0</v>
      </c>
      <c r="U39" s="28"/>
      <c r="V39" s="37">
        <f t="shared" si="12"/>
        <v>0</v>
      </c>
      <c r="W39" s="41"/>
      <c r="X39" s="27"/>
      <c r="Y39" s="27"/>
      <c r="Z39" s="27"/>
      <c r="AA39" s="15"/>
      <c r="AB39" s="17"/>
      <c r="AC39" s="17"/>
      <c r="AD39" s="17"/>
      <c r="AE39" s="90"/>
      <c r="AF39" s="82" t="str">
        <f t="shared" si="13"/>
        <v/>
      </c>
      <c r="AG39" s="83" t="str">
        <f t="shared" si="14"/>
        <v/>
      </c>
      <c r="AH39" s="82" t="str">
        <f t="shared" si="15"/>
        <v/>
      </c>
      <c r="AI39" s="82" t="str">
        <f t="shared" si="16"/>
        <v/>
      </c>
      <c r="AJ39" s="90"/>
      <c r="AP39" s="88"/>
    </row>
    <row r="40" spans="1:42" x14ac:dyDescent="0.25">
      <c r="A40" s="2"/>
      <c r="C40" s="68" t="str" cm="1">
        <f t="array" ref="C40">IF(AF40&lt;&gt;"",
IFERROR(INDEX('LaunchPad Markbook'!A:A,MATCH(AH40,'LaunchPad Markbook'!D:D,0),0),"-"),"")</f>
        <v/>
      </c>
      <c r="D40" s="27"/>
      <c r="E40" s="27"/>
      <c r="F40" s="27"/>
      <c r="G40" s="14">
        <f>IF(OR(H40&gt;AB$2,I40&gt;AC$2,J40&gt;AD$2,
P40&gt;1,V40&gt;1,
L40&gt;'Group List A'!E$2,M40&gt;'Group List A'!F$2,N40&gt;'Group List A'!G$2,
R40&gt;'Group List B'!E$2,S40&gt;'Group List B'!F$2,T40&gt;'Group List B'!G$2),"Exceed",
IF(OR(H40=AB$2,I40=AC$2,J40=AD$2,
P40=1,V40=1,
L40='Group List A'!E$2,M40='Group List A'!F$2,N40='Group List A'!G$2,
R40='Group List B'!E$2,S40='Group List B'!F$2,T40='Group List B'!G$2),"Limit",0))</f>
        <v>0</v>
      </c>
      <c r="H40" s="29">
        <f t="shared" si="2"/>
        <v>0</v>
      </c>
      <c r="I40" s="29">
        <f t="shared" si="3"/>
        <v>0</v>
      </c>
      <c r="J40" s="29">
        <f t="shared" si="4"/>
        <v>0</v>
      </c>
      <c r="K40" s="32" t="str" cm="1">
        <f t="array" ref="K40">IF(AF40&lt;&gt;"",IFERROR(INDEX('Group List A'!B:B,MATCH(AI40,'Group List A'!A:A,0),0),"-"),"")</f>
        <v/>
      </c>
      <c r="L40" s="33">
        <f t="shared" si="5"/>
        <v>0</v>
      </c>
      <c r="M40" s="33">
        <f t="shared" si="6"/>
        <v>0</v>
      </c>
      <c r="N40" s="33">
        <f t="shared" si="7"/>
        <v>0</v>
      </c>
      <c r="O40" s="28"/>
      <c r="P40" s="33">
        <f t="shared" si="8"/>
        <v>0</v>
      </c>
      <c r="Q40" s="35" t="str" cm="1">
        <f t="array" ref="Q40">IF(AF40&lt;&gt;"",IFERROR(INDEX('Group List B'!B:B,MATCH(AI40,'Group List B'!A:A,0),0),"-"),"")</f>
        <v/>
      </c>
      <c r="R40" s="36">
        <f t="shared" si="9"/>
        <v>0</v>
      </c>
      <c r="S40" s="36">
        <f t="shared" si="10"/>
        <v>0</v>
      </c>
      <c r="T40" s="36">
        <f t="shared" si="11"/>
        <v>0</v>
      </c>
      <c r="U40" s="28"/>
      <c r="V40" s="37">
        <f t="shared" si="12"/>
        <v>0</v>
      </c>
      <c r="W40" s="41"/>
      <c r="X40" s="27"/>
      <c r="Y40" s="27"/>
      <c r="Z40" s="27"/>
      <c r="AA40" s="15"/>
      <c r="AB40" s="17"/>
      <c r="AC40" s="17"/>
      <c r="AD40" s="17"/>
      <c r="AE40" s="90"/>
      <c r="AF40" s="82" t="str">
        <f t="shared" si="13"/>
        <v/>
      </c>
      <c r="AG40" s="83" t="str">
        <f t="shared" si="14"/>
        <v/>
      </c>
      <c r="AH40" s="82" t="str">
        <f t="shared" si="15"/>
        <v/>
      </c>
      <c r="AI40" s="82" t="str">
        <f t="shared" si="16"/>
        <v/>
      </c>
      <c r="AJ40" s="90"/>
      <c r="AP40" s="88"/>
    </row>
    <row r="41" spans="1:42" x14ac:dyDescent="0.25">
      <c r="A41" s="2"/>
      <c r="C41" s="68" t="str" cm="1">
        <f t="array" ref="C41">IF(AF41&lt;&gt;"",
IFERROR(INDEX('LaunchPad Markbook'!A:A,MATCH(AH41,'LaunchPad Markbook'!D:D,0),0),"-"),"")</f>
        <v/>
      </c>
      <c r="D41" s="27"/>
      <c r="E41" s="27"/>
      <c r="F41" s="27"/>
      <c r="G41" s="14">
        <f>IF(OR(H41&gt;AB$2,I41&gt;AC$2,J41&gt;AD$2,
P41&gt;1,V41&gt;1,
L41&gt;'Group List A'!E$2,M41&gt;'Group List A'!F$2,N41&gt;'Group List A'!G$2,
R41&gt;'Group List B'!E$2,S41&gt;'Group List B'!F$2,T41&gt;'Group List B'!G$2),"Exceed",
IF(OR(H41=AB$2,I41=AC$2,J41=AD$2,
P41=1,V41=1,
L41='Group List A'!E$2,M41='Group List A'!F$2,N41='Group List A'!G$2,
R41='Group List B'!E$2,S41='Group List B'!F$2,T41='Group List B'!G$2),"Limit",0))</f>
        <v>0</v>
      </c>
      <c r="H41" s="29">
        <f t="shared" si="2"/>
        <v>0</v>
      </c>
      <c r="I41" s="29">
        <f t="shared" si="3"/>
        <v>0</v>
      </c>
      <c r="J41" s="29">
        <f t="shared" si="4"/>
        <v>0</v>
      </c>
      <c r="K41" s="32" t="str" cm="1">
        <f t="array" ref="K41">IF(AF41&lt;&gt;"",IFERROR(INDEX('Group List A'!B:B,MATCH(AI41,'Group List A'!A:A,0),0),"-"),"")</f>
        <v/>
      </c>
      <c r="L41" s="33">
        <f t="shared" si="5"/>
        <v>0</v>
      </c>
      <c r="M41" s="33">
        <f t="shared" si="6"/>
        <v>0</v>
      </c>
      <c r="N41" s="33">
        <f t="shared" si="7"/>
        <v>0</v>
      </c>
      <c r="O41" s="28"/>
      <c r="P41" s="33">
        <f t="shared" si="8"/>
        <v>0</v>
      </c>
      <c r="Q41" s="35" t="str" cm="1">
        <f t="array" ref="Q41">IF(AF41&lt;&gt;"",IFERROR(INDEX('Group List B'!B:B,MATCH(AI41,'Group List B'!A:A,0),0),"-"),"")</f>
        <v/>
      </c>
      <c r="R41" s="36">
        <f t="shared" si="9"/>
        <v>0</v>
      </c>
      <c r="S41" s="36">
        <f t="shared" si="10"/>
        <v>0</v>
      </c>
      <c r="T41" s="36">
        <f t="shared" si="11"/>
        <v>0</v>
      </c>
      <c r="U41" s="28"/>
      <c r="V41" s="37">
        <f t="shared" si="12"/>
        <v>0</v>
      </c>
      <c r="W41" s="41"/>
      <c r="X41" s="27"/>
      <c r="Y41" s="27"/>
      <c r="Z41" s="27"/>
      <c r="AA41" s="15"/>
      <c r="AB41" s="17"/>
      <c r="AC41" s="17"/>
      <c r="AD41" s="17"/>
      <c r="AE41" s="90"/>
      <c r="AF41" s="82" t="str">
        <f t="shared" si="13"/>
        <v/>
      </c>
      <c r="AG41" s="83" t="str">
        <f t="shared" si="14"/>
        <v/>
      </c>
      <c r="AH41" s="82" t="str">
        <f t="shared" si="15"/>
        <v/>
      </c>
      <c r="AI41" s="82" t="str">
        <f t="shared" si="16"/>
        <v/>
      </c>
      <c r="AJ41" s="90"/>
      <c r="AP41" s="88"/>
    </row>
    <row r="42" spans="1:42" x14ac:dyDescent="0.25">
      <c r="A42" s="2"/>
      <c r="C42" s="68" t="str" cm="1">
        <f t="array" ref="C42">IF(AF42&lt;&gt;"",
IFERROR(INDEX('LaunchPad Markbook'!A:A,MATCH(AH42,'LaunchPad Markbook'!D:D,0),0),"-"),"")</f>
        <v/>
      </c>
      <c r="D42" s="27"/>
      <c r="E42" s="27"/>
      <c r="F42" s="27"/>
      <c r="G42" s="14">
        <f>IF(OR(H42&gt;AB$2,I42&gt;AC$2,J42&gt;AD$2,
P42&gt;1,V42&gt;1,
L42&gt;'Group List A'!E$2,M42&gt;'Group List A'!F$2,N42&gt;'Group List A'!G$2,
R42&gt;'Group List B'!E$2,S42&gt;'Group List B'!F$2,T42&gt;'Group List B'!G$2),"Exceed",
IF(OR(H42=AB$2,I42=AC$2,J42=AD$2,
P42=1,V42=1,
L42='Group List A'!E$2,M42='Group List A'!F$2,N42='Group List A'!G$2,
R42='Group List B'!E$2,S42='Group List B'!F$2,T42='Group List B'!G$2),"Limit",0))</f>
        <v>0</v>
      </c>
      <c r="H42" s="29">
        <f t="shared" si="2"/>
        <v>0</v>
      </c>
      <c r="I42" s="29">
        <f t="shared" si="3"/>
        <v>0</v>
      </c>
      <c r="J42" s="29">
        <f t="shared" si="4"/>
        <v>0</v>
      </c>
      <c r="K42" s="32" t="str" cm="1">
        <f t="array" ref="K42">IF(AF42&lt;&gt;"",IFERROR(INDEX('Group List A'!B:B,MATCH(AI42,'Group List A'!A:A,0),0),"-"),"")</f>
        <v/>
      </c>
      <c r="L42" s="33">
        <f t="shared" si="5"/>
        <v>0</v>
      </c>
      <c r="M42" s="33">
        <f t="shared" si="6"/>
        <v>0</v>
      </c>
      <c r="N42" s="33">
        <f t="shared" si="7"/>
        <v>0</v>
      </c>
      <c r="O42" s="28"/>
      <c r="P42" s="33">
        <f t="shared" si="8"/>
        <v>0</v>
      </c>
      <c r="Q42" s="35" t="str" cm="1">
        <f t="array" ref="Q42">IF(AF42&lt;&gt;"",IFERROR(INDEX('Group List B'!B:B,MATCH(AI42,'Group List B'!A:A,0),0),"-"),"")</f>
        <v/>
      </c>
      <c r="R42" s="36">
        <f t="shared" si="9"/>
        <v>0</v>
      </c>
      <c r="S42" s="36">
        <f t="shared" si="10"/>
        <v>0</v>
      </c>
      <c r="T42" s="36">
        <f t="shared" si="11"/>
        <v>0</v>
      </c>
      <c r="U42" s="28"/>
      <c r="V42" s="37">
        <f t="shared" si="12"/>
        <v>0</v>
      </c>
      <c r="W42" s="41"/>
      <c r="X42" s="27"/>
      <c r="Y42" s="27"/>
      <c r="Z42" s="27"/>
      <c r="AA42" s="15"/>
      <c r="AB42" s="17"/>
      <c r="AC42" s="17"/>
      <c r="AD42" s="17"/>
      <c r="AE42" s="90"/>
      <c r="AF42" s="82" t="str">
        <f t="shared" si="13"/>
        <v/>
      </c>
      <c r="AG42" s="83" t="str">
        <f t="shared" si="14"/>
        <v/>
      </c>
      <c r="AH42" s="82" t="str">
        <f t="shared" si="15"/>
        <v/>
      </c>
      <c r="AI42" s="82" t="str">
        <f t="shared" si="16"/>
        <v/>
      </c>
      <c r="AJ42" s="90"/>
      <c r="AP42" s="88"/>
    </row>
    <row r="43" spans="1:42" x14ac:dyDescent="0.25">
      <c r="A43" s="2"/>
      <c r="C43" s="68" t="str" cm="1">
        <f t="array" ref="C43">IF(AF43&lt;&gt;"",
IFERROR(INDEX('LaunchPad Markbook'!A:A,MATCH(AH43,'LaunchPad Markbook'!D:D,0),0),"-"),"")</f>
        <v/>
      </c>
      <c r="D43" s="27"/>
      <c r="E43" s="27"/>
      <c r="F43" s="27"/>
      <c r="G43" s="14">
        <f>IF(OR(H43&gt;AB$2,I43&gt;AC$2,J43&gt;AD$2,
P43&gt;1,V43&gt;1,
L43&gt;'Group List A'!E$2,M43&gt;'Group List A'!F$2,N43&gt;'Group List A'!G$2,
R43&gt;'Group List B'!E$2,S43&gt;'Group List B'!F$2,T43&gt;'Group List B'!G$2),"Exceed",
IF(OR(H43=AB$2,I43=AC$2,J43=AD$2,
P43=1,V43=1,
L43='Group List A'!E$2,M43='Group List A'!F$2,N43='Group List A'!G$2,
R43='Group List B'!E$2,S43='Group List B'!F$2,T43='Group List B'!G$2),"Limit",0))</f>
        <v>0</v>
      </c>
      <c r="H43" s="29">
        <f t="shared" si="2"/>
        <v>0</v>
      </c>
      <c r="I43" s="29">
        <f t="shared" si="3"/>
        <v>0</v>
      </c>
      <c r="J43" s="29">
        <f t="shared" si="4"/>
        <v>0</v>
      </c>
      <c r="K43" s="32" t="str" cm="1">
        <f t="array" ref="K43">IF(AF43&lt;&gt;"",IFERROR(INDEX('Group List A'!B:B,MATCH(AI43,'Group List A'!A:A,0),0),"-"),"")</f>
        <v/>
      </c>
      <c r="L43" s="33">
        <f t="shared" si="5"/>
        <v>0</v>
      </c>
      <c r="M43" s="33">
        <f t="shared" si="6"/>
        <v>0</v>
      </c>
      <c r="N43" s="33">
        <f t="shared" si="7"/>
        <v>0</v>
      </c>
      <c r="O43" s="28"/>
      <c r="P43" s="33">
        <f t="shared" si="8"/>
        <v>0</v>
      </c>
      <c r="Q43" s="35" t="str" cm="1">
        <f t="array" ref="Q43">IF(AF43&lt;&gt;"",IFERROR(INDEX('Group List B'!B:B,MATCH(AI43,'Group List B'!A:A,0),0),"-"),"")</f>
        <v/>
      </c>
      <c r="R43" s="36">
        <f t="shared" si="9"/>
        <v>0</v>
      </c>
      <c r="S43" s="36">
        <f t="shared" si="10"/>
        <v>0</v>
      </c>
      <c r="T43" s="36">
        <f t="shared" si="11"/>
        <v>0</v>
      </c>
      <c r="U43" s="28"/>
      <c r="V43" s="37">
        <f t="shared" si="12"/>
        <v>0</v>
      </c>
      <c r="W43" s="41"/>
      <c r="X43" s="27"/>
      <c r="Y43" s="27"/>
      <c r="Z43" s="27"/>
      <c r="AA43" s="15"/>
      <c r="AB43" s="17"/>
      <c r="AC43" s="17"/>
      <c r="AD43" s="17"/>
      <c r="AE43" s="90"/>
      <c r="AF43" s="82" t="str">
        <f t="shared" si="13"/>
        <v/>
      </c>
      <c r="AG43" s="83" t="str">
        <f t="shared" si="14"/>
        <v/>
      </c>
      <c r="AH43" s="82" t="str">
        <f t="shared" si="15"/>
        <v/>
      </c>
      <c r="AI43" s="82" t="str">
        <f t="shared" si="16"/>
        <v/>
      </c>
      <c r="AJ43" s="90"/>
      <c r="AP43" s="88"/>
    </row>
    <row r="44" spans="1:42" x14ac:dyDescent="0.25">
      <c r="A44" s="2"/>
      <c r="C44" s="68" t="str" cm="1">
        <f t="array" ref="C44">IF(AF44&lt;&gt;"",
IFERROR(INDEX('LaunchPad Markbook'!A:A,MATCH(AH44,'LaunchPad Markbook'!D:D,0),0),"-"),"")</f>
        <v/>
      </c>
      <c r="D44" s="27"/>
      <c r="E44" s="27"/>
      <c r="F44" s="27"/>
      <c r="G44" s="14">
        <f>IF(OR(H44&gt;AB$2,I44&gt;AC$2,J44&gt;AD$2,
P44&gt;1,V44&gt;1,
L44&gt;'Group List A'!E$2,M44&gt;'Group List A'!F$2,N44&gt;'Group List A'!G$2,
R44&gt;'Group List B'!E$2,S44&gt;'Group List B'!F$2,T44&gt;'Group List B'!G$2),"Exceed",
IF(OR(H44=AB$2,I44=AC$2,J44=AD$2,
P44=1,V44=1,
L44='Group List A'!E$2,M44='Group List A'!F$2,N44='Group List A'!G$2,
R44='Group List B'!E$2,S44='Group List B'!F$2,T44='Group List B'!G$2),"Limit",0))</f>
        <v>0</v>
      </c>
      <c r="H44" s="29">
        <f t="shared" si="2"/>
        <v>0</v>
      </c>
      <c r="I44" s="29">
        <f t="shared" si="3"/>
        <v>0</v>
      </c>
      <c r="J44" s="29">
        <f t="shared" si="4"/>
        <v>0</v>
      </c>
      <c r="K44" s="32" t="str" cm="1">
        <f t="array" ref="K44">IF(AF44&lt;&gt;"",IFERROR(INDEX('Group List A'!B:B,MATCH(AI44,'Group List A'!A:A,0),0),"-"),"")</f>
        <v/>
      </c>
      <c r="L44" s="33">
        <f t="shared" si="5"/>
        <v>0</v>
      </c>
      <c r="M44" s="33">
        <f t="shared" si="6"/>
        <v>0</v>
      </c>
      <c r="N44" s="33">
        <f t="shared" si="7"/>
        <v>0</v>
      </c>
      <c r="O44" s="28"/>
      <c r="P44" s="33">
        <f t="shared" si="8"/>
        <v>0</v>
      </c>
      <c r="Q44" s="35" t="str" cm="1">
        <f t="array" ref="Q44">IF(AF44&lt;&gt;"",IFERROR(INDEX('Group List B'!B:B,MATCH(AI44,'Group List B'!A:A,0),0),"-"),"")</f>
        <v/>
      </c>
      <c r="R44" s="36">
        <f t="shared" si="9"/>
        <v>0</v>
      </c>
      <c r="S44" s="36">
        <f t="shared" si="10"/>
        <v>0</v>
      </c>
      <c r="T44" s="36">
        <f t="shared" si="11"/>
        <v>0</v>
      </c>
      <c r="U44" s="28"/>
      <c r="V44" s="37">
        <f t="shared" si="12"/>
        <v>0</v>
      </c>
      <c r="W44" s="41"/>
      <c r="X44" s="27"/>
      <c r="Y44" s="27"/>
      <c r="Z44" s="27"/>
      <c r="AA44" s="15"/>
      <c r="AB44" s="17"/>
      <c r="AC44" s="17"/>
      <c r="AD44" s="17"/>
      <c r="AE44" s="90"/>
      <c r="AF44" s="82" t="str">
        <f t="shared" si="13"/>
        <v/>
      </c>
      <c r="AG44" s="83" t="str">
        <f t="shared" si="14"/>
        <v/>
      </c>
      <c r="AH44" s="82" t="str">
        <f t="shared" si="15"/>
        <v/>
      </c>
      <c r="AI44" s="82" t="str">
        <f t="shared" si="16"/>
        <v/>
      </c>
      <c r="AJ44" s="90"/>
      <c r="AP44" s="88"/>
    </row>
    <row r="45" spans="1:42" x14ac:dyDescent="0.25">
      <c r="A45" s="2"/>
      <c r="C45" s="68" t="str" cm="1">
        <f t="array" ref="C45">IF(AF45&lt;&gt;"",
IFERROR(INDEX('LaunchPad Markbook'!A:A,MATCH(AH45,'LaunchPad Markbook'!D:D,0),0),"-"),"")</f>
        <v/>
      </c>
      <c r="D45" s="27"/>
      <c r="E45" s="27"/>
      <c r="F45" s="27"/>
      <c r="G45" s="14">
        <f>IF(OR(H45&gt;AB$2,I45&gt;AC$2,J45&gt;AD$2,
P45&gt;1,V45&gt;1,
L45&gt;'Group List A'!E$2,M45&gt;'Group List A'!F$2,N45&gt;'Group List A'!G$2,
R45&gt;'Group List B'!E$2,S45&gt;'Group List B'!F$2,T45&gt;'Group List B'!G$2),"Exceed",
IF(OR(H45=AB$2,I45=AC$2,J45=AD$2,
P45=1,V45=1,
L45='Group List A'!E$2,M45='Group List A'!F$2,N45='Group List A'!G$2,
R45='Group List B'!E$2,S45='Group List B'!F$2,T45='Group List B'!G$2),"Limit",0))</f>
        <v>0</v>
      </c>
      <c r="H45" s="29">
        <f t="shared" si="2"/>
        <v>0</v>
      </c>
      <c r="I45" s="29">
        <f t="shared" si="3"/>
        <v>0</v>
      </c>
      <c r="J45" s="29">
        <f t="shared" si="4"/>
        <v>0</v>
      </c>
      <c r="K45" s="32" t="str" cm="1">
        <f t="array" ref="K45">IF(AF45&lt;&gt;"",IFERROR(INDEX('Group List A'!B:B,MATCH(AI45,'Group List A'!A:A,0),0),"-"),"")</f>
        <v/>
      </c>
      <c r="L45" s="33">
        <f t="shared" si="5"/>
        <v>0</v>
      </c>
      <c r="M45" s="33">
        <f t="shared" si="6"/>
        <v>0</v>
      </c>
      <c r="N45" s="33">
        <f t="shared" si="7"/>
        <v>0</v>
      </c>
      <c r="O45" s="28"/>
      <c r="P45" s="33">
        <f t="shared" si="8"/>
        <v>0</v>
      </c>
      <c r="Q45" s="35" t="str" cm="1">
        <f t="array" ref="Q45">IF(AF45&lt;&gt;"",IFERROR(INDEX('Group List B'!B:B,MATCH(AI45,'Group List B'!A:A,0),0),"-"),"")</f>
        <v/>
      </c>
      <c r="R45" s="36">
        <f t="shared" si="9"/>
        <v>0</v>
      </c>
      <c r="S45" s="36">
        <f t="shared" si="10"/>
        <v>0</v>
      </c>
      <c r="T45" s="36">
        <f t="shared" si="11"/>
        <v>0</v>
      </c>
      <c r="U45" s="28"/>
      <c r="V45" s="37">
        <f t="shared" si="12"/>
        <v>0</v>
      </c>
      <c r="W45" s="41"/>
      <c r="X45" s="27"/>
      <c r="Y45" s="27"/>
      <c r="Z45" s="27"/>
      <c r="AA45" s="15"/>
      <c r="AB45" s="17"/>
      <c r="AC45" s="17"/>
      <c r="AD45" s="17"/>
      <c r="AE45" s="90"/>
      <c r="AF45" s="82" t="str">
        <f t="shared" si="13"/>
        <v/>
      </c>
      <c r="AG45" s="83" t="str">
        <f t="shared" si="14"/>
        <v/>
      </c>
      <c r="AH45" s="82" t="str">
        <f t="shared" si="15"/>
        <v/>
      </c>
      <c r="AI45" s="82" t="str">
        <f t="shared" si="16"/>
        <v/>
      </c>
      <c r="AJ45" s="90"/>
      <c r="AP45" s="88"/>
    </row>
    <row r="46" spans="1:42" x14ac:dyDescent="0.25">
      <c r="A46" s="2"/>
      <c r="C46" s="68" t="str" cm="1">
        <f t="array" ref="C46">IF(AF46&lt;&gt;"",
IFERROR(INDEX('LaunchPad Markbook'!A:A,MATCH(AH46,'LaunchPad Markbook'!D:D,0),0),"-"),"")</f>
        <v/>
      </c>
      <c r="D46" s="27"/>
      <c r="E46" s="27"/>
      <c r="F46" s="27"/>
      <c r="G46" s="14">
        <f>IF(OR(H46&gt;AB$2,I46&gt;AC$2,J46&gt;AD$2,
P46&gt;1,V46&gt;1,
L46&gt;'Group List A'!E$2,M46&gt;'Group List A'!F$2,N46&gt;'Group List A'!G$2,
R46&gt;'Group List B'!E$2,S46&gt;'Group List B'!F$2,T46&gt;'Group List B'!G$2),"Exceed",
IF(OR(H46=AB$2,I46=AC$2,J46=AD$2,
P46=1,V46=1,
L46='Group List A'!E$2,M46='Group List A'!F$2,N46='Group List A'!G$2,
R46='Group List B'!E$2,S46='Group List B'!F$2,T46='Group List B'!G$2),"Limit",0))</f>
        <v>0</v>
      </c>
      <c r="H46" s="29">
        <f t="shared" si="2"/>
        <v>0</v>
      </c>
      <c r="I46" s="29">
        <f t="shared" si="3"/>
        <v>0</v>
      </c>
      <c r="J46" s="29">
        <f t="shared" si="4"/>
        <v>0</v>
      </c>
      <c r="K46" s="32" t="str" cm="1">
        <f t="array" ref="K46">IF(AF46&lt;&gt;"",IFERROR(INDEX('Group List A'!B:B,MATCH(AI46,'Group List A'!A:A,0),0),"-"),"")</f>
        <v/>
      </c>
      <c r="L46" s="33">
        <f t="shared" si="5"/>
        <v>0</v>
      </c>
      <c r="M46" s="33">
        <f t="shared" si="6"/>
        <v>0</v>
      </c>
      <c r="N46" s="33">
        <f t="shared" si="7"/>
        <v>0</v>
      </c>
      <c r="O46" s="28"/>
      <c r="P46" s="33">
        <f t="shared" si="8"/>
        <v>0</v>
      </c>
      <c r="Q46" s="35" t="str" cm="1">
        <f t="array" ref="Q46">IF(AF46&lt;&gt;"",IFERROR(INDEX('Group List B'!B:B,MATCH(AI46,'Group List B'!A:A,0),0),"-"),"")</f>
        <v/>
      </c>
      <c r="R46" s="36">
        <f t="shared" si="9"/>
        <v>0</v>
      </c>
      <c r="S46" s="36">
        <f t="shared" si="10"/>
        <v>0</v>
      </c>
      <c r="T46" s="36">
        <f t="shared" si="11"/>
        <v>0</v>
      </c>
      <c r="U46" s="28"/>
      <c r="V46" s="37">
        <f t="shared" si="12"/>
        <v>0</v>
      </c>
      <c r="W46" s="41"/>
      <c r="X46" s="27"/>
      <c r="Y46" s="27"/>
      <c r="Z46" s="27"/>
      <c r="AA46" s="15"/>
      <c r="AB46" s="17"/>
      <c r="AC46" s="17"/>
      <c r="AD46" s="17"/>
      <c r="AE46" s="90"/>
      <c r="AF46" s="82" t="str">
        <f t="shared" si="13"/>
        <v/>
      </c>
      <c r="AG46" s="83" t="str">
        <f t="shared" si="14"/>
        <v/>
      </c>
      <c r="AH46" s="82" t="str">
        <f t="shared" si="15"/>
        <v/>
      </c>
      <c r="AI46" s="82" t="str">
        <f t="shared" si="16"/>
        <v/>
      </c>
      <c r="AJ46" s="90"/>
      <c r="AP46" s="88"/>
    </row>
    <row r="47" spans="1:42" x14ac:dyDescent="0.25">
      <c r="A47" s="2"/>
      <c r="C47" s="68" t="str" cm="1">
        <f t="array" ref="C47">IF(AF47&lt;&gt;"",
IFERROR(INDEX('LaunchPad Markbook'!A:A,MATCH(AH47,'LaunchPad Markbook'!D:D,0),0),"-"),"")</f>
        <v/>
      </c>
      <c r="D47" s="27"/>
      <c r="E47" s="27"/>
      <c r="F47" s="27"/>
      <c r="G47" s="14">
        <f>IF(OR(H47&gt;AB$2,I47&gt;AC$2,J47&gt;AD$2,
P47&gt;1,V47&gt;1,
L47&gt;'Group List A'!E$2,M47&gt;'Group List A'!F$2,N47&gt;'Group List A'!G$2,
R47&gt;'Group List B'!E$2,S47&gt;'Group List B'!F$2,T47&gt;'Group List B'!G$2),"Exceed",
IF(OR(H47=AB$2,I47=AC$2,J47=AD$2,
P47=1,V47=1,
L47='Group List A'!E$2,M47='Group List A'!F$2,N47='Group List A'!G$2,
R47='Group List B'!E$2,S47='Group List B'!F$2,T47='Group List B'!G$2),"Limit",0))</f>
        <v>0</v>
      </c>
      <c r="H47" s="29">
        <f t="shared" si="2"/>
        <v>0</v>
      </c>
      <c r="I47" s="29">
        <f t="shared" si="3"/>
        <v>0</v>
      </c>
      <c r="J47" s="29">
        <f t="shared" si="4"/>
        <v>0</v>
      </c>
      <c r="K47" s="32" t="str" cm="1">
        <f t="array" ref="K47">IF(AF47&lt;&gt;"",IFERROR(INDEX('Group List A'!B:B,MATCH(AI47,'Group List A'!A:A,0),0),"-"),"")</f>
        <v/>
      </c>
      <c r="L47" s="33">
        <f t="shared" si="5"/>
        <v>0</v>
      </c>
      <c r="M47" s="33">
        <f t="shared" si="6"/>
        <v>0</v>
      </c>
      <c r="N47" s="33">
        <f t="shared" si="7"/>
        <v>0</v>
      </c>
      <c r="O47" s="28"/>
      <c r="P47" s="33">
        <f t="shared" si="8"/>
        <v>0</v>
      </c>
      <c r="Q47" s="35" t="str" cm="1">
        <f t="array" ref="Q47">IF(AF47&lt;&gt;"",IFERROR(INDEX('Group List B'!B:B,MATCH(AI47,'Group List B'!A:A,0),0),"-"),"")</f>
        <v/>
      </c>
      <c r="R47" s="36">
        <f t="shared" si="9"/>
        <v>0</v>
      </c>
      <c r="S47" s="36">
        <f t="shared" si="10"/>
        <v>0</v>
      </c>
      <c r="T47" s="36">
        <f t="shared" si="11"/>
        <v>0</v>
      </c>
      <c r="U47" s="28"/>
      <c r="V47" s="37">
        <f t="shared" si="12"/>
        <v>0</v>
      </c>
      <c r="W47" s="41"/>
      <c r="X47" s="27"/>
      <c r="Y47" s="27"/>
      <c r="Z47" s="27"/>
      <c r="AA47" s="15"/>
      <c r="AB47" s="17"/>
      <c r="AC47" s="17"/>
      <c r="AD47" s="17"/>
      <c r="AE47" s="90"/>
      <c r="AF47" s="82" t="str">
        <f t="shared" si="13"/>
        <v/>
      </c>
      <c r="AG47" s="83" t="str">
        <f t="shared" si="14"/>
        <v/>
      </c>
      <c r="AH47" s="82" t="str">
        <f t="shared" si="15"/>
        <v/>
      </c>
      <c r="AI47" s="82" t="str">
        <f t="shared" si="16"/>
        <v/>
      </c>
      <c r="AJ47" s="90"/>
      <c r="AP47" s="88"/>
    </row>
    <row r="48" spans="1:42" x14ac:dyDescent="0.25">
      <c r="A48" s="2"/>
      <c r="C48" s="68" t="str" cm="1">
        <f t="array" ref="C48">IF(AF48&lt;&gt;"",
IFERROR(INDEX('LaunchPad Markbook'!A:A,MATCH(AH48,'LaunchPad Markbook'!D:D,0),0),"-"),"")</f>
        <v/>
      </c>
      <c r="D48" s="27"/>
      <c r="E48" s="27"/>
      <c r="F48" s="27"/>
      <c r="G48" s="14">
        <f>IF(OR(H48&gt;AB$2,I48&gt;AC$2,J48&gt;AD$2,
P48&gt;1,V48&gt;1,
L48&gt;'Group List A'!E$2,M48&gt;'Group List A'!F$2,N48&gt;'Group List A'!G$2,
R48&gt;'Group List B'!E$2,S48&gt;'Group List B'!F$2,T48&gt;'Group List B'!G$2),"Exceed",
IF(OR(H48=AB$2,I48=AC$2,J48=AD$2,
P48=1,V48=1,
L48='Group List A'!E$2,M48='Group List A'!F$2,N48='Group List A'!G$2,
R48='Group List B'!E$2,S48='Group List B'!F$2,T48='Group List B'!G$2),"Limit",0))</f>
        <v>0</v>
      </c>
      <c r="H48" s="29">
        <f t="shared" si="2"/>
        <v>0</v>
      </c>
      <c r="I48" s="29">
        <f t="shared" si="3"/>
        <v>0</v>
      </c>
      <c r="J48" s="29">
        <f t="shared" si="4"/>
        <v>0</v>
      </c>
      <c r="K48" s="32" t="str" cm="1">
        <f t="array" ref="K48">IF(AF48&lt;&gt;"",IFERROR(INDEX('Group List A'!B:B,MATCH(AI48,'Group List A'!A:A,0),0),"-"),"")</f>
        <v/>
      </c>
      <c r="L48" s="33">
        <f t="shared" si="5"/>
        <v>0</v>
      </c>
      <c r="M48" s="33">
        <f t="shared" si="6"/>
        <v>0</v>
      </c>
      <c r="N48" s="33">
        <f t="shared" si="7"/>
        <v>0</v>
      </c>
      <c r="O48" s="28"/>
      <c r="P48" s="33">
        <f t="shared" si="8"/>
        <v>0</v>
      </c>
      <c r="Q48" s="35" t="str" cm="1">
        <f t="array" ref="Q48">IF(AF48&lt;&gt;"",IFERROR(INDEX('Group List B'!B:B,MATCH(AI48,'Group List B'!A:A,0),0),"-"),"")</f>
        <v/>
      </c>
      <c r="R48" s="36">
        <f t="shared" si="9"/>
        <v>0</v>
      </c>
      <c r="S48" s="36">
        <f t="shared" si="10"/>
        <v>0</v>
      </c>
      <c r="T48" s="36">
        <f t="shared" si="11"/>
        <v>0</v>
      </c>
      <c r="U48" s="28"/>
      <c r="V48" s="37">
        <f t="shared" si="12"/>
        <v>0</v>
      </c>
      <c r="W48" s="41"/>
      <c r="X48" s="27"/>
      <c r="Y48" s="27"/>
      <c r="Z48" s="27"/>
      <c r="AA48" s="15"/>
      <c r="AB48" s="17"/>
      <c r="AC48" s="17"/>
      <c r="AD48" s="17"/>
      <c r="AE48" s="90"/>
      <c r="AF48" s="82" t="str">
        <f t="shared" si="13"/>
        <v/>
      </c>
      <c r="AG48" s="83" t="str">
        <f t="shared" si="14"/>
        <v/>
      </c>
      <c r="AH48" s="82" t="str">
        <f t="shared" si="15"/>
        <v/>
      </c>
      <c r="AI48" s="82" t="str">
        <f t="shared" si="16"/>
        <v/>
      </c>
      <c r="AJ48" s="90"/>
      <c r="AP48" s="88"/>
    </row>
    <row r="49" spans="1:42" x14ac:dyDescent="0.25">
      <c r="A49" s="2"/>
      <c r="C49" s="68" t="str" cm="1">
        <f t="array" ref="C49">IF(AF49&lt;&gt;"",
IFERROR(INDEX('LaunchPad Markbook'!A:A,MATCH(AH49,'LaunchPad Markbook'!D:D,0),0),"-"),"")</f>
        <v/>
      </c>
      <c r="D49" s="27"/>
      <c r="E49" s="27"/>
      <c r="F49" s="27"/>
      <c r="G49" s="14">
        <f>IF(OR(H49&gt;AB$2,I49&gt;AC$2,J49&gt;AD$2,
P49&gt;1,V49&gt;1,
L49&gt;'Group List A'!E$2,M49&gt;'Group List A'!F$2,N49&gt;'Group List A'!G$2,
R49&gt;'Group List B'!E$2,S49&gt;'Group List B'!F$2,T49&gt;'Group List B'!G$2),"Exceed",
IF(OR(H49=AB$2,I49=AC$2,J49=AD$2,
P49=1,V49=1,
L49='Group List A'!E$2,M49='Group List A'!F$2,N49='Group List A'!G$2,
R49='Group List B'!E$2,S49='Group List B'!F$2,T49='Group List B'!G$2),"Limit",0))</f>
        <v>0</v>
      </c>
      <c r="H49" s="29">
        <f t="shared" si="2"/>
        <v>0</v>
      </c>
      <c r="I49" s="29">
        <f t="shared" si="3"/>
        <v>0</v>
      </c>
      <c r="J49" s="29">
        <f t="shared" si="4"/>
        <v>0</v>
      </c>
      <c r="K49" s="32" t="str" cm="1">
        <f t="array" ref="K49">IF(AF49&lt;&gt;"",IFERROR(INDEX('Group List A'!B:B,MATCH(AI49,'Group List A'!A:A,0),0),"-"),"")</f>
        <v/>
      </c>
      <c r="L49" s="33">
        <f t="shared" si="5"/>
        <v>0</v>
      </c>
      <c r="M49" s="33">
        <f t="shared" si="6"/>
        <v>0</v>
      </c>
      <c r="N49" s="33">
        <f t="shared" si="7"/>
        <v>0</v>
      </c>
      <c r="O49" s="28"/>
      <c r="P49" s="33">
        <f t="shared" si="8"/>
        <v>0</v>
      </c>
      <c r="Q49" s="35" t="str" cm="1">
        <f t="array" ref="Q49">IF(AF49&lt;&gt;"",IFERROR(INDEX('Group List B'!B:B,MATCH(AI49,'Group List B'!A:A,0),0),"-"),"")</f>
        <v/>
      </c>
      <c r="R49" s="36">
        <f t="shared" si="9"/>
        <v>0</v>
      </c>
      <c r="S49" s="36">
        <f t="shared" si="10"/>
        <v>0</v>
      </c>
      <c r="T49" s="36">
        <f t="shared" si="11"/>
        <v>0</v>
      </c>
      <c r="U49" s="28"/>
      <c r="V49" s="37">
        <f t="shared" si="12"/>
        <v>0</v>
      </c>
      <c r="W49" s="41"/>
      <c r="X49" s="27"/>
      <c r="Y49" s="27"/>
      <c r="Z49" s="27"/>
      <c r="AA49" s="15"/>
      <c r="AB49" s="17"/>
      <c r="AC49" s="17"/>
      <c r="AD49" s="17"/>
      <c r="AE49" s="90"/>
      <c r="AF49" s="82" t="str">
        <f t="shared" si="13"/>
        <v/>
      </c>
      <c r="AG49" s="83" t="str">
        <f t="shared" si="14"/>
        <v/>
      </c>
      <c r="AH49" s="82" t="str">
        <f t="shared" si="15"/>
        <v/>
      </c>
      <c r="AI49" s="82" t="str">
        <f t="shared" si="16"/>
        <v/>
      </c>
      <c r="AJ49" s="90"/>
      <c r="AP49" s="88"/>
    </row>
    <row r="50" spans="1:42" x14ac:dyDescent="0.25">
      <c r="A50" s="2"/>
      <c r="C50" s="68" t="str" cm="1">
        <f t="array" ref="C50">IF(AF50&lt;&gt;"",
IFERROR(INDEX('LaunchPad Markbook'!A:A,MATCH(AH50,'LaunchPad Markbook'!D:D,0),0),"-"),"")</f>
        <v/>
      </c>
      <c r="D50" s="27"/>
      <c r="E50" s="27"/>
      <c r="F50" s="27"/>
      <c r="G50" s="14">
        <f>IF(OR(H50&gt;AB$2,I50&gt;AC$2,J50&gt;AD$2,
P50&gt;1,V50&gt;1,
L50&gt;'Group List A'!E$2,M50&gt;'Group List A'!F$2,N50&gt;'Group List A'!G$2,
R50&gt;'Group List B'!E$2,S50&gt;'Group List B'!F$2,T50&gt;'Group List B'!G$2),"Exceed",
IF(OR(H50=AB$2,I50=AC$2,J50=AD$2,
P50=1,V50=1,
L50='Group List A'!E$2,M50='Group List A'!F$2,N50='Group List A'!G$2,
R50='Group List B'!E$2,S50='Group List B'!F$2,T50='Group List B'!G$2),"Limit",0))</f>
        <v>0</v>
      </c>
      <c r="H50" s="29">
        <f t="shared" si="2"/>
        <v>0</v>
      </c>
      <c r="I50" s="29">
        <f t="shared" si="3"/>
        <v>0</v>
      </c>
      <c r="J50" s="29">
        <f t="shared" si="4"/>
        <v>0</v>
      </c>
      <c r="K50" s="32" t="str" cm="1">
        <f t="array" ref="K50">IF(AF50&lt;&gt;"",IFERROR(INDEX('Group List A'!B:B,MATCH(AI50,'Group List A'!A:A,0),0),"-"),"")</f>
        <v/>
      </c>
      <c r="L50" s="33">
        <f t="shared" si="5"/>
        <v>0</v>
      </c>
      <c r="M50" s="33">
        <f t="shared" si="6"/>
        <v>0</v>
      </c>
      <c r="N50" s="33">
        <f t="shared" si="7"/>
        <v>0</v>
      </c>
      <c r="O50" s="28"/>
      <c r="P50" s="33">
        <f t="shared" si="8"/>
        <v>0</v>
      </c>
      <c r="Q50" s="35" t="str" cm="1">
        <f t="array" ref="Q50">IF(AF50&lt;&gt;"",IFERROR(INDEX('Group List B'!B:B,MATCH(AI50,'Group List B'!A:A,0),0),"-"),"")</f>
        <v/>
      </c>
      <c r="R50" s="36">
        <f t="shared" si="9"/>
        <v>0</v>
      </c>
      <c r="S50" s="36">
        <f t="shared" si="10"/>
        <v>0</v>
      </c>
      <c r="T50" s="36">
        <f t="shared" si="11"/>
        <v>0</v>
      </c>
      <c r="U50" s="28"/>
      <c r="V50" s="37">
        <f t="shared" si="12"/>
        <v>0</v>
      </c>
      <c r="W50" s="41"/>
      <c r="X50" s="27"/>
      <c r="Y50" s="27"/>
      <c r="Z50" s="27"/>
      <c r="AA50" s="15"/>
      <c r="AB50" s="17"/>
      <c r="AC50" s="17"/>
      <c r="AD50" s="17"/>
      <c r="AE50" s="90"/>
      <c r="AF50" s="82" t="str">
        <f t="shared" si="13"/>
        <v/>
      </c>
      <c r="AG50" s="83" t="str">
        <f t="shared" si="14"/>
        <v/>
      </c>
      <c r="AH50" s="82" t="str">
        <f t="shared" si="15"/>
        <v/>
      </c>
      <c r="AI50" s="82" t="str">
        <f t="shared" si="16"/>
        <v/>
      </c>
      <c r="AJ50" s="90"/>
      <c r="AP50" s="88"/>
    </row>
    <row r="51" spans="1:42" x14ac:dyDescent="0.25">
      <c r="A51" s="2"/>
      <c r="C51" s="68" t="str" cm="1">
        <f t="array" ref="C51">IF(AF51&lt;&gt;"",
IFERROR(INDEX('LaunchPad Markbook'!A:A,MATCH(AH51,'LaunchPad Markbook'!D:D,0),0),"-"),"")</f>
        <v/>
      </c>
      <c r="D51" s="27"/>
      <c r="E51" s="27"/>
      <c r="F51" s="27"/>
      <c r="G51" s="14">
        <f>IF(OR(H51&gt;AB$2,I51&gt;AC$2,J51&gt;AD$2,
P51&gt;1,V51&gt;1,
L51&gt;'Group List A'!E$2,M51&gt;'Group List A'!F$2,N51&gt;'Group List A'!G$2,
R51&gt;'Group List B'!E$2,S51&gt;'Group List B'!F$2,T51&gt;'Group List B'!G$2),"Exceed",
IF(OR(H51=AB$2,I51=AC$2,J51=AD$2,
P51=1,V51=1,
L51='Group List A'!E$2,M51='Group List A'!F$2,N51='Group List A'!G$2,
R51='Group List B'!E$2,S51='Group List B'!F$2,T51='Group List B'!G$2),"Limit",0))</f>
        <v>0</v>
      </c>
      <c r="H51" s="29">
        <f t="shared" si="2"/>
        <v>0</v>
      </c>
      <c r="I51" s="29">
        <f t="shared" si="3"/>
        <v>0</v>
      </c>
      <c r="J51" s="29">
        <f t="shared" si="4"/>
        <v>0</v>
      </c>
      <c r="K51" s="32" t="str" cm="1">
        <f t="array" ref="K51">IF(AF51&lt;&gt;"",IFERROR(INDEX('Group List A'!B:B,MATCH(AI51,'Group List A'!A:A,0),0),"-"),"")</f>
        <v/>
      </c>
      <c r="L51" s="33">
        <f t="shared" si="5"/>
        <v>0</v>
      </c>
      <c r="M51" s="33">
        <f t="shared" si="6"/>
        <v>0</v>
      </c>
      <c r="N51" s="33">
        <f t="shared" si="7"/>
        <v>0</v>
      </c>
      <c r="O51" s="28"/>
      <c r="P51" s="33">
        <f t="shared" si="8"/>
        <v>0</v>
      </c>
      <c r="Q51" s="35" t="str" cm="1">
        <f t="array" ref="Q51">IF(AF51&lt;&gt;"",IFERROR(INDEX('Group List B'!B:B,MATCH(AI51,'Group List B'!A:A,0),0),"-"),"")</f>
        <v/>
      </c>
      <c r="R51" s="36">
        <f t="shared" si="9"/>
        <v>0</v>
      </c>
      <c r="S51" s="36">
        <f t="shared" si="10"/>
        <v>0</v>
      </c>
      <c r="T51" s="36">
        <f t="shared" si="11"/>
        <v>0</v>
      </c>
      <c r="U51" s="28"/>
      <c r="V51" s="37">
        <f t="shared" si="12"/>
        <v>0</v>
      </c>
      <c r="W51" s="41"/>
      <c r="X51" s="27"/>
      <c r="Y51" s="27"/>
      <c r="Z51" s="27"/>
      <c r="AA51" s="15"/>
      <c r="AB51" s="17"/>
      <c r="AC51" s="17"/>
      <c r="AD51" s="17"/>
      <c r="AE51" s="90"/>
      <c r="AF51" s="82" t="str">
        <f t="shared" si="13"/>
        <v/>
      </c>
      <c r="AG51" s="83" t="str">
        <f t="shared" si="14"/>
        <v/>
      </c>
      <c r="AH51" s="82" t="str">
        <f t="shared" si="15"/>
        <v/>
      </c>
      <c r="AI51" s="82" t="str">
        <f t="shared" si="16"/>
        <v/>
      </c>
      <c r="AJ51" s="90"/>
      <c r="AP51" s="88"/>
    </row>
    <row r="52" spans="1:42" x14ac:dyDescent="0.25">
      <c r="A52" s="2"/>
      <c r="C52" s="68" t="str" cm="1">
        <f t="array" ref="C52">IF(AF52&lt;&gt;"",
IFERROR(INDEX('LaunchPad Markbook'!A:A,MATCH(AH52,'LaunchPad Markbook'!D:D,0),0),"-"),"")</f>
        <v/>
      </c>
      <c r="D52" s="27"/>
      <c r="E52" s="27"/>
      <c r="F52" s="27"/>
      <c r="G52" s="14">
        <f>IF(OR(H52&gt;AB$2,I52&gt;AC$2,J52&gt;AD$2,
P52&gt;1,V52&gt;1,
L52&gt;'Group List A'!E$2,M52&gt;'Group List A'!F$2,N52&gt;'Group List A'!G$2,
R52&gt;'Group List B'!E$2,S52&gt;'Group List B'!F$2,T52&gt;'Group List B'!G$2),"Exceed",
IF(OR(H52=AB$2,I52=AC$2,J52=AD$2,
P52=1,V52=1,
L52='Group List A'!E$2,M52='Group List A'!F$2,N52='Group List A'!G$2,
R52='Group List B'!E$2,S52='Group List B'!F$2,T52='Group List B'!G$2),"Limit",0))</f>
        <v>0</v>
      </c>
      <c r="H52" s="29">
        <f t="shared" si="2"/>
        <v>0</v>
      </c>
      <c r="I52" s="29">
        <f t="shared" si="3"/>
        <v>0</v>
      </c>
      <c r="J52" s="29">
        <f t="shared" si="4"/>
        <v>0</v>
      </c>
      <c r="K52" s="32" t="str" cm="1">
        <f t="array" ref="K52">IF(AF52&lt;&gt;"",IFERROR(INDEX('Group List A'!B:B,MATCH(AI52,'Group List A'!A:A,0),0),"-"),"")</f>
        <v/>
      </c>
      <c r="L52" s="33">
        <f t="shared" si="5"/>
        <v>0</v>
      </c>
      <c r="M52" s="33">
        <f t="shared" si="6"/>
        <v>0</v>
      </c>
      <c r="N52" s="33">
        <f t="shared" si="7"/>
        <v>0</v>
      </c>
      <c r="O52" s="28"/>
      <c r="P52" s="33">
        <f t="shared" si="8"/>
        <v>0</v>
      </c>
      <c r="Q52" s="35" t="str" cm="1">
        <f t="array" ref="Q52">IF(AF52&lt;&gt;"",IFERROR(INDEX('Group List B'!B:B,MATCH(AI52,'Group List B'!A:A,0),0),"-"),"")</f>
        <v/>
      </c>
      <c r="R52" s="36">
        <f t="shared" si="9"/>
        <v>0</v>
      </c>
      <c r="S52" s="36">
        <f t="shared" si="10"/>
        <v>0</v>
      </c>
      <c r="T52" s="36">
        <f t="shared" si="11"/>
        <v>0</v>
      </c>
      <c r="U52" s="28"/>
      <c r="V52" s="37">
        <f t="shared" si="12"/>
        <v>0</v>
      </c>
      <c r="W52" s="41"/>
      <c r="X52" s="27"/>
      <c r="Y52" s="27"/>
      <c r="Z52" s="27"/>
      <c r="AA52" s="15"/>
      <c r="AB52" s="17"/>
      <c r="AC52" s="17"/>
      <c r="AD52" s="17"/>
      <c r="AE52" s="90"/>
      <c r="AF52" s="82" t="str">
        <f t="shared" si="13"/>
        <v/>
      </c>
      <c r="AG52" s="83" t="str">
        <f t="shared" si="14"/>
        <v/>
      </c>
      <c r="AH52" s="82" t="str">
        <f t="shared" si="15"/>
        <v/>
      </c>
      <c r="AI52" s="82" t="str">
        <f t="shared" si="16"/>
        <v/>
      </c>
      <c r="AJ52" s="90"/>
      <c r="AP52" s="88"/>
    </row>
    <row r="53" spans="1:42" x14ac:dyDescent="0.25">
      <c r="A53" s="2"/>
      <c r="C53" s="68" t="str" cm="1">
        <f t="array" ref="C53">IF(AF53&lt;&gt;"",
IFERROR(INDEX('LaunchPad Markbook'!A:A,MATCH(AH53,'LaunchPad Markbook'!D:D,0),0),"-"),"")</f>
        <v/>
      </c>
      <c r="D53" s="27"/>
      <c r="E53" s="27"/>
      <c r="F53" s="27"/>
      <c r="G53" s="14">
        <f>IF(OR(H53&gt;AB$2,I53&gt;AC$2,J53&gt;AD$2,
P53&gt;1,V53&gt;1,
L53&gt;'Group List A'!E$2,M53&gt;'Group List A'!F$2,N53&gt;'Group List A'!G$2,
R53&gt;'Group List B'!E$2,S53&gt;'Group List B'!F$2,T53&gt;'Group List B'!G$2),"Exceed",
IF(OR(H53=AB$2,I53=AC$2,J53=AD$2,
P53=1,V53=1,
L53='Group List A'!E$2,M53='Group List A'!F$2,N53='Group List A'!G$2,
R53='Group List B'!E$2,S53='Group List B'!F$2,T53='Group List B'!G$2),"Limit",0))</f>
        <v>0</v>
      </c>
      <c r="H53" s="29">
        <f t="shared" si="2"/>
        <v>0</v>
      </c>
      <c r="I53" s="29">
        <f t="shared" si="3"/>
        <v>0</v>
      </c>
      <c r="J53" s="29">
        <f t="shared" si="4"/>
        <v>0</v>
      </c>
      <c r="K53" s="32" t="str" cm="1">
        <f t="array" ref="K53">IF(AF53&lt;&gt;"",IFERROR(INDEX('Group List A'!B:B,MATCH(AI53,'Group List A'!A:A,0),0),"-"),"")</f>
        <v/>
      </c>
      <c r="L53" s="33">
        <f t="shared" si="5"/>
        <v>0</v>
      </c>
      <c r="M53" s="33">
        <f t="shared" si="6"/>
        <v>0</v>
      </c>
      <c r="N53" s="33">
        <f t="shared" si="7"/>
        <v>0</v>
      </c>
      <c r="O53" s="28"/>
      <c r="P53" s="33">
        <f t="shared" si="8"/>
        <v>0</v>
      </c>
      <c r="Q53" s="35" t="str" cm="1">
        <f t="array" ref="Q53">IF(AF53&lt;&gt;"",IFERROR(INDEX('Group List B'!B:B,MATCH(AI53,'Group List B'!A:A,0),0),"-"),"")</f>
        <v/>
      </c>
      <c r="R53" s="36">
        <f t="shared" si="9"/>
        <v>0</v>
      </c>
      <c r="S53" s="36">
        <f t="shared" si="10"/>
        <v>0</v>
      </c>
      <c r="T53" s="36">
        <f t="shared" si="11"/>
        <v>0</v>
      </c>
      <c r="U53" s="28"/>
      <c r="V53" s="37">
        <f t="shared" si="12"/>
        <v>0</v>
      </c>
      <c r="W53" s="41"/>
      <c r="X53" s="27"/>
      <c r="Y53" s="27"/>
      <c r="Z53" s="27"/>
      <c r="AA53" s="15"/>
      <c r="AB53" s="17"/>
      <c r="AC53" s="17"/>
      <c r="AD53" s="17"/>
      <c r="AE53" s="90"/>
      <c r="AF53" s="82" t="str">
        <f t="shared" si="13"/>
        <v/>
      </c>
      <c r="AG53" s="83" t="str">
        <f t="shared" si="14"/>
        <v/>
      </c>
      <c r="AH53" s="82" t="str">
        <f t="shared" si="15"/>
        <v/>
      </c>
      <c r="AI53" s="82" t="str">
        <f t="shared" si="16"/>
        <v/>
      </c>
      <c r="AJ53" s="90"/>
      <c r="AP53" s="88"/>
    </row>
    <row r="54" spans="1:42" x14ac:dyDescent="0.25">
      <c r="A54" s="2"/>
      <c r="C54" s="68" t="str" cm="1">
        <f t="array" ref="C54">IF(AF54&lt;&gt;"",
IFERROR(INDEX('LaunchPad Markbook'!A:A,MATCH(AH54,'LaunchPad Markbook'!D:D,0),0),"-"),"")</f>
        <v/>
      </c>
      <c r="D54" s="27"/>
      <c r="E54" s="27"/>
      <c r="F54" s="27"/>
      <c r="G54" s="14">
        <f>IF(OR(H54&gt;AB$2,I54&gt;AC$2,J54&gt;AD$2,
P54&gt;1,V54&gt;1,
L54&gt;'Group List A'!E$2,M54&gt;'Group List A'!F$2,N54&gt;'Group List A'!G$2,
R54&gt;'Group List B'!E$2,S54&gt;'Group List B'!F$2,T54&gt;'Group List B'!G$2),"Exceed",
IF(OR(H54=AB$2,I54=AC$2,J54=AD$2,
P54=1,V54=1,
L54='Group List A'!E$2,M54='Group List A'!F$2,N54='Group List A'!G$2,
R54='Group List B'!E$2,S54='Group List B'!F$2,T54='Group List B'!G$2),"Limit",0))</f>
        <v>0</v>
      </c>
      <c r="H54" s="29">
        <f t="shared" si="2"/>
        <v>0</v>
      </c>
      <c r="I54" s="29">
        <f t="shared" si="3"/>
        <v>0</v>
      </c>
      <c r="J54" s="29">
        <f t="shared" si="4"/>
        <v>0</v>
      </c>
      <c r="K54" s="32" t="str" cm="1">
        <f t="array" ref="K54">IF(AF54&lt;&gt;"",IFERROR(INDEX('Group List A'!B:B,MATCH(AI54,'Group List A'!A:A,0),0),"-"),"")</f>
        <v/>
      </c>
      <c r="L54" s="33">
        <f t="shared" si="5"/>
        <v>0</v>
      </c>
      <c r="M54" s="33">
        <f t="shared" si="6"/>
        <v>0</v>
      </c>
      <c r="N54" s="33">
        <f t="shared" si="7"/>
        <v>0</v>
      </c>
      <c r="O54" s="28"/>
      <c r="P54" s="33">
        <f t="shared" si="8"/>
        <v>0</v>
      </c>
      <c r="Q54" s="35" t="str" cm="1">
        <f t="array" ref="Q54">IF(AF54&lt;&gt;"",IFERROR(INDEX('Group List B'!B:B,MATCH(AI54,'Group List B'!A:A,0),0),"-"),"")</f>
        <v/>
      </c>
      <c r="R54" s="36">
        <f t="shared" si="9"/>
        <v>0</v>
      </c>
      <c r="S54" s="36">
        <f t="shared" si="10"/>
        <v>0</v>
      </c>
      <c r="T54" s="36">
        <f t="shared" si="11"/>
        <v>0</v>
      </c>
      <c r="U54" s="28"/>
      <c r="V54" s="37">
        <f t="shared" si="12"/>
        <v>0</v>
      </c>
      <c r="W54" s="41"/>
      <c r="X54" s="27"/>
      <c r="Y54" s="27"/>
      <c r="Z54" s="27"/>
      <c r="AA54" s="15"/>
      <c r="AB54" s="17"/>
      <c r="AC54" s="17"/>
      <c r="AD54" s="17"/>
      <c r="AE54" s="90"/>
      <c r="AF54" s="82" t="str">
        <f t="shared" si="13"/>
        <v/>
      </c>
      <c r="AG54" s="83" t="str">
        <f t="shared" si="14"/>
        <v/>
      </c>
      <c r="AH54" s="82" t="str">
        <f t="shared" si="15"/>
        <v/>
      </c>
      <c r="AI54" s="82" t="str">
        <f t="shared" si="16"/>
        <v/>
      </c>
      <c r="AJ54" s="90"/>
      <c r="AP54" s="88"/>
    </row>
    <row r="55" spans="1:42" x14ac:dyDescent="0.25">
      <c r="A55" s="2"/>
      <c r="C55" s="68" t="str" cm="1">
        <f t="array" ref="C55">IF(AF55&lt;&gt;"",
IFERROR(INDEX('LaunchPad Markbook'!A:A,MATCH(AH55,'LaunchPad Markbook'!D:D,0),0),"-"),"")</f>
        <v/>
      </c>
      <c r="D55" s="27"/>
      <c r="E55" s="27"/>
      <c r="F55" s="27"/>
      <c r="G55" s="14">
        <f>IF(OR(H55&gt;AB$2,I55&gt;AC$2,J55&gt;AD$2,
P55&gt;1,V55&gt;1,
L55&gt;'Group List A'!E$2,M55&gt;'Group List A'!F$2,N55&gt;'Group List A'!G$2,
R55&gt;'Group List B'!E$2,S55&gt;'Group List B'!F$2,T55&gt;'Group List B'!G$2),"Exceed",
IF(OR(H55=AB$2,I55=AC$2,J55=AD$2,
P55=1,V55=1,
L55='Group List A'!E$2,M55='Group List A'!F$2,N55='Group List A'!G$2,
R55='Group List B'!E$2,S55='Group List B'!F$2,T55='Group List B'!G$2),"Limit",0))</f>
        <v>0</v>
      </c>
      <c r="H55" s="29">
        <f t="shared" si="2"/>
        <v>0</v>
      </c>
      <c r="I55" s="29">
        <f t="shared" si="3"/>
        <v>0</v>
      </c>
      <c r="J55" s="29">
        <f t="shared" si="4"/>
        <v>0</v>
      </c>
      <c r="K55" s="32" t="str" cm="1">
        <f t="array" ref="K55">IF(AF55&lt;&gt;"",IFERROR(INDEX('Group List A'!B:B,MATCH(AI55,'Group List A'!A:A,0),0),"-"),"")</f>
        <v/>
      </c>
      <c r="L55" s="33">
        <f t="shared" si="5"/>
        <v>0</v>
      </c>
      <c r="M55" s="33">
        <f t="shared" si="6"/>
        <v>0</v>
      </c>
      <c r="N55" s="33">
        <f t="shared" si="7"/>
        <v>0</v>
      </c>
      <c r="O55" s="28"/>
      <c r="P55" s="33">
        <f t="shared" si="8"/>
        <v>0</v>
      </c>
      <c r="Q55" s="35" t="str" cm="1">
        <f t="array" ref="Q55">IF(AF55&lt;&gt;"",IFERROR(INDEX('Group List B'!B:B,MATCH(AI55,'Group List B'!A:A,0),0),"-"),"")</f>
        <v/>
      </c>
      <c r="R55" s="36">
        <f t="shared" si="9"/>
        <v>0</v>
      </c>
      <c r="S55" s="36">
        <f t="shared" si="10"/>
        <v>0</v>
      </c>
      <c r="T55" s="36">
        <f t="shared" si="11"/>
        <v>0</v>
      </c>
      <c r="U55" s="28"/>
      <c r="V55" s="37">
        <f t="shared" si="12"/>
        <v>0</v>
      </c>
      <c r="W55" s="41"/>
      <c r="X55" s="27"/>
      <c r="Y55" s="27"/>
      <c r="Z55" s="27"/>
      <c r="AA55" s="15"/>
      <c r="AB55" s="17"/>
      <c r="AC55" s="17"/>
      <c r="AD55" s="17"/>
      <c r="AE55" s="90"/>
      <c r="AF55" s="82" t="str">
        <f t="shared" si="13"/>
        <v/>
      </c>
      <c r="AG55" s="83" t="str">
        <f t="shared" si="14"/>
        <v/>
      </c>
      <c r="AH55" s="82" t="str">
        <f t="shared" si="15"/>
        <v/>
      </c>
      <c r="AI55" s="82" t="str">
        <f t="shared" si="16"/>
        <v/>
      </c>
      <c r="AJ55" s="90"/>
      <c r="AP55" s="88"/>
    </row>
    <row r="56" spans="1:42" x14ac:dyDescent="0.25">
      <c r="A56" s="2"/>
      <c r="C56" s="68" t="str" cm="1">
        <f t="array" ref="C56">IF(AF56&lt;&gt;"",
IFERROR(INDEX('LaunchPad Markbook'!A:A,MATCH(AH56,'LaunchPad Markbook'!D:D,0),0),"-"),"")</f>
        <v/>
      </c>
      <c r="D56" s="27"/>
      <c r="E56" s="27"/>
      <c r="F56" s="27"/>
      <c r="G56" s="14">
        <f>IF(OR(H56&gt;AB$2,I56&gt;AC$2,J56&gt;AD$2,
P56&gt;1,V56&gt;1,
L56&gt;'Group List A'!E$2,M56&gt;'Group List A'!F$2,N56&gt;'Group List A'!G$2,
R56&gt;'Group List B'!E$2,S56&gt;'Group List B'!F$2,T56&gt;'Group List B'!G$2),"Exceed",
IF(OR(H56=AB$2,I56=AC$2,J56=AD$2,
P56=1,V56=1,
L56='Group List A'!E$2,M56='Group List A'!F$2,N56='Group List A'!G$2,
R56='Group List B'!E$2,S56='Group List B'!F$2,T56='Group List B'!G$2),"Limit",0))</f>
        <v>0</v>
      </c>
      <c r="H56" s="29">
        <f t="shared" si="2"/>
        <v>0</v>
      </c>
      <c r="I56" s="29">
        <f t="shared" si="3"/>
        <v>0</v>
      </c>
      <c r="J56" s="29">
        <f t="shared" si="4"/>
        <v>0</v>
      </c>
      <c r="K56" s="32" t="str" cm="1">
        <f t="array" ref="K56">IF(AF56&lt;&gt;"",IFERROR(INDEX('Group List A'!B:B,MATCH(AI56,'Group List A'!A:A,0),0),"-"),"")</f>
        <v/>
      </c>
      <c r="L56" s="33">
        <f t="shared" si="5"/>
        <v>0</v>
      </c>
      <c r="M56" s="33">
        <f t="shared" si="6"/>
        <v>0</v>
      </c>
      <c r="N56" s="33">
        <f t="shared" si="7"/>
        <v>0</v>
      </c>
      <c r="O56" s="28"/>
      <c r="P56" s="33">
        <f t="shared" si="8"/>
        <v>0</v>
      </c>
      <c r="Q56" s="35" t="str" cm="1">
        <f t="array" ref="Q56">IF(AF56&lt;&gt;"",IFERROR(INDEX('Group List B'!B:B,MATCH(AI56,'Group List B'!A:A,0),0),"-"),"")</f>
        <v/>
      </c>
      <c r="R56" s="36">
        <f t="shared" si="9"/>
        <v>0</v>
      </c>
      <c r="S56" s="36">
        <f t="shared" si="10"/>
        <v>0</v>
      </c>
      <c r="T56" s="36">
        <f t="shared" si="11"/>
        <v>0</v>
      </c>
      <c r="U56" s="28"/>
      <c r="V56" s="37">
        <f t="shared" si="12"/>
        <v>0</v>
      </c>
      <c r="W56" s="41"/>
      <c r="X56" s="27"/>
      <c r="Y56" s="27"/>
      <c r="Z56" s="27"/>
      <c r="AA56" s="15"/>
      <c r="AB56" s="17"/>
      <c r="AC56" s="17"/>
      <c r="AD56" s="17"/>
      <c r="AE56" s="90"/>
      <c r="AF56" s="82" t="str">
        <f t="shared" si="13"/>
        <v/>
      </c>
      <c r="AG56" s="83" t="str">
        <f t="shared" si="14"/>
        <v/>
      </c>
      <c r="AH56" s="82" t="str">
        <f t="shared" si="15"/>
        <v/>
      </c>
      <c r="AI56" s="82" t="str">
        <f t="shared" si="16"/>
        <v/>
      </c>
      <c r="AJ56" s="90"/>
      <c r="AP56" s="88"/>
    </row>
    <row r="57" spans="1:42" x14ac:dyDescent="0.25">
      <c r="A57" s="2"/>
      <c r="C57" s="68" t="str" cm="1">
        <f t="array" ref="C57">IF(AF57&lt;&gt;"",
IFERROR(INDEX('LaunchPad Markbook'!A:A,MATCH(AH57,'LaunchPad Markbook'!D:D,0),0),"-"),"")</f>
        <v/>
      </c>
      <c r="D57" s="27"/>
      <c r="E57" s="27"/>
      <c r="F57" s="27"/>
      <c r="G57" s="14">
        <f>IF(OR(H57&gt;AB$2,I57&gt;AC$2,J57&gt;AD$2,
P57&gt;1,V57&gt;1,
L57&gt;'Group List A'!E$2,M57&gt;'Group List A'!F$2,N57&gt;'Group List A'!G$2,
R57&gt;'Group List B'!E$2,S57&gt;'Group List B'!F$2,T57&gt;'Group List B'!G$2),"Exceed",
IF(OR(H57=AB$2,I57=AC$2,J57=AD$2,
P57=1,V57=1,
L57='Group List A'!E$2,M57='Group List A'!F$2,N57='Group List A'!G$2,
R57='Group List B'!E$2,S57='Group List B'!F$2,T57='Group List B'!G$2),"Limit",0))</f>
        <v>0</v>
      </c>
      <c r="H57" s="29">
        <f t="shared" si="2"/>
        <v>0</v>
      </c>
      <c r="I57" s="29">
        <f t="shared" si="3"/>
        <v>0</v>
      </c>
      <c r="J57" s="29">
        <f t="shared" si="4"/>
        <v>0</v>
      </c>
      <c r="K57" s="32" t="str" cm="1">
        <f t="array" ref="K57">IF(AF57&lt;&gt;"",IFERROR(INDEX('Group List A'!B:B,MATCH(AI57,'Group List A'!A:A,0),0),"-"),"")</f>
        <v/>
      </c>
      <c r="L57" s="33">
        <f t="shared" si="5"/>
        <v>0</v>
      </c>
      <c r="M57" s="33">
        <f t="shared" si="6"/>
        <v>0</v>
      </c>
      <c r="N57" s="33">
        <f t="shared" si="7"/>
        <v>0</v>
      </c>
      <c r="O57" s="28"/>
      <c r="P57" s="33">
        <f t="shared" si="8"/>
        <v>0</v>
      </c>
      <c r="Q57" s="35" t="str" cm="1">
        <f t="array" ref="Q57">IF(AF57&lt;&gt;"",IFERROR(INDEX('Group List B'!B:B,MATCH(AI57,'Group List B'!A:A,0),0),"-"),"")</f>
        <v/>
      </c>
      <c r="R57" s="36">
        <f t="shared" si="9"/>
        <v>0</v>
      </c>
      <c r="S57" s="36">
        <f t="shared" si="10"/>
        <v>0</v>
      </c>
      <c r="T57" s="36">
        <f t="shared" si="11"/>
        <v>0</v>
      </c>
      <c r="U57" s="28"/>
      <c r="V57" s="37">
        <f t="shared" si="12"/>
        <v>0</v>
      </c>
      <c r="W57" s="41"/>
      <c r="X57" s="27"/>
      <c r="Y57" s="27"/>
      <c r="Z57" s="27"/>
      <c r="AA57" s="15"/>
      <c r="AB57" s="17"/>
      <c r="AC57" s="17"/>
      <c r="AD57" s="17"/>
      <c r="AE57" s="90"/>
      <c r="AF57" s="82" t="str">
        <f t="shared" si="13"/>
        <v/>
      </c>
      <c r="AG57" s="83" t="str">
        <f t="shared" si="14"/>
        <v/>
      </c>
      <c r="AH57" s="82" t="str">
        <f t="shared" si="15"/>
        <v/>
      </c>
      <c r="AI57" s="82" t="str">
        <f t="shared" si="16"/>
        <v/>
      </c>
      <c r="AJ57" s="90"/>
      <c r="AP57" s="88"/>
    </row>
    <row r="58" spans="1:42" x14ac:dyDescent="0.25">
      <c r="A58" s="2"/>
      <c r="C58" s="68" t="str" cm="1">
        <f t="array" ref="C58">IF(AF58&lt;&gt;"",
IFERROR(INDEX('LaunchPad Markbook'!A:A,MATCH(AH58,'LaunchPad Markbook'!D:D,0),0),"-"),"")</f>
        <v/>
      </c>
      <c r="D58" s="27"/>
      <c r="E58" s="27"/>
      <c r="F58" s="27"/>
      <c r="G58" s="14">
        <f>IF(OR(H58&gt;AB$2,I58&gt;AC$2,J58&gt;AD$2,
P58&gt;1,V58&gt;1,
L58&gt;'Group List A'!E$2,M58&gt;'Group List A'!F$2,N58&gt;'Group List A'!G$2,
R58&gt;'Group List B'!E$2,S58&gt;'Group List B'!F$2,T58&gt;'Group List B'!G$2),"Exceed",
IF(OR(H58=AB$2,I58=AC$2,J58=AD$2,
P58=1,V58=1,
L58='Group List A'!E$2,M58='Group List A'!F$2,N58='Group List A'!G$2,
R58='Group List B'!E$2,S58='Group List B'!F$2,T58='Group List B'!G$2),"Limit",0))</f>
        <v>0</v>
      </c>
      <c r="H58" s="29">
        <f t="shared" si="2"/>
        <v>0</v>
      </c>
      <c r="I58" s="29">
        <f t="shared" si="3"/>
        <v>0</v>
      </c>
      <c r="J58" s="29">
        <f t="shared" si="4"/>
        <v>0</v>
      </c>
      <c r="K58" s="32" t="str" cm="1">
        <f t="array" ref="K58">IF(AF58&lt;&gt;"",IFERROR(INDEX('Group List A'!B:B,MATCH(AI58,'Group List A'!A:A,0),0),"-"),"")</f>
        <v/>
      </c>
      <c r="L58" s="33">
        <f t="shared" si="5"/>
        <v>0</v>
      </c>
      <c r="M58" s="33">
        <f t="shared" si="6"/>
        <v>0</v>
      </c>
      <c r="N58" s="33">
        <f t="shared" si="7"/>
        <v>0</v>
      </c>
      <c r="O58" s="28"/>
      <c r="P58" s="33">
        <f t="shared" si="8"/>
        <v>0</v>
      </c>
      <c r="Q58" s="35" t="str" cm="1">
        <f t="array" ref="Q58">IF(AF58&lt;&gt;"",IFERROR(INDEX('Group List B'!B:B,MATCH(AI58,'Group List B'!A:A,0),0),"-"),"")</f>
        <v/>
      </c>
      <c r="R58" s="36">
        <f t="shared" si="9"/>
        <v>0</v>
      </c>
      <c r="S58" s="36">
        <f t="shared" si="10"/>
        <v>0</v>
      </c>
      <c r="T58" s="36">
        <f t="shared" si="11"/>
        <v>0</v>
      </c>
      <c r="U58" s="28"/>
      <c r="V58" s="37">
        <f t="shared" si="12"/>
        <v>0</v>
      </c>
      <c r="W58" s="41"/>
      <c r="X58" s="27"/>
      <c r="Y58" s="27"/>
      <c r="Z58" s="27"/>
      <c r="AA58" s="15"/>
      <c r="AB58" s="17"/>
      <c r="AC58" s="17"/>
      <c r="AD58" s="17"/>
      <c r="AE58" s="90"/>
      <c r="AF58" s="82" t="str">
        <f t="shared" si="13"/>
        <v/>
      </c>
      <c r="AG58" s="83" t="str">
        <f t="shared" si="14"/>
        <v/>
      </c>
      <c r="AH58" s="82" t="str">
        <f t="shared" si="15"/>
        <v/>
      </c>
      <c r="AI58" s="82" t="str">
        <f t="shared" si="16"/>
        <v/>
      </c>
      <c r="AJ58" s="90"/>
      <c r="AP58" s="88"/>
    </row>
    <row r="59" spans="1:42" x14ac:dyDescent="0.25">
      <c r="A59" s="2"/>
      <c r="C59" s="68" t="str" cm="1">
        <f t="array" ref="C59">IF(AF59&lt;&gt;"",
IFERROR(INDEX('LaunchPad Markbook'!A:A,MATCH(AH59,'LaunchPad Markbook'!D:D,0),0),"-"),"")</f>
        <v/>
      </c>
      <c r="D59" s="27"/>
      <c r="E59" s="27"/>
      <c r="F59" s="27"/>
      <c r="G59" s="14">
        <f>IF(OR(H59&gt;AB$2,I59&gt;AC$2,J59&gt;AD$2,
P59&gt;1,V59&gt;1,
L59&gt;'Group List A'!E$2,M59&gt;'Group List A'!F$2,N59&gt;'Group List A'!G$2,
R59&gt;'Group List B'!E$2,S59&gt;'Group List B'!F$2,T59&gt;'Group List B'!G$2),"Exceed",
IF(OR(H59=AB$2,I59=AC$2,J59=AD$2,
P59=1,V59=1,
L59='Group List A'!E$2,M59='Group List A'!F$2,N59='Group List A'!G$2,
R59='Group List B'!E$2,S59='Group List B'!F$2,T59='Group List B'!G$2),"Limit",0))</f>
        <v>0</v>
      </c>
      <c r="H59" s="29">
        <f t="shared" si="2"/>
        <v>0</v>
      </c>
      <c r="I59" s="29">
        <f t="shared" si="3"/>
        <v>0</v>
      </c>
      <c r="J59" s="29">
        <f t="shared" si="4"/>
        <v>0</v>
      </c>
      <c r="K59" s="32" t="str" cm="1">
        <f t="array" ref="K59">IF(AF59&lt;&gt;"",IFERROR(INDEX('Group List A'!B:B,MATCH(AI59,'Group List A'!A:A,0),0),"-"),"")</f>
        <v/>
      </c>
      <c r="L59" s="33">
        <f t="shared" si="5"/>
        <v>0</v>
      </c>
      <c r="M59" s="33">
        <f t="shared" si="6"/>
        <v>0</v>
      </c>
      <c r="N59" s="33">
        <f t="shared" si="7"/>
        <v>0</v>
      </c>
      <c r="O59" s="28"/>
      <c r="P59" s="33">
        <f t="shared" si="8"/>
        <v>0</v>
      </c>
      <c r="Q59" s="35" t="str" cm="1">
        <f t="array" ref="Q59">IF(AF59&lt;&gt;"",IFERROR(INDEX('Group List B'!B:B,MATCH(AI59,'Group List B'!A:A,0),0),"-"),"")</f>
        <v/>
      </c>
      <c r="R59" s="36">
        <f t="shared" si="9"/>
        <v>0</v>
      </c>
      <c r="S59" s="36">
        <f t="shared" si="10"/>
        <v>0</v>
      </c>
      <c r="T59" s="36">
        <f t="shared" si="11"/>
        <v>0</v>
      </c>
      <c r="U59" s="28"/>
      <c r="V59" s="37">
        <f t="shared" si="12"/>
        <v>0</v>
      </c>
      <c r="W59" s="41"/>
      <c r="X59" s="27"/>
      <c r="Y59" s="27"/>
      <c r="Z59" s="27"/>
      <c r="AA59" s="15"/>
      <c r="AB59" s="17"/>
      <c r="AC59" s="17"/>
      <c r="AD59" s="17"/>
      <c r="AE59" s="90"/>
      <c r="AF59" s="82" t="str">
        <f t="shared" si="13"/>
        <v/>
      </c>
      <c r="AG59" s="83" t="str">
        <f t="shared" si="14"/>
        <v/>
      </c>
      <c r="AH59" s="82" t="str">
        <f t="shared" si="15"/>
        <v/>
      </c>
      <c r="AI59" s="82" t="str">
        <f t="shared" si="16"/>
        <v/>
      </c>
      <c r="AJ59" s="90"/>
      <c r="AP59" s="88"/>
    </row>
    <row r="60" spans="1:42" x14ac:dyDescent="0.25">
      <c r="A60" s="2"/>
      <c r="C60" s="68" t="str" cm="1">
        <f t="array" ref="C60">IF(AF60&lt;&gt;"",
IFERROR(INDEX('LaunchPad Markbook'!A:A,MATCH(AH60,'LaunchPad Markbook'!D:D,0),0),"-"),"")</f>
        <v/>
      </c>
      <c r="D60" s="27"/>
      <c r="E60" s="27"/>
      <c r="F60" s="27"/>
      <c r="G60" s="14">
        <f>IF(OR(H60&gt;AB$2,I60&gt;AC$2,J60&gt;AD$2,
P60&gt;1,V60&gt;1,
L60&gt;'Group List A'!E$2,M60&gt;'Group List A'!F$2,N60&gt;'Group List A'!G$2,
R60&gt;'Group List B'!E$2,S60&gt;'Group List B'!F$2,T60&gt;'Group List B'!G$2),"Exceed",
IF(OR(H60=AB$2,I60=AC$2,J60=AD$2,
P60=1,V60=1,
L60='Group List A'!E$2,M60='Group List A'!F$2,N60='Group List A'!G$2,
R60='Group List B'!E$2,S60='Group List B'!F$2,T60='Group List B'!G$2),"Limit",0))</f>
        <v>0</v>
      </c>
      <c r="H60" s="29">
        <f t="shared" si="2"/>
        <v>0</v>
      </c>
      <c r="I60" s="29">
        <f t="shared" si="3"/>
        <v>0</v>
      </c>
      <c r="J60" s="29">
        <f t="shared" si="4"/>
        <v>0</v>
      </c>
      <c r="K60" s="32" t="str" cm="1">
        <f t="array" ref="K60">IF(AF60&lt;&gt;"",IFERROR(INDEX('Group List A'!B:B,MATCH(AI60,'Group List A'!A:A,0),0),"-"),"")</f>
        <v/>
      </c>
      <c r="L60" s="33">
        <f t="shared" si="5"/>
        <v>0</v>
      </c>
      <c r="M60" s="33">
        <f t="shared" si="6"/>
        <v>0</v>
      </c>
      <c r="N60" s="33">
        <f t="shared" si="7"/>
        <v>0</v>
      </c>
      <c r="O60" s="28"/>
      <c r="P60" s="33">
        <f t="shared" si="8"/>
        <v>0</v>
      </c>
      <c r="Q60" s="35" t="str" cm="1">
        <f t="array" ref="Q60">IF(AF60&lt;&gt;"",IFERROR(INDEX('Group List B'!B:B,MATCH(AI60,'Group List B'!A:A,0),0),"-"),"")</f>
        <v/>
      </c>
      <c r="R60" s="36">
        <f t="shared" si="9"/>
        <v>0</v>
      </c>
      <c r="S60" s="36">
        <f t="shared" si="10"/>
        <v>0</v>
      </c>
      <c r="T60" s="36">
        <f t="shared" si="11"/>
        <v>0</v>
      </c>
      <c r="U60" s="28"/>
      <c r="V60" s="37">
        <f t="shared" si="12"/>
        <v>0</v>
      </c>
      <c r="W60" s="41"/>
      <c r="X60" s="27"/>
      <c r="Y60" s="27"/>
      <c r="Z60" s="27"/>
      <c r="AA60" s="15"/>
      <c r="AB60" s="17"/>
      <c r="AC60" s="17"/>
      <c r="AD60" s="17"/>
      <c r="AE60" s="90"/>
      <c r="AF60" s="82" t="str">
        <f t="shared" si="13"/>
        <v/>
      </c>
      <c r="AG60" s="83" t="str">
        <f t="shared" si="14"/>
        <v/>
      </c>
      <c r="AH60" s="82" t="str">
        <f t="shared" si="15"/>
        <v/>
      </c>
      <c r="AI60" s="82" t="str">
        <f t="shared" si="16"/>
        <v/>
      </c>
      <c r="AJ60" s="90"/>
      <c r="AP60" s="88"/>
    </row>
    <row r="61" spans="1:42" x14ac:dyDescent="0.25">
      <c r="A61" s="2"/>
      <c r="C61" s="68" t="str" cm="1">
        <f t="array" ref="C61">IF(AF61&lt;&gt;"",
IFERROR(INDEX('LaunchPad Markbook'!A:A,MATCH(AH61,'LaunchPad Markbook'!D:D,0),0),"-"),"")</f>
        <v/>
      </c>
      <c r="D61" s="27"/>
      <c r="E61" s="27"/>
      <c r="F61" s="27"/>
      <c r="G61" s="14">
        <f>IF(OR(H61&gt;AB$2,I61&gt;AC$2,J61&gt;AD$2,
P61&gt;1,V61&gt;1,
L61&gt;'Group List A'!E$2,M61&gt;'Group List A'!F$2,N61&gt;'Group List A'!G$2,
R61&gt;'Group List B'!E$2,S61&gt;'Group List B'!F$2,T61&gt;'Group List B'!G$2),"Exceed",
IF(OR(H61=AB$2,I61=AC$2,J61=AD$2,
P61=1,V61=1,
L61='Group List A'!E$2,M61='Group List A'!F$2,N61='Group List A'!G$2,
R61='Group List B'!E$2,S61='Group List B'!F$2,T61='Group List B'!G$2),"Limit",0))</f>
        <v>0</v>
      </c>
      <c r="H61" s="29">
        <f t="shared" si="2"/>
        <v>0</v>
      </c>
      <c r="I61" s="29">
        <f t="shared" si="3"/>
        <v>0</v>
      </c>
      <c r="J61" s="29">
        <f t="shared" si="4"/>
        <v>0</v>
      </c>
      <c r="K61" s="32" t="str" cm="1">
        <f t="array" ref="K61">IF(AF61&lt;&gt;"",IFERROR(INDEX('Group List A'!B:B,MATCH(AI61,'Group List A'!A:A,0),0),"-"),"")</f>
        <v/>
      </c>
      <c r="L61" s="33">
        <f t="shared" si="5"/>
        <v>0</v>
      </c>
      <c r="M61" s="33">
        <f t="shared" si="6"/>
        <v>0</v>
      </c>
      <c r="N61" s="33">
        <f t="shared" si="7"/>
        <v>0</v>
      </c>
      <c r="O61" s="28"/>
      <c r="P61" s="33">
        <f t="shared" si="8"/>
        <v>0</v>
      </c>
      <c r="Q61" s="35" t="str" cm="1">
        <f t="array" ref="Q61">IF(AF61&lt;&gt;"",IFERROR(INDEX('Group List B'!B:B,MATCH(AI61,'Group List B'!A:A,0),0),"-"),"")</f>
        <v/>
      </c>
      <c r="R61" s="36">
        <f t="shared" si="9"/>
        <v>0</v>
      </c>
      <c r="S61" s="36">
        <f t="shared" si="10"/>
        <v>0</v>
      </c>
      <c r="T61" s="36">
        <f t="shared" si="11"/>
        <v>0</v>
      </c>
      <c r="U61" s="28"/>
      <c r="V61" s="37">
        <f t="shared" si="12"/>
        <v>0</v>
      </c>
      <c r="W61" s="41"/>
      <c r="X61" s="27"/>
      <c r="Y61" s="27"/>
      <c r="Z61" s="27"/>
      <c r="AA61" s="15"/>
      <c r="AB61" s="17"/>
      <c r="AC61" s="17"/>
      <c r="AD61" s="17"/>
      <c r="AE61" s="90"/>
      <c r="AF61" s="82" t="str">
        <f t="shared" si="13"/>
        <v/>
      </c>
      <c r="AG61" s="83" t="str">
        <f t="shared" si="14"/>
        <v/>
      </c>
      <c r="AH61" s="82" t="str">
        <f t="shared" si="15"/>
        <v/>
      </c>
      <c r="AI61" s="82" t="str">
        <f t="shared" si="16"/>
        <v/>
      </c>
      <c r="AJ61" s="90"/>
      <c r="AP61" s="88"/>
    </row>
    <row r="62" spans="1:42" x14ac:dyDescent="0.25">
      <c r="A62" s="2"/>
      <c r="C62" s="68" t="str" cm="1">
        <f t="array" ref="C62">IF(AF62&lt;&gt;"",
IFERROR(INDEX('LaunchPad Markbook'!A:A,MATCH(AH62,'LaunchPad Markbook'!D:D,0),0),"-"),"")</f>
        <v/>
      </c>
      <c r="D62" s="27"/>
      <c r="E62" s="27"/>
      <c r="F62" s="27"/>
      <c r="G62" s="14">
        <f>IF(OR(H62&gt;AB$2,I62&gt;AC$2,J62&gt;AD$2,
P62&gt;1,V62&gt;1,
L62&gt;'Group List A'!E$2,M62&gt;'Group List A'!F$2,N62&gt;'Group List A'!G$2,
R62&gt;'Group List B'!E$2,S62&gt;'Group List B'!F$2,T62&gt;'Group List B'!G$2),"Exceed",
IF(OR(H62=AB$2,I62=AC$2,J62=AD$2,
P62=1,V62=1,
L62='Group List A'!E$2,M62='Group List A'!F$2,N62='Group List A'!G$2,
R62='Group List B'!E$2,S62='Group List B'!F$2,T62='Group List B'!G$2),"Limit",0))</f>
        <v>0</v>
      </c>
      <c r="H62" s="29">
        <f t="shared" si="2"/>
        <v>0</v>
      </c>
      <c r="I62" s="29">
        <f t="shared" si="3"/>
        <v>0</v>
      </c>
      <c r="J62" s="29">
        <f t="shared" si="4"/>
        <v>0</v>
      </c>
      <c r="K62" s="32" t="str" cm="1">
        <f t="array" ref="K62">IF(AF62&lt;&gt;"",IFERROR(INDEX('Group List A'!B:B,MATCH(AI62,'Group List A'!A:A,0),0),"-"),"")</f>
        <v/>
      </c>
      <c r="L62" s="33">
        <f t="shared" si="5"/>
        <v>0</v>
      </c>
      <c r="M62" s="33">
        <f t="shared" si="6"/>
        <v>0</v>
      </c>
      <c r="N62" s="33">
        <f t="shared" si="7"/>
        <v>0</v>
      </c>
      <c r="O62" s="28"/>
      <c r="P62" s="33">
        <f t="shared" si="8"/>
        <v>0</v>
      </c>
      <c r="Q62" s="35" t="str" cm="1">
        <f t="array" ref="Q62">IF(AF62&lt;&gt;"",IFERROR(INDEX('Group List B'!B:B,MATCH(AI62,'Group List B'!A:A,0),0),"-"),"")</f>
        <v/>
      </c>
      <c r="R62" s="36">
        <f t="shared" si="9"/>
        <v>0</v>
      </c>
      <c r="S62" s="36">
        <f t="shared" si="10"/>
        <v>0</v>
      </c>
      <c r="T62" s="36">
        <f t="shared" si="11"/>
        <v>0</v>
      </c>
      <c r="U62" s="28"/>
      <c r="V62" s="37">
        <f t="shared" si="12"/>
        <v>0</v>
      </c>
      <c r="W62" s="41"/>
      <c r="X62" s="27"/>
      <c r="Y62" s="27"/>
      <c r="Z62" s="27"/>
      <c r="AA62" s="15"/>
      <c r="AB62" s="17"/>
      <c r="AC62" s="17"/>
      <c r="AD62" s="17"/>
      <c r="AE62" s="90"/>
      <c r="AF62" s="82" t="str">
        <f t="shared" si="13"/>
        <v/>
      </c>
      <c r="AG62" s="83" t="str">
        <f t="shared" si="14"/>
        <v/>
      </c>
      <c r="AH62" s="82" t="str">
        <f t="shared" si="15"/>
        <v/>
      </c>
      <c r="AI62" s="82" t="str">
        <f t="shared" si="16"/>
        <v/>
      </c>
      <c r="AJ62" s="90"/>
      <c r="AP62" s="88"/>
    </row>
    <row r="63" spans="1:42" x14ac:dyDescent="0.25">
      <c r="A63" s="2"/>
      <c r="C63" s="68" t="str" cm="1">
        <f t="array" ref="C63">IF(AF63&lt;&gt;"",
IFERROR(INDEX('LaunchPad Markbook'!A:A,MATCH(AH63,'LaunchPad Markbook'!D:D,0),0),"-"),"")</f>
        <v/>
      </c>
      <c r="D63" s="27"/>
      <c r="E63" s="27"/>
      <c r="F63" s="27"/>
      <c r="G63" s="14">
        <f>IF(OR(H63&gt;AB$2,I63&gt;AC$2,J63&gt;AD$2,
P63&gt;1,V63&gt;1,
L63&gt;'Group List A'!E$2,M63&gt;'Group List A'!F$2,N63&gt;'Group List A'!G$2,
R63&gt;'Group List B'!E$2,S63&gt;'Group List B'!F$2,T63&gt;'Group List B'!G$2),"Exceed",
IF(OR(H63=AB$2,I63=AC$2,J63=AD$2,
P63=1,V63=1,
L63='Group List A'!E$2,M63='Group List A'!F$2,N63='Group List A'!G$2,
R63='Group List B'!E$2,S63='Group List B'!F$2,T63='Group List B'!G$2),"Limit",0))</f>
        <v>0</v>
      </c>
      <c r="H63" s="29">
        <f t="shared" si="2"/>
        <v>0</v>
      </c>
      <c r="I63" s="29">
        <f t="shared" si="3"/>
        <v>0</v>
      </c>
      <c r="J63" s="29">
        <f t="shared" si="4"/>
        <v>0</v>
      </c>
      <c r="K63" s="32" t="str" cm="1">
        <f t="array" ref="K63">IF(AF63&lt;&gt;"",IFERROR(INDEX('Group List A'!B:B,MATCH(AI63,'Group List A'!A:A,0),0),"-"),"")</f>
        <v/>
      </c>
      <c r="L63" s="33">
        <f t="shared" si="5"/>
        <v>0</v>
      </c>
      <c r="M63" s="33">
        <f t="shared" si="6"/>
        <v>0</v>
      </c>
      <c r="N63" s="33">
        <f t="shared" si="7"/>
        <v>0</v>
      </c>
      <c r="O63" s="28"/>
      <c r="P63" s="33">
        <f t="shared" si="8"/>
        <v>0</v>
      </c>
      <c r="Q63" s="35" t="str" cm="1">
        <f t="array" ref="Q63">IF(AF63&lt;&gt;"",IFERROR(INDEX('Group List B'!B:B,MATCH(AI63,'Group List B'!A:A,0),0),"-"),"")</f>
        <v/>
      </c>
      <c r="R63" s="36">
        <f t="shared" si="9"/>
        <v>0</v>
      </c>
      <c r="S63" s="36">
        <f t="shared" si="10"/>
        <v>0</v>
      </c>
      <c r="T63" s="36">
        <f t="shared" si="11"/>
        <v>0</v>
      </c>
      <c r="U63" s="28"/>
      <c r="V63" s="37">
        <f t="shared" si="12"/>
        <v>0</v>
      </c>
      <c r="W63" s="41"/>
      <c r="X63" s="27"/>
      <c r="Y63" s="27"/>
      <c r="Z63" s="27"/>
      <c r="AA63" s="15"/>
      <c r="AB63" s="17"/>
      <c r="AC63" s="17"/>
      <c r="AD63" s="17"/>
      <c r="AE63" s="90"/>
      <c r="AF63" s="82" t="str">
        <f t="shared" si="13"/>
        <v/>
      </c>
      <c r="AG63" s="83" t="str">
        <f t="shared" si="14"/>
        <v/>
      </c>
      <c r="AH63" s="82" t="str">
        <f t="shared" si="15"/>
        <v/>
      </c>
      <c r="AI63" s="82" t="str">
        <f t="shared" si="16"/>
        <v/>
      </c>
      <c r="AJ63" s="90"/>
      <c r="AP63" s="88"/>
    </row>
    <row r="64" spans="1:42" x14ac:dyDescent="0.25">
      <c r="A64" s="2"/>
      <c r="C64" s="68" t="str" cm="1">
        <f t="array" ref="C64">IF(AF64&lt;&gt;"",
IFERROR(INDEX('LaunchPad Markbook'!A:A,MATCH(AH64,'LaunchPad Markbook'!D:D,0),0),"-"),"")</f>
        <v/>
      </c>
      <c r="D64" s="27"/>
      <c r="E64" s="27"/>
      <c r="F64" s="27"/>
      <c r="G64" s="14">
        <f>IF(OR(H64&gt;AB$2,I64&gt;AC$2,J64&gt;AD$2,
P64&gt;1,V64&gt;1,
L64&gt;'Group List A'!E$2,M64&gt;'Group List A'!F$2,N64&gt;'Group List A'!G$2,
R64&gt;'Group List B'!E$2,S64&gt;'Group List B'!F$2,T64&gt;'Group List B'!G$2),"Exceed",
IF(OR(H64=AB$2,I64=AC$2,J64=AD$2,
P64=1,V64=1,
L64='Group List A'!E$2,M64='Group List A'!F$2,N64='Group List A'!G$2,
R64='Group List B'!E$2,S64='Group List B'!F$2,T64='Group List B'!G$2),"Limit",0))</f>
        <v>0</v>
      </c>
      <c r="H64" s="29">
        <f t="shared" si="2"/>
        <v>0</v>
      </c>
      <c r="I64" s="29">
        <f t="shared" si="3"/>
        <v>0</v>
      </c>
      <c r="J64" s="29">
        <f t="shared" si="4"/>
        <v>0</v>
      </c>
      <c r="K64" s="32" t="str" cm="1">
        <f t="array" ref="K64">IF(AF64&lt;&gt;"",IFERROR(INDEX('Group List A'!B:B,MATCH(AI64,'Group List A'!A:A,0),0),"-"),"")</f>
        <v/>
      </c>
      <c r="L64" s="33">
        <f t="shared" si="5"/>
        <v>0</v>
      </c>
      <c r="M64" s="33">
        <f t="shared" si="6"/>
        <v>0</v>
      </c>
      <c r="N64" s="33">
        <f t="shared" si="7"/>
        <v>0</v>
      </c>
      <c r="O64" s="28"/>
      <c r="P64" s="33">
        <f t="shared" si="8"/>
        <v>0</v>
      </c>
      <c r="Q64" s="35" t="str" cm="1">
        <f t="array" ref="Q64">IF(AF64&lt;&gt;"",IFERROR(INDEX('Group List B'!B:B,MATCH(AI64,'Group List B'!A:A,0),0),"-"),"")</f>
        <v/>
      </c>
      <c r="R64" s="36">
        <f t="shared" si="9"/>
        <v>0</v>
      </c>
      <c r="S64" s="36">
        <f t="shared" si="10"/>
        <v>0</v>
      </c>
      <c r="T64" s="36">
        <f t="shared" si="11"/>
        <v>0</v>
      </c>
      <c r="U64" s="28"/>
      <c r="V64" s="37">
        <f t="shared" si="12"/>
        <v>0</v>
      </c>
      <c r="W64" s="41"/>
      <c r="X64" s="27"/>
      <c r="Y64" s="27"/>
      <c r="Z64" s="27"/>
      <c r="AA64" s="15"/>
      <c r="AB64" s="17"/>
      <c r="AC64" s="17"/>
      <c r="AD64" s="17"/>
      <c r="AE64" s="90"/>
      <c r="AF64" s="82" t="str">
        <f t="shared" si="13"/>
        <v/>
      </c>
      <c r="AG64" s="83" t="str">
        <f t="shared" si="14"/>
        <v/>
      </c>
      <c r="AH64" s="82" t="str">
        <f t="shared" si="15"/>
        <v/>
      </c>
      <c r="AI64" s="82" t="str">
        <f t="shared" si="16"/>
        <v/>
      </c>
      <c r="AJ64" s="90"/>
      <c r="AP64" s="88"/>
    </row>
    <row r="65" spans="1:42" x14ac:dyDescent="0.25">
      <c r="A65" s="2"/>
      <c r="C65" s="68" t="str" cm="1">
        <f t="array" ref="C65">IF(AF65&lt;&gt;"",
IFERROR(INDEX('LaunchPad Markbook'!A:A,MATCH(AH65,'LaunchPad Markbook'!D:D,0),0),"-"),"")</f>
        <v/>
      </c>
      <c r="D65" s="27"/>
      <c r="E65" s="27"/>
      <c r="F65" s="27"/>
      <c r="G65" s="14">
        <f>IF(OR(H65&gt;AB$2,I65&gt;AC$2,J65&gt;AD$2,
P65&gt;1,V65&gt;1,
L65&gt;'Group List A'!E$2,M65&gt;'Group List A'!F$2,N65&gt;'Group List A'!G$2,
R65&gt;'Group List B'!E$2,S65&gt;'Group List B'!F$2,T65&gt;'Group List B'!G$2),"Exceed",
IF(OR(H65=AB$2,I65=AC$2,J65=AD$2,
P65=1,V65=1,
L65='Group List A'!E$2,M65='Group List A'!F$2,N65='Group List A'!G$2,
R65='Group List B'!E$2,S65='Group List B'!F$2,T65='Group List B'!G$2),"Limit",0))</f>
        <v>0</v>
      </c>
      <c r="H65" s="29">
        <f t="shared" si="2"/>
        <v>0</v>
      </c>
      <c r="I65" s="29">
        <f t="shared" si="3"/>
        <v>0</v>
      </c>
      <c r="J65" s="29">
        <f t="shared" si="4"/>
        <v>0</v>
      </c>
      <c r="K65" s="32" t="str" cm="1">
        <f t="array" ref="K65">IF(AF65&lt;&gt;"",IFERROR(INDEX('Group List A'!B:B,MATCH(AI65,'Group List A'!A:A,0),0),"-"),"")</f>
        <v/>
      </c>
      <c r="L65" s="33">
        <f t="shared" si="5"/>
        <v>0</v>
      </c>
      <c r="M65" s="33">
        <f t="shared" si="6"/>
        <v>0</v>
      </c>
      <c r="N65" s="33">
        <f t="shared" si="7"/>
        <v>0</v>
      </c>
      <c r="O65" s="28"/>
      <c r="P65" s="33">
        <f t="shared" si="8"/>
        <v>0</v>
      </c>
      <c r="Q65" s="35" t="str" cm="1">
        <f t="array" ref="Q65">IF(AF65&lt;&gt;"",IFERROR(INDEX('Group List B'!B:B,MATCH(AI65,'Group List B'!A:A,0),0),"-"),"")</f>
        <v/>
      </c>
      <c r="R65" s="36">
        <f t="shared" si="9"/>
        <v>0</v>
      </c>
      <c r="S65" s="36">
        <f t="shared" si="10"/>
        <v>0</v>
      </c>
      <c r="T65" s="36">
        <f t="shared" si="11"/>
        <v>0</v>
      </c>
      <c r="U65" s="28"/>
      <c r="V65" s="37">
        <f t="shared" si="12"/>
        <v>0</v>
      </c>
      <c r="W65" s="41"/>
      <c r="X65" s="27"/>
      <c r="Y65" s="27"/>
      <c r="Z65" s="27"/>
      <c r="AA65" s="15"/>
      <c r="AB65" s="17"/>
      <c r="AC65" s="17"/>
      <c r="AD65" s="17"/>
      <c r="AE65" s="90"/>
      <c r="AF65" s="82" t="str">
        <f t="shared" si="13"/>
        <v/>
      </c>
      <c r="AG65" s="83" t="str">
        <f t="shared" si="14"/>
        <v/>
      </c>
      <c r="AH65" s="82" t="str">
        <f t="shared" si="15"/>
        <v/>
      </c>
      <c r="AI65" s="82" t="str">
        <f t="shared" si="16"/>
        <v/>
      </c>
      <c r="AJ65" s="90"/>
      <c r="AP65" s="88"/>
    </row>
    <row r="66" spans="1:42" x14ac:dyDescent="0.25">
      <c r="A66" s="2"/>
      <c r="C66" s="68" t="str" cm="1">
        <f t="array" ref="C66">IF(AF66&lt;&gt;"",
IFERROR(INDEX('LaunchPad Markbook'!A:A,MATCH(AH66,'LaunchPad Markbook'!D:D,0),0),"-"),"")</f>
        <v/>
      </c>
      <c r="D66" s="27"/>
      <c r="E66" s="27"/>
      <c r="F66" s="27"/>
      <c r="G66" s="14">
        <f>IF(OR(H66&gt;AB$2,I66&gt;AC$2,J66&gt;AD$2,
P66&gt;1,V66&gt;1,
L66&gt;'Group List A'!E$2,M66&gt;'Group List A'!F$2,N66&gt;'Group List A'!G$2,
R66&gt;'Group List B'!E$2,S66&gt;'Group List B'!F$2,T66&gt;'Group List B'!G$2),"Exceed",
IF(OR(H66=AB$2,I66=AC$2,J66=AD$2,
P66=1,V66=1,
L66='Group List A'!E$2,M66='Group List A'!F$2,N66='Group List A'!G$2,
R66='Group List B'!E$2,S66='Group List B'!F$2,T66='Group List B'!G$2),"Limit",0))</f>
        <v>0</v>
      </c>
      <c r="H66" s="29">
        <f t="shared" si="2"/>
        <v>0</v>
      </c>
      <c r="I66" s="29">
        <f t="shared" si="3"/>
        <v>0</v>
      </c>
      <c r="J66" s="29">
        <f t="shared" si="4"/>
        <v>0</v>
      </c>
      <c r="K66" s="32" t="str" cm="1">
        <f t="array" ref="K66">IF(AF66&lt;&gt;"",IFERROR(INDEX('Group List A'!B:B,MATCH(AI66,'Group List A'!A:A,0),0),"-"),"")</f>
        <v/>
      </c>
      <c r="L66" s="33">
        <f t="shared" si="5"/>
        <v>0</v>
      </c>
      <c r="M66" s="33">
        <f t="shared" si="6"/>
        <v>0</v>
      </c>
      <c r="N66" s="33">
        <f t="shared" si="7"/>
        <v>0</v>
      </c>
      <c r="O66" s="28"/>
      <c r="P66" s="33">
        <f t="shared" si="8"/>
        <v>0</v>
      </c>
      <c r="Q66" s="35" t="str" cm="1">
        <f t="array" ref="Q66">IF(AF66&lt;&gt;"",IFERROR(INDEX('Group List B'!B:B,MATCH(AI66,'Group List B'!A:A,0),0),"-"),"")</f>
        <v/>
      </c>
      <c r="R66" s="36">
        <f t="shared" si="9"/>
        <v>0</v>
      </c>
      <c r="S66" s="36">
        <f t="shared" si="10"/>
        <v>0</v>
      </c>
      <c r="T66" s="36">
        <f t="shared" si="11"/>
        <v>0</v>
      </c>
      <c r="U66" s="28"/>
      <c r="V66" s="37">
        <f t="shared" si="12"/>
        <v>0</v>
      </c>
      <c r="W66" s="41"/>
      <c r="X66" s="27"/>
      <c r="Y66" s="27"/>
      <c r="Z66" s="27"/>
      <c r="AA66" s="15"/>
      <c r="AB66" s="17"/>
      <c r="AC66" s="17"/>
      <c r="AD66" s="17"/>
      <c r="AE66" s="90"/>
      <c r="AF66" s="82" t="str">
        <f t="shared" si="13"/>
        <v/>
      </c>
      <c r="AG66" s="83" t="str">
        <f t="shared" si="14"/>
        <v/>
      </c>
      <c r="AH66" s="82" t="str">
        <f t="shared" si="15"/>
        <v/>
      </c>
      <c r="AI66" s="82" t="str">
        <f t="shared" si="16"/>
        <v/>
      </c>
      <c r="AJ66" s="90"/>
      <c r="AP66" s="88"/>
    </row>
    <row r="67" spans="1:42" x14ac:dyDescent="0.25">
      <c r="A67" s="2"/>
      <c r="C67" s="68" t="str" cm="1">
        <f t="array" ref="C67">IF(AF67&lt;&gt;"",
IFERROR(INDEX('LaunchPad Markbook'!A:A,MATCH(AH67,'LaunchPad Markbook'!D:D,0),0),"-"),"")</f>
        <v/>
      </c>
      <c r="D67" s="27"/>
      <c r="E67" s="27"/>
      <c r="F67" s="27"/>
      <c r="G67" s="14">
        <f>IF(OR(H67&gt;AB$2,I67&gt;AC$2,J67&gt;AD$2,
P67&gt;1,V67&gt;1,
L67&gt;'Group List A'!E$2,M67&gt;'Group List A'!F$2,N67&gt;'Group List A'!G$2,
R67&gt;'Group List B'!E$2,S67&gt;'Group List B'!F$2,T67&gt;'Group List B'!G$2),"Exceed",
IF(OR(H67=AB$2,I67=AC$2,J67=AD$2,
P67=1,V67=1,
L67='Group List A'!E$2,M67='Group List A'!F$2,N67='Group List A'!G$2,
R67='Group List B'!E$2,S67='Group List B'!F$2,T67='Group List B'!G$2),"Limit",0))</f>
        <v>0</v>
      </c>
      <c r="H67" s="29">
        <f t="shared" ref="H67:H130" si="17">IF(AND(K67="-",Q67="-"),
SUMIFS(D$2:D$2000,$AH$2:$AH$2000,$AH67),0)</f>
        <v>0</v>
      </c>
      <c r="I67" s="29">
        <f t="shared" ref="I67:I130" si="18">IF(AND(K67="-",Q67="-"),
SUMIFS(E$2:E$2000,$AH$2:$AH$2000,$AH67),0)</f>
        <v>0</v>
      </c>
      <c r="J67" s="29">
        <f t="shared" ref="J67:J130" si="19">IF(AND(K67="-",Q67="-"),
SUMIFS(F$2:F$2000,$AH$2:$AH$2000,$AH67),0)</f>
        <v>0</v>
      </c>
      <c r="K67" s="32" t="str" cm="1">
        <f t="array" ref="K67">IF(AF67&lt;&gt;"",IFERROR(INDEX('Group List A'!B:B,MATCH(AI67,'Group List A'!A:A,0),0),"-"),"")</f>
        <v/>
      </c>
      <c r="L67" s="33">
        <f t="shared" ref="L67:L130" si="20">IF($K67&lt;&gt;"-",SUMIFS(D$2:D$2000,$K$2:$K$2000,$K67),0)</f>
        <v>0</v>
      </c>
      <c r="M67" s="33">
        <f t="shared" ref="M67:M130" si="21">IF($K67&lt;&gt;"-",SUMIFS(E$2:E$2000,$K$2:$K$2000,$K67),0)</f>
        <v>0</v>
      </c>
      <c r="N67" s="33">
        <f t="shared" ref="N67:N130" si="22">IF($K67&lt;&gt;"-",SUMIFS(F$2:F$2000,$K$2:$K$2000,$K67),0)</f>
        <v>0</v>
      </c>
      <c r="O67" s="28"/>
      <c r="P67" s="33">
        <f t="shared" ref="P67:P130" si="23">SUMIFS(O$2:O$2000,$AH$2:$AH$2000,$AH67)</f>
        <v>0</v>
      </c>
      <c r="Q67" s="35" t="str" cm="1">
        <f t="array" ref="Q67">IF(AF67&lt;&gt;"",IFERROR(INDEX('Group List B'!B:B,MATCH(AI67,'Group List B'!A:A,0),0),"-"),"")</f>
        <v/>
      </c>
      <c r="R67" s="36">
        <f t="shared" ref="R67:R130" si="24">IF($Q67&lt;&gt;"-",SUMIFS(D$2:D$2000,$Q$2:$Q$2000,$Q67),0)</f>
        <v>0</v>
      </c>
      <c r="S67" s="36">
        <f t="shared" ref="S67:S130" si="25">IF($Q67&lt;&gt;"-",SUMIFS(E$2:E$2000,$Q$2:$Q$2000,$Q67),0)</f>
        <v>0</v>
      </c>
      <c r="T67" s="36">
        <f t="shared" ref="T67:T130" si="26">IF($Q67&lt;&gt;"-",SUMIFS(F$2:F$2000,$Q$2:$Q$2000,$Q67),0)</f>
        <v>0</v>
      </c>
      <c r="U67" s="28"/>
      <c r="V67" s="37">
        <f t="shared" ref="V67:V130" si="27">SUMIFS(U$2:U$2000,$AH$2:$AH$2000,$AH67)</f>
        <v>0</v>
      </c>
      <c r="W67" s="41"/>
      <c r="X67" s="27"/>
      <c r="Y67" s="27"/>
      <c r="Z67" s="27"/>
      <c r="AA67" s="15"/>
      <c r="AB67" s="17"/>
      <c r="AC67" s="17"/>
      <c r="AD67" s="17"/>
      <c r="AE67" s="90"/>
      <c r="AF67" s="82" t="str">
        <f t="shared" ref="AF67:AF130" si="28">IF(A67&lt;&gt;"",A67,"")</f>
        <v/>
      </c>
      <c r="AG67" s="83" t="str">
        <f t="shared" ref="AG67:AG130" si="29">IF(MID(AF67,1,1)="N","STUDENT",
IF(MID(AF67,1,1)="S","STAFF",
IF(MID(AF67,1,1)="V","VISITOR",
IF(AF67&lt;&gt;"","ERROR",""))))</f>
        <v/>
      </c>
      <c r="AH67" s="82" t="str">
        <f t="shared" ref="AH67:AH130" si="30">IF(AG67="STUDENT","N"&amp;(MID(AF67,2,8)-0),
IF(AG67="STAFF","S"&amp;MID(AF67,2,8),""))</f>
        <v/>
      </c>
      <c r="AI67" s="82" t="str">
        <f t="shared" ref="AI67:AI130" si="31">IF(AG67="STUDENT",(MID(AF67,2,8)-0),
IF(AG67="STAFF","STAFF",""))</f>
        <v/>
      </c>
      <c r="AJ67" s="90"/>
      <c r="AP67" s="88"/>
    </row>
    <row r="68" spans="1:42" x14ac:dyDescent="0.25">
      <c r="A68" s="2"/>
      <c r="C68" s="68" t="str" cm="1">
        <f t="array" ref="C68">IF(AF68&lt;&gt;"",
IFERROR(INDEX('LaunchPad Markbook'!A:A,MATCH(AH68,'LaunchPad Markbook'!D:D,0),0),"-"),"")</f>
        <v/>
      </c>
      <c r="D68" s="27"/>
      <c r="E68" s="27"/>
      <c r="F68" s="27"/>
      <c r="G68" s="14">
        <f>IF(OR(H68&gt;AB$2,I68&gt;AC$2,J68&gt;AD$2,
P68&gt;1,V68&gt;1,
L68&gt;'Group List A'!E$2,M68&gt;'Group List A'!F$2,N68&gt;'Group List A'!G$2,
R68&gt;'Group List B'!E$2,S68&gt;'Group List B'!F$2,T68&gt;'Group List B'!G$2),"Exceed",
IF(OR(H68=AB$2,I68=AC$2,J68=AD$2,
P68=1,V68=1,
L68='Group List A'!E$2,M68='Group List A'!F$2,N68='Group List A'!G$2,
R68='Group List B'!E$2,S68='Group List B'!F$2,T68='Group List B'!G$2),"Limit",0))</f>
        <v>0</v>
      </c>
      <c r="H68" s="29">
        <f t="shared" si="17"/>
        <v>0</v>
      </c>
      <c r="I68" s="29">
        <f t="shared" si="18"/>
        <v>0</v>
      </c>
      <c r="J68" s="29">
        <f t="shared" si="19"/>
        <v>0</v>
      </c>
      <c r="K68" s="32" t="str" cm="1">
        <f t="array" ref="K68">IF(AF68&lt;&gt;"",IFERROR(INDEX('Group List A'!B:B,MATCH(AI68,'Group List A'!A:A,0),0),"-"),"")</f>
        <v/>
      </c>
      <c r="L68" s="33">
        <f t="shared" si="20"/>
        <v>0</v>
      </c>
      <c r="M68" s="33">
        <f t="shared" si="21"/>
        <v>0</v>
      </c>
      <c r="N68" s="33">
        <f t="shared" si="22"/>
        <v>0</v>
      </c>
      <c r="O68" s="28"/>
      <c r="P68" s="33">
        <f t="shared" si="23"/>
        <v>0</v>
      </c>
      <c r="Q68" s="35" t="str" cm="1">
        <f t="array" ref="Q68">IF(AF68&lt;&gt;"",IFERROR(INDEX('Group List B'!B:B,MATCH(AI68,'Group List B'!A:A,0),0),"-"),"")</f>
        <v/>
      </c>
      <c r="R68" s="36">
        <f t="shared" si="24"/>
        <v>0</v>
      </c>
      <c r="S68" s="36">
        <f t="shared" si="25"/>
        <v>0</v>
      </c>
      <c r="T68" s="36">
        <f t="shared" si="26"/>
        <v>0</v>
      </c>
      <c r="U68" s="28"/>
      <c r="V68" s="37">
        <f t="shared" si="27"/>
        <v>0</v>
      </c>
      <c r="W68" s="41"/>
      <c r="X68" s="27"/>
      <c r="Y68" s="27"/>
      <c r="Z68" s="27"/>
      <c r="AA68" s="15"/>
      <c r="AB68" s="17"/>
      <c r="AC68" s="17"/>
      <c r="AD68" s="17"/>
      <c r="AE68" s="90"/>
      <c r="AF68" s="82" t="str">
        <f t="shared" si="28"/>
        <v/>
      </c>
      <c r="AG68" s="83" t="str">
        <f t="shared" si="29"/>
        <v/>
      </c>
      <c r="AH68" s="82" t="str">
        <f t="shared" si="30"/>
        <v/>
      </c>
      <c r="AI68" s="82" t="str">
        <f t="shared" si="31"/>
        <v/>
      </c>
      <c r="AJ68" s="90"/>
      <c r="AP68" s="88"/>
    </row>
    <row r="69" spans="1:42" x14ac:dyDescent="0.25">
      <c r="A69" s="2"/>
      <c r="C69" s="68" t="str" cm="1">
        <f t="array" ref="C69">IF(AF69&lt;&gt;"",
IFERROR(INDEX('LaunchPad Markbook'!A:A,MATCH(AH69,'LaunchPad Markbook'!D:D,0),0),"-"),"")</f>
        <v/>
      </c>
      <c r="D69" s="27"/>
      <c r="E69" s="27"/>
      <c r="F69" s="27"/>
      <c r="G69" s="14">
        <f>IF(OR(H69&gt;AB$2,I69&gt;AC$2,J69&gt;AD$2,
P69&gt;1,V69&gt;1,
L69&gt;'Group List A'!E$2,M69&gt;'Group List A'!F$2,N69&gt;'Group List A'!G$2,
R69&gt;'Group List B'!E$2,S69&gt;'Group List B'!F$2,T69&gt;'Group List B'!G$2),"Exceed",
IF(OR(H69=AB$2,I69=AC$2,J69=AD$2,
P69=1,V69=1,
L69='Group List A'!E$2,M69='Group List A'!F$2,N69='Group List A'!G$2,
R69='Group List B'!E$2,S69='Group List B'!F$2,T69='Group List B'!G$2),"Limit",0))</f>
        <v>0</v>
      </c>
      <c r="H69" s="29">
        <f t="shared" si="17"/>
        <v>0</v>
      </c>
      <c r="I69" s="29">
        <f t="shared" si="18"/>
        <v>0</v>
      </c>
      <c r="J69" s="29">
        <f t="shared" si="19"/>
        <v>0</v>
      </c>
      <c r="K69" s="32" t="str" cm="1">
        <f t="array" ref="K69">IF(AF69&lt;&gt;"",IFERROR(INDEX('Group List A'!B:B,MATCH(AI69,'Group List A'!A:A,0),0),"-"),"")</f>
        <v/>
      </c>
      <c r="L69" s="33">
        <f t="shared" si="20"/>
        <v>0</v>
      </c>
      <c r="M69" s="33">
        <f t="shared" si="21"/>
        <v>0</v>
      </c>
      <c r="N69" s="33">
        <f t="shared" si="22"/>
        <v>0</v>
      </c>
      <c r="O69" s="28"/>
      <c r="P69" s="33">
        <f t="shared" si="23"/>
        <v>0</v>
      </c>
      <c r="Q69" s="35" t="str" cm="1">
        <f t="array" ref="Q69">IF(AF69&lt;&gt;"",IFERROR(INDEX('Group List B'!B:B,MATCH(AI69,'Group List B'!A:A,0),0),"-"),"")</f>
        <v/>
      </c>
      <c r="R69" s="36">
        <f t="shared" si="24"/>
        <v>0</v>
      </c>
      <c r="S69" s="36">
        <f t="shared" si="25"/>
        <v>0</v>
      </c>
      <c r="T69" s="36">
        <f t="shared" si="26"/>
        <v>0</v>
      </c>
      <c r="U69" s="28"/>
      <c r="V69" s="37">
        <f t="shared" si="27"/>
        <v>0</v>
      </c>
      <c r="W69" s="41"/>
      <c r="X69" s="27"/>
      <c r="Y69" s="27"/>
      <c r="Z69" s="27"/>
      <c r="AA69" s="15"/>
      <c r="AB69" s="17"/>
      <c r="AC69" s="17"/>
      <c r="AD69" s="17"/>
      <c r="AE69" s="90"/>
      <c r="AF69" s="82" t="str">
        <f t="shared" si="28"/>
        <v/>
      </c>
      <c r="AG69" s="83" t="str">
        <f t="shared" si="29"/>
        <v/>
      </c>
      <c r="AH69" s="82" t="str">
        <f t="shared" si="30"/>
        <v/>
      </c>
      <c r="AI69" s="82" t="str">
        <f t="shared" si="31"/>
        <v/>
      </c>
      <c r="AJ69" s="90"/>
      <c r="AP69" s="88"/>
    </row>
    <row r="70" spans="1:42" x14ac:dyDescent="0.25">
      <c r="A70" s="2"/>
      <c r="C70" s="68" t="str" cm="1">
        <f t="array" ref="C70">IF(AF70&lt;&gt;"",
IFERROR(INDEX('LaunchPad Markbook'!A:A,MATCH(AH70,'LaunchPad Markbook'!D:D,0),0),"-"),"")</f>
        <v/>
      </c>
      <c r="D70" s="27"/>
      <c r="E70" s="27"/>
      <c r="F70" s="27"/>
      <c r="G70" s="14">
        <f>IF(OR(H70&gt;AB$2,I70&gt;AC$2,J70&gt;AD$2,
P70&gt;1,V70&gt;1,
L70&gt;'Group List A'!E$2,M70&gt;'Group List A'!F$2,N70&gt;'Group List A'!G$2,
R70&gt;'Group List B'!E$2,S70&gt;'Group List B'!F$2,T70&gt;'Group List B'!G$2),"Exceed",
IF(OR(H70=AB$2,I70=AC$2,J70=AD$2,
P70=1,V70=1,
L70='Group List A'!E$2,M70='Group List A'!F$2,N70='Group List A'!G$2,
R70='Group List B'!E$2,S70='Group List B'!F$2,T70='Group List B'!G$2),"Limit",0))</f>
        <v>0</v>
      </c>
      <c r="H70" s="29">
        <f t="shared" si="17"/>
        <v>0</v>
      </c>
      <c r="I70" s="29">
        <f t="shared" si="18"/>
        <v>0</v>
      </c>
      <c r="J70" s="29">
        <f t="shared" si="19"/>
        <v>0</v>
      </c>
      <c r="K70" s="32" t="str" cm="1">
        <f t="array" ref="K70">IF(AF70&lt;&gt;"",IFERROR(INDEX('Group List A'!B:B,MATCH(AI70,'Group List A'!A:A,0),0),"-"),"")</f>
        <v/>
      </c>
      <c r="L70" s="33">
        <f t="shared" si="20"/>
        <v>0</v>
      </c>
      <c r="M70" s="33">
        <f t="shared" si="21"/>
        <v>0</v>
      </c>
      <c r="N70" s="33">
        <f t="shared" si="22"/>
        <v>0</v>
      </c>
      <c r="O70" s="28"/>
      <c r="P70" s="33">
        <f t="shared" si="23"/>
        <v>0</v>
      </c>
      <c r="Q70" s="35" t="str" cm="1">
        <f t="array" ref="Q70">IF(AF70&lt;&gt;"",IFERROR(INDEX('Group List B'!B:B,MATCH(AI70,'Group List B'!A:A,0),0),"-"),"")</f>
        <v/>
      </c>
      <c r="R70" s="36">
        <f t="shared" si="24"/>
        <v>0</v>
      </c>
      <c r="S70" s="36">
        <f t="shared" si="25"/>
        <v>0</v>
      </c>
      <c r="T70" s="36">
        <f t="shared" si="26"/>
        <v>0</v>
      </c>
      <c r="U70" s="28"/>
      <c r="V70" s="37">
        <f t="shared" si="27"/>
        <v>0</v>
      </c>
      <c r="W70" s="41"/>
      <c r="X70" s="27"/>
      <c r="Y70" s="27"/>
      <c r="Z70" s="27"/>
      <c r="AA70" s="15"/>
      <c r="AB70" s="17"/>
      <c r="AC70" s="17"/>
      <c r="AD70" s="17"/>
      <c r="AE70" s="90"/>
      <c r="AF70" s="82" t="str">
        <f t="shared" si="28"/>
        <v/>
      </c>
      <c r="AG70" s="83" t="str">
        <f t="shared" si="29"/>
        <v/>
      </c>
      <c r="AH70" s="82" t="str">
        <f t="shared" si="30"/>
        <v/>
      </c>
      <c r="AI70" s="82" t="str">
        <f t="shared" si="31"/>
        <v/>
      </c>
      <c r="AJ70" s="90"/>
      <c r="AP70" s="88"/>
    </row>
    <row r="71" spans="1:42" x14ac:dyDescent="0.25">
      <c r="A71" s="2"/>
      <c r="C71" s="68" t="str" cm="1">
        <f t="array" ref="C71">IF(AF71&lt;&gt;"",
IFERROR(INDEX('LaunchPad Markbook'!A:A,MATCH(AH71,'LaunchPad Markbook'!D:D,0),0),"-"),"")</f>
        <v/>
      </c>
      <c r="D71" s="27"/>
      <c r="E71" s="27"/>
      <c r="F71" s="27"/>
      <c r="G71" s="14">
        <f>IF(OR(H71&gt;AB$2,I71&gt;AC$2,J71&gt;AD$2,
P71&gt;1,V71&gt;1,
L71&gt;'Group List A'!E$2,M71&gt;'Group List A'!F$2,N71&gt;'Group List A'!G$2,
R71&gt;'Group List B'!E$2,S71&gt;'Group List B'!F$2,T71&gt;'Group List B'!G$2),"Exceed",
IF(OR(H71=AB$2,I71=AC$2,J71=AD$2,
P71=1,V71=1,
L71='Group List A'!E$2,M71='Group List A'!F$2,N71='Group List A'!G$2,
R71='Group List B'!E$2,S71='Group List B'!F$2,T71='Group List B'!G$2),"Limit",0))</f>
        <v>0</v>
      </c>
      <c r="H71" s="29">
        <f t="shared" si="17"/>
        <v>0</v>
      </c>
      <c r="I71" s="29">
        <f t="shared" si="18"/>
        <v>0</v>
      </c>
      <c r="J71" s="29">
        <f t="shared" si="19"/>
        <v>0</v>
      </c>
      <c r="K71" s="32" t="str" cm="1">
        <f t="array" ref="K71">IF(AF71&lt;&gt;"",IFERROR(INDEX('Group List A'!B:B,MATCH(AI71,'Group List A'!A:A,0),0),"-"),"")</f>
        <v/>
      </c>
      <c r="L71" s="33">
        <f t="shared" si="20"/>
        <v>0</v>
      </c>
      <c r="M71" s="33">
        <f t="shared" si="21"/>
        <v>0</v>
      </c>
      <c r="N71" s="33">
        <f t="shared" si="22"/>
        <v>0</v>
      </c>
      <c r="O71" s="28"/>
      <c r="P71" s="33">
        <f t="shared" si="23"/>
        <v>0</v>
      </c>
      <c r="Q71" s="35" t="str" cm="1">
        <f t="array" ref="Q71">IF(AF71&lt;&gt;"",IFERROR(INDEX('Group List B'!B:B,MATCH(AI71,'Group List B'!A:A,0),0),"-"),"")</f>
        <v/>
      </c>
      <c r="R71" s="36">
        <f t="shared" si="24"/>
        <v>0</v>
      </c>
      <c r="S71" s="36">
        <f t="shared" si="25"/>
        <v>0</v>
      </c>
      <c r="T71" s="36">
        <f t="shared" si="26"/>
        <v>0</v>
      </c>
      <c r="U71" s="28"/>
      <c r="V71" s="37">
        <f t="shared" si="27"/>
        <v>0</v>
      </c>
      <c r="W71" s="41"/>
      <c r="X71" s="27"/>
      <c r="Y71" s="27"/>
      <c r="Z71" s="27"/>
      <c r="AA71" s="15"/>
      <c r="AB71" s="17"/>
      <c r="AC71" s="17"/>
      <c r="AD71" s="17"/>
      <c r="AE71" s="90"/>
      <c r="AF71" s="82" t="str">
        <f t="shared" si="28"/>
        <v/>
      </c>
      <c r="AG71" s="83" t="str">
        <f t="shared" si="29"/>
        <v/>
      </c>
      <c r="AH71" s="82" t="str">
        <f t="shared" si="30"/>
        <v/>
      </c>
      <c r="AI71" s="82" t="str">
        <f t="shared" si="31"/>
        <v/>
      </c>
      <c r="AJ71" s="90"/>
      <c r="AP71" s="88"/>
    </row>
    <row r="72" spans="1:42" x14ac:dyDescent="0.25">
      <c r="A72" s="2"/>
      <c r="C72" s="68" t="str" cm="1">
        <f t="array" ref="C72">IF(AF72&lt;&gt;"",
IFERROR(INDEX('LaunchPad Markbook'!A:A,MATCH(AH72,'LaunchPad Markbook'!D:D,0),0),"-"),"")</f>
        <v/>
      </c>
      <c r="D72" s="27"/>
      <c r="E72" s="27"/>
      <c r="F72" s="27"/>
      <c r="G72" s="14">
        <f>IF(OR(H72&gt;AB$2,I72&gt;AC$2,J72&gt;AD$2,
P72&gt;1,V72&gt;1,
L72&gt;'Group List A'!E$2,M72&gt;'Group List A'!F$2,N72&gt;'Group List A'!G$2,
R72&gt;'Group List B'!E$2,S72&gt;'Group List B'!F$2,T72&gt;'Group List B'!G$2),"Exceed",
IF(OR(H72=AB$2,I72=AC$2,J72=AD$2,
P72=1,V72=1,
L72='Group List A'!E$2,M72='Group List A'!F$2,N72='Group List A'!G$2,
R72='Group List B'!E$2,S72='Group List B'!F$2,T72='Group List B'!G$2),"Limit",0))</f>
        <v>0</v>
      </c>
      <c r="H72" s="29">
        <f t="shared" si="17"/>
        <v>0</v>
      </c>
      <c r="I72" s="29">
        <f t="shared" si="18"/>
        <v>0</v>
      </c>
      <c r="J72" s="29">
        <f t="shared" si="19"/>
        <v>0</v>
      </c>
      <c r="K72" s="32" t="str" cm="1">
        <f t="array" ref="K72">IF(AF72&lt;&gt;"",IFERROR(INDEX('Group List A'!B:B,MATCH(AI72,'Group List A'!A:A,0),0),"-"),"")</f>
        <v/>
      </c>
      <c r="L72" s="33">
        <f t="shared" si="20"/>
        <v>0</v>
      </c>
      <c r="M72" s="33">
        <f t="shared" si="21"/>
        <v>0</v>
      </c>
      <c r="N72" s="33">
        <f t="shared" si="22"/>
        <v>0</v>
      </c>
      <c r="O72" s="28"/>
      <c r="P72" s="33">
        <f t="shared" si="23"/>
        <v>0</v>
      </c>
      <c r="Q72" s="35" t="str" cm="1">
        <f t="array" ref="Q72">IF(AF72&lt;&gt;"",IFERROR(INDEX('Group List B'!B:B,MATCH(AI72,'Group List B'!A:A,0),0),"-"),"")</f>
        <v/>
      </c>
      <c r="R72" s="36">
        <f t="shared" si="24"/>
        <v>0</v>
      </c>
      <c r="S72" s="36">
        <f t="shared" si="25"/>
        <v>0</v>
      </c>
      <c r="T72" s="36">
        <f t="shared" si="26"/>
        <v>0</v>
      </c>
      <c r="U72" s="28"/>
      <c r="V72" s="37">
        <f t="shared" si="27"/>
        <v>0</v>
      </c>
      <c r="W72" s="41"/>
      <c r="X72" s="27"/>
      <c r="Y72" s="27"/>
      <c r="Z72" s="27"/>
      <c r="AA72" s="15"/>
      <c r="AB72" s="17"/>
      <c r="AC72" s="17"/>
      <c r="AD72" s="17"/>
      <c r="AE72" s="90"/>
      <c r="AF72" s="82" t="str">
        <f t="shared" si="28"/>
        <v/>
      </c>
      <c r="AG72" s="83" t="str">
        <f t="shared" si="29"/>
        <v/>
      </c>
      <c r="AH72" s="82" t="str">
        <f t="shared" si="30"/>
        <v/>
      </c>
      <c r="AI72" s="82" t="str">
        <f t="shared" si="31"/>
        <v/>
      </c>
      <c r="AJ72" s="90"/>
      <c r="AP72" s="88"/>
    </row>
    <row r="73" spans="1:42" x14ac:dyDescent="0.25">
      <c r="A73" s="2"/>
      <c r="C73" s="68" t="str" cm="1">
        <f t="array" ref="C73">IF(AF73&lt;&gt;"",
IFERROR(INDEX('LaunchPad Markbook'!A:A,MATCH(AH73,'LaunchPad Markbook'!D:D,0),0),"-"),"")</f>
        <v/>
      </c>
      <c r="D73" s="27"/>
      <c r="E73" s="27"/>
      <c r="F73" s="27"/>
      <c r="G73" s="14">
        <f>IF(OR(H73&gt;AB$2,I73&gt;AC$2,J73&gt;AD$2,
P73&gt;1,V73&gt;1,
L73&gt;'Group List A'!E$2,M73&gt;'Group List A'!F$2,N73&gt;'Group List A'!G$2,
R73&gt;'Group List B'!E$2,S73&gt;'Group List B'!F$2,T73&gt;'Group List B'!G$2),"Exceed",
IF(OR(H73=AB$2,I73=AC$2,J73=AD$2,
P73=1,V73=1,
L73='Group List A'!E$2,M73='Group List A'!F$2,N73='Group List A'!G$2,
R73='Group List B'!E$2,S73='Group List B'!F$2,T73='Group List B'!G$2),"Limit",0))</f>
        <v>0</v>
      </c>
      <c r="H73" s="29">
        <f t="shared" si="17"/>
        <v>0</v>
      </c>
      <c r="I73" s="29">
        <f t="shared" si="18"/>
        <v>0</v>
      </c>
      <c r="J73" s="29">
        <f t="shared" si="19"/>
        <v>0</v>
      </c>
      <c r="K73" s="32" t="str" cm="1">
        <f t="array" ref="K73">IF(AF73&lt;&gt;"",IFERROR(INDEX('Group List A'!B:B,MATCH(AI73,'Group List A'!A:A,0),0),"-"),"")</f>
        <v/>
      </c>
      <c r="L73" s="33">
        <f t="shared" si="20"/>
        <v>0</v>
      </c>
      <c r="M73" s="33">
        <f t="shared" si="21"/>
        <v>0</v>
      </c>
      <c r="N73" s="33">
        <f t="shared" si="22"/>
        <v>0</v>
      </c>
      <c r="O73" s="28"/>
      <c r="P73" s="33">
        <f t="shared" si="23"/>
        <v>0</v>
      </c>
      <c r="Q73" s="35" t="str" cm="1">
        <f t="array" ref="Q73">IF(AF73&lt;&gt;"",IFERROR(INDEX('Group List B'!B:B,MATCH(AI73,'Group List B'!A:A,0),0),"-"),"")</f>
        <v/>
      </c>
      <c r="R73" s="36">
        <f t="shared" si="24"/>
        <v>0</v>
      </c>
      <c r="S73" s="36">
        <f t="shared" si="25"/>
        <v>0</v>
      </c>
      <c r="T73" s="36">
        <f t="shared" si="26"/>
        <v>0</v>
      </c>
      <c r="U73" s="28"/>
      <c r="V73" s="37">
        <f t="shared" si="27"/>
        <v>0</v>
      </c>
      <c r="W73" s="41"/>
      <c r="X73" s="27"/>
      <c r="Y73" s="27"/>
      <c r="Z73" s="27"/>
      <c r="AA73" s="15"/>
      <c r="AB73" s="17"/>
      <c r="AC73" s="17"/>
      <c r="AD73" s="17"/>
      <c r="AE73" s="90"/>
      <c r="AF73" s="82" t="str">
        <f t="shared" si="28"/>
        <v/>
      </c>
      <c r="AG73" s="83" t="str">
        <f t="shared" si="29"/>
        <v/>
      </c>
      <c r="AH73" s="82" t="str">
        <f t="shared" si="30"/>
        <v/>
      </c>
      <c r="AI73" s="82" t="str">
        <f t="shared" si="31"/>
        <v/>
      </c>
      <c r="AJ73" s="90"/>
      <c r="AP73" s="88"/>
    </row>
    <row r="74" spans="1:42" x14ac:dyDescent="0.25">
      <c r="A74" s="2"/>
      <c r="C74" s="68" t="str" cm="1">
        <f t="array" ref="C74">IF(AF74&lt;&gt;"",
IFERROR(INDEX('LaunchPad Markbook'!A:A,MATCH(AH74,'LaunchPad Markbook'!D:D,0),0),"-"),"")</f>
        <v/>
      </c>
      <c r="D74" s="27"/>
      <c r="E74" s="27"/>
      <c r="F74" s="27"/>
      <c r="G74" s="14">
        <f>IF(OR(H74&gt;AB$2,I74&gt;AC$2,J74&gt;AD$2,
P74&gt;1,V74&gt;1,
L74&gt;'Group List A'!E$2,M74&gt;'Group List A'!F$2,N74&gt;'Group List A'!G$2,
R74&gt;'Group List B'!E$2,S74&gt;'Group List B'!F$2,T74&gt;'Group List B'!G$2),"Exceed",
IF(OR(H74=AB$2,I74=AC$2,J74=AD$2,
P74=1,V74=1,
L74='Group List A'!E$2,M74='Group List A'!F$2,N74='Group List A'!G$2,
R74='Group List B'!E$2,S74='Group List B'!F$2,T74='Group List B'!G$2),"Limit",0))</f>
        <v>0</v>
      </c>
      <c r="H74" s="29">
        <f t="shared" si="17"/>
        <v>0</v>
      </c>
      <c r="I74" s="29">
        <f t="shared" si="18"/>
        <v>0</v>
      </c>
      <c r="J74" s="29">
        <f t="shared" si="19"/>
        <v>0</v>
      </c>
      <c r="K74" s="32" t="str" cm="1">
        <f t="array" ref="K74">IF(AF74&lt;&gt;"",IFERROR(INDEX('Group List A'!B:B,MATCH(AI74,'Group List A'!A:A,0),0),"-"),"")</f>
        <v/>
      </c>
      <c r="L74" s="33">
        <f t="shared" si="20"/>
        <v>0</v>
      </c>
      <c r="M74" s="33">
        <f t="shared" si="21"/>
        <v>0</v>
      </c>
      <c r="N74" s="33">
        <f t="shared" si="22"/>
        <v>0</v>
      </c>
      <c r="O74" s="28"/>
      <c r="P74" s="33">
        <f t="shared" si="23"/>
        <v>0</v>
      </c>
      <c r="Q74" s="35" t="str" cm="1">
        <f t="array" ref="Q74">IF(AF74&lt;&gt;"",IFERROR(INDEX('Group List B'!B:B,MATCH(AI74,'Group List B'!A:A,0),0),"-"),"")</f>
        <v/>
      </c>
      <c r="R74" s="36">
        <f t="shared" si="24"/>
        <v>0</v>
      </c>
      <c r="S74" s="36">
        <f t="shared" si="25"/>
        <v>0</v>
      </c>
      <c r="T74" s="36">
        <f t="shared" si="26"/>
        <v>0</v>
      </c>
      <c r="U74" s="28"/>
      <c r="V74" s="37">
        <f t="shared" si="27"/>
        <v>0</v>
      </c>
      <c r="W74" s="41"/>
      <c r="X74" s="27"/>
      <c r="Y74" s="27"/>
      <c r="Z74" s="27"/>
      <c r="AA74" s="15"/>
      <c r="AB74" s="17"/>
      <c r="AC74" s="17"/>
      <c r="AD74" s="17"/>
      <c r="AE74" s="90"/>
      <c r="AF74" s="82" t="str">
        <f t="shared" si="28"/>
        <v/>
      </c>
      <c r="AG74" s="83" t="str">
        <f t="shared" si="29"/>
        <v/>
      </c>
      <c r="AH74" s="82" t="str">
        <f t="shared" si="30"/>
        <v/>
      </c>
      <c r="AI74" s="82" t="str">
        <f t="shared" si="31"/>
        <v/>
      </c>
      <c r="AJ74" s="90"/>
      <c r="AP74" s="88"/>
    </row>
    <row r="75" spans="1:42" x14ac:dyDescent="0.25">
      <c r="A75" s="2"/>
      <c r="C75" s="68" t="str" cm="1">
        <f t="array" ref="C75">IF(AF75&lt;&gt;"",
IFERROR(INDEX('LaunchPad Markbook'!A:A,MATCH(AH75,'LaunchPad Markbook'!D:D,0),0),"-"),"")</f>
        <v/>
      </c>
      <c r="D75" s="27"/>
      <c r="E75" s="27"/>
      <c r="F75" s="27"/>
      <c r="G75" s="14">
        <f>IF(OR(H75&gt;AB$2,I75&gt;AC$2,J75&gt;AD$2,
P75&gt;1,V75&gt;1,
L75&gt;'Group List A'!E$2,M75&gt;'Group List A'!F$2,N75&gt;'Group List A'!G$2,
R75&gt;'Group List B'!E$2,S75&gt;'Group List B'!F$2,T75&gt;'Group List B'!G$2),"Exceed",
IF(OR(H75=AB$2,I75=AC$2,J75=AD$2,
P75=1,V75=1,
L75='Group List A'!E$2,M75='Group List A'!F$2,N75='Group List A'!G$2,
R75='Group List B'!E$2,S75='Group List B'!F$2,T75='Group List B'!G$2),"Limit",0))</f>
        <v>0</v>
      </c>
      <c r="H75" s="29">
        <f t="shared" si="17"/>
        <v>0</v>
      </c>
      <c r="I75" s="29">
        <f t="shared" si="18"/>
        <v>0</v>
      </c>
      <c r="J75" s="29">
        <f t="shared" si="19"/>
        <v>0</v>
      </c>
      <c r="K75" s="32" t="str" cm="1">
        <f t="array" ref="K75">IF(AF75&lt;&gt;"",IFERROR(INDEX('Group List A'!B:B,MATCH(AI75,'Group List A'!A:A,0),0),"-"),"")</f>
        <v/>
      </c>
      <c r="L75" s="33">
        <f t="shared" si="20"/>
        <v>0</v>
      </c>
      <c r="M75" s="33">
        <f t="shared" si="21"/>
        <v>0</v>
      </c>
      <c r="N75" s="33">
        <f t="shared" si="22"/>
        <v>0</v>
      </c>
      <c r="O75" s="28"/>
      <c r="P75" s="33">
        <f t="shared" si="23"/>
        <v>0</v>
      </c>
      <c r="Q75" s="35" t="str" cm="1">
        <f t="array" ref="Q75">IF(AF75&lt;&gt;"",IFERROR(INDEX('Group List B'!B:B,MATCH(AI75,'Group List B'!A:A,0),0),"-"),"")</f>
        <v/>
      </c>
      <c r="R75" s="36">
        <f t="shared" si="24"/>
        <v>0</v>
      </c>
      <c r="S75" s="36">
        <f t="shared" si="25"/>
        <v>0</v>
      </c>
      <c r="T75" s="36">
        <f t="shared" si="26"/>
        <v>0</v>
      </c>
      <c r="U75" s="28"/>
      <c r="V75" s="37">
        <f t="shared" si="27"/>
        <v>0</v>
      </c>
      <c r="W75" s="41"/>
      <c r="X75" s="27"/>
      <c r="Y75" s="27"/>
      <c r="Z75" s="27"/>
      <c r="AA75" s="15"/>
      <c r="AB75" s="17"/>
      <c r="AC75" s="17"/>
      <c r="AD75" s="17"/>
      <c r="AE75" s="90"/>
      <c r="AF75" s="82" t="str">
        <f t="shared" si="28"/>
        <v/>
      </c>
      <c r="AG75" s="83" t="str">
        <f t="shared" si="29"/>
        <v/>
      </c>
      <c r="AH75" s="82" t="str">
        <f t="shared" si="30"/>
        <v/>
      </c>
      <c r="AI75" s="82" t="str">
        <f t="shared" si="31"/>
        <v/>
      </c>
      <c r="AJ75" s="90"/>
      <c r="AP75" s="88"/>
    </row>
    <row r="76" spans="1:42" x14ac:dyDescent="0.25">
      <c r="A76" s="2"/>
      <c r="C76" s="68" t="str" cm="1">
        <f t="array" ref="C76">IF(AF76&lt;&gt;"",
IFERROR(INDEX('LaunchPad Markbook'!A:A,MATCH(AH76,'LaunchPad Markbook'!D:D,0),0),"-"),"")</f>
        <v/>
      </c>
      <c r="D76" s="27"/>
      <c r="E76" s="27"/>
      <c r="F76" s="27"/>
      <c r="G76" s="14">
        <f>IF(OR(H76&gt;AB$2,I76&gt;AC$2,J76&gt;AD$2,
P76&gt;1,V76&gt;1,
L76&gt;'Group List A'!E$2,M76&gt;'Group List A'!F$2,N76&gt;'Group List A'!G$2,
R76&gt;'Group List B'!E$2,S76&gt;'Group List B'!F$2,T76&gt;'Group List B'!G$2),"Exceed",
IF(OR(H76=AB$2,I76=AC$2,J76=AD$2,
P76=1,V76=1,
L76='Group List A'!E$2,M76='Group List A'!F$2,N76='Group List A'!G$2,
R76='Group List B'!E$2,S76='Group List B'!F$2,T76='Group List B'!G$2),"Limit",0))</f>
        <v>0</v>
      </c>
      <c r="H76" s="29">
        <f t="shared" si="17"/>
        <v>0</v>
      </c>
      <c r="I76" s="29">
        <f t="shared" si="18"/>
        <v>0</v>
      </c>
      <c r="J76" s="29">
        <f t="shared" si="19"/>
        <v>0</v>
      </c>
      <c r="K76" s="32" t="str" cm="1">
        <f t="array" ref="K76">IF(AF76&lt;&gt;"",IFERROR(INDEX('Group List A'!B:B,MATCH(AI76,'Group List A'!A:A,0),0),"-"),"")</f>
        <v/>
      </c>
      <c r="L76" s="33">
        <f t="shared" si="20"/>
        <v>0</v>
      </c>
      <c r="M76" s="33">
        <f t="shared" si="21"/>
        <v>0</v>
      </c>
      <c r="N76" s="33">
        <f t="shared" si="22"/>
        <v>0</v>
      </c>
      <c r="O76" s="28"/>
      <c r="P76" s="33">
        <f t="shared" si="23"/>
        <v>0</v>
      </c>
      <c r="Q76" s="35" t="str" cm="1">
        <f t="array" ref="Q76">IF(AF76&lt;&gt;"",IFERROR(INDEX('Group List B'!B:B,MATCH(AI76,'Group List B'!A:A,0),0),"-"),"")</f>
        <v/>
      </c>
      <c r="R76" s="36">
        <f t="shared" si="24"/>
        <v>0</v>
      </c>
      <c r="S76" s="36">
        <f t="shared" si="25"/>
        <v>0</v>
      </c>
      <c r="T76" s="36">
        <f t="shared" si="26"/>
        <v>0</v>
      </c>
      <c r="U76" s="28"/>
      <c r="V76" s="37">
        <f t="shared" si="27"/>
        <v>0</v>
      </c>
      <c r="W76" s="41"/>
      <c r="X76" s="27"/>
      <c r="Y76" s="27"/>
      <c r="Z76" s="27"/>
      <c r="AA76" s="15"/>
      <c r="AB76" s="17"/>
      <c r="AC76" s="17"/>
      <c r="AD76" s="17"/>
      <c r="AE76" s="90"/>
      <c r="AF76" s="82" t="str">
        <f t="shared" si="28"/>
        <v/>
      </c>
      <c r="AG76" s="83" t="str">
        <f t="shared" si="29"/>
        <v/>
      </c>
      <c r="AH76" s="82" t="str">
        <f t="shared" si="30"/>
        <v/>
      </c>
      <c r="AI76" s="82" t="str">
        <f t="shared" si="31"/>
        <v/>
      </c>
      <c r="AJ76" s="90"/>
      <c r="AP76" s="88"/>
    </row>
    <row r="77" spans="1:42" x14ac:dyDescent="0.25">
      <c r="A77" s="2"/>
      <c r="C77" s="68" t="str" cm="1">
        <f t="array" ref="C77">IF(AF77&lt;&gt;"",
IFERROR(INDEX('LaunchPad Markbook'!A:A,MATCH(AH77,'LaunchPad Markbook'!D:D,0),0),"-"),"")</f>
        <v/>
      </c>
      <c r="D77" s="27"/>
      <c r="E77" s="27"/>
      <c r="F77" s="27"/>
      <c r="G77" s="14">
        <f>IF(OR(H77&gt;AB$2,I77&gt;AC$2,J77&gt;AD$2,
P77&gt;1,V77&gt;1,
L77&gt;'Group List A'!E$2,M77&gt;'Group List A'!F$2,N77&gt;'Group List A'!G$2,
R77&gt;'Group List B'!E$2,S77&gt;'Group List B'!F$2,T77&gt;'Group List B'!G$2),"Exceed",
IF(OR(H77=AB$2,I77=AC$2,J77=AD$2,
P77=1,V77=1,
L77='Group List A'!E$2,M77='Group List A'!F$2,N77='Group List A'!G$2,
R77='Group List B'!E$2,S77='Group List B'!F$2,T77='Group List B'!G$2),"Limit",0))</f>
        <v>0</v>
      </c>
      <c r="H77" s="29">
        <f t="shared" si="17"/>
        <v>0</v>
      </c>
      <c r="I77" s="29">
        <f t="shared" si="18"/>
        <v>0</v>
      </c>
      <c r="J77" s="29">
        <f t="shared" si="19"/>
        <v>0</v>
      </c>
      <c r="K77" s="32" t="str" cm="1">
        <f t="array" ref="K77">IF(AF77&lt;&gt;"",IFERROR(INDEX('Group List A'!B:B,MATCH(AI77,'Group List A'!A:A,0),0),"-"),"")</f>
        <v/>
      </c>
      <c r="L77" s="33">
        <f t="shared" si="20"/>
        <v>0</v>
      </c>
      <c r="M77" s="33">
        <f t="shared" si="21"/>
        <v>0</v>
      </c>
      <c r="N77" s="33">
        <f t="shared" si="22"/>
        <v>0</v>
      </c>
      <c r="O77" s="28"/>
      <c r="P77" s="33">
        <f t="shared" si="23"/>
        <v>0</v>
      </c>
      <c r="Q77" s="35" t="str" cm="1">
        <f t="array" ref="Q77">IF(AF77&lt;&gt;"",IFERROR(INDEX('Group List B'!B:B,MATCH(AI77,'Group List B'!A:A,0),0),"-"),"")</f>
        <v/>
      </c>
      <c r="R77" s="36">
        <f t="shared" si="24"/>
        <v>0</v>
      </c>
      <c r="S77" s="36">
        <f t="shared" si="25"/>
        <v>0</v>
      </c>
      <c r="T77" s="36">
        <f t="shared" si="26"/>
        <v>0</v>
      </c>
      <c r="U77" s="28"/>
      <c r="V77" s="37">
        <f t="shared" si="27"/>
        <v>0</v>
      </c>
      <c r="W77" s="41"/>
      <c r="X77" s="27"/>
      <c r="Y77" s="27"/>
      <c r="Z77" s="27"/>
      <c r="AA77" s="15"/>
      <c r="AB77" s="17"/>
      <c r="AC77" s="17"/>
      <c r="AD77" s="17"/>
      <c r="AE77" s="90"/>
      <c r="AF77" s="82" t="str">
        <f t="shared" si="28"/>
        <v/>
      </c>
      <c r="AG77" s="83" t="str">
        <f t="shared" si="29"/>
        <v/>
      </c>
      <c r="AH77" s="82" t="str">
        <f t="shared" si="30"/>
        <v/>
      </c>
      <c r="AI77" s="82" t="str">
        <f t="shared" si="31"/>
        <v/>
      </c>
      <c r="AJ77" s="90"/>
      <c r="AP77" s="88"/>
    </row>
    <row r="78" spans="1:42" x14ac:dyDescent="0.25">
      <c r="A78" s="2"/>
      <c r="C78" s="68" t="str" cm="1">
        <f t="array" ref="C78">IF(AF78&lt;&gt;"",
IFERROR(INDEX('LaunchPad Markbook'!A:A,MATCH(AH78,'LaunchPad Markbook'!D:D,0),0),"-"),"")</f>
        <v/>
      </c>
      <c r="D78" s="27"/>
      <c r="E78" s="27"/>
      <c r="F78" s="27"/>
      <c r="G78" s="14">
        <f>IF(OR(H78&gt;AB$2,I78&gt;AC$2,J78&gt;AD$2,
P78&gt;1,V78&gt;1,
L78&gt;'Group List A'!E$2,M78&gt;'Group List A'!F$2,N78&gt;'Group List A'!G$2,
R78&gt;'Group List B'!E$2,S78&gt;'Group List B'!F$2,T78&gt;'Group List B'!G$2),"Exceed",
IF(OR(H78=AB$2,I78=AC$2,J78=AD$2,
P78=1,V78=1,
L78='Group List A'!E$2,M78='Group List A'!F$2,N78='Group List A'!G$2,
R78='Group List B'!E$2,S78='Group List B'!F$2,T78='Group List B'!G$2),"Limit",0))</f>
        <v>0</v>
      </c>
      <c r="H78" s="29">
        <f t="shared" si="17"/>
        <v>0</v>
      </c>
      <c r="I78" s="29">
        <f t="shared" si="18"/>
        <v>0</v>
      </c>
      <c r="J78" s="29">
        <f t="shared" si="19"/>
        <v>0</v>
      </c>
      <c r="K78" s="32" t="str" cm="1">
        <f t="array" ref="K78">IF(AF78&lt;&gt;"",IFERROR(INDEX('Group List A'!B:B,MATCH(AI78,'Group List A'!A:A,0),0),"-"),"")</f>
        <v/>
      </c>
      <c r="L78" s="33">
        <f t="shared" si="20"/>
        <v>0</v>
      </c>
      <c r="M78" s="33">
        <f t="shared" si="21"/>
        <v>0</v>
      </c>
      <c r="N78" s="33">
        <f t="shared" si="22"/>
        <v>0</v>
      </c>
      <c r="O78" s="28"/>
      <c r="P78" s="33">
        <f t="shared" si="23"/>
        <v>0</v>
      </c>
      <c r="Q78" s="35" t="str" cm="1">
        <f t="array" ref="Q78">IF(AF78&lt;&gt;"",IFERROR(INDEX('Group List B'!B:B,MATCH(AI78,'Group List B'!A:A,0),0),"-"),"")</f>
        <v/>
      </c>
      <c r="R78" s="36">
        <f t="shared" si="24"/>
        <v>0</v>
      </c>
      <c r="S78" s="36">
        <f t="shared" si="25"/>
        <v>0</v>
      </c>
      <c r="T78" s="36">
        <f t="shared" si="26"/>
        <v>0</v>
      </c>
      <c r="U78" s="28"/>
      <c r="V78" s="37">
        <f t="shared" si="27"/>
        <v>0</v>
      </c>
      <c r="W78" s="41"/>
      <c r="X78" s="27"/>
      <c r="Y78" s="27"/>
      <c r="Z78" s="27"/>
      <c r="AA78" s="15"/>
      <c r="AB78" s="17"/>
      <c r="AC78" s="17"/>
      <c r="AD78" s="17"/>
      <c r="AE78" s="90"/>
      <c r="AF78" s="82" t="str">
        <f t="shared" si="28"/>
        <v/>
      </c>
      <c r="AG78" s="83" t="str">
        <f t="shared" si="29"/>
        <v/>
      </c>
      <c r="AH78" s="82" t="str">
        <f t="shared" si="30"/>
        <v/>
      </c>
      <c r="AI78" s="82" t="str">
        <f t="shared" si="31"/>
        <v/>
      </c>
      <c r="AJ78" s="90"/>
      <c r="AP78" s="88"/>
    </row>
    <row r="79" spans="1:42" x14ac:dyDescent="0.25">
      <c r="A79" s="2"/>
      <c r="C79" s="68" t="str" cm="1">
        <f t="array" ref="C79">IF(AF79&lt;&gt;"",
IFERROR(INDEX('LaunchPad Markbook'!A:A,MATCH(AH79,'LaunchPad Markbook'!D:D,0),0),"-"),"")</f>
        <v/>
      </c>
      <c r="D79" s="27"/>
      <c r="E79" s="27"/>
      <c r="F79" s="27"/>
      <c r="G79" s="14">
        <f>IF(OR(H79&gt;AB$2,I79&gt;AC$2,J79&gt;AD$2,
P79&gt;1,V79&gt;1,
L79&gt;'Group List A'!E$2,M79&gt;'Group List A'!F$2,N79&gt;'Group List A'!G$2,
R79&gt;'Group List B'!E$2,S79&gt;'Group List B'!F$2,T79&gt;'Group List B'!G$2),"Exceed",
IF(OR(H79=AB$2,I79=AC$2,J79=AD$2,
P79=1,V79=1,
L79='Group List A'!E$2,M79='Group List A'!F$2,N79='Group List A'!G$2,
R79='Group List B'!E$2,S79='Group List B'!F$2,T79='Group List B'!G$2),"Limit",0))</f>
        <v>0</v>
      </c>
      <c r="H79" s="29">
        <f t="shared" si="17"/>
        <v>0</v>
      </c>
      <c r="I79" s="29">
        <f t="shared" si="18"/>
        <v>0</v>
      </c>
      <c r="J79" s="29">
        <f t="shared" si="19"/>
        <v>0</v>
      </c>
      <c r="K79" s="32" t="str" cm="1">
        <f t="array" ref="K79">IF(AF79&lt;&gt;"",IFERROR(INDEX('Group List A'!B:B,MATCH(AI79,'Group List A'!A:A,0),0),"-"),"")</f>
        <v/>
      </c>
      <c r="L79" s="33">
        <f t="shared" si="20"/>
        <v>0</v>
      </c>
      <c r="M79" s="33">
        <f t="shared" si="21"/>
        <v>0</v>
      </c>
      <c r="N79" s="33">
        <f t="shared" si="22"/>
        <v>0</v>
      </c>
      <c r="O79" s="28"/>
      <c r="P79" s="33">
        <f t="shared" si="23"/>
        <v>0</v>
      </c>
      <c r="Q79" s="35" t="str" cm="1">
        <f t="array" ref="Q79">IF(AF79&lt;&gt;"",IFERROR(INDEX('Group List B'!B:B,MATCH(AI79,'Group List B'!A:A,0),0),"-"),"")</f>
        <v/>
      </c>
      <c r="R79" s="36">
        <f t="shared" si="24"/>
        <v>0</v>
      </c>
      <c r="S79" s="36">
        <f t="shared" si="25"/>
        <v>0</v>
      </c>
      <c r="T79" s="36">
        <f t="shared" si="26"/>
        <v>0</v>
      </c>
      <c r="U79" s="28"/>
      <c r="V79" s="37">
        <f t="shared" si="27"/>
        <v>0</v>
      </c>
      <c r="W79" s="41"/>
      <c r="X79" s="27"/>
      <c r="Y79" s="27"/>
      <c r="Z79" s="27"/>
      <c r="AA79" s="15"/>
      <c r="AB79" s="17"/>
      <c r="AC79" s="17"/>
      <c r="AD79" s="17"/>
      <c r="AE79" s="90"/>
      <c r="AF79" s="82" t="str">
        <f t="shared" si="28"/>
        <v/>
      </c>
      <c r="AG79" s="83" t="str">
        <f t="shared" si="29"/>
        <v/>
      </c>
      <c r="AH79" s="82" t="str">
        <f t="shared" si="30"/>
        <v/>
      </c>
      <c r="AI79" s="82" t="str">
        <f t="shared" si="31"/>
        <v/>
      </c>
      <c r="AJ79" s="90"/>
      <c r="AP79" s="88"/>
    </row>
    <row r="80" spans="1:42" x14ac:dyDescent="0.25">
      <c r="A80" s="2"/>
      <c r="C80" s="68" t="str" cm="1">
        <f t="array" ref="C80">IF(AF80&lt;&gt;"",
IFERROR(INDEX('LaunchPad Markbook'!A:A,MATCH(AH80,'LaunchPad Markbook'!D:D,0),0),"-"),"")</f>
        <v/>
      </c>
      <c r="D80" s="27"/>
      <c r="E80" s="27"/>
      <c r="F80" s="27"/>
      <c r="G80" s="14">
        <f>IF(OR(H80&gt;AB$2,I80&gt;AC$2,J80&gt;AD$2,
P80&gt;1,V80&gt;1,
L80&gt;'Group List A'!E$2,M80&gt;'Group List A'!F$2,N80&gt;'Group List A'!G$2,
R80&gt;'Group List B'!E$2,S80&gt;'Group List B'!F$2,T80&gt;'Group List B'!G$2),"Exceed",
IF(OR(H80=AB$2,I80=AC$2,J80=AD$2,
P80=1,V80=1,
L80='Group List A'!E$2,M80='Group List A'!F$2,N80='Group List A'!G$2,
R80='Group List B'!E$2,S80='Group List B'!F$2,T80='Group List B'!G$2),"Limit",0))</f>
        <v>0</v>
      </c>
      <c r="H80" s="29">
        <f t="shared" si="17"/>
        <v>0</v>
      </c>
      <c r="I80" s="29">
        <f t="shared" si="18"/>
        <v>0</v>
      </c>
      <c r="J80" s="29">
        <f t="shared" si="19"/>
        <v>0</v>
      </c>
      <c r="K80" s="32" t="str" cm="1">
        <f t="array" ref="K80">IF(AF80&lt;&gt;"",IFERROR(INDEX('Group List A'!B:B,MATCH(AI80,'Group List A'!A:A,0),0),"-"),"")</f>
        <v/>
      </c>
      <c r="L80" s="33">
        <f t="shared" si="20"/>
        <v>0</v>
      </c>
      <c r="M80" s="33">
        <f t="shared" si="21"/>
        <v>0</v>
      </c>
      <c r="N80" s="33">
        <f t="shared" si="22"/>
        <v>0</v>
      </c>
      <c r="O80" s="28"/>
      <c r="P80" s="33">
        <f t="shared" si="23"/>
        <v>0</v>
      </c>
      <c r="Q80" s="35" t="str" cm="1">
        <f t="array" ref="Q80">IF(AF80&lt;&gt;"",IFERROR(INDEX('Group List B'!B:B,MATCH(AI80,'Group List B'!A:A,0),0),"-"),"")</f>
        <v/>
      </c>
      <c r="R80" s="36">
        <f t="shared" si="24"/>
        <v>0</v>
      </c>
      <c r="S80" s="36">
        <f t="shared" si="25"/>
        <v>0</v>
      </c>
      <c r="T80" s="36">
        <f t="shared" si="26"/>
        <v>0</v>
      </c>
      <c r="U80" s="28"/>
      <c r="V80" s="37">
        <f t="shared" si="27"/>
        <v>0</v>
      </c>
      <c r="W80" s="41"/>
      <c r="X80" s="27"/>
      <c r="Y80" s="27"/>
      <c r="Z80" s="27"/>
      <c r="AA80" s="15"/>
      <c r="AB80" s="17"/>
      <c r="AC80" s="17"/>
      <c r="AD80" s="17"/>
      <c r="AE80" s="90"/>
      <c r="AF80" s="82" t="str">
        <f t="shared" si="28"/>
        <v/>
      </c>
      <c r="AG80" s="83" t="str">
        <f t="shared" si="29"/>
        <v/>
      </c>
      <c r="AH80" s="82" t="str">
        <f t="shared" si="30"/>
        <v/>
      </c>
      <c r="AI80" s="82" t="str">
        <f t="shared" si="31"/>
        <v/>
      </c>
      <c r="AJ80" s="90"/>
      <c r="AP80" s="88"/>
    </row>
    <row r="81" spans="1:42" x14ac:dyDescent="0.25">
      <c r="A81" s="2"/>
      <c r="C81" s="68" t="str" cm="1">
        <f t="array" ref="C81">IF(AF81&lt;&gt;"",
IFERROR(INDEX('LaunchPad Markbook'!A:A,MATCH(AH81,'LaunchPad Markbook'!D:D,0),0),"-"),"")</f>
        <v/>
      </c>
      <c r="D81" s="27"/>
      <c r="E81" s="27"/>
      <c r="F81" s="27"/>
      <c r="G81" s="14">
        <f>IF(OR(H81&gt;AB$2,I81&gt;AC$2,J81&gt;AD$2,
P81&gt;1,V81&gt;1,
L81&gt;'Group List A'!E$2,M81&gt;'Group List A'!F$2,N81&gt;'Group List A'!G$2,
R81&gt;'Group List B'!E$2,S81&gt;'Group List B'!F$2,T81&gt;'Group List B'!G$2),"Exceed",
IF(OR(H81=AB$2,I81=AC$2,J81=AD$2,
P81=1,V81=1,
L81='Group List A'!E$2,M81='Group List A'!F$2,N81='Group List A'!G$2,
R81='Group List B'!E$2,S81='Group List B'!F$2,T81='Group List B'!G$2),"Limit",0))</f>
        <v>0</v>
      </c>
      <c r="H81" s="29">
        <f t="shared" si="17"/>
        <v>0</v>
      </c>
      <c r="I81" s="29">
        <f t="shared" si="18"/>
        <v>0</v>
      </c>
      <c r="J81" s="29">
        <f t="shared" si="19"/>
        <v>0</v>
      </c>
      <c r="K81" s="32" t="str" cm="1">
        <f t="array" ref="K81">IF(AF81&lt;&gt;"",IFERROR(INDEX('Group List A'!B:B,MATCH(AI81,'Group List A'!A:A,0),0),"-"),"")</f>
        <v/>
      </c>
      <c r="L81" s="33">
        <f t="shared" si="20"/>
        <v>0</v>
      </c>
      <c r="M81" s="33">
        <f t="shared" si="21"/>
        <v>0</v>
      </c>
      <c r="N81" s="33">
        <f t="shared" si="22"/>
        <v>0</v>
      </c>
      <c r="O81" s="28"/>
      <c r="P81" s="33">
        <f t="shared" si="23"/>
        <v>0</v>
      </c>
      <c r="Q81" s="35" t="str" cm="1">
        <f t="array" ref="Q81">IF(AF81&lt;&gt;"",IFERROR(INDEX('Group List B'!B:B,MATCH(AI81,'Group List B'!A:A,0),0),"-"),"")</f>
        <v/>
      </c>
      <c r="R81" s="36">
        <f t="shared" si="24"/>
        <v>0</v>
      </c>
      <c r="S81" s="36">
        <f t="shared" si="25"/>
        <v>0</v>
      </c>
      <c r="T81" s="36">
        <f t="shared" si="26"/>
        <v>0</v>
      </c>
      <c r="U81" s="28"/>
      <c r="V81" s="37">
        <f t="shared" si="27"/>
        <v>0</v>
      </c>
      <c r="W81" s="41"/>
      <c r="X81" s="27"/>
      <c r="Y81" s="27"/>
      <c r="Z81" s="27"/>
      <c r="AA81" s="15"/>
      <c r="AB81" s="17"/>
      <c r="AC81" s="17"/>
      <c r="AD81" s="17"/>
      <c r="AE81" s="90"/>
      <c r="AF81" s="82" t="str">
        <f t="shared" si="28"/>
        <v/>
      </c>
      <c r="AG81" s="83" t="str">
        <f t="shared" si="29"/>
        <v/>
      </c>
      <c r="AH81" s="82" t="str">
        <f t="shared" si="30"/>
        <v/>
      </c>
      <c r="AI81" s="82" t="str">
        <f t="shared" si="31"/>
        <v/>
      </c>
      <c r="AJ81" s="90"/>
      <c r="AP81" s="88"/>
    </row>
    <row r="82" spans="1:42" x14ac:dyDescent="0.25">
      <c r="A82" s="2"/>
      <c r="C82" s="68" t="str" cm="1">
        <f t="array" ref="C82">IF(AF82&lt;&gt;"",
IFERROR(INDEX('LaunchPad Markbook'!A:A,MATCH(AH82,'LaunchPad Markbook'!D:D,0),0),"-"),"")</f>
        <v/>
      </c>
      <c r="D82" s="27"/>
      <c r="E82" s="27"/>
      <c r="F82" s="27"/>
      <c r="G82" s="14">
        <f>IF(OR(H82&gt;AB$2,I82&gt;AC$2,J82&gt;AD$2,
P82&gt;1,V82&gt;1,
L82&gt;'Group List A'!E$2,M82&gt;'Group List A'!F$2,N82&gt;'Group List A'!G$2,
R82&gt;'Group List B'!E$2,S82&gt;'Group List B'!F$2,T82&gt;'Group List B'!G$2),"Exceed",
IF(OR(H82=AB$2,I82=AC$2,J82=AD$2,
P82=1,V82=1,
L82='Group List A'!E$2,M82='Group List A'!F$2,N82='Group List A'!G$2,
R82='Group List B'!E$2,S82='Group List B'!F$2,T82='Group List B'!G$2),"Limit",0))</f>
        <v>0</v>
      </c>
      <c r="H82" s="29">
        <f t="shared" si="17"/>
        <v>0</v>
      </c>
      <c r="I82" s="29">
        <f t="shared" si="18"/>
        <v>0</v>
      </c>
      <c r="J82" s="29">
        <f t="shared" si="19"/>
        <v>0</v>
      </c>
      <c r="K82" s="32" t="str" cm="1">
        <f t="array" ref="K82">IF(AF82&lt;&gt;"",IFERROR(INDEX('Group List A'!B:B,MATCH(AI82,'Group List A'!A:A,0),0),"-"),"")</f>
        <v/>
      </c>
      <c r="L82" s="33">
        <f t="shared" si="20"/>
        <v>0</v>
      </c>
      <c r="M82" s="33">
        <f t="shared" si="21"/>
        <v>0</v>
      </c>
      <c r="N82" s="33">
        <f t="shared" si="22"/>
        <v>0</v>
      </c>
      <c r="O82" s="28"/>
      <c r="P82" s="33">
        <f t="shared" si="23"/>
        <v>0</v>
      </c>
      <c r="Q82" s="35" t="str" cm="1">
        <f t="array" ref="Q82">IF(AF82&lt;&gt;"",IFERROR(INDEX('Group List B'!B:B,MATCH(AI82,'Group List B'!A:A,0),0),"-"),"")</f>
        <v/>
      </c>
      <c r="R82" s="36">
        <f t="shared" si="24"/>
        <v>0</v>
      </c>
      <c r="S82" s="36">
        <f t="shared" si="25"/>
        <v>0</v>
      </c>
      <c r="T82" s="36">
        <f t="shared" si="26"/>
        <v>0</v>
      </c>
      <c r="U82" s="28"/>
      <c r="V82" s="37">
        <f t="shared" si="27"/>
        <v>0</v>
      </c>
      <c r="W82" s="41"/>
      <c r="X82" s="27"/>
      <c r="Y82" s="27"/>
      <c r="Z82" s="27"/>
      <c r="AA82" s="15"/>
      <c r="AB82" s="17"/>
      <c r="AC82" s="17"/>
      <c r="AD82" s="17"/>
      <c r="AE82" s="90"/>
      <c r="AF82" s="82" t="str">
        <f t="shared" si="28"/>
        <v/>
      </c>
      <c r="AG82" s="83" t="str">
        <f t="shared" si="29"/>
        <v/>
      </c>
      <c r="AH82" s="82" t="str">
        <f t="shared" si="30"/>
        <v/>
      </c>
      <c r="AI82" s="82" t="str">
        <f t="shared" si="31"/>
        <v/>
      </c>
      <c r="AJ82" s="90"/>
      <c r="AP82" s="88"/>
    </row>
    <row r="83" spans="1:42" x14ac:dyDescent="0.25">
      <c r="A83" s="2"/>
      <c r="C83" s="68" t="str" cm="1">
        <f t="array" ref="C83">IF(AF83&lt;&gt;"",
IFERROR(INDEX('LaunchPad Markbook'!A:A,MATCH(AH83,'LaunchPad Markbook'!D:D,0),0),"-"),"")</f>
        <v/>
      </c>
      <c r="D83" s="27"/>
      <c r="E83" s="27"/>
      <c r="F83" s="27"/>
      <c r="G83" s="14">
        <f>IF(OR(H83&gt;AB$2,I83&gt;AC$2,J83&gt;AD$2,
P83&gt;1,V83&gt;1,
L83&gt;'Group List A'!E$2,M83&gt;'Group List A'!F$2,N83&gt;'Group List A'!G$2,
R83&gt;'Group List B'!E$2,S83&gt;'Group List B'!F$2,T83&gt;'Group List B'!G$2),"Exceed",
IF(OR(H83=AB$2,I83=AC$2,J83=AD$2,
P83=1,V83=1,
L83='Group List A'!E$2,M83='Group List A'!F$2,N83='Group List A'!G$2,
R83='Group List B'!E$2,S83='Group List B'!F$2,T83='Group List B'!G$2),"Limit",0))</f>
        <v>0</v>
      </c>
      <c r="H83" s="29">
        <f t="shared" si="17"/>
        <v>0</v>
      </c>
      <c r="I83" s="29">
        <f t="shared" si="18"/>
        <v>0</v>
      </c>
      <c r="J83" s="29">
        <f t="shared" si="19"/>
        <v>0</v>
      </c>
      <c r="K83" s="32" t="str" cm="1">
        <f t="array" ref="K83">IF(AF83&lt;&gt;"",IFERROR(INDEX('Group List A'!B:B,MATCH(AI83,'Group List A'!A:A,0),0),"-"),"")</f>
        <v/>
      </c>
      <c r="L83" s="33">
        <f t="shared" si="20"/>
        <v>0</v>
      </c>
      <c r="M83" s="33">
        <f t="shared" si="21"/>
        <v>0</v>
      </c>
      <c r="N83" s="33">
        <f t="shared" si="22"/>
        <v>0</v>
      </c>
      <c r="O83" s="28"/>
      <c r="P83" s="33">
        <f t="shared" si="23"/>
        <v>0</v>
      </c>
      <c r="Q83" s="35" t="str" cm="1">
        <f t="array" ref="Q83">IF(AF83&lt;&gt;"",IFERROR(INDEX('Group List B'!B:B,MATCH(AI83,'Group List B'!A:A,0),0),"-"),"")</f>
        <v/>
      </c>
      <c r="R83" s="36">
        <f t="shared" si="24"/>
        <v>0</v>
      </c>
      <c r="S83" s="36">
        <f t="shared" si="25"/>
        <v>0</v>
      </c>
      <c r="T83" s="36">
        <f t="shared" si="26"/>
        <v>0</v>
      </c>
      <c r="U83" s="28"/>
      <c r="V83" s="37">
        <f t="shared" si="27"/>
        <v>0</v>
      </c>
      <c r="W83" s="41"/>
      <c r="X83" s="27"/>
      <c r="Y83" s="27"/>
      <c r="Z83" s="27"/>
      <c r="AA83" s="15"/>
      <c r="AB83" s="17"/>
      <c r="AC83" s="17"/>
      <c r="AD83" s="17"/>
      <c r="AE83" s="90"/>
      <c r="AF83" s="82" t="str">
        <f t="shared" si="28"/>
        <v/>
      </c>
      <c r="AG83" s="83" t="str">
        <f t="shared" si="29"/>
        <v/>
      </c>
      <c r="AH83" s="82" t="str">
        <f t="shared" si="30"/>
        <v/>
      </c>
      <c r="AI83" s="82" t="str">
        <f t="shared" si="31"/>
        <v/>
      </c>
      <c r="AJ83" s="90"/>
      <c r="AP83" s="88"/>
    </row>
    <row r="84" spans="1:42" x14ac:dyDescent="0.25">
      <c r="A84" s="2"/>
      <c r="C84" s="68" t="str" cm="1">
        <f t="array" ref="C84">IF(AF84&lt;&gt;"",
IFERROR(INDEX('LaunchPad Markbook'!A:A,MATCH(AH84,'LaunchPad Markbook'!D:D,0),0),"-"),"")</f>
        <v/>
      </c>
      <c r="D84" s="27"/>
      <c r="E84" s="27"/>
      <c r="F84" s="27"/>
      <c r="G84" s="14">
        <f>IF(OR(H84&gt;AB$2,I84&gt;AC$2,J84&gt;AD$2,
P84&gt;1,V84&gt;1,
L84&gt;'Group List A'!E$2,M84&gt;'Group List A'!F$2,N84&gt;'Group List A'!G$2,
R84&gt;'Group List B'!E$2,S84&gt;'Group List B'!F$2,T84&gt;'Group List B'!G$2),"Exceed",
IF(OR(H84=AB$2,I84=AC$2,J84=AD$2,
P84=1,V84=1,
L84='Group List A'!E$2,M84='Group List A'!F$2,N84='Group List A'!G$2,
R84='Group List B'!E$2,S84='Group List B'!F$2,T84='Group List B'!G$2),"Limit",0))</f>
        <v>0</v>
      </c>
      <c r="H84" s="29">
        <f t="shared" si="17"/>
        <v>0</v>
      </c>
      <c r="I84" s="29">
        <f t="shared" si="18"/>
        <v>0</v>
      </c>
      <c r="J84" s="29">
        <f t="shared" si="19"/>
        <v>0</v>
      </c>
      <c r="K84" s="32" t="str" cm="1">
        <f t="array" ref="K84">IF(AF84&lt;&gt;"",IFERROR(INDEX('Group List A'!B:B,MATCH(AI84,'Group List A'!A:A,0),0),"-"),"")</f>
        <v/>
      </c>
      <c r="L84" s="33">
        <f t="shared" si="20"/>
        <v>0</v>
      </c>
      <c r="M84" s="33">
        <f t="shared" si="21"/>
        <v>0</v>
      </c>
      <c r="N84" s="33">
        <f t="shared" si="22"/>
        <v>0</v>
      </c>
      <c r="O84" s="28"/>
      <c r="P84" s="33">
        <f t="shared" si="23"/>
        <v>0</v>
      </c>
      <c r="Q84" s="35" t="str" cm="1">
        <f t="array" ref="Q84">IF(AF84&lt;&gt;"",IFERROR(INDEX('Group List B'!B:B,MATCH(AI84,'Group List B'!A:A,0),0),"-"),"")</f>
        <v/>
      </c>
      <c r="R84" s="36">
        <f t="shared" si="24"/>
        <v>0</v>
      </c>
      <c r="S84" s="36">
        <f t="shared" si="25"/>
        <v>0</v>
      </c>
      <c r="T84" s="36">
        <f t="shared" si="26"/>
        <v>0</v>
      </c>
      <c r="U84" s="28"/>
      <c r="V84" s="37">
        <f t="shared" si="27"/>
        <v>0</v>
      </c>
      <c r="W84" s="41"/>
      <c r="X84" s="27"/>
      <c r="Y84" s="27"/>
      <c r="Z84" s="27"/>
      <c r="AA84" s="15"/>
      <c r="AB84" s="17"/>
      <c r="AC84" s="17"/>
      <c r="AD84" s="17"/>
      <c r="AE84" s="90"/>
      <c r="AF84" s="82" t="str">
        <f t="shared" si="28"/>
        <v/>
      </c>
      <c r="AG84" s="83" t="str">
        <f t="shared" si="29"/>
        <v/>
      </c>
      <c r="AH84" s="82" t="str">
        <f t="shared" si="30"/>
        <v/>
      </c>
      <c r="AI84" s="82" t="str">
        <f t="shared" si="31"/>
        <v/>
      </c>
      <c r="AJ84" s="90"/>
      <c r="AP84" s="88"/>
    </row>
    <row r="85" spans="1:42" x14ac:dyDescent="0.25">
      <c r="A85" s="2"/>
      <c r="C85" s="68" t="str" cm="1">
        <f t="array" ref="C85">IF(AF85&lt;&gt;"",
IFERROR(INDEX('LaunchPad Markbook'!A:A,MATCH(AH85,'LaunchPad Markbook'!D:D,0),0),"-"),"")</f>
        <v/>
      </c>
      <c r="D85" s="27"/>
      <c r="E85" s="27"/>
      <c r="F85" s="27"/>
      <c r="G85" s="14">
        <f>IF(OR(H85&gt;AB$2,I85&gt;AC$2,J85&gt;AD$2,
P85&gt;1,V85&gt;1,
L85&gt;'Group List A'!E$2,M85&gt;'Group List A'!F$2,N85&gt;'Group List A'!G$2,
R85&gt;'Group List B'!E$2,S85&gt;'Group List B'!F$2,T85&gt;'Group List B'!G$2),"Exceed",
IF(OR(H85=AB$2,I85=AC$2,J85=AD$2,
P85=1,V85=1,
L85='Group List A'!E$2,M85='Group List A'!F$2,N85='Group List A'!G$2,
R85='Group List B'!E$2,S85='Group List B'!F$2,T85='Group List B'!G$2),"Limit",0))</f>
        <v>0</v>
      </c>
      <c r="H85" s="29">
        <f t="shared" si="17"/>
        <v>0</v>
      </c>
      <c r="I85" s="29">
        <f t="shared" si="18"/>
        <v>0</v>
      </c>
      <c r="J85" s="29">
        <f t="shared" si="19"/>
        <v>0</v>
      </c>
      <c r="K85" s="32" t="str" cm="1">
        <f t="array" ref="K85">IF(AF85&lt;&gt;"",IFERROR(INDEX('Group List A'!B:B,MATCH(AI85,'Group List A'!A:A,0),0),"-"),"")</f>
        <v/>
      </c>
      <c r="L85" s="33">
        <f t="shared" si="20"/>
        <v>0</v>
      </c>
      <c r="M85" s="33">
        <f t="shared" si="21"/>
        <v>0</v>
      </c>
      <c r="N85" s="33">
        <f t="shared" si="22"/>
        <v>0</v>
      </c>
      <c r="O85" s="28"/>
      <c r="P85" s="33">
        <f t="shared" si="23"/>
        <v>0</v>
      </c>
      <c r="Q85" s="35" t="str" cm="1">
        <f t="array" ref="Q85">IF(AF85&lt;&gt;"",IFERROR(INDEX('Group List B'!B:B,MATCH(AI85,'Group List B'!A:A,0),0),"-"),"")</f>
        <v/>
      </c>
      <c r="R85" s="36">
        <f t="shared" si="24"/>
        <v>0</v>
      </c>
      <c r="S85" s="36">
        <f t="shared" si="25"/>
        <v>0</v>
      </c>
      <c r="T85" s="36">
        <f t="shared" si="26"/>
        <v>0</v>
      </c>
      <c r="U85" s="28"/>
      <c r="V85" s="37">
        <f t="shared" si="27"/>
        <v>0</v>
      </c>
      <c r="W85" s="41"/>
      <c r="X85" s="27"/>
      <c r="Y85" s="27"/>
      <c r="Z85" s="27"/>
      <c r="AA85" s="15"/>
      <c r="AB85" s="17"/>
      <c r="AC85" s="17"/>
      <c r="AD85" s="17"/>
      <c r="AE85" s="90"/>
      <c r="AF85" s="82" t="str">
        <f t="shared" si="28"/>
        <v/>
      </c>
      <c r="AG85" s="83" t="str">
        <f t="shared" si="29"/>
        <v/>
      </c>
      <c r="AH85" s="82" t="str">
        <f t="shared" si="30"/>
        <v/>
      </c>
      <c r="AI85" s="82" t="str">
        <f t="shared" si="31"/>
        <v/>
      </c>
      <c r="AJ85" s="90"/>
      <c r="AP85" s="88"/>
    </row>
    <row r="86" spans="1:42" x14ac:dyDescent="0.25">
      <c r="A86" s="2"/>
      <c r="C86" s="68" t="str" cm="1">
        <f t="array" ref="C86">IF(AF86&lt;&gt;"",
IFERROR(INDEX('LaunchPad Markbook'!A:A,MATCH(AH86,'LaunchPad Markbook'!D:D,0),0),"-"),"")</f>
        <v/>
      </c>
      <c r="D86" s="27"/>
      <c r="E86" s="27"/>
      <c r="F86" s="27"/>
      <c r="G86" s="14">
        <f>IF(OR(H86&gt;AB$2,I86&gt;AC$2,J86&gt;AD$2,
P86&gt;1,V86&gt;1,
L86&gt;'Group List A'!E$2,M86&gt;'Group List A'!F$2,N86&gt;'Group List A'!G$2,
R86&gt;'Group List B'!E$2,S86&gt;'Group List B'!F$2,T86&gt;'Group List B'!G$2),"Exceed",
IF(OR(H86=AB$2,I86=AC$2,J86=AD$2,
P86=1,V86=1,
L86='Group List A'!E$2,M86='Group List A'!F$2,N86='Group List A'!G$2,
R86='Group List B'!E$2,S86='Group List B'!F$2,T86='Group List B'!G$2),"Limit",0))</f>
        <v>0</v>
      </c>
      <c r="H86" s="29">
        <f t="shared" si="17"/>
        <v>0</v>
      </c>
      <c r="I86" s="29">
        <f t="shared" si="18"/>
        <v>0</v>
      </c>
      <c r="J86" s="29">
        <f t="shared" si="19"/>
        <v>0</v>
      </c>
      <c r="K86" s="32" t="str" cm="1">
        <f t="array" ref="K86">IF(AF86&lt;&gt;"",IFERROR(INDEX('Group List A'!B:B,MATCH(AI86,'Group List A'!A:A,0),0),"-"),"")</f>
        <v/>
      </c>
      <c r="L86" s="33">
        <f t="shared" si="20"/>
        <v>0</v>
      </c>
      <c r="M86" s="33">
        <f t="shared" si="21"/>
        <v>0</v>
      </c>
      <c r="N86" s="33">
        <f t="shared" si="22"/>
        <v>0</v>
      </c>
      <c r="O86" s="28"/>
      <c r="P86" s="33">
        <f t="shared" si="23"/>
        <v>0</v>
      </c>
      <c r="Q86" s="35" t="str" cm="1">
        <f t="array" ref="Q86">IF(AF86&lt;&gt;"",IFERROR(INDEX('Group List B'!B:B,MATCH(AI86,'Group List B'!A:A,0),0),"-"),"")</f>
        <v/>
      </c>
      <c r="R86" s="36">
        <f t="shared" si="24"/>
        <v>0</v>
      </c>
      <c r="S86" s="36">
        <f t="shared" si="25"/>
        <v>0</v>
      </c>
      <c r="T86" s="36">
        <f t="shared" si="26"/>
        <v>0</v>
      </c>
      <c r="U86" s="28"/>
      <c r="V86" s="37">
        <f t="shared" si="27"/>
        <v>0</v>
      </c>
      <c r="W86" s="41"/>
      <c r="X86" s="27"/>
      <c r="Y86" s="27"/>
      <c r="Z86" s="27"/>
      <c r="AA86" s="15"/>
      <c r="AB86" s="17"/>
      <c r="AC86" s="17"/>
      <c r="AD86" s="17"/>
      <c r="AE86" s="90"/>
      <c r="AF86" s="82" t="str">
        <f t="shared" si="28"/>
        <v/>
      </c>
      <c r="AG86" s="83" t="str">
        <f t="shared" si="29"/>
        <v/>
      </c>
      <c r="AH86" s="82" t="str">
        <f t="shared" si="30"/>
        <v/>
      </c>
      <c r="AI86" s="82" t="str">
        <f t="shared" si="31"/>
        <v/>
      </c>
      <c r="AJ86" s="90"/>
      <c r="AP86" s="88"/>
    </row>
    <row r="87" spans="1:42" x14ac:dyDescent="0.25">
      <c r="A87" s="2"/>
      <c r="C87" s="68" t="str" cm="1">
        <f t="array" ref="C87">IF(AF87&lt;&gt;"",
IFERROR(INDEX('LaunchPad Markbook'!A:A,MATCH(AH87,'LaunchPad Markbook'!D:D,0),0),"-"),"")</f>
        <v/>
      </c>
      <c r="D87" s="27"/>
      <c r="E87" s="27"/>
      <c r="F87" s="27"/>
      <c r="G87" s="14">
        <f>IF(OR(H87&gt;AB$2,I87&gt;AC$2,J87&gt;AD$2,
P87&gt;1,V87&gt;1,
L87&gt;'Group List A'!E$2,M87&gt;'Group List A'!F$2,N87&gt;'Group List A'!G$2,
R87&gt;'Group List B'!E$2,S87&gt;'Group List B'!F$2,T87&gt;'Group List B'!G$2),"Exceed",
IF(OR(H87=AB$2,I87=AC$2,J87=AD$2,
P87=1,V87=1,
L87='Group List A'!E$2,M87='Group List A'!F$2,N87='Group List A'!G$2,
R87='Group List B'!E$2,S87='Group List B'!F$2,T87='Group List B'!G$2),"Limit",0))</f>
        <v>0</v>
      </c>
      <c r="H87" s="29">
        <f t="shared" si="17"/>
        <v>0</v>
      </c>
      <c r="I87" s="29">
        <f t="shared" si="18"/>
        <v>0</v>
      </c>
      <c r="J87" s="29">
        <f t="shared" si="19"/>
        <v>0</v>
      </c>
      <c r="K87" s="32" t="str" cm="1">
        <f t="array" ref="K87">IF(AF87&lt;&gt;"",IFERROR(INDEX('Group List A'!B:B,MATCH(AI87,'Group List A'!A:A,0),0),"-"),"")</f>
        <v/>
      </c>
      <c r="L87" s="33">
        <f t="shared" si="20"/>
        <v>0</v>
      </c>
      <c r="M87" s="33">
        <f t="shared" si="21"/>
        <v>0</v>
      </c>
      <c r="N87" s="33">
        <f t="shared" si="22"/>
        <v>0</v>
      </c>
      <c r="O87" s="28"/>
      <c r="P87" s="33">
        <f t="shared" si="23"/>
        <v>0</v>
      </c>
      <c r="Q87" s="35" t="str" cm="1">
        <f t="array" ref="Q87">IF(AF87&lt;&gt;"",IFERROR(INDEX('Group List B'!B:B,MATCH(AI87,'Group List B'!A:A,0),0),"-"),"")</f>
        <v/>
      </c>
      <c r="R87" s="36">
        <f t="shared" si="24"/>
        <v>0</v>
      </c>
      <c r="S87" s="36">
        <f t="shared" si="25"/>
        <v>0</v>
      </c>
      <c r="T87" s="36">
        <f t="shared" si="26"/>
        <v>0</v>
      </c>
      <c r="U87" s="28"/>
      <c r="V87" s="37">
        <f t="shared" si="27"/>
        <v>0</v>
      </c>
      <c r="W87" s="41"/>
      <c r="X87" s="27"/>
      <c r="Y87" s="27"/>
      <c r="Z87" s="27"/>
      <c r="AA87" s="15"/>
      <c r="AB87" s="17"/>
      <c r="AC87" s="17"/>
      <c r="AD87" s="17"/>
      <c r="AE87" s="90"/>
      <c r="AF87" s="82" t="str">
        <f t="shared" si="28"/>
        <v/>
      </c>
      <c r="AG87" s="83" t="str">
        <f t="shared" si="29"/>
        <v/>
      </c>
      <c r="AH87" s="82" t="str">
        <f t="shared" si="30"/>
        <v/>
      </c>
      <c r="AI87" s="82" t="str">
        <f t="shared" si="31"/>
        <v/>
      </c>
      <c r="AJ87" s="90"/>
      <c r="AP87" s="88"/>
    </row>
    <row r="88" spans="1:42" x14ac:dyDescent="0.25">
      <c r="A88" s="2"/>
      <c r="C88" s="68" t="str" cm="1">
        <f t="array" ref="C88">IF(AF88&lt;&gt;"",
IFERROR(INDEX('LaunchPad Markbook'!A:A,MATCH(AH88,'LaunchPad Markbook'!D:D,0),0),"-"),"")</f>
        <v/>
      </c>
      <c r="D88" s="27"/>
      <c r="E88" s="27"/>
      <c r="F88" s="27"/>
      <c r="G88" s="14">
        <f>IF(OR(H88&gt;AB$2,I88&gt;AC$2,J88&gt;AD$2,
P88&gt;1,V88&gt;1,
L88&gt;'Group List A'!E$2,M88&gt;'Group List A'!F$2,N88&gt;'Group List A'!G$2,
R88&gt;'Group List B'!E$2,S88&gt;'Group List B'!F$2,T88&gt;'Group List B'!G$2),"Exceed",
IF(OR(H88=AB$2,I88=AC$2,J88=AD$2,
P88=1,V88=1,
L88='Group List A'!E$2,M88='Group List A'!F$2,N88='Group List A'!G$2,
R88='Group List B'!E$2,S88='Group List B'!F$2,T88='Group List B'!G$2),"Limit",0))</f>
        <v>0</v>
      </c>
      <c r="H88" s="29">
        <f t="shared" si="17"/>
        <v>0</v>
      </c>
      <c r="I88" s="29">
        <f t="shared" si="18"/>
        <v>0</v>
      </c>
      <c r="J88" s="29">
        <f t="shared" si="19"/>
        <v>0</v>
      </c>
      <c r="K88" s="32" t="str" cm="1">
        <f t="array" ref="K88">IF(AF88&lt;&gt;"",IFERROR(INDEX('Group List A'!B:B,MATCH(AI88,'Group List A'!A:A,0),0),"-"),"")</f>
        <v/>
      </c>
      <c r="L88" s="33">
        <f t="shared" si="20"/>
        <v>0</v>
      </c>
      <c r="M88" s="33">
        <f t="shared" si="21"/>
        <v>0</v>
      </c>
      <c r="N88" s="33">
        <f t="shared" si="22"/>
        <v>0</v>
      </c>
      <c r="O88" s="28"/>
      <c r="P88" s="33">
        <f t="shared" si="23"/>
        <v>0</v>
      </c>
      <c r="Q88" s="35" t="str" cm="1">
        <f t="array" ref="Q88">IF(AF88&lt;&gt;"",IFERROR(INDEX('Group List B'!B:B,MATCH(AI88,'Group List B'!A:A,0),0),"-"),"")</f>
        <v/>
      </c>
      <c r="R88" s="36">
        <f t="shared" si="24"/>
        <v>0</v>
      </c>
      <c r="S88" s="36">
        <f t="shared" si="25"/>
        <v>0</v>
      </c>
      <c r="T88" s="36">
        <f t="shared" si="26"/>
        <v>0</v>
      </c>
      <c r="U88" s="28"/>
      <c r="V88" s="37">
        <f t="shared" si="27"/>
        <v>0</v>
      </c>
      <c r="W88" s="41"/>
      <c r="X88" s="27"/>
      <c r="Y88" s="27"/>
      <c r="Z88" s="27"/>
      <c r="AA88" s="15"/>
      <c r="AB88" s="17"/>
      <c r="AC88" s="17"/>
      <c r="AD88" s="17"/>
      <c r="AE88" s="90"/>
      <c r="AF88" s="82" t="str">
        <f t="shared" si="28"/>
        <v/>
      </c>
      <c r="AG88" s="83" t="str">
        <f t="shared" si="29"/>
        <v/>
      </c>
      <c r="AH88" s="82" t="str">
        <f t="shared" si="30"/>
        <v/>
      </c>
      <c r="AI88" s="82" t="str">
        <f t="shared" si="31"/>
        <v/>
      </c>
      <c r="AJ88" s="90"/>
      <c r="AP88" s="88"/>
    </row>
    <row r="89" spans="1:42" x14ac:dyDescent="0.25">
      <c r="A89" s="2"/>
      <c r="C89" s="68" t="str" cm="1">
        <f t="array" ref="C89">IF(AF89&lt;&gt;"",
IFERROR(INDEX('LaunchPad Markbook'!A:A,MATCH(AH89,'LaunchPad Markbook'!D:D,0),0),"-"),"")</f>
        <v/>
      </c>
      <c r="D89" s="27"/>
      <c r="E89" s="27"/>
      <c r="F89" s="27"/>
      <c r="G89" s="14">
        <f>IF(OR(H89&gt;AB$2,I89&gt;AC$2,J89&gt;AD$2,
P89&gt;1,V89&gt;1,
L89&gt;'Group List A'!E$2,M89&gt;'Group List A'!F$2,N89&gt;'Group List A'!G$2,
R89&gt;'Group List B'!E$2,S89&gt;'Group List B'!F$2,T89&gt;'Group List B'!G$2),"Exceed",
IF(OR(H89=AB$2,I89=AC$2,J89=AD$2,
P89=1,V89=1,
L89='Group List A'!E$2,M89='Group List A'!F$2,N89='Group List A'!G$2,
R89='Group List B'!E$2,S89='Group List B'!F$2,T89='Group List B'!G$2),"Limit",0))</f>
        <v>0</v>
      </c>
      <c r="H89" s="29">
        <f t="shared" si="17"/>
        <v>0</v>
      </c>
      <c r="I89" s="29">
        <f t="shared" si="18"/>
        <v>0</v>
      </c>
      <c r="J89" s="29">
        <f t="shared" si="19"/>
        <v>0</v>
      </c>
      <c r="K89" s="32" t="str" cm="1">
        <f t="array" ref="K89">IF(AF89&lt;&gt;"",IFERROR(INDEX('Group List A'!B:B,MATCH(AI89,'Group List A'!A:A,0),0),"-"),"")</f>
        <v/>
      </c>
      <c r="L89" s="33">
        <f t="shared" si="20"/>
        <v>0</v>
      </c>
      <c r="M89" s="33">
        <f t="shared" si="21"/>
        <v>0</v>
      </c>
      <c r="N89" s="33">
        <f t="shared" si="22"/>
        <v>0</v>
      </c>
      <c r="O89" s="28"/>
      <c r="P89" s="33">
        <f t="shared" si="23"/>
        <v>0</v>
      </c>
      <c r="Q89" s="35" t="str" cm="1">
        <f t="array" ref="Q89">IF(AF89&lt;&gt;"",IFERROR(INDEX('Group List B'!B:B,MATCH(AI89,'Group List B'!A:A,0),0),"-"),"")</f>
        <v/>
      </c>
      <c r="R89" s="36">
        <f t="shared" si="24"/>
        <v>0</v>
      </c>
      <c r="S89" s="36">
        <f t="shared" si="25"/>
        <v>0</v>
      </c>
      <c r="T89" s="36">
        <f t="shared" si="26"/>
        <v>0</v>
      </c>
      <c r="U89" s="28"/>
      <c r="V89" s="37">
        <f t="shared" si="27"/>
        <v>0</v>
      </c>
      <c r="W89" s="41"/>
      <c r="X89" s="27"/>
      <c r="Y89" s="27"/>
      <c r="Z89" s="27"/>
      <c r="AA89" s="15"/>
      <c r="AB89" s="17"/>
      <c r="AC89" s="17"/>
      <c r="AD89" s="17"/>
      <c r="AE89" s="90"/>
      <c r="AF89" s="82" t="str">
        <f t="shared" si="28"/>
        <v/>
      </c>
      <c r="AG89" s="83" t="str">
        <f t="shared" si="29"/>
        <v/>
      </c>
      <c r="AH89" s="82" t="str">
        <f t="shared" si="30"/>
        <v/>
      </c>
      <c r="AI89" s="82" t="str">
        <f t="shared" si="31"/>
        <v/>
      </c>
      <c r="AJ89" s="90"/>
      <c r="AP89" s="88"/>
    </row>
    <row r="90" spans="1:42" x14ac:dyDescent="0.25">
      <c r="A90" s="2"/>
      <c r="C90" s="68" t="str" cm="1">
        <f t="array" ref="C90">IF(AF90&lt;&gt;"",
IFERROR(INDEX('LaunchPad Markbook'!A:A,MATCH(AH90,'LaunchPad Markbook'!D:D,0),0),"-"),"")</f>
        <v/>
      </c>
      <c r="D90" s="27"/>
      <c r="E90" s="27"/>
      <c r="F90" s="27"/>
      <c r="G90" s="14">
        <f>IF(OR(H90&gt;AB$2,I90&gt;AC$2,J90&gt;AD$2,
P90&gt;1,V90&gt;1,
L90&gt;'Group List A'!E$2,M90&gt;'Group List A'!F$2,N90&gt;'Group List A'!G$2,
R90&gt;'Group List B'!E$2,S90&gt;'Group List B'!F$2,T90&gt;'Group List B'!G$2),"Exceed",
IF(OR(H90=AB$2,I90=AC$2,J90=AD$2,
P90=1,V90=1,
L90='Group List A'!E$2,M90='Group List A'!F$2,N90='Group List A'!G$2,
R90='Group List B'!E$2,S90='Group List B'!F$2,T90='Group List B'!G$2),"Limit",0))</f>
        <v>0</v>
      </c>
      <c r="H90" s="29">
        <f t="shared" si="17"/>
        <v>0</v>
      </c>
      <c r="I90" s="29">
        <f t="shared" si="18"/>
        <v>0</v>
      </c>
      <c r="J90" s="29">
        <f t="shared" si="19"/>
        <v>0</v>
      </c>
      <c r="K90" s="32" t="str" cm="1">
        <f t="array" ref="K90">IF(AF90&lt;&gt;"",IFERROR(INDEX('Group List A'!B:B,MATCH(AI90,'Group List A'!A:A,0),0),"-"),"")</f>
        <v/>
      </c>
      <c r="L90" s="33">
        <f t="shared" si="20"/>
        <v>0</v>
      </c>
      <c r="M90" s="33">
        <f t="shared" si="21"/>
        <v>0</v>
      </c>
      <c r="N90" s="33">
        <f t="shared" si="22"/>
        <v>0</v>
      </c>
      <c r="O90" s="28"/>
      <c r="P90" s="33">
        <f t="shared" si="23"/>
        <v>0</v>
      </c>
      <c r="Q90" s="35" t="str" cm="1">
        <f t="array" ref="Q90">IF(AF90&lt;&gt;"",IFERROR(INDEX('Group List B'!B:B,MATCH(AI90,'Group List B'!A:A,0),0),"-"),"")</f>
        <v/>
      </c>
      <c r="R90" s="36">
        <f t="shared" si="24"/>
        <v>0</v>
      </c>
      <c r="S90" s="36">
        <f t="shared" si="25"/>
        <v>0</v>
      </c>
      <c r="T90" s="36">
        <f t="shared" si="26"/>
        <v>0</v>
      </c>
      <c r="U90" s="28"/>
      <c r="V90" s="37">
        <f t="shared" si="27"/>
        <v>0</v>
      </c>
      <c r="W90" s="41"/>
      <c r="X90" s="27"/>
      <c r="Y90" s="27"/>
      <c r="Z90" s="27"/>
      <c r="AA90" s="15"/>
      <c r="AB90" s="17"/>
      <c r="AC90" s="17"/>
      <c r="AD90" s="17"/>
      <c r="AE90" s="90"/>
      <c r="AF90" s="82" t="str">
        <f t="shared" si="28"/>
        <v/>
      </c>
      <c r="AG90" s="83" t="str">
        <f t="shared" si="29"/>
        <v/>
      </c>
      <c r="AH90" s="82" t="str">
        <f t="shared" si="30"/>
        <v/>
      </c>
      <c r="AI90" s="82" t="str">
        <f t="shared" si="31"/>
        <v/>
      </c>
      <c r="AJ90" s="90"/>
      <c r="AP90" s="88"/>
    </row>
    <row r="91" spans="1:42" x14ac:dyDescent="0.25">
      <c r="A91" s="2"/>
      <c r="C91" s="68" t="str" cm="1">
        <f t="array" ref="C91">IF(AF91&lt;&gt;"",
IFERROR(INDEX('LaunchPad Markbook'!A:A,MATCH(AH91,'LaunchPad Markbook'!D:D,0),0),"-"),"")</f>
        <v/>
      </c>
      <c r="D91" s="27"/>
      <c r="E91" s="27"/>
      <c r="F91" s="27"/>
      <c r="G91" s="14">
        <f>IF(OR(H91&gt;AB$2,I91&gt;AC$2,J91&gt;AD$2,
P91&gt;1,V91&gt;1,
L91&gt;'Group List A'!E$2,M91&gt;'Group List A'!F$2,N91&gt;'Group List A'!G$2,
R91&gt;'Group List B'!E$2,S91&gt;'Group List B'!F$2,T91&gt;'Group List B'!G$2),"Exceed",
IF(OR(H91=AB$2,I91=AC$2,J91=AD$2,
P91=1,V91=1,
L91='Group List A'!E$2,M91='Group List A'!F$2,N91='Group List A'!G$2,
R91='Group List B'!E$2,S91='Group List B'!F$2,T91='Group List B'!G$2),"Limit",0))</f>
        <v>0</v>
      </c>
      <c r="H91" s="29">
        <f t="shared" si="17"/>
        <v>0</v>
      </c>
      <c r="I91" s="29">
        <f t="shared" si="18"/>
        <v>0</v>
      </c>
      <c r="J91" s="29">
        <f t="shared" si="19"/>
        <v>0</v>
      </c>
      <c r="K91" s="32" t="str" cm="1">
        <f t="array" ref="K91">IF(AF91&lt;&gt;"",IFERROR(INDEX('Group List A'!B:B,MATCH(AI91,'Group List A'!A:A,0),0),"-"),"")</f>
        <v/>
      </c>
      <c r="L91" s="33">
        <f t="shared" si="20"/>
        <v>0</v>
      </c>
      <c r="M91" s="33">
        <f t="shared" si="21"/>
        <v>0</v>
      </c>
      <c r="N91" s="33">
        <f t="shared" si="22"/>
        <v>0</v>
      </c>
      <c r="O91" s="28"/>
      <c r="P91" s="33">
        <f t="shared" si="23"/>
        <v>0</v>
      </c>
      <c r="Q91" s="35" t="str" cm="1">
        <f t="array" ref="Q91">IF(AF91&lt;&gt;"",IFERROR(INDEX('Group List B'!B:B,MATCH(AI91,'Group List B'!A:A,0),0),"-"),"")</f>
        <v/>
      </c>
      <c r="R91" s="36">
        <f t="shared" si="24"/>
        <v>0</v>
      </c>
      <c r="S91" s="36">
        <f t="shared" si="25"/>
        <v>0</v>
      </c>
      <c r="T91" s="36">
        <f t="shared" si="26"/>
        <v>0</v>
      </c>
      <c r="U91" s="28"/>
      <c r="V91" s="37">
        <f t="shared" si="27"/>
        <v>0</v>
      </c>
      <c r="W91" s="41"/>
      <c r="X91" s="27"/>
      <c r="Y91" s="27"/>
      <c r="Z91" s="27"/>
      <c r="AA91" s="15"/>
      <c r="AB91" s="17"/>
      <c r="AC91" s="17"/>
      <c r="AD91" s="17"/>
      <c r="AE91" s="90"/>
      <c r="AF91" s="82" t="str">
        <f t="shared" si="28"/>
        <v/>
      </c>
      <c r="AG91" s="83" t="str">
        <f t="shared" si="29"/>
        <v/>
      </c>
      <c r="AH91" s="82" t="str">
        <f t="shared" si="30"/>
        <v/>
      </c>
      <c r="AI91" s="82" t="str">
        <f t="shared" si="31"/>
        <v/>
      </c>
      <c r="AJ91" s="90"/>
      <c r="AP91" s="88"/>
    </row>
    <row r="92" spans="1:42" x14ac:dyDescent="0.25">
      <c r="A92" s="2"/>
      <c r="C92" s="68" t="str" cm="1">
        <f t="array" ref="C92">IF(AF92&lt;&gt;"",
IFERROR(INDEX('LaunchPad Markbook'!A:A,MATCH(AH92,'LaunchPad Markbook'!D:D,0),0),"-"),"")</f>
        <v/>
      </c>
      <c r="D92" s="27"/>
      <c r="E92" s="27"/>
      <c r="F92" s="27"/>
      <c r="G92" s="14">
        <f>IF(OR(H92&gt;AB$2,I92&gt;AC$2,J92&gt;AD$2,
P92&gt;1,V92&gt;1,
L92&gt;'Group List A'!E$2,M92&gt;'Group List A'!F$2,N92&gt;'Group List A'!G$2,
R92&gt;'Group List B'!E$2,S92&gt;'Group List B'!F$2,T92&gt;'Group List B'!G$2),"Exceed",
IF(OR(H92=AB$2,I92=AC$2,J92=AD$2,
P92=1,V92=1,
L92='Group List A'!E$2,M92='Group List A'!F$2,N92='Group List A'!G$2,
R92='Group List B'!E$2,S92='Group List B'!F$2,T92='Group List B'!G$2),"Limit",0))</f>
        <v>0</v>
      </c>
      <c r="H92" s="29">
        <f t="shared" si="17"/>
        <v>0</v>
      </c>
      <c r="I92" s="29">
        <f t="shared" si="18"/>
        <v>0</v>
      </c>
      <c r="J92" s="29">
        <f t="shared" si="19"/>
        <v>0</v>
      </c>
      <c r="K92" s="32" t="str" cm="1">
        <f t="array" ref="K92">IF(AF92&lt;&gt;"",IFERROR(INDEX('Group List A'!B:B,MATCH(AI92,'Group List A'!A:A,0),0),"-"),"")</f>
        <v/>
      </c>
      <c r="L92" s="33">
        <f t="shared" si="20"/>
        <v>0</v>
      </c>
      <c r="M92" s="33">
        <f t="shared" si="21"/>
        <v>0</v>
      </c>
      <c r="N92" s="33">
        <f t="shared" si="22"/>
        <v>0</v>
      </c>
      <c r="O92" s="28"/>
      <c r="P92" s="33">
        <f t="shared" si="23"/>
        <v>0</v>
      </c>
      <c r="Q92" s="35" t="str" cm="1">
        <f t="array" ref="Q92">IF(AF92&lt;&gt;"",IFERROR(INDEX('Group List B'!B:B,MATCH(AI92,'Group List B'!A:A,0),0),"-"),"")</f>
        <v/>
      </c>
      <c r="R92" s="36">
        <f t="shared" si="24"/>
        <v>0</v>
      </c>
      <c r="S92" s="36">
        <f t="shared" si="25"/>
        <v>0</v>
      </c>
      <c r="T92" s="36">
        <f t="shared" si="26"/>
        <v>0</v>
      </c>
      <c r="U92" s="28"/>
      <c r="V92" s="37">
        <f t="shared" si="27"/>
        <v>0</v>
      </c>
      <c r="W92" s="41"/>
      <c r="X92" s="27"/>
      <c r="Y92" s="27"/>
      <c r="Z92" s="27"/>
      <c r="AA92" s="15"/>
      <c r="AB92" s="17"/>
      <c r="AC92" s="17"/>
      <c r="AD92" s="17"/>
      <c r="AE92" s="90"/>
      <c r="AF92" s="82" t="str">
        <f t="shared" si="28"/>
        <v/>
      </c>
      <c r="AG92" s="83" t="str">
        <f t="shared" si="29"/>
        <v/>
      </c>
      <c r="AH92" s="82" t="str">
        <f t="shared" si="30"/>
        <v/>
      </c>
      <c r="AI92" s="82" t="str">
        <f t="shared" si="31"/>
        <v/>
      </c>
      <c r="AJ92" s="90"/>
      <c r="AP92" s="88"/>
    </row>
    <row r="93" spans="1:42" x14ac:dyDescent="0.25">
      <c r="A93" s="2"/>
      <c r="C93" s="68" t="str" cm="1">
        <f t="array" ref="C93">IF(AF93&lt;&gt;"",
IFERROR(INDEX('LaunchPad Markbook'!A:A,MATCH(AH93,'LaunchPad Markbook'!D:D,0),0),"-"),"")</f>
        <v/>
      </c>
      <c r="D93" s="27"/>
      <c r="E93" s="27"/>
      <c r="F93" s="27"/>
      <c r="G93" s="14">
        <f>IF(OR(H93&gt;AB$2,I93&gt;AC$2,J93&gt;AD$2,
P93&gt;1,V93&gt;1,
L93&gt;'Group List A'!E$2,M93&gt;'Group List A'!F$2,N93&gt;'Group List A'!G$2,
R93&gt;'Group List B'!E$2,S93&gt;'Group List B'!F$2,T93&gt;'Group List B'!G$2),"Exceed",
IF(OR(H93=AB$2,I93=AC$2,J93=AD$2,
P93=1,V93=1,
L93='Group List A'!E$2,M93='Group List A'!F$2,N93='Group List A'!G$2,
R93='Group List B'!E$2,S93='Group List B'!F$2,T93='Group List B'!G$2),"Limit",0))</f>
        <v>0</v>
      </c>
      <c r="H93" s="29">
        <f t="shared" si="17"/>
        <v>0</v>
      </c>
      <c r="I93" s="29">
        <f t="shared" si="18"/>
        <v>0</v>
      </c>
      <c r="J93" s="29">
        <f t="shared" si="19"/>
        <v>0</v>
      </c>
      <c r="K93" s="32" t="str" cm="1">
        <f t="array" ref="K93">IF(AF93&lt;&gt;"",IFERROR(INDEX('Group List A'!B:B,MATCH(AI93,'Group List A'!A:A,0),0),"-"),"")</f>
        <v/>
      </c>
      <c r="L93" s="33">
        <f t="shared" si="20"/>
        <v>0</v>
      </c>
      <c r="M93" s="33">
        <f t="shared" si="21"/>
        <v>0</v>
      </c>
      <c r="N93" s="33">
        <f t="shared" si="22"/>
        <v>0</v>
      </c>
      <c r="O93" s="28"/>
      <c r="P93" s="33">
        <f t="shared" si="23"/>
        <v>0</v>
      </c>
      <c r="Q93" s="35" t="str" cm="1">
        <f t="array" ref="Q93">IF(AF93&lt;&gt;"",IFERROR(INDEX('Group List B'!B:B,MATCH(AI93,'Group List B'!A:A,0),0),"-"),"")</f>
        <v/>
      </c>
      <c r="R93" s="36">
        <f t="shared" si="24"/>
        <v>0</v>
      </c>
      <c r="S93" s="36">
        <f t="shared" si="25"/>
        <v>0</v>
      </c>
      <c r="T93" s="36">
        <f t="shared" si="26"/>
        <v>0</v>
      </c>
      <c r="U93" s="28"/>
      <c r="V93" s="37">
        <f t="shared" si="27"/>
        <v>0</v>
      </c>
      <c r="W93" s="41"/>
      <c r="X93" s="27"/>
      <c r="Y93" s="27"/>
      <c r="Z93" s="27"/>
      <c r="AA93" s="15"/>
      <c r="AB93" s="17"/>
      <c r="AC93" s="17"/>
      <c r="AD93" s="17"/>
      <c r="AE93" s="90"/>
      <c r="AF93" s="82" t="str">
        <f t="shared" si="28"/>
        <v/>
      </c>
      <c r="AG93" s="83" t="str">
        <f t="shared" si="29"/>
        <v/>
      </c>
      <c r="AH93" s="82" t="str">
        <f t="shared" si="30"/>
        <v/>
      </c>
      <c r="AI93" s="82" t="str">
        <f t="shared" si="31"/>
        <v/>
      </c>
      <c r="AJ93" s="90"/>
      <c r="AP93" s="88"/>
    </row>
    <row r="94" spans="1:42" x14ac:dyDescent="0.25">
      <c r="A94" s="2"/>
      <c r="C94" s="68" t="str" cm="1">
        <f t="array" ref="C94">IF(AF94&lt;&gt;"",
IFERROR(INDEX('LaunchPad Markbook'!A:A,MATCH(AH94,'LaunchPad Markbook'!D:D,0),0),"-"),"")</f>
        <v/>
      </c>
      <c r="D94" s="27"/>
      <c r="E94" s="27"/>
      <c r="F94" s="27"/>
      <c r="G94" s="14">
        <f>IF(OR(H94&gt;AB$2,I94&gt;AC$2,J94&gt;AD$2,
P94&gt;1,V94&gt;1,
L94&gt;'Group List A'!E$2,M94&gt;'Group List A'!F$2,N94&gt;'Group List A'!G$2,
R94&gt;'Group List B'!E$2,S94&gt;'Group List B'!F$2,T94&gt;'Group List B'!G$2),"Exceed",
IF(OR(H94=AB$2,I94=AC$2,J94=AD$2,
P94=1,V94=1,
L94='Group List A'!E$2,M94='Group List A'!F$2,N94='Group List A'!G$2,
R94='Group List B'!E$2,S94='Group List B'!F$2,T94='Group List B'!G$2),"Limit",0))</f>
        <v>0</v>
      </c>
      <c r="H94" s="29">
        <f t="shared" si="17"/>
        <v>0</v>
      </c>
      <c r="I94" s="29">
        <f t="shared" si="18"/>
        <v>0</v>
      </c>
      <c r="J94" s="29">
        <f t="shared" si="19"/>
        <v>0</v>
      </c>
      <c r="K94" s="32" t="str" cm="1">
        <f t="array" ref="K94">IF(AF94&lt;&gt;"",IFERROR(INDEX('Group List A'!B:B,MATCH(AI94,'Group List A'!A:A,0),0),"-"),"")</f>
        <v/>
      </c>
      <c r="L94" s="33">
        <f t="shared" si="20"/>
        <v>0</v>
      </c>
      <c r="M94" s="33">
        <f t="shared" si="21"/>
        <v>0</v>
      </c>
      <c r="N94" s="33">
        <f t="shared" si="22"/>
        <v>0</v>
      </c>
      <c r="O94" s="28"/>
      <c r="P94" s="33">
        <f t="shared" si="23"/>
        <v>0</v>
      </c>
      <c r="Q94" s="35" t="str" cm="1">
        <f t="array" ref="Q94">IF(AF94&lt;&gt;"",IFERROR(INDEX('Group List B'!B:B,MATCH(AI94,'Group List B'!A:A,0),0),"-"),"")</f>
        <v/>
      </c>
      <c r="R94" s="36">
        <f t="shared" si="24"/>
        <v>0</v>
      </c>
      <c r="S94" s="36">
        <f t="shared" si="25"/>
        <v>0</v>
      </c>
      <c r="T94" s="36">
        <f t="shared" si="26"/>
        <v>0</v>
      </c>
      <c r="U94" s="28"/>
      <c r="V94" s="37">
        <f t="shared" si="27"/>
        <v>0</v>
      </c>
      <c r="W94" s="41"/>
      <c r="X94" s="27"/>
      <c r="Y94" s="27"/>
      <c r="Z94" s="27"/>
      <c r="AA94" s="15"/>
      <c r="AB94" s="17"/>
      <c r="AC94" s="17"/>
      <c r="AD94" s="17"/>
      <c r="AE94" s="90"/>
      <c r="AF94" s="82" t="str">
        <f t="shared" si="28"/>
        <v/>
      </c>
      <c r="AG94" s="83" t="str">
        <f t="shared" si="29"/>
        <v/>
      </c>
      <c r="AH94" s="82" t="str">
        <f t="shared" si="30"/>
        <v/>
      </c>
      <c r="AI94" s="82" t="str">
        <f t="shared" si="31"/>
        <v/>
      </c>
      <c r="AJ94" s="90"/>
      <c r="AP94" s="88"/>
    </row>
    <row r="95" spans="1:42" x14ac:dyDescent="0.25">
      <c r="A95" s="2"/>
      <c r="C95" s="68" t="str" cm="1">
        <f t="array" ref="C95">IF(AF95&lt;&gt;"",
IFERROR(INDEX('LaunchPad Markbook'!A:A,MATCH(AH95,'LaunchPad Markbook'!D:D,0),0),"-"),"")</f>
        <v/>
      </c>
      <c r="D95" s="27"/>
      <c r="E95" s="27"/>
      <c r="F95" s="27"/>
      <c r="G95" s="14">
        <f>IF(OR(H95&gt;AB$2,I95&gt;AC$2,J95&gt;AD$2,
P95&gt;1,V95&gt;1,
L95&gt;'Group List A'!E$2,M95&gt;'Group List A'!F$2,N95&gt;'Group List A'!G$2,
R95&gt;'Group List B'!E$2,S95&gt;'Group List B'!F$2,T95&gt;'Group List B'!G$2),"Exceed",
IF(OR(H95=AB$2,I95=AC$2,J95=AD$2,
P95=1,V95=1,
L95='Group List A'!E$2,M95='Group List A'!F$2,N95='Group List A'!G$2,
R95='Group List B'!E$2,S95='Group List B'!F$2,T95='Group List B'!G$2),"Limit",0))</f>
        <v>0</v>
      </c>
      <c r="H95" s="29">
        <f t="shared" si="17"/>
        <v>0</v>
      </c>
      <c r="I95" s="29">
        <f t="shared" si="18"/>
        <v>0</v>
      </c>
      <c r="J95" s="29">
        <f t="shared" si="19"/>
        <v>0</v>
      </c>
      <c r="K95" s="32" t="str" cm="1">
        <f t="array" ref="K95">IF(AF95&lt;&gt;"",IFERROR(INDEX('Group List A'!B:B,MATCH(AI95,'Group List A'!A:A,0),0),"-"),"")</f>
        <v/>
      </c>
      <c r="L95" s="33">
        <f t="shared" si="20"/>
        <v>0</v>
      </c>
      <c r="M95" s="33">
        <f t="shared" si="21"/>
        <v>0</v>
      </c>
      <c r="N95" s="33">
        <f t="shared" si="22"/>
        <v>0</v>
      </c>
      <c r="O95" s="28"/>
      <c r="P95" s="33">
        <f t="shared" si="23"/>
        <v>0</v>
      </c>
      <c r="Q95" s="35" t="str" cm="1">
        <f t="array" ref="Q95">IF(AF95&lt;&gt;"",IFERROR(INDEX('Group List B'!B:B,MATCH(AI95,'Group List B'!A:A,0),0),"-"),"")</f>
        <v/>
      </c>
      <c r="R95" s="36">
        <f t="shared" si="24"/>
        <v>0</v>
      </c>
      <c r="S95" s="36">
        <f t="shared" si="25"/>
        <v>0</v>
      </c>
      <c r="T95" s="36">
        <f t="shared" si="26"/>
        <v>0</v>
      </c>
      <c r="U95" s="28"/>
      <c r="V95" s="37">
        <f t="shared" si="27"/>
        <v>0</v>
      </c>
      <c r="W95" s="41"/>
      <c r="X95" s="27"/>
      <c r="Y95" s="27"/>
      <c r="Z95" s="27"/>
      <c r="AA95" s="15"/>
      <c r="AB95" s="17"/>
      <c r="AC95" s="17"/>
      <c r="AD95" s="17"/>
      <c r="AE95" s="90"/>
      <c r="AF95" s="82" t="str">
        <f t="shared" si="28"/>
        <v/>
      </c>
      <c r="AG95" s="83" t="str">
        <f t="shared" si="29"/>
        <v/>
      </c>
      <c r="AH95" s="82" t="str">
        <f t="shared" si="30"/>
        <v/>
      </c>
      <c r="AI95" s="82" t="str">
        <f t="shared" si="31"/>
        <v/>
      </c>
      <c r="AJ95" s="90"/>
      <c r="AP95" s="88"/>
    </row>
    <row r="96" spans="1:42" x14ac:dyDescent="0.25">
      <c r="A96" s="2"/>
      <c r="C96" s="68" t="str" cm="1">
        <f t="array" ref="C96">IF(AF96&lt;&gt;"",
IFERROR(INDEX('LaunchPad Markbook'!A:A,MATCH(AH96,'LaunchPad Markbook'!D:D,0),0),"-"),"")</f>
        <v/>
      </c>
      <c r="D96" s="27"/>
      <c r="E96" s="27"/>
      <c r="F96" s="27"/>
      <c r="G96" s="14">
        <f>IF(OR(H96&gt;AB$2,I96&gt;AC$2,J96&gt;AD$2,
P96&gt;1,V96&gt;1,
L96&gt;'Group List A'!E$2,M96&gt;'Group List A'!F$2,N96&gt;'Group List A'!G$2,
R96&gt;'Group List B'!E$2,S96&gt;'Group List B'!F$2,T96&gt;'Group List B'!G$2),"Exceed",
IF(OR(H96=AB$2,I96=AC$2,J96=AD$2,
P96=1,V96=1,
L96='Group List A'!E$2,M96='Group List A'!F$2,N96='Group List A'!G$2,
R96='Group List B'!E$2,S96='Group List B'!F$2,T96='Group List B'!G$2),"Limit",0))</f>
        <v>0</v>
      </c>
      <c r="H96" s="29">
        <f t="shared" si="17"/>
        <v>0</v>
      </c>
      <c r="I96" s="29">
        <f t="shared" si="18"/>
        <v>0</v>
      </c>
      <c r="J96" s="29">
        <f t="shared" si="19"/>
        <v>0</v>
      </c>
      <c r="K96" s="32" t="str" cm="1">
        <f t="array" ref="K96">IF(AF96&lt;&gt;"",IFERROR(INDEX('Group List A'!B:B,MATCH(AI96,'Group List A'!A:A,0),0),"-"),"")</f>
        <v/>
      </c>
      <c r="L96" s="33">
        <f t="shared" si="20"/>
        <v>0</v>
      </c>
      <c r="M96" s="33">
        <f t="shared" si="21"/>
        <v>0</v>
      </c>
      <c r="N96" s="33">
        <f t="shared" si="22"/>
        <v>0</v>
      </c>
      <c r="O96" s="28"/>
      <c r="P96" s="33">
        <f t="shared" si="23"/>
        <v>0</v>
      </c>
      <c r="Q96" s="35" t="str" cm="1">
        <f t="array" ref="Q96">IF(AF96&lt;&gt;"",IFERROR(INDEX('Group List B'!B:B,MATCH(AI96,'Group List B'!A:A,0),0),"-"),"")</f>
        <v/>
      </c>
      <c r="R96" s="36">
        <f t="shared" si="24"/>
        <v>0</v>
      </c>
      <c r="S96" s="36">
        <f t="shared" si="25"/>
        <v>0</v>
      </c>
      <c r="T96" s="36">
        <f t="shared" si="26"/>
        <v>0</v>
      </c>
      <c r="U96" s="28"/>
      <c r="V96" s="37">
        <f t="shared" si="27"/>
        <v>0</v>
      </c>
      <c r="W96" s="41"/>
      <c r="X96" s="27"/>
      <c r="Y96" s="27"/>
      <c r="Z96" s="27"/>
      <c r="AA96" s="15"/>
      <c r="AB96" s="17"/>
      <c r="AC96" s="17"/>
      <c r="AD96" s="17"/>
      <c r="AE96" s="90"/>
      <c r="AF96" s="82" t="str">
        <f t="shared" si="28"/>
        <v/>
      </c>
      <c r="AG96" s="83" t="str">
        <f t="shared" si="29"/>
        <v/>
      </c>
      <c r="AH96" s="82" t="str">
        <f t="shared" si="30"/>
        <v/>
      </c>
      <c r="AI96" s="82" t="str">
        <f t="shared" si="31"/>
        <v/>
      </c>
      <c r="AJ96" s="90"/>
      <c r="AP96" s="88"/>
    </row>
    <row r="97" spans="1:42" x14ac:dyDescent="0.25">
      <c r="A97" s="2"/>
      <c r="C97" s="68" t="str" cm="1">
        <f t="array" ref="C97">IF(AF97&lt;&gt;"",
IFERROR(INDEX('LaunchPad Markbook'!A:A,MATCH(AH97,'LaunchPad Markbook'!D:D,0),0),"-"),"")</f>
        <v/>
      </c>
      <c r="D97" s="27"/>
      <c r="E97" s="27"/>
      <c r="F97" s="27"/>
      <c r="G97" s="14">
        <f>IF(OR(H97&gt;AB$2,I97&gt;AC$2,J97&gt;AD$2,
P97&gt;1,V97&gt;1,
L97&gt;'Group List A'!E$2,M97&gt;'Group List A'!F$2,N97&gt;'Group List A'!G$2,
R97&gt;'Group List B'!E$2,S97&gt;'Group List B'!F$2,T97&gt;'Group List B'!G$2),"Exceed",
IF(OR(H97=AB$2,I97=AC$2,J97=AD$2,
P97=1,V97=1,
L97='Group List A'!E$2,M97='Group List A'!F$2,N97='Group List A'!G$2,
R97='Group List B'!E$2,S97='Group List B'!F$2,T97='Group List B'!G$2),"Limit",0))</f>
        <v>0</v>
      </c>
      <c r="H97" s="29">
        <f t="shared" si="17"/>
        <v>0</v>
      </c>
      <c r="I97" s="29">
        <f t="shared" si="18"/>
        <v>0</v>
      </c>
      <c r="J97" s="29">
        <f t="shared" si="19"/>
        <v>0</v>
      </c>
      <c r="K97" s="32" t="str" cm="1">
        <f t="array" ref="K97">IF(AF97&lt;&gt;"",IFERROR(INDEX('Group List A'!B:B,MATCH(AI97,'Group List A'!A:A,0),0),"-"),"")</f>
        <v/>
      </c>
      <c r="L97" s="33">
        <f t="shared" si="20"/>
        <v>0</v>
      </c>
      <c r="M97" s="33">
        <f t="shared" si="21"/>
        <v>0</v>
      </c>
      <c r="N97" s="33">
        <f t="shared" si="22"/>
        <v>0</v>
      </c>
      <c r="O97" s="28"/>
      <c r="P97" s="33">
        <f t="shared" si="23"/>
        <v>0</v>
      </c>
      <c r="Q97" s="35" t="str" cm="1">
        <f t="array" ref="Q97">IF(AF97&lt;&gt;"",IFERROR(INDEX('Group List B'!B:B,MATCH(AI97,'Group List B'!A:A,0),0),"-"),"")</f>
        <v/>
      </c>
      <c r="R97" s="36">
        <f t="shared" si="24"/>
        <v>0</v>
      </c>
      <c r="S97" s="36">
        <f t="shared" si="25"/>
        <v>0</v>
      </c>
      <c r="T97" s="36">
        <f t="shared" si="26"/>
        <v>0</v>
      </c>
      <c r="U97" s="28"/>
      <c r="V97" s="37">
        <f t="shared" si="27"/>
        <v>0</v>
      </c>
      <c r="W97" s="41"/>
      <c r="X97" s="27"/>
      <c r="Y97" s="27"/>
      <c r="Z97" s="27"/>
      <c r="AA97" s="15"/>
      <c r="AB97" s="17"/>
      <c r="AC97" s="17"/>
      <c r="AD97" s="17"/>
      <c r="AE97" s="90"/>
      <c r="AF97" s="82" t="str">
        <f t="shared" si="28"/>
        <v/>
      </c>
      <c r="AG97" s="83" t="str">
        <f t="shared" si="29"/>
        <v/>
      </c>
      <c r="AH97" s="82" t="str">
        <f t="shared" si="30"/>
        <v/>
      </c>
      <c r="AI97" s="82" t="str">
        <f t="shared" si="31"/>
        <v/>
      </c>
      <c r="AJ97" s="90"/>
      <c r="AP97" s="88"/>
    </row>
    <row r="98" spans="1:42" x14ac:dyDescent="0.25">
      <c r="A98" s="2"/>
      <c r="C98" s="68" t="str" cm="1">
        <f t="array" ref="C98">IF(AF98&lt;&gt;"",
IFERROR(INDEX('LaunchPad Markbook'!A:A,MATCH(AH98,'LaunchPad Markbook'!D:D,0),0),"-"),"")</f>
        <v/>
      </c>
      <c r="D98" s="27"/>
      <c r="E98" s="27"/>
      <c r="F98" s="27"/>
      <c r="G98" s="14">
        <f>IF(OR(H98&gt;AB$2,I98&gt;AC$2,J98&gt;AD$2,
P98&gt;1,V98&gt;1,
L98&gt;'Group List A'!E$2,M98&gt;'Group List A'!F$2,N98&gt;'Group List A'!G$2,
R98&gt;'Group List B'!E$2,S98&gt;'Group List B'!F$2,T98&gt;'Group List B'!G$2),"Exceed",
IF(OR(H98=AB$2,I98=AC$2,J98=AD$2,
P98=1,V98=1,
L98='Group List A'!E$2,M98='Group List A'!F$2,N98='Group List A'!G$2,
R98='Group List B'!E$2,S98='Group List B'!F$2,T98='Group List B'!G$2),"Limit",0))</f>
        <v>0</v>
      </c>
      <c r="H98" s="29">
        <f t="shared" si="17"/>
        <v>0</v>
      </c>
      <c r="I98" s="29">
        <f t="shared" si="18"/>
        <v>0</v>
      </c>
      <c r="J98" s="29">
        <f t="shared" si="19"/>
        <v>0</v>
      </c>
      <c r="K98" s="32" t="str" cm="1">
        <f t="array" ref="K98">IF(AF98&lt;&gt;"",IFERROR(INDEX('Group List A'!B:B,MATCH(AI98,'Group List A'!A:A,0),0),"-"),"")</f>
        <v/>
      </c>
      <c r="L98" s="33">
        <f t="shared" si="20"/>
        <v>0</v>
      </c>
      <c r="M98" s="33">
        <f t="shared" si="21"/>
        <v>0</v>
      </c>
      <c r="N98" s="33">
        <f t="shared" si="22"/>
        <v>0</v>
      </c>
      <c r="O98" s="28"/>
      <c r="P98" s="33">
        <f t="shared" si="23"/>
        <v>0</v>
      </c>
      <c r="Q98" s="35" t="str" cm="1">
        <f t="array" ref="Q98">IF(AF98&lt;&gt;"",IFERROR(INDEX('Group List B'!B:B,MATCH(AI98,'Group List B'!A:A,0),0),"-"),"")</f>
        <v/>
      </c>
      <c r="R98" s="36">
        <f t="shared" si="24"/>
        <v>0</v>
      </c>
      <c r="S98" s="36">
        <f t="shared" si="25"/>
        <v>0</v>
      </c>
      <c r="T98" s="36">
        <f t="shared" si="26"/>
        <v>0</v>
      </c>
      <c r="U98" s="28"/>
      <c r="V98" s="37">
        <f t="shared" si="27"/>
        <v>0</v>
      </c>
      <c r="W98" s="41"/>
      <c r="X98" s="27"/>
      <c r="Y98" s="27"/>
      <c r="Z98" s="27"/>
      <c r="AA98" s="15"/>
      <c r="AB98" s="17"/>
      <c r="AC98" s="17"/>
      <c r="AD98" s="17"/>
      <c r="AE98" s="90"/>
      <c r="AF98" s="82" t="str">
        <f t="shared" si="28"/>
        <v/>
      </c>
      <c r="AG98" s="83" t="str">
        <f t="shared" si="29"/>
        <v/>
      </c>
      <c r="AH98" s="82" t="str">
        <f t="shared" si="30"/>
        <v/>
      </c>
      <c r="AI98" s="82" t="str">
        <f t="shared" si="31"/>
        <v/>
      </c>
      <c r="AJ98" s="90"/>
      <c r="AP98" s="88"/>
    </row>
    <row r="99" spans="1:42" x14ac:dyDescent="0.25">
      <c r="A99" s="2"/>
      <c r="C99" s="68" t="str" cm="1">
        <f t="array" ref="C99">IF(AF99&lt;&gt;"",
IFERROR(INDEX('LaunchPad Markbook'!A:A,MATCH(AH99,'LaunchPad Markbook'!D:D,0),0),"-"),"")</f>
        <v/>
      </c>
      <c r="D99" s="27"/>
      <c r="E99" s="27"/>
      <c r="F99" s="27"/>
      <c r="G99" s="14">
        <f>IF(OR(H99&gt;AB$2,I99&gt;AC$2,J99&gt;AD$2,
P99&gt;1,V99&gt;1,
L99&gt;'Group List A'!E$2,M99&gt;'Group List A'!F$2,N99&gt;'Group List A'!G$2,
R99&gt;'Group List B'!E$2,S99&gt;'Group List B'!F$2,T99&gt;'Group List B'!G$2),"Exceed",
IF(OR(H99=AB$2,I99=AC$2,J99=AD$2,
P99=1,V99=1,
L99='Group List A'!E$2,M99='Group List A'!F$2,N99='Group List A'!G$2,
R99='Group List B'!E$2,S99='Group List B'!F$2,T99='Group List B'!G$2),"Limit",0))</f>
        <v>0</v>
      </c>
      <c r="H99" s="29">
        <f t="shared" si="17"/>
        <v>0</v>
      </c>
      <c r="I99" s="29">
        <f t="shared" si="18"/>
        <v>0</v>
      </c>
      <c r="J99" s="29">
        <f t="shared" si="19"/>
        <v>0</v>
      </c>
      <c r="K99" s="32" t="str" cm="1">
        <f t="array" ref="K99">IF(AF99&lt;&gt;"",IFERROR(INDEX('Group List A'!B:B,MATCH(AI99,'Group List A'!A:A,0),0),"-"),"")</f>
        <v/>
      </c>
      <c r="L99" s="33">
        <f t="shared" si="20"/>
        <v>0</v>
      </c>
      <c r="M99" s="33">
        <f t="shared" si="21"/>
        <v>0</v>
      </c>
      <c r="N99" s="33">
        <f t="shared" si="22"/>
        <v>0</v>
      </c>
      <c r="O99" s="28"/>
      <c r="P99" s="33">
        <f t="shared" si="23"/>
        <v>0</v>
      </c>
      <c r="Q99" s="35" t="str" cm="1">
        <f t="array" ref="Q99">IF(AF99&lt;&gt;"",IFERROR(INDEX('Group List B'!B:B,MATCH(AI99,'Group List B'!A:A,0),0),"-"),"")</f>
        <v/>
      </c>
      <c r="R99" s="36">
        <f t="shared" si="24"/>
        <v>0</v>
      </c>
      <c r="S99" s="36">
        <f t="shared" si="25"/>
        <v>0</v>
      </c>
      <c r="T99" s="36">
        <f t="shared" si="26"/>
        <v>0</v>
      </c>
      <c r="U99" s="28"/>
      <c r="V99" s="37">
        <f t="shared" si="27"/>
        <v>0</v>
      </c>
      <c r="W99" s="41"/>
      <c r="X99" s="27"/>
      <c r="Y99" s="27"/>
      <c r="Z99" s="27"/>
      <c r="AA99" s="15"/>
      <c r="AB99" s="17"/>
      <c r="AC99" s="17"/>
      <c r="AD99" s="17"/>
      <c r="AE99" s="90"/>
      <c r="AF99" s="82" t="str">
        <f t="shared" si="28"/>
        <v/>
      </c>
      <c r="AG99" s="83" t="str">
        <f t="shared" si="29"/>
        <v/>
      </c>
      <c r="AH99" s="82" t="str">
        <f t="shared" si="30"/>
        <v/>
      </c>
      <c r="AI99" s="82" t="str">
        <f t="shared" si="31"/>
        <v/>
      </c>
      <c r="AJ99" s="90"/>
      <c r="AP99" s="88"/>
    </row>
    <row r="100" spans="1:42" x14ac:dyDescent="0.25">
      <c r="A100" s="2"/>
      <c r="C100" s="68" t="str" cm="1">
        <f t="array" ref="C100">IF(AF100&lt;&gt;"",
IFERROR(INDEX('LaunchPad Markbook'!A:A,MATCH(AH100,'LaunchPad Markbook'!D:D,0),0),"-"),"")</f>
        <v/>
      </c>
      <c r="D100" s="27"/>
      <c r="E100" s="27"/>
      <c r="F100" s="27"/>
      <c r="G100" s="14">
        <f>IF(OR(H100&gt;AB$2,I100&gt;AC$2,J100&gt;AD$2,
P100&gt;1,V100&gt;1,
L100&gt;'Group List A'!E$2,M100&gt;'Group List A'!F$2,N100&gt;'Group List A'!G$2,
R100&gt;'Group List B'!E$2,S100&gt;'Group List B'!F$2,T100&gt;'Group List B'!G$2),"Exceed",
IF(OR(H100=AB$2,I100=AC$2,J100=AD$2,
P100=1,V100=1,
L100='Group List A'!E$2,M100='Group List A'!F$2,N100='Group List A'!G$2,
R100='Group List B'!E$2,S100='Group List B'!F$2,T100='Group List B'!G$2),"Limit",0))</f>
        <v>0</v>
      </c>
      <c r="H100" s="29">
        <f t="shared" si="17"/>
        <v>0</v>
      </c>
      <c r="I100" s="29">
        <f t="shared" si="18"/>
        <v>0</v>
      </c>
      <c r="J100" s="29">
        <f t="shared" si="19"/>
        <v>0</v>
      </c>
      <c r="K100" s="32" t="str" cm="1">
        <f t="array" ref="K100">IF(AF100&lt;&gt;"",IFERROR(INDEX('Group List A'!B:B,MATCH(AI100,'Group List A'!A:A,0),0),"-"),"")</f>
        <v/>
      </c>
      <c r="L100" s="33">
        <f t="shared" si="20"/>
        <v>0</v>
      </c>
      <c r="M100" s="33">
        <f t="shared" si="21"/>
        <v>0</v>
      </c>
      <c r="N100" s="33">
        <f t="shared" si="22"/>
        <v>0</v>
      </c>
      <c r="O100" s="28"/>
      <c r="P100" s="33">
        <f t="shared" si="23"/>
        <v>0</v>
      </c>
      <c r="Q100" s="35" t="str" cm="1">
        <f t="array" ref="Q100">IF(AF100&lt;&gt;"",IFERROR(INDEX('Group List B'!B:B,MATCH(AI100,'Group List B'!A:A,0),0),"-"),"")</f>
        <v/>
      </c>
      <c r="R100" s="36">
        <f t="shared" si="24"/>
        <v>0</v>
      </c>
      <c r="S100" s="36">
        <f t="shared" si="25"/>
        <v>0</v>
      </c>
      <c r="T100" s="36">
        <f t="shared" si="26"/>
        <v>0</v>
      </c>
      <c r="U100" s="28"/>
      <c r="V100" s="37">
        <f t="shared" si="27"/>
        <v>0</v>
      </c>
      <c r="W100" s="41"/>
      <c r="X100" s="27"/>
      <c r="Y100" s="27"/>
      <c r="Z100" s="27"/>
      <c r="AA100" s="15"/>
      <c r="AB100" s="17"/>
      <c r="AC100" s="17"/>
      <c r="AD100" s="17"/>
      <c r="AE100" s="90"/>
      <c r="AF100" s="82" t="str">
        <f t="shared" si="28"/>
        <v/>
      </c>
      <c r="AG100" s="83" t="str">
        <f t="shared" si="29"/>
        <v/>
      </c>
      <c r="AH100" s="82" t="str">
        <f t="shared" si="30"/>
        <v/>
      </c>
      <c r="AI100" s="82" t="str">
        <f t="shared" si="31"/>
        <v/>
      </c>
      <c r="AJ100" s="90"/>
      <c r="AP100" s="88"/>
    </row>
    <row r="101" spans="1:42" x14ac:dyDescent="0.25">
      <c r="A101" s="2"/>
      <c r="C101" s="68" t="str" cm="1">
        <f t="array" ref="C101">IF(AF101&lt;&gt;"",
IFERROR(INDEX('LaunchPad Markbook'!A:A,MATCH(AH101,'LaunchPad Markbook'!D:D,0),0),"-"),"")</f>
        <v/>
      </c>
      <c r="D101" s="27"/>
      <c r="E101" s="27"/>
      <c r="F101" s="27"/>
      <c r="G101" s="14">
        <f>IF(OR(H101&gt;AB$2,I101&gt;AC$2,J101&gt;AD$2,
P101&gt;1,V101&gt;1,
L101&gt;'Group List A'!E$2,M101&gt;'Group List A'!F$2,N101&gt;'Group List A'!G$2,
R101&gt;'Group List B'!E$2,S101&gt;'Group List B'!F$2,T101&gt;'Group List B'!G$2),"Exceed",
IF(OR(H101=AB$2,I101=AC$2,J101=AD$2,
P101=1,V101=1,
L101='Group List A'!E$2,M101='Group List A'!F$2,N101='Group List A'!G$2,
R101='Group List B'!E$2,S101='Group List B'!F$2,T101='Group List B'!G$2),"Limit",0))</f>
        <v>0</v>
      </c>
      <c r="H101" s="29">
        <f t="shared" si="17"/>
        <v>0</v>
      </c>
      <c r="I101" s="29">
        <f t="shared" si="18"/>
        <v>0</v>
      </c>
      <c r="J101" s="29">
        <f t="shared" si="19"/>
        <v>0</v>
      </c>
      <c r="K101" s="32" t="str" cm="1">
        <f t="array" ref="K101">IF(AF101&lt;&gt;"",IFERROR(INDEX('Group List A'!B:B,MATCH(AI101,'Group List A'!A:A,0),0),"-"),"")</f>
        <v/>
      </c>
      <c r="L101" s="33">
        <f t="shared" si="20"/>
        <v>0</v>
      </c>
      <c r="M101" s="33">
        <f t="shared" si="21"/>
        <v>0</v>
      </c>
      <c r="N101" s="33">
        <f t="shared" si="22"/>
        <v>0</v>
      </c>
      <c r="O101" s="28"/>
      <c r="P101" s="33">
        <f t="shared" si="23"/>
        <v>0</v>
      </c>
      <c r="Q101" s="35" t="str" cm="1">
        <f t="array" ref="Q101">IF(AF101&lt;&gt;"",IFERROR(INDEX('Group List B'!B:B,MATCH(AI101,'Group List B'!A:A,0),0),"-"),"")</f>
        <v/>
      </c>
      <c r="R101" s="36">
        <f t="shared" si="24"/>
        <v>0</v>
      </c>
      <c r="S101" s="36">
        <f t="shared" si="25"/>
        <v>0</v>
      </c>
      <c r="T101" s="36">
        <f t="shared" si="26"/>
        <v>0</v>
      </c>
      <c r="U101" s="28"/>
      <c r="V101" s="37">
        <f t="shared" si="27"/>
        <v>0</v>
      </c>
      <c r="W101" s="41"/>
      <c r="X101" s="27"/>
      <c r="Y101" s="27"/>
      <c r="Z101" s="27"/>
      <c r="AA101" s="15"/>
      <c r="AB101" s="17"/>
      <c r="AC101" s="17"/>
      <c r="AD101" s="17"/>
      <c r="AE101" s="90"/>
      <c r="AF101" s="82" t="str">
        <f t="shared" si="28"/>
        <v/>
      </c>
      <c r="AG101" s="83" t="str">
        <f t="shared" si="29"/>
        <v/>
      </c>
      <c r="AH101" s="82" t="str">
        <f t="shared" si="30"/>
        <v/>
      </c>
      <c r="AI101" s="82" t="str">
        <f t="shared" si="31"/>
        <v/>
      </c>
      <c r="AJ101" s="90"/>
      <c r="AP101" s="88"/>
    </row>
    <row r="102" spans="1:42" x14ac:dyDescent="0.25">
      <c r="A102" s="2"/>
      <c r="C102" s="68" t="str" cm="1">
        <f t="array" ref="C102">IF(AF102&lt;&gt;"",
IFERROR(INDEX('LaunchPad Markbook'!A:A,MATCH(AH102,'LaunchPad Markbook'!D:D,0),0),"-"),"")</f>
        <v/>
      </c>
      <c r="D102" s="27"/>
      <c r="E102" s="27"/>
      <c r="F102" s="27"/>
      <c r="G102" s="14">
        <f>IF(OR(H102&gt;AB$2,I102&gt;AC$2,J102&gt;AD$2,
P102&gt;1,V102&gt;1,
L102&gt;'Group List A'!E$2,M102&gt;'Group List A'!F$2,N102&gt;'Group List A'!G$2,
R102&gt;'Group List B'!E$2,S102&gt;'Group List B'!F$2,T102&gt;'Group List B'!G$2),"Exceed",
IF(OR(H102=AB$2,I102=AC$2,J102=AD$2,
P102=1,V102=1,
L102='Group List A'!E$2,M102='Group List A'!F$2,N102='Group List A'!G$2,
R102='Group List B'!E$2,S102='Group List B'!F$2,T102='Group List B'!G$2),"Limit",0))</f>
        <v>0</v>
      </c>
      <c r="H102" s="29">
        <f t="shared" si="17"/>
        <v>0</v>
      </c>
      <c r="I102" s="29">
        <f t="shared" si="18"/>
        <v>0</v>
      </c>
      <c r="J102" s="29">
        <f t="shared" si="19"/>
        <v>0</v>
      </c>
      <c r="K102" s="32" t="str" cm="1">
        <f t="array" ref="K102">IF(AF102&lt;&gt;"",IFERROR(INDEX('Group List A'!B:B,MATCH(AI102,'Group List A'!A:A,0),0),"-"),"")</f>
        <v/>
      </c>
      <c r="L102" s="33">
        <f t="shared" si="20"/>
        <v>0</v>
      </c>
      <c r="M102" s="33">
        <f t="shared" si="21"/>
        <v>0</v>
      </c>
      <c r="N102" s="33">
        <f t="shared" si="22"/>
        <v>0</v>
      </c>
      <c r="O102" s="28"/>
      <c r="P102" s="33">
        <f t="shared" si="23"/>
        <v>0</v>
      </c>
      <c r="Q102" s="35" t="str" cm="1">
        <f t="array" ref="Q102">IF(AF102&lt;&gt;"",IFERROR(INDEX('Group List B'!B:B,MATCH(AI102,'Group List B'!A:A,0),0),"-"),"")</f>
        <v/>
      </c>
      <c r="R102" s="36">
        <f t="shared" si="24"/>
        <v>0</v>
      </c>
      <c r="S102" s="36">
        <f t="shared" si="25"/>
        <v>0</v>
      </c>
      <c r="T102" s="36">
        <f t="shared" si="26"/>
        <v>0</v>
      </c>
      <c r="U102" s="28"/>
      <c r="V102" s="37">
        <f t="shared" si="27"/>
        <v>0</v>
      </c>
      <c r="W102" s="41"/>
      <c r="X102" s="27"/>
      <c r="Y102" s="27"/>
      <c r="Z102" s="27"/>
      <c r="AA102" s="15"/>
      <c r="AB102" s="17"/>
      <c r="AC102" s="17"/>
      <c r="AD102" s="17"/>
      <c r="AE102" s="90"/>
      <c r="AF102" s="82" t="str">
        <f t="shared" si="28"/>
        <v/>
      </c>
      <c r="AG102" s="83" t="str">
        <f t="shared" si="29"/>
        <v/>
      </c>
      <c r="AH102" s="82" t="str">
        <f t="shared" si="30"/>
        <v/>
      </c>
      <c r="AI102" s="82" t="str">
        <f t="shared" si="31"/>
        <v/>
      </c>
      <c r="AJ102" s="90"/>
      <c r="AP102" s="88"/>
    </row>
    <row r="103" spans="1:42" x14ac:dyDescent="0.25">
      <c r="A103" s="2"/>
      <c r="C103" s="68" t="str" cm="1">
        <f t="array" ref="C103">IF(AF103&lt;&gt;"",
IFERROR(INDEX('LaunchPad Markbook'!A:A,MATCH(AH103,'LaunchPad Markbook'!D:D,0),0),"-"),"")</f>
        <v/>
      </c>
      <c r="D103" s="27"/>
      <c r="E103" s="27"/>
      <c r="F103" s="27"/>
      <c r="G103" s="14">
        <f>IF(OR(H103&gt;AB$2,I103&gt;AC$2,J103&gt;AD$2,
P103&gt;1,V103&gt;1,
L103&gt;'Group List A'!E$2,M103&gt;'Group List A'!F$2,N103&gt;'Group List A'!G$2,
R103&gt;'Group List B'!E$2,S103&gt;'Group List B'!F$2,T103&gt;'Group List B'!G$2),"Exceed",
IF(OR(H103=AB$2,I103=AC$2,J103=AD$2,
P103=1,V103=1,
L103='Group List A'!E$2,M103='Group List A'!F$2,N103='Group List A'!G$2,
R103='Group List B'!E$2,S103='Group List B'!F$2,T103='Group List B'!G$2),"Limit",0))</f>
        <v>0</v>
      </c>
      <c r="H103" s="29">
        <f t="shared" si="17"/>
        <v>0</v>
      </c>
      <c r="I103" s="29">
        <f t="shared" si="18"/>
        <v>0</v>
      </c>
      <c r="J103" s="29">
        <f t="shared" si="19"/>
        <v>0</v>
      </c>
      <c r="K103" s="32" t="str" cm="1">
        <f t="array" ref="K103">IF(AF103&lt;&gt;"",IFERROR(INDEX('Group List A'!B:B,MATCH(AI103,'Group List A'!A:A,0),0),"-"),"")</f>
        <v/>
      </c>
      <c r="L103" s="33">
        <f t="shared" si="20"/>
        <v>0</v>
      </c>
      <c r="M103" s="33">
        <f t="shared" si="21"/>
        <v>0</v>
      </c>
      <c r="N103" s="33">
        <f t="shared" si="22"/>
        <v>0</v>
      </c>
      <c r="O103" s="28"/>
      <c r="P103" s="33">
        <f t="shared" si="23"/>
        <v>0</v>
      </c>
      <c r="Q103" s="35" t="str" cm="1">
        <f t="array" ref="Q103">IF(AF103&lt;&gt;"",IFERROR(INDEX('Group List B'!B:B,MATCH(AI103,'Group List B'!A:A,0),0),"-"),"")</f>
        <v/>
      </c>
      <c r="R103" s="36">
        <f t="shared" si="24"/>
        <v>0</v>
      </c>
      <c r="S103" s="36">
        <f t="shared" si="25"/>
        <v>0</v>
      </c>
      <c r="T103" s="36">
        <f t="shared" si="26"/>
        <v>0</v>
      </c>
      <c r="U103" s="28"/>
      <c r="V103" s="37">
        <f t="shared" si="27"/>
        <v>0</v>
      </c>
      <c r="W103" s="41"/>
      <c r="X103" s="27"/>
      <c r="Y103" s="27"/>
      <c r="Z103" s="27"/>
      <c r="AA103" s="15"/>
      <c r="AB103" s="17"/>
      <c r="AC103" s="17"/>
      <c r="AD103" s="17"/>
      <c r="AE103" s="90"/>
      <c r="AF103" s="82" t="str">
        <f t="shared" si="28"/>
        <v/>
      </c>
      <c r="AG103" s="83" t="str">
        <f t="shared" si="29"/>
        <v/>
      </c>
      <c r="AH103" s="82" t="str">
        <f t="shared" si="30"/>
        <v/>
      </c>
      <c r="AI103" s="82" t="str">
        <f t="shared" si="31"/>
        <v/>
      </c>
      <c r="AJ103" s="90"/>
      <c r="AP103" s="88"/>
    </row>
    <row r="104" spans="1:42" x14ac:dyDescent="0.25">
      <c r="A104" s="2"/>
      <c r="C104" s="68" t="str" cm="1">
        <f t="array" ref="C104">IF(AF104&lt;&gt;"",
IFERROR(INDEX('LaunchPad Markbook'!A:A,MATCH(AH104,'LaunchPad Markbook'!D:D,0),0),"-"),"")</f>
        <v/>
      </c>
      <c r="D104" s="27"/>
      <c r="E104" s="27"/>
      <c r="F104" s="27"/>
      <c r="G104" s="14">
        <f>IF(OR(H104&gt;AB$2,I104&gt;AC$2,J104&gt;AD$2,
P104&gt;1,V104&gt;1,
L104&gt;'Group List A'!E$2,M104&gt;'Group List A'!F$2,N104&gt;'Group List A'!G$2,
R104&gt;'Group List B'!E$2,S104&gt;'Group List B'!F$2,T104&gt;'Group List B'!G$2),"Exceed",
IF(OR(H104=AB$2,I104=AC$2,J104=AD$2,
P104=1,V104=1,
L104='Group List A'!E$2,M104='Group List A'!F$2,N104='Group List A'!G$2,
R104='Group List B'!E$2,S104='Group List B'!F$2,T104='Group List B'!G$2),"Limit",0))</f>
        <v>0</v>
      </c>
      <c r="H104" s="29">
        <f t="shared" si="17"/>
        <v>0</v>
      </c>
      <c r="I104" s="29">
        <f t="shared" si="18"/>
        <v>0</v>
      </c>
      <c r="J104" s="29">
        <f t="shared" si="19"/>
        <v>0</v>
      </c>
      <c r="K104" s="32" t="str" cm="1">
        <f t="array" ref="K104">IF(AF104&lt;&gt;"",IFERROR(INDEX('Group List A'!B:B,MATCH(AI104,'Group List A'!A:A,0),0),"-"),"")</f>
        <v/>
      </c>
      <c r="L104" s="33">
        <f t="shared" si="20"/>
        <v>0</v>
      </c>
      <c r="M104" s="33">
        <f t="shared" si="21"/>
        <v>0</v>
      </c>
      <c r="N104" s="33">
        <f t="shared" si="22"/>
        <v>0</v>
      </c>
      <c r="O104" s="28"/>
      <c r="P104" s="33">
        <f t="shared" si="23"/>
        <v>0</v>
      </c>
      <c r="Q104" s="35" t="str" cm="1">
        <f t="array" ref="Q104">IF(AF104&lt;&gt;"",IFERROR(INDEX('Group List B'!B:B,MATCH(AI104,'Group List B'!A:A,0),0),"-"),"")</f>
        <v/>
      </c>
      <c r="R104" s="36">
        <f t="shared" si="24"/>
        <v>0</v>
      </c>
      <c r="S104" s="36">
        <f t="shared" si="25"/>
        <v>0</v>
      </c>
      <c r="T104" s="36">
        <f t="shared" si="26"/>
        <v>0</v>
      </c>
      <c r="U104" s="28"/>
      <c r="V104" s="37">
        <f t="shared" si="27"/>
        <v>0</v>
      </c>
      <c r="W104" s="41"/>
      <c r="X104" s="27"/>
      <c r="Y104" s="27"/>
      <c r="Z104" s="27"/>
      <c r="AA104" s="15"/>
      <c r="AB104" s="17"/>
      <c r="AC104" s="17"/>
      <c r="AD104" s="17"/>
      <c r="AE104" s="90"/>
      <c r="AF104" s="82" t="str">
        <f t="shared" si="28"/>
        <v/>
      </c>
      <c r="AG104" s="83" t="str">
        <f t="shared" si="29"/>
        <v/>
      </c>
      <c r="AH104" s="82" t="str">
        <f t="shared" si="30"/>
        <v/>
      </c>
      <c r="AI104" s="82" t="str">
        <f t="shared" si="31"/>
        <v/>
      </c>
      <c r="AJ104" s="90"/>
      <c r="AP104" s="88"/>
    </row>
    <row r="105" spans="1:42" x14ac:dyDescent="0.25">
      <c r="A105" s="2"/>
      <c r="C105" s="68" t="str" cm="1">
        <f t="array" ref="C105">IF(AF105&lt;&gt;"",
IFERROR(INDEX('LaunchPad Markbook'!A:A,MATCH(AH105,'LaunchPad Markbook'!D:D,0),0),"-"),"")</f>
        <v/>
      </c>
      <c r="D105" s="27"/>
      <c r="E105" s="27"/>
      <c r="F105" s="27"/>
      <c r="G105" s="14">
        <f>IF(OR(H105&gt;AB$2,I105&gt;AC$2,J105&gt;AD$2,
P105&gt;1,V105&gt;1,
L105&gt;'Group List A'!E$2,M105&gt;'Group List A'!F$2,N105&gt;'Group List A'!G$2,
R105&gt;'Group List B'!E$2,S105&gt;'Group List B'!F$2,T105&gt;'Group List B'!G$2),"Exceed",
IF(OR(H105=AB$2,I105=AC$2,J105=AD$2,
P105=1,V105=1,
L105='Group List A'!E$2,M105='Group List A'!F$2,N105='Group List A'!G$2,
R105='Group List B'!E$2,S105='Group List B'!F$2,T105='Group List B'!G$2),"Limit",0))</f>
        <v>0</v>
      </c>
      <c r="H105" s="29">
        <f t="shared" si="17"/>
        <v>0</v>
      </c>
      <c r="I105" s="29">
        <f t="shared" si="18"/>
        <v>0</v>
      </c>
      <c r="J105" s="29">
        <f t="shared" si="19"/>
        <v>0</v>
      </c>
      <c r="K105" s="32" t="str" cm="1">
        <f t="array" ref="K105">IF(AF105&lt;&gt;"",IFERROR(INDEX('Group List A'!B:B,MATCH(AI105,'Group List A'!A:A,0),0),"-"),"")</f>
        <v/>
      </c>
      <c r="L105" s="33">
        <f t="shared" si="20"/>
        <v>0</v>
      </c>
      <c r="M105" s="33">
        <f t="shared" si="21"/>
        <v>0</v>
      </c>
      <c r="N105" s="33">
        <f t="shared" si="22"/>
        <v>0</v>
      </c>
      <c r="O105" s="28"/>
      <c r="P105" s="33">
        <f t="shared" si="23"/>
        <v>0</v>
      </c>
      <c r="Q105" s="35" t="str" cm="1">
        <f t="array" ref="Q105">IF(AF105&lt;&gt;"",IFERROR(INDEX('Group List B'!B:B,MATCH(AI105,'Group List B'!A:A,0),0),"-"),"")</f>
        <v/>
      </c>
      <c r="R105" s="36">
        <f t="shared" si="24"/>
        <v>0</v>
      </c>
      <c r="S105" s="36">
        <f t="shared" si="25"/>
        <v>0</v>
      </c>
      <c r="T105" s="36">
        <f t="shared" si="26"/>
        <v>0</v>
      </c>
      <c r="U105" s="28"/>
      <c r="V105" s="37">
        <f t="shared" si="27"/>
        <v>0</v>
      </c>
      <c r="W105" s="41"/>
      <c r="X105" s="27"/>
      <c r="Y105" s="27"/>
      <c r="Z105" s="27"/>
      <c r="AA105" s="15"/>
      <c r="AB105" s="17"/>
      <c r="AC105" s="17"/>
      <c r="AD105" s="17"/>
      <c r="AE105" s="90"/>
      <c r="AF105" s="82" t="str">
        <f t="shared" si="28"/>
        <v/>
      </c>
      <c r="AG105" s="83" t="str">
        <f t="shared" si="29"/>
        <v/>
      </c>
      <c r="AH105" s="82" t="str">
        <f t="shared" si="30"/>
        <v/>
      </c>
      <c r="AI105" s="82" t="str">
        <f t="shared" si="31"/>
        <v/>
      </c>
      <c r="AJ105" s="90"/>
      <c r="AP105" s="88"/>
    </row>
    <row r="106" spans="1:42" x14ac:dyDescent="0.25">
      <c r="A106" s="2"/>
      <c r="C106" s="68" t="str" cm="1">
        <f t="array" ref="C106">IF(AF106&lt;&gt;"",
IFERROR(INDEX('LaunchPad Markbook'!A:A,MATCH(AH106,'LaunchPad Markbook'!D:D,0),0),"-"),"")</f>
        <v/>
      </c>
      <c r="D106" s="27"/>
      <c r="E106" s="27"/>
      <c r="F106" s="27"/>
      <c r="G106" s="14">
        <f>IF(OR(H106&gt;AB$2,I106&gt;AC$2,J106&gt;AD$2,
P106&gt;1,V106&gt;1,
L106&gt;'Group List A'!E$2,M106&gt;'Group List A'!F$2,N106&gt;'Group List A'!G$2,
R106&gt;'Group List B'!E$2,S106&gt;'Group List B'!F$2,T106&gt;'Group List B'!G$2),"Exceed",
IF(OR(H106=AB$2,I106=AC$2,J106=AD$2,
P106=1,V106=1,
L106='Group List A'!E$2,M106='Group List A'!F$2,N106='Group List A'!G$2,
R106='Group List B'!E$2,S106='Group List B'!F$2,T106='Group List B'!G$2),"Limit",0))</f>
        <v>0</v>
      </c>
      <c r="H106" s="29">
        <f t="shared" si="17"/>
        <v>0</v>
      </c>
      <c r="I106" s="29">
        <f t="shared" si="18"/>
        <v>0</v>
      </c>
      <c r="J106" s="29">
        <f t="shared" si="19"/>
        <v>0</v>
      </c>
      <c r="K106" s="32" t="str" cm="1">
        <f t="array" ref="K106">IF(AF106&lt;&gt;"",IFERROR(INDEX('Group List A'!B:B,MATCH(AI106,'Group List A'!A:A,0),0),"-"),"")</f>
        <v/>
      </c>
      <c r="L106" s="33">
        <f t="shared" si="20"/>
        <v>0</v>
      </c>
      <c r="M106" s="33">
        <f t="shared" si="21"/>
        <v>0</v>
      </c>
      <c r="N106" s="33">
        <f t="shared" si="22"/>
        <v>0</v>
      </c>
      <c r="O106" s="28"/>
      <c r="P106" s="33">
        <f t="shared" si="23"/>
        <v>0</v>
      </c>
      <c r="Q106" s="35" t="str" cm="1">
        <f t="array" ref="Q106">IF(AF106&lt;&gt;"",IFERROR(INDEX('Group List B'!B:B,MATCH(AI106,'Group List B'!A:A,0),0),"-"),"")</f>
        <v/>
      </c>
      <c r="R106" s="36">
        <f t="shared" si="24"/>
        <v>0</v>
      </c>
      <c r="S106" s="36">
        <f t="shared" si="25"/>
        <v>0</v>
      </c>
      <c r="T106" s="36">
        <f t="shared" si="26"/>
        <v>0</v>
      </c>
      <c r="U106" s="28"/>
      <c r="V106" s="37">
        <f t="shared" si="27"/>
        <v>0</v>
      </c>
      <c r="W106" s="41"/>
      <c r="X106" s="27"/>
      <c r="Y106" s="27"/>
      <c r="Z106" s="27"/>
      <c r="AA106" s="15"/>
      <c r="AB106" s="17"/>
      <c r="AC106" s="17"/>
      <c r="AD106" s="17"/>
      <c r="AE106" s="90"/>
      <c r="AF106" s="82" t="str">
        <f t="shared" si="28"/>
        <v/>
      </c>
      <c r="AG106" s="83" t="str">
        <f t="shared" si="29"/>
        <v/>
      </c>
      <c r="AH106" s="82" t="str">
        <f t="shared" si="30"/>
        <v/>
      </c>
      <c r="AI106" s="82" t="str">
        <f t="shared" si="31"/>
        <v/>
      </c>
      <c r="AJ106" s="90"/>
      <c r="AP106" s="88"/>
    </row>
    <row r="107" spans="1:42" x14ac:dyDescent="0.25">
      <c r="A107" s="2"/>
      <c r="C107" s="68" t="str" cm="1">
        <f t="array" ref="C107">IF(AF107&lt;&gt;"",
IFERROR(INDEX('LaunchPad Markbook'!A:A,MATCH(AH107,'LaunchPad Markbook'!D:D,0),0),"-"),"")</f>
        <v/>
      </c>
      <c r="D107" s="27"/>
      <c r="E107" s="27"/>
      <c r="F107" s="27"/>
      <c r="G107" s="14">
        <f>IF(OR(H107&gt;AB$2,I107&gt;AC$2,J107&gt;AD$2,
P107&gt;1,V107&gt;1,
L107&gt;'Group List A'!E$2,M107&gt;'Group List A'!F$2,N107&gt;'Group List A'!G$2,
R107&gt;'Group List B'!E$2,S107&gt;'Group List B'!F$2,T107&gt;'Group List B'!G$2),"Exceed",
IF(OR(H107=AB$2,I107=AC$2,J107=AD$2,
P107=1,V107=1,
L107='Group List A'!E$2,M107='Group List A'!F$2,N107='Group List A'!G$2,
R107='Group List B'!E$2,S107='Group List B'!F$2,T107='Group List B'!G$2),"Limit",0))</f>
        <v>0</v>
      </c>
      <c r="H107" s="29">
        <f t="shared" si="17"/>
        <v>0</v>
      </c>
      <c r="I107" s="29">
        <f t="shared" si="18"/>
        <v>0</v>
      </c>
      <c r="J107" s="29">
        <f t="shared" si="19"/>
        <v>0</v>
      </c>
      <c r="K107" s="32" t="str" cm="1">
        <f t="array" ref="K107">IF(AF107&lt;&gt;"",IFERROR(INDEX('Group List A'!B:B,MATCH(AI107,'Group List A'!A:A,0),0),"-"),"")</f>
        <v/>
      </c>
      <c r="L107" s="33">
        <f t="shared" si="20"/>
        <v>0</v>
      </c>
      <c r="M107" s="33">
        <f t="shared" si="21"/>
        <v>0</v>
      </c>
      <c r="N107" s="33">
        <f t="shared" si="22"/>
        <v>0</v>
      </c>
      <c r="O107" s="28"/>
      <c r="P107" s="33">
        <f t="shared" si="23"/>
        <v>0</v>
      </c>
      <c r="Q107" s="35" t="str" cm="1">
        <f t="array" ref="Q107">IF(AF107&lt;&gt;"",IFERROR(INDEX('Group List B'!B:B,MATCH(AI107,'Group List B'!A:A,0),0),"-"),"")</f>
        <v/>
      </c>
      <c r="R107" s="36">
        <f t="shared" si="24"/>
        <v>0</v>
      </c>
      <c r="S107" s="36">
        <f t="shared" si="25"/>
        <v>0</v>
      </c>
      <c r="T107" s="36">
        <f t="shared" si="26"/>
        <v>0</v>
      </c>
      <c r="U107" s="28"/>
      <c r="V107" s="37">
        <f t="shared" si="27"/>
        <v>0</v>
      </c>
      <c r="W107" s="41"/>
      <c r="X107" s="27"/>
      <c r="Y107" s="27"/>
      <c r="Z107" s="27"/>
      <c r="AA107" s="15"/>
      <c r="AB107" s="17"/>
      <c r="AC107" s="17"/>
      <c r="AD107" s="17"/>
      <c r="AE107" s="90"/>
      <c r="AF107" s="82" t="str">
        <f t="shared" si="28"/>
        <v/>
      </c>
      <c r="AG107" s="83" t="str">
        <f t="shared" si="29"/>
        <v/>
      </c>
      <c r="AH107" s="82" t="str">
        <f t="shared" si="30"/>
        <v/>
      </c>
      <c r="AI107" s="82" t="str">
        <f t="shared" si="31"/>
        <v/>
      </c>
      <c r="AJ107" s="90"/>
      <c r="AP107" s="88"/>
    </row>
    <row r="108" spans="1:42" x14ac:dyDescent="0.25">
      <c r="A108" s="2"/>
      <c r="C108" s="68" t="str" cm="1">
        <f t="array" ref="C108">IF(AF108&lt;&gt;"",
IFERROR(INDEX('LaunchPad Markbook'!A:A,MATCH(AH108,'LaunchPad Markbook'!D:D,0),0),"-"),"")</f>
        <v/>
      </c>
      <c r="D108" s="27"/>
      <c r="E108" s="27"/>
      <c r="F108" s="27"/>
      <c r="G108" s="14">
        <f>IF(OR(H108&gt;AB$2,I108&gt;AC$2,J108&gt;AD$2,
P108&gt;1,V108&gt;1,
L108&gt;'Group List A'!E$2,M108&gt;'Group List A'!F$2,N108&gt;'Group List A'!G$2,
R108&gt;'Group List B'!E$2,S108&gt;'Group List B'!F$2,T108&gt;'Group List B'!G$2),"Exceed",
IF(OR(H108=AB$2,I108=AC$2,J108=AD$2,
P108=1,V108=1,
L108='Group List A'!E$2,M108='Group List A'!F$2,N108='Group List A'!G$2,
R108='Group List B'!E$2,S108='Group List B'!F$2,T108='Group List B'!G$2),"Limit",0))</f>
        <v>0</v>
      </c>
      <c r="H108" s="29">
        <f t="shared" si="17"/>
        <v>0</v>
      </c>
      <c r="I108" s="29">
        <f t="shared" si="18"/>
        <v>0</v>
      </c>
      <c r="J108" s="29">
        <f t="shared" si="19"/>
        <v>0</v>
      </c>
      <c r="K108" s="32" t="str" cm="1">
        <f t="array" ref="K108">IF(AF108&lt;&gt;"",IFERROR(INDEX('Group List A'!B:B,MATCH(AI108,'Group List A'!A:A,0),0),"-"),"")</f>
        <v/>
      </c>
      <c r="L108" s="33">
        <f t="shared" si="20"/>
        <v>0</v>
      </c>
      <c r="M108" s="33">
        <f t="shared" si="21"/>
        <v>0</v>
      </c>
      <c r="N108" s="33">
        <f t="shared" si="22"/>
        <v>0</v>
      </c>
      <c r="O108" s="28"/>
      <c r="P108" s="33">
        <f t="shared" si="23"/>
        <v>0</v>
      </c>
      <c r="Q108" s="35" t="str" cm="1">
        <f t="array" ref="Q108">IF(AF108&lt;&gt;"",IFERROR(INDEX('Group List B'!B:B,MATCH(AI108,'Group List B'!A:A,0),0),"-"),"")</f>
        <v/>
      </c>
      <c r="R108" s="36">
        <f t="shared" si="24"/>
        <v>0</v>
      </c>
      <c r="S108" s="36">
        <f t="shared" si="25"/>
        <v>0</v>
      </c>
      <c r="T108" s="36">
        <f t="shared" si="26"/>
        <v>0</v>
      </c>
      <c r="U108" s="28"/>
      <c r="V108" s="37">
        <f t="shared" si="27"/>
        <v>0</v>
      </c>
      <c r="W108" s="41"/>
      <c r="X108" s="27"/>
      <c r="Y108" s="27"/>
      <c r="Z108" s="27"/>
      <c r="AA108" s="15"/>
      <c r="AB108" s="17"/>
      <c r="AC108" s="17"/>
      <c r="AD108" s="17"/>
      <c r="AE108" s="90"/>
      <c r="AF108" s="82" t="str">
        <f t="shared" si="28"/>
        <v/>
      </c>
      <c r="AG108" s="83" t="str">
        <f t="shared" si="29"/>
        <v/>
      </c>
      <c r="AH108" s="82" t="str">
        <f t="shared" si="30"/>
        <v/>
      </c>
      <c r="AI108" s="82" t="str">
        <f t="shared" si="31"/>
        <v/>
      </c>
      <c r="AJ108" s="90"/>
      <c r="AP108" s="88"/>
    </row>
    <row r="109" spans="1:42" x14ac:dyDescent="0.25">
      <c r="A109" s="2"/>
      <c r="C109" s="68" t="str" cm="1">
        <f t="array" ref="C109">IF(AF109&lt;&gt;"",
IFERROR(INDEX('LaunchPad Markbook'!A:A,MATCH(AH109,'LaunchPad Markbook'!D:D,0),0),"-"),"")</f>
        <v/>
      </c>
      <c r="D109" s="27"/>
      <c r="E109" s="27"/>
      <c r="F109" s="27"/>
      <c r="G109" s="14">
        <f>IF(OR(H109&gt;AB$2,I109&gt;AC$2,J109&gt;AD$2,
P109&gt;1,V109&gt;1,
L109&gt;'Group List A'!E$2,M109&gt;'Group List A'!F$2,N109&gt;'Group List A'!G$2,
R109&gt;'Group List B'!E$2,S109&gt;'Group List B'!F$2,T109&gt;'Group List B'!G$2),"Exceed",
IF(OR(H109=AB$2,I109=AC$2,J109=AD$2,
P109=1,V109=1,
L109='Group List A'!E$2,M109='Group List A'!F$2,N109='Group List A'!G$2,
R109='Group List B'!E$2,S109='Group List B'!F$2,T109='Group List B'!G$2),"Limit",0))</f>
        <v>0</v>
      </c>
      <c r="H109" s="29">
        <f t="shared" si="17"/>
        <v>0</v>
      </c>
      <c r="I109" s="29">
        <f t="shared" si="18"/>
        <v>0</v>
      </c>
      <c r="J109" s="29">
        <f t="shared" si="19"/>
        <v>0</v>
      </c>
      <c r="K109" s="32" t="str" cm="1">
        <f t="array" ref="K109">IF(AF109&lt;&gt;"",IFERROR(INDEX('Group List A'!B:B,MATCH(AI109,'Group List A'!A:A,0),0),"-"),"")</f>
        <v/>
      </c>
      <c r="L109" s="33">
        <f t="shared" si="20"/>
        <v>0</v>
      </c>
      <c r="M109" s="33">
        <f t="shared" si="21"/>
        <v>0</v>
      </c>
      <c r="N109" s="33">
        <f t="shared" si="22"/>
        <v>0</v>
      </c>
      <c r="O109" s="28"/>
      <c r="P109" s="33">
        <f t="shared" si="23"/>
        <v>0</v>
      </c>
      <c r="Q109" s="35" t="str" cm="1">
        <f t="array" ref="Q109">IF(AF109&lt;&gt;"",IFERROR(INDEX('Group List B'!B:B,MATCH(AI109,'Group List B'!A:A,0),0),"-"),"")</f>
        <v/>
      </c>
      <c r="R109" s="36">
        <f t="shared" si="24"/>
        <v>0</v>
      </c>
      <c r="S109" s="36">
        <f t="shared" si="25"/>
        <v>0</v>
      </c>
      <c r="T109" s="36">
        <f t="shared" si="26"/>
        <v>0</v>
      </c>
      <c r="U109" s="28"/>
      <c r="V109" s="37">
        <f t="shared" si="27"/>
        <v>0</v>
      </c>
      <c r="W109" s="41"/>
      <c r="X109" s="27"/>
      <c r="Y109" s="27"/>
      <c r="Z109" s="27"/>
      <c r="AA109" s="15"/>
      <c r="AB109" s="17"/>
      <c r="AC109" s="17"/>
      <c r="AD109" s="17"/>
      <c r="AE109" s="90"/>
      <c r="AF109" s="82" t="str">
        <f t="shared" si="28"/>
        <v/>
      </c>
      <c r="AG109" s="83" t="str">
        <f t="shared" si="29"/>
        <v/>
      </c>
      <c r="AH109" s="82" t="str">
        <f t="shared" si="30"/>
        <v/>
      </c>
      <c r="AI109" s="82" t="str">
        <f t="shared" si="31"/>
        <v/>
      </c>
      <c r="AJ109" s="90"/>
      <c r="AP109" s="88"/>
    </row>
    <row r="110" spans="1:42" x14ac:dyDescent="0.25">
      <c r="A110" s="2"/>
      <c r="C110" s="68" t="str" cm="1">
        <f t="array" ref="C110">IF(AF110&lt;&gt;"",
IFERROR(INDEX('LaunchPad Markbook'!A:A,MATCH(AH110,'LaunchPad Markbook'!D:D,0),0),"-"),"")</f>
        <v/>
      </c>
      <c r="D110" s="27"/>
      <c r="E110" s="27"/>
      <c r="F110" s="27"/>
      <c r="G110" s="14">
        <f>IF(OR(H110&gt;AB$2,I110&gt;AC$2,J110&gt;AD$2,
P110&gt;1,V110&gt;1,
L110&gt;'Group List A'!E$2,M110&gt;'Group List A'!F$2,N110&gt;'Group List A'!G$2,
R110&gt;'Group List B'!E$2,S110&gt;'Group List B'!F$2,T110&gt;'Group List B'!G$2),"Exceed",
IF(OR(H110=AB$2,I110=AC$2,J110=AD$2,
P110=1,V110=1,
L110='Group List A'!E$2,M110='Group List A'!F$2,N110='Group List A'!G$2,
R110='Group List B'!E$2,S110='Group List B'!F$2,T110='Group List B'!G$2),"Limit",0))</f>
        <v>0</v>
      </c>
      <c r="H110" s="29">
        <f t="shared" si="17"/>
        <v>0</v>
      </c>
      <c r="I110" s="29">
        <f t="shared" si="18"/>
        <v>0</v>
      </c>
      <c r="J110" s="29">
        <f t="shared" si="19"/>
        <v>0</v>
      </c>
      <c r="K110" s="32" t="str" cm="1">
        <f t="array" ref="K110">IF(AF110&lt;&gt;"",IFERROR(INDEX('Group List A'!B:B,MATCH(AI110,'Group List A'!A:A,0),0),"-"),"")</f>
        <v/>
      </c>
      <c r="L110" s="33">
        <f t="shared" si="20"/>
        <v>0</v>
      </c>
      <c r="M110" s="33">
        <f t="shared" si="21"/>
        <v>0</v>
      </c>
      <c r="N110" s="33">
        <f t="shared" si="22"/>
        <v>0</v>
      </c>
      <c r="O110" s="28"/>
      <c r="P110" s="33">
        <f t="shared" si="23"/>
        <v>0</v>
      </c>
      <c r="Q110" s="35" t="str" cm="1">
        <f t="array" ref="Q110">IF(AF110&lt;&gt;"",IFERROR(INDEX('Group List B'!B:B,MATCH(AI110,'Group List B'!A:A,0),0),"-"),"")</f>
        <v/>
      </c>
      <c r="R110" s="36">
        <f t="shared" si="24"/>
        <v>0</v>
      </c>
      <c r="S110" s="36">
        <f t="shared" si="25"/>
        <v>0</v>
      </c>
      <c r="T110" s="36">
        <f t="shared" si="26"/>
        <v>0</v>
      </c>
      <c r="U110" s="28"/>
      <c r="V110" s="37">
        <f t="shared" si="27"/>
        <v>0</v>
      </c>
      <c r="W110" s="41"/>
      <c r="X110" s="27"/>
      <c r="Y110" s="27"/>
      <c r="Z110" s="27"/>
      <c r="AA110" s="15"/>
      <c r="AB110" s="17"/>
      <c r="AC110" s="17"/>
      <c r="AD110" s="17"/>
      <c r="AE110" s="90"/>
      <c r="AF110" s="82" t="str">
        <f t="shared" si="28"/>
        <v/>
      </c>
      <c r="AG110" s="83" t="str">
        <f t="shared" si="29"/>
        <v/>
      </c>
      <c r="AH110" s="82" t="str">
        <f t="shared" si="30"/>
        <v/>
      </c>
      <c r="AI110" s="82" t="str">
        <f t="shared" si="31"/>
        <v/>
      </c>
      <c r="AJ110" s="90"/>
      <c r="AP110" s="88"/>
    </row>
    <row r="111" spans="1:42" x14ac:dyDescent="0.25">
      <c r="A111" s="2"/>
      <c r="C111" s="68" t="str" cm="1">
        <f t="array" ref="C111">IF(AF111&lt;&gt;"",
IFERROR(INDEX('LaunchPad Markbook'!A:A,MATCH(AH111,'LaunchPad Markbook'!D:D,0),0),"-"),"")</f>
        <v/>
      </c>
      <c r="D111" s="27"/>
      <c r="E111" s="27"/>
      <c r="F111" s="27"/>
      <c r="G111" s="14">
        <f>IF(OR(H111&gt;AB$2,I111&gt;AC$2,J111&gt;AD$2,
P111&gt;1,V111&gt;1,
L111&gt;'Group List A'!E$2,M111&gt;'Group List A'!F$2,N111&gt;'Group List A'!G$2,
R111&gt;'Group List B'!E$2,S111&gt;'Group List B'!F$2,T111&gt;'Group List B'!G$2),"Exceed",
IF(OR(H111=AB$2,I111=AC$2,J111=AD$2,
P111=1,V111=1,
L111='Group List A'!E$2,M111='Group List A'!F$2,N111='Group List A'!G$2,
R111='Group List B'!E$2,S111='Group List B'!F$2,T111='Group List B'!G$2),"Limit",0))</f>
        <v>0</v>
      </c>
      <c r="H111" s="29">
        <f t="shared" si="17"/>
        <v>0</v>
      </c>
      <c r="I111" s="29">
        <f t="shared" si="18"/>
        <v>0</v>
      </c>
      <c r="J111" s="29">
        <f t="shared" si="19"/>
        <v>0</v>
      </c>
      <c r="K111" s="32" t="str" cm="1">
        <f t="array" ref="K111">IF(AF111&lt;&gt;"",IFERROR(INDEX('Group List A'!B:B,MATCH(AI111,'Group List A'!A:A,0),0),"-"),"")</f>
        <v/>
      </c>
      <c r="L111" s="33">
        <f t="shared" si="20"/>
        <v>0</v>
      </c>
      <c r="M111" s="33">
        <f t="shared" si="21"/>
        <v>0</v>
      </c>
      <c r="N111" s="33">
        <f t="shared" si="22"/>
        <v>0</v>
      </c>
      <c r="O111" s="28"/>
      <c r="P111" s="33">
        <f t="shared" si="23"/>
        <v>0</v>
      </c>
      <c r="Q111" s="35" t="str" cm="1">
        <f t="array" ref="Q111">IF(AF111&lt;&gt;"",IFERROR(INDEX('Group List B'!B:B,MATCH(AI111,'Group List B'!A:A,0),0),"-"),"")</f>
        <v/>
      </c>
      <c r="R111" s="36">
        <f t="shared" si="24"/>
        <v>0</v>
      </c>
      <c r="S111" s="36">
        <f t="shared" si="25"/>
        <v>0</v>
      </c>
      <c r="T111" s="36">
        <f t="shared" si="26"/>
        <v>0</v>
      </c>
      <c r="U111" s="28"/>
      <c r="V111" s="37">
        <f t="shared" si="27"/>
        <v>0</v>
      </c>
      <c r="W111" s="41"/>
      <c r="X111" s="27"/>
      <c r="Y111" s="27"/>
      <c r="Z111" s="27"/>
      <c r="AA111" s="15"/>
      <c r="AB111" s="17"/>
      <c r="AC111" s="17"/>
      <c r="AD111" s="17"/>
      <c r="AE111" s="90"/>
      <c r="AF111" s="82" t="str">
        <f t="shared" si="28"/>
        <v/>
      </c>
      <c r="AG111" s="83" t="str">
        <f t="shared" si="29"/>
        <v/>
      </c>
      <c r="AH111" s="82" t="str">
        <f t="shared" si="30"/>
        <v/>
      </c>
      <c r="AI111" s="82" t="str">
        <f t="shared" si="31"/>
        <v/>
      </c>
      <c r="AJ111" s="90"/>
      <c r="AP111" s="88"/>
    </row>
    <row r="112" spans="1:42" x14ac:dyDescent="0.25">
      <c r="A112" s="2"/>
      <c r="C112" s="68" t="str" cm="1">
        <f t="array" ref="C112">IF(AF112&lt;&gt;"",
IFERROR(INDEX('LaunchPad Markbook'!A:A,MATCH(AH112,'LaunchPad Markbook'!D:D,0),0),"-"),"")</f>
        <v/>
      </c>
      <c r="D112" s="27"/>
      <c r="E112" s="27"/>
      <c r="F112" s="27"/>
      <c r="G112" s="14">
        <f>IF(OR(H112&gt;AB$2,I112&gt;AC$2,J112&gt;AD$2,
P112&gt;1,V112&gt;1,
L112&gt;'Group List A'!E$2,M112&gt;'Group List A'!F$2,N112&gt;'Group List A'!G$2,
R112&gt;'Group List B'!E$2,S112&gt;'Group List B'!F$2,T112&gt;'Group List B'!G$2),"Exceed",
IF(OR(H112=AB$2,I112=AC$2,J112=AD$2,
P112=1,V112=1,
L112='Group List A'!E$2,M112='Group List A'!F$2,N112='Group List A'!G$2,
R112='Group List B'!E$2,S112='Group List B'!F$2,T112='Group List B'!G$2),"Limit",0))</f>
        <v>0</v>
      </c>
      <c r="H112" s="29">
        <f t="shared" si="17"/>
        <v>0</v>
      </c>
      <c r="I112" s="29">
        <f t="shared" si="18"/>
        <v>0</v>
      </c>
      <c r="J112" s="29">
        <f t="shared" si="19"/>
        <v>0</v>
      </c>
      <c r="K112" s="32" t="str" cm="1">
        <f t="array" ref="K112">IF(AF112&lt;&gt;"",IFERROR(INDEX('Group List A'!B:B,MATCH(AI112,'Group List A'!A:A,0),0),"-"),"")</f>
        <v/>
      </c>
      <c r="L112" s="33">
        <f t="shared" si="20"/>
        <v>0</v>
      </c>
      <c r="M112" s="33">
        <f t="shared" si="21"/>
        <v>0</v>
      </c>
      <c r="N112" s="33">
        <f t="shared" si="22"/>
        <v>0</v>
      </c>
      <c r="O112" s="28"/>
      <c r="P112" s="33">
        <f t="shared" si="23"/>
        <v>0</v>
      </c>
      <c r="Q112" s="35" t="str" cm="1">
        <f t="array" ref="Q112">IF(AF112&lt;&gt;"",IFERROR(INDEX('Group List B'!B:B,MATCH(AI112,'Group List B'!A:A,0),0),"-"),"")</f>
        <v/>
      </c>
      <c r="R112" s="36">
        <f t="shared" si="24"/>
        <v>0</v>
      </c>
      <c r="S112" s="36">
        <f t="shared" si="25"/>
        <v>0</v>
      </c>
      <c r="T112" s="36">
        <f t="shared" si="26"/>
        <v>0</v>
      </c>
      <c r="U112" s="28"/>
      <c r="V112" s="37">
        <f t="shared" si="27"/>
        <v>0</v>
      </c>
      <c r="W112" s="41"/>
      <c r="X112" s="27"/>
      <c r="Y112" s="27"/>
      <c r="Z112" s="27"/>
      <c r="AA112" s="15"/>
      <c r="AB112" s="17"/>
      <c r="AC112" s="17"/>
      <c r="AD112" s="17"/>
      <c r="AE112" s="90"/>
      <c r="AF112" s="82" t="str">
        <f t="shared" si="28"/>
        <v/>
      </c>
      <c r="AG112" s="83" t="str">
        <f t="shared" si="29"/>
        <v/>
      </c>
      <c r="AH112" s="82" t="str">
        <f t="shared" si="30"/>
        <v/>
      </c>
      <c r="AI112" s="82" t="str">
        <f t="shared" si="31"/>
        <v/>
      </c>
      <c r="AJ112" s="90"/>
      <c r="AP112" s="88"/>
    </row>
    <row r="113" spans="1:42" x14ac:dyDescent="0.25">
      <c r="A113" s="2"/>
      <c r="C113" s="68" t="str" cm="1">
        <f t="array" ref="C113">IF(AF113&lt;&gt;"",
IFERROR(INDEX('LaunchPad Markbook'!A:A,MATCH(AH113,'LaunchPad Markbook'!D:D,0),0),"-"),"")</f>
        <v/>
      </c>
      <c r="D113" s="27"/>
      <c r="E113" s="27"/>
      <c r="F113" s="27"/>
      <c r="G113" s="14">
        <f>IF(OR(H113&gt;AB$2,I113&gt;AC$2,J113&gt;AD$2,
P113&gt;1,V113&gt;1,
L113&gt;'Group List A'!E$2,M113&gt;'Group List A'!F$2,N113&gt;'Group List A'!G$2,
R113&gt;'Group List B'!E$2,S113&gt;'Group List B'!F$2,T113&gt;'Group List B'!G$2),"Exceed",
IF(OR(H113=AB$2,I113=AC$2,J113=AD$2,
P113=1,V113=1,
L113='Group List A'!E$2,M113='Group List A'!F$2,N113='Group List A'!G$2,
R113='Group List B'!E$2,S113='Group List B'!F$2,T113='Group List B'!G$2),"Limit",0))</f>
        <v>0</v>
      </c>
      <c r="H113" s="29">
        <f t="shared" si="17"/>
        <v>0</v>
      </c>
      <c r="I113" s="29">
        <f t="shared" si="18"/>
        <v>0</v>
      </c>
      <c r="J113" s="29">
        <f t="shared" si="19"/>
        <v>0</v>
      </c>
      <c r="K113" s="32" t="str" cm="1">
        <f t="array" ref="K113">IF(AF113&lt;&gt;"",IFERROR(INDEX('Group List A'!B:B,MATCH(AI113,'Group List A'!A:A,0),0),"-"),"")</f>
        <v/>
      </c>
      <c r="L113" s="33">
        <f t="shared" si="20"/>
        <v>0</v>
      </c>
      <c r="M113" s="33">
        <f t="shared" si="21"/>
        <v>0</v>
      </c>
      <c r="N113" s="33">
        <f t="shared" si="22"/>
        <v>0</v>
      </c>
      <c r="O113" s="28"/>
      <c r="P113" s="33">
        <f t="shared" si="23"/>
        <v>0</v>
      </c>
      <c r="Q113" s="35" t="str" cm="1">
        <f t="array" ref="Q113">IF(AF113&lt;&gt;"",IFERROR(INDEX('Group List B'!B:B,MATCH(AI113,'Group List B'!A:A,0),0),"-"),"")</f>
        <v/>
      </c>
      <c r="R113" s="36">
        <f t="shared" si="24"/>
        <v>0</v>
      </c>
      <c r="S113" s="36">
        <f t="shared" si="25"/>
        <v>0</v>
      </c>
      <c r="T113" s="36">
        <f t="shared" si="26"/>
        <v>0</v>
      </c>
      <c r="U113" s="28"/>
      <c r="V113" s="37">
        <f t="shared" si="27"/>
        <v>0</v>
      </c>
      <c r="W113" s="41"/>
      <c r="X113" s="27"/>
      <c r="Y113" s="27"/>
      <c r="Z113" s="27"/>
      <c r="AA113" s="15"/>
      <c r="AB113" s="17"/>
      <c r="AC113" s="17"/>
      <c r="AD113" s="17"/>
      <c r="AE113" s="90"/>
      <c r="AF113" s="82" t="str">
        <f t="shared" si="28"/>
        <v/>
      </c>
      <c r="AG113" s="83" t="str">
        <f t="shared" si="29"/>
        <v/>
      </c>
      <c r="AH113" s="82" t="str">
        <f t="shared" si="30"/>
        <v/>
      </c>
      <c r="AI113" s="82" t="str">
        <f t="shared" si="31"/>
        <v/>
      </c>
      <c r="AJ113" s="90"/>
      <c r="AP113" s="88"/>
    </row>
    <row r="114" spans="1:42" x14ac:dyDescent="0.25">
      <c r="A114" s="2"/>
      <c r="C114" s="68" t="str" cm="1">
        <f t="array" ref="C114">IF(AF114&lt;&gt;"",
IFERROR(INDEX('LaunchPad Markbook'!A:A,MATCH(AH114,'LaunchPad Markbook'!D:D,0),0),"-"),"")</f>
        <v/>
      </c>
      <c r="D114" s="27"/>
      <c r="E114" s="27"/>
      <c r="F114" s="27"/>
      <c r="G114" s="14">
        <f>IF(OR(H114&gt;AB$2,I114&gt;AC$2,J114&gt;AD$2,
P114&gt;1,V114&gt;1,
L114&gt;'Group List A'!E$2,M114&gt;'Group List A'!F$2,N114&gt;'Group List A'!G$2,
R114&gt;'Group List B'!E$2,S114&gt;'Group List B'!F$2,T114&gt;'Group List B'!G$2),"Exceed",
IF(OR(H114=AB$2,I114=AC$2,J114=AD$2,
P114=1,V114=1,
L114='Group List A'!E$2,M114='Group List A'!F$2,N114='Group List A'!G$2,
R114='Group List B'!E$2,S114='Group List B'!F$2,T114='Group List B'!G$2),"Limit",0))</f>
        <v>0</v>
      </c>
      <c r="H114" s="29">
        <f t="shared" si="17"/>
        <v>0</v>
      </c>
      <c r="I114" s="29">
        <f t="shared" si="18"/>
        <v>0</v>
      </c>
      <c r="J114" s="29">
        <f t="shared" si="19"/>
        <v>0</v>
      </c>
      <c r="K114" s="32" t="str" cm="1">
        <f t="array" ref="K114">IF(AF114&lt;&gt;"",IFERROR(INDEX('Group List A'!B:B,MATCH(AI114,'Group List A'!A:A,0),0),"-"),"")</f>
        <v/>
      </c>
      <c r="L114" s="33">
        <f t="shared" si="20"/>
        <v>0</v>
      </c>
      <c r="M114" s="33">
        <f t="shared" si="21"/>
        <v>0</v>
      </c>
      <c r="N114" s="33">
        <f t="shared" si="22"/>
        <v>0</v>
      </c>
      <c r="O114" s="28"/>
      <c r="P114" s="33">
        <f t="shared" si="23"/>
        <v>0</v>
      </c>
      <c r="Q114" s="35" t="str" cm="1">
        <f t="array" ref="Q114">IF(AF114&lt;&gt;"",IFERROR(INDEX('Group List B'!B:B,MATCH(AI114,'Group List B'!A:A,0),0),"-"),"")</f>
        <v/>
      </c>
      <c r="R114" s="36">
        <f t="shared" si="24"/>
        <v>0</v>
      </c>
      <c r="S114" s="36">
        <f t="shared" si="25"/>
        <v>0</v>
      </c>
      <c r="T114" s="36">
        <f t="shared" si="26"/>
        <v>0</v>
      </c>
      <c r="U114" s="28"/>
      <c r="V114" s="37">
        <f t="shared" si="27"/>
        <v>0</v>
      </c>
      <c r="W114" s="41"/>
      <c r="X114" s="27"/>
      <c r="Y114" s="27"/>
      <c r="Z114" s="27"/>
      <c r="AA114" s="15"/>
      <c r="AB114" s="17"/>
      <c r="AC114" s="17"/>
      <c r="AD114" s="17"/>
      <c r="AE114" s="90"/>
      <c r="AF114" s="82" t="str">
        <f t="shared" si="28"/>
        <v/>
      </c>
      <c r="AG114" s="83" t="str">
        <f t="shared" si="29"/>
        <v/>
      </c>
      <c r="AH114" s="82" t="str">
        <f t="shared" si="30"/>
        <v/>
      </c>
      <c r="AI114" s="82" t="str">
        <f t="shared" si="31"/>
        <v/>
      </c>
      <c r="AJ114" s="90"/>
      <c r="AP114" s="88"/>
    </row>
    <row r="115" spans="1:42" x14ac:dyDescent="0.25">
      <c r="A115" s="2"/>
      <c r="C115" s="68" t="str" cm="1">
        <f t="array" ref="C115">IF(AF115&lt;&gt;"",
IFERROR(INDEX('LaunchPad Markbook'!A:A,MATCH(AH115,'LaunchPad Markbook'!D:D,0),0),"-"),"")</f>
        <v/>
      </c>
      <c r="D115" s="27"/>
      <c r="E115" s="27"/>
      <c r="F115" s="27"/>
      <c r="G115" s="14">
        <f>IF(OR(H115&gt;AB$2,I115&gt;AC$2,J115&gt;AD$2,
P115&gt;1,V115&gt;1,
L115&gt;'Group List A'!E$2,M115&gt;'Group List A'!F$2,N115&gt;'Group List A'!G$2,
R115&gt;'Group List B'!E$2,S115&gt;'Group List B'!F$2,T115&gt;'Group List B'!G$2),"Exceed",
IF(OR(H115=AB$2,I115=AC$2,J115=AD$2,
P115=1,V115=1,
L115='Group List A'!E$2,M115='Group List A'!F$2,N115='Group List A'!G$2,
R115='Group List B'!E$2,S115='Group List B'!F$2,T115='Group List B'!G$2),"Limit",0))</f>
        <v>0</v>
      </c>
      <c r="H115" s="29">
        <f t="shared" si="17"/>
        <v>0</v>
      </c>
      <c r="I115" s="29">
        <f t="shared" si="18"/>
        <v>0</v>
      </c>
      <c r="J115" s="29">
        <f t="shared" si="19"/>
        <v>0</v>
      </c>
      <c r="K115" s="32" t="str" cm="1">
        <f t="array" ref="K115">IF(AF115&lt;&gt;"",IFERROR(INDEX('Group List A'!B:B,MATCH(AI115,'Group List A'!A:A,0),0),"-"),"")</f>
        <v/>
      </c>
      <c r="L115" s="33">
        <f t="shared" si="20"/>
        <v>0</v>
      </c>
      <c r="M115" s="33">
        <f t="shared" si="21"/>
        <v>0</v>
      </c>
      <c r="N115" s="33">
        <f t="shared" si="22"/>
        <v>0</v>
      </c>
      <c r="O115" s="28"/>
      <c r="P115" s="33">
        <f t="shared" si="23"/>
        <v>0</v>
      </c>
      <c r="Q115" s="35" t="str" cm="1">
        <f t="array" ref="Q115">IF(AF115&lt;&gt;"",IFERROR(INDEX('Group List B'!B:B,MATCH(AI115,'Group List B'!A:A,0),0),"-"),"")</f>
        <v/>
      </c>
      <c r="R115" s="36">
        <f t="shared" si="24"/>
        <v>0</v>
      </c>
      <c r="S115" s="36">
        <f t="shared" si="25"/>
        <v>0</v>
      </c>
      <c r="T115" s="36">
        <f t="shared" si="26"/>
        <v>0</v>
      </c>
      <c r="U115" s="28"/>
      <c r="V115" s="37">
        <f t="shared" si="27"/>
        <v>0</v>
      </c>
      <c r="W115" s="41"/>
      <c r="X115" s="27"/>
      <c r="Y115" s="27"/>
      <c r="Z115" s="27"/>
      <c r="AA115" s="15"/>
      <c r="AB115" s="17"/>
      <c r="AC115" s="17"/>
      <c r="AD115" s="17"/>
      <c r="AE115" s="90"/>
      <c r="AF115" s="82" t="str">
        <f t="shared" si="28"/>
        <v/>
      </c>
      <c r="AG115" s="83" t="str">
        <f t="shared" si="29"/>
        <v/>
      </c>
      <c r="AH115" s="82" t="str">
        <f t="shared" si="30"/>
        <v/>
      </c>
      <c r="AI115" s="82" t="str">
        <f t="shared" si="31"/>
        <v/>
      </c>
      <c r="AJ115" s="90"/>
      <c r="AP115" s="88"/>
    </row>
    <row r="116" spans="1:42" x14ac:dyDescent="0.25">
      <c r="A116" s="2"/>
      <c r="C116" s="68" t="str" cm="1">
        <f t="array" ref="C116">IF(AF116&lt;&gt;"",
IFERROR(INDEX('LaunchPad Markbook'!A:A,MATCH(AH116,'LaunchPad Markbook'!D:D,0),0),"-"),"")</f>
        <v/>
      </c>
      <c r="D116" s="27"/>
      <c r="E116" s="27"/>
      <c r="F116" s="27"/>
      <c r="G116" s="14">
        <f>IF(OR(H116&gt;AB$2,I116&gt;AC$2,J116&gt;AD$2,
P116&gt;1,V116&gt;1,
L116&gt;'Group List A'!E$2,M116&gt;'Group List A'!F$2,N116&gt;'Group List A'!G$2,
R116&gt;'Group List B'!E$2,S116&gt;'Group List B'!F$2,T116&gt;'Group List B'!G$2),"Exceed",
IF(OR(H116=AB$2,I116=AC$2,J116=AD$2,
P116=1,V116=1,
L116='Group List A'!E$2,M116='Group List A'!F$2,N116='Group List A'!G$2,
R116='Group List B'!E$2,S116='Group List B'!F$2,T116='Group List B'!G$2),"Limit",0))</f>
        <v>0</v>
      </c>
      <c r="H116" s="29">
        <f t="shared" si="17"/>
        <v>0</v>
      </c>
      <c r="I116" s="29">
        <f t="shared" si="18"/>
        <v>0</v>
      </c>
      <c r="J116" s="29">
        <f t="shared" si="19"/>
        <v>0</v>
      </c>
      <c r="K116" s="32" t="str" cm="1">
        <f t="array" ref="K116">IF(AF116&lt;&gt;"",IFERROR(INDEX('Group List A'!B:B,MATCH(AI116,'Group List A'!A:A,0),0),"-"),"")</f>
        <v/>
      </c>
      <c r="L116" s="33">
        <f t="shared" si="20"/>
        <v>0</v>
      </c>
      <c r="M116" s="33">
        <f t="shared" si="21"/>
        <v>0</v>
      </c>
      <c r="N116" s="33">
        <f t="shared" si="22"/>
        <v>0</v>
      </c>
      <c r="O116" s="28"/>
      <c r="P116" s="33">
        <f t="shared" si="23"/>
        <v>0</v>
      </c>
      <c r="Q116" s="35" t="str" cm="1">
        <f t="array" ref="Q116">IF(AF116&lt;&gt;"",IFERROR(INDEX('Group List B'!B:B,MATCH(AI116,'Group List B'!A:A,0),0),"-"),"")</f>
        <v/>
      </c>
      <c r="R116" s="36">
        <f t="shared" si="24"/>
        <v>0</v>
      </c>
      <c r="S116" s="36">
        <f t="shared" si="25"/>
        <v>0</v>
      </c>
      <c r="T116" s="36">
        <f t="shared" si="26"/>
        <v>0</v>
      </c>
      <c r="U116" s="28"/>
      <c r="V116" s="37">
        <f t="shared" si="27"/>
        <v>0</v>
      </c>
      <c r="W116" s="41"/>
      <c r="X116" s="27"/>
      <c r="Y116" s="27"/>
      <c r="Z116" s="27"/>
      <c r="AA116" s="15"/>
      <c r="AB116" s="17"/>
      <c r="AC116" s="17"/>
      <c r="AD116" s="17"/>
      <c r="AE116" s="90"/>
      <c r="AF116" s="82" t="str">
        <f t="shared" si="28"/>
        <v/>
      </c>
      <c r="AG116" s="83" t="str">
        <f t="shared" si="29"/>
        <v/>
      </c>
      <c r="AH116" s="82" t="str">
        <f t="shared" si="30"/>
        <v/>
      </c>
      <c r="AI116" s="82" t="str">
        <f t="shared" si="31"/>
        <v/>
      </c>
      <c r="AJ116" s="90"/>
      <c r="AP116" s="88"/>
    </row>
    <row r="117" spans="1:42" x14ac:dyDescent="0.25">
      <c r="A117" s="2"/>
      <c r="C117" s="68" t="str" cm="1">
        <f t="array" ref="C117">IF(AF117&lt;&gt;"",
IFERROR(INDEX('LaunchPad Markbook'!A:A,MATCH(AH117,'LaunchPad Markbook'!D:D,0),0),"-"),"")</f>
        <v/>
      </c>
      <c r="D117" s="27"/>
      <c r="E117" s="27"/>
      <c r="F117" s="27"/>
      <c r="G117" s="14">
        <f>IF(OR(H117&gt;AB$2,I117&gt;AC$2,J117&gt;AD$2,
P117&gt;1,V117&gt;1,
L117&gt;'Group List A'!E$2,M117&gt;'Group List A'!F$2,N117&gt;'Group List A'!G$2,
R117&gt;'Group List B'!E$2,S117&gt;'Group List B'!F$2,T117&gt;'Group List B'!G$2),"Exceed",
IF(OR(H117=AB$2,I117=AC$2,J117=AD$2,
P117=1,V117=1,
L117='Group List A'!E$2,M117='Group List A'!F$2,N117='Group List A'!G$2,
R117='Group List B'!E$2,S117='Group List B'!F$2,T117='Group List B'!G$2),"Limit",0))</f>
        <v>0</v>
      </c>
      <c r="H117" s="29">
        <f t="shared" si="17"/>
        <v>0</v>
      </c>
      <c r="I117" s="29">
        <f t="shared" si="18"/>
        <v>0</v>
      </c>
      <c r="J117" s="29">
        <f t="shared" si="19"/>
        <v>0</v>
      </c>
      <c r="K117" s="32" t="str" cm="1">
        <f t="array" ref="K117">IF(AF117&lt;&gt;"",IFERROR(INDEX('Group List A'!B:B,MATCH(AI117,'Group List A'!A:A,0),0),"-"),"")</f>
        <v/>
      </c>
      <c r="L117" s="33">
        <f t="shared" si="20"/>
        <v>0</v>
      </c>
      <c r="M117" s="33">
        <f t="shared" si="21"/>
        <v>0</v>
      </c>
      <c r="N117" s="33">
        <f t="shared" si="22"/>
        <v>0</v>
      </c>
      <c r="O117" s="28"/>
      <c r="P117" s="33">
        <f t="shared" si="23"/>
        <v>0</v>
      </c>
      <c r="Q117" s="35" t="str" cm="1">
        <f t="array" ref="Q117">IF(AF117&lt;&gt;"",IFERROR(INDEX('Group List B'!B:B,MATCH(AI117,'Group List B'!A:A,0),0),"-"),"")</f>
        <v/>
      </c>
      <c r="R117" s="36">
        <f t="shared" si="24"/>
        <v>0</v>
      </c>
      <c r="S117" s="36">
        <f t="shared" si="25"/>
        <v>0</v>
      </c>
      <c r="T117" s="36">
        <f t="shared" si="26"/>
        <v>0</v>
      </c>
      <c r="U117" s="28"/>
      <c r="V117" s="37">
        <f t="shared" si="27"/>
        <v>0</v>
      </c>
      <c r="W117" s="41"/>
      <c r="X117" s="27"/>
      <c r="Y117" s="27"/>
      <c r="Z117" s="27"/>
      <c r="AA117" s="15"/>
      <c r="AB117" s="17"/>
      <c r="AC117" s="17"/>
      <c r="AD117" s="17"/>
      <c r="AE117" s="90"/>
      <c r="AF117" s="82" t="str">
        <f t="shared" si="28"/>
        <v/>
      </c>
      <c r="AG117" s="83" t="str">
        <f t="shared" si="29"/>
        <v/>
      </c>
      <c r="AH117" s="82" t="str">
        <f t="shared" si="30"/>
        <v/>
      </c>
      <c r="AI117" s="82" t="str">
        <f t="shared" si="31"/>
        <v/>
      </c>
      <c r="AJ117" s="90"/>
      <c r="AP117" s="88"/>
    </row>
    <row r="118" spans="1:42" x14ac:dyDescent="0.25">
      <c r="A118" s="2"/>
      <c r="C118" s="68" t="str" cm="1">
        <f t="array" ref="C118">IF(AF118&lt;&gt;"",
IFERROR(INDEX('LaunchPad Markbook'!A:A,MATCH(AH118,'LaunchPad Markbook'!D:D,0),0),"-"),"")</f>
        <v/>
      </c>
      <c r="D118" s="27"/>
      <c r="E118" s="27"/>
      <c r="F118" s="27"/>
      <c r="G118" s="14">
        <f>IF(OR(H118&gt;AB$2,I118&gt;AC$2,J118&gt;AD$2,
P118&gt;1,V118&gt;1,
L118&gt;'Group List A'!E$2,M118&gt;'Group List A'!F$2,N118&gt;'Group List A'!G$2,
R118&gt;'Group List B'!E$2,S118&gt;'Group List B'!F$2,T118&gt;'Group List B'!G$2),"Exceed",
IF(OR(H118=AB$2,I118=AC$2,J118=AD$2,
P118=1,V118=1,
L118='Group List A'!E$2,M118='Group List A'!F$2,N118='Group List A'!G$2,
R118='Group List B'!E$2,S118='Group List B'!F$2,T118='Group List B'!G$2),"Limit",0))</f>
        <v>0</v>
      </c>
      <c r="H118" s="29">
        <f t="shared" si="17"/>
        <v>0</v>
      </c>
      <c r="I118" s="29">
        <f t="shared" si="18"/>
        <v>0</v>
      </c>
      <c r="J118" s="29">
        <f t="shared" si="19"/>
        <v>0</v>
      </c>
      <c r="K118" s="32" t="str" cm="1">
        <f t="array" ref="K118">IF(AF118&lt;&gt;"",IFERROR(INDEX('Group List A'!B:B,MATCH(AI118,'Group List A'!A:A,0),0),"-"),"")</f>
        <v/>
      </c>
      <c r="L118" s="33">
        <f t="shared" si="20"/>
        <v>0</v>
      </c>
      <c r="M118" s="33">
        <f t="shared" si="21"/>
        <v>0</v>
      </c>
      <c r="N118" s="33">
        <f t="shared" si="22"/>
        <v>0</v>
      </c>
      <c r="O118" s="28"/>
      <c r="P118" s="33">
        <f t="shared" si="23"/>
        <v>0</v>
      </c>
      <c r="Q118" s="35" t="str" cm="1">
        <f t="array" ref="Q118">IF(AF118&lt;&gt;"",IFERROR(INDEX('Group List B'!B:B,MATCH(AI118,'Group List B'!A:A,0),0),"-"),"")</f>
        <v/>
      </c>
      <c r="R118" s="36">
        <f t="shared" si="24"/>
        <v>0</v>
      </c>
      <c r="S118" s="36">
        <f t="shared" si="25"/>
        <v>0</v>
      </c>
      <c r="T118" s="36">
        <f t="shared" si="26"/>
        <v>0</v>
      </c>
      <c r="U118" s="28"/>
      <c r="V118" s="37">
        <f t="shared" si="27"/>
        <v>0</v>
      </c>
      <c r="W118" s="41"/>
      <c r="X118" s="27"/>
      <c r="Y118" s="27"/>
      <c r="Z118" s="27"/>
      <c r="AA118" s="15"/>
      <c r="AB118" s="17"/>
      <c r="AC118" s="17"/>
      <c r="AD118" s="17"/>
      <c r="AE118" s="90"/>
      <c r="AF118" s="82" t="str">
        <f t="shared" si="28"/>
        <v/>
      </c>
      <c r="AG118" s="83" t="str">
        <f t="shared" si="29"/>
        <v/>
      </c>
      <c r="AH118" s="82" t="str">
        <f t="shared" si="30"/>
        <v/>
      </c>
      <c r="AI118" s="82" t="str">
        <f t="shared" si="31"/>
        <v/>
      </c>
      <c r="AJ118" s="90"/>
      <c r="AP118" s="88"/>
    </row>
    <row r="119" spans="1:42" x14ac:dyDescent="0.25">
      <c r="A119" s="2"/>
      <c r="C119" s="68" t="str" cm="1">
        <f t="array" ref="C119">IF(AF119&lt;&gt;"",
IFERROR(INDEX('LaunchPad Markbook'!A:A,MATCH(AH119,'LaunchPad Markbook'!D:D,0),0),"-"),"")</f>
        <v/>
      </c>
      <c r="D119" s="27"/>
      <c r="E119" s="27"/>
      <c r="F119" s="27"/>
      <c r="G119" s="14">
        <f>IF(OR(H119&gt;AB$2,I119&gt;AC$2,J119&gt;AD$2,
P119&gt;1,V119&gt;1,
L119&gt;'Group List A'!E$2,M119&gt;'Group List A'!F$2,N119&gt;'Group List A'!G$2,
R119&gt;'Group List B'!E$2,S119&gt;'Group List B'!F$2,T119&gt;'Group List B'!G$2),"Exceed",
IF(OR(H119=AB$2,I119=AC$2,J119=AD$2,
P119=1,V119=1,
L119='Group List A'!E$2,M119='Group List A'!F$2,N119='Group List A'!G$2,
R119='Group List B'!E$2,S119='Group List B'!F$2,T119='Group List B'!G$2),"Limit",0))</f>
        <v>0</v>
      </c>
      <c r="H119" s="29">
        <f t="shared" si="17"/>
        <v>0</v>
      </c>
      <c r="I119" s="29">
        <f t="shared" si="18"/>
        <v>0</v>
      </c>
      <c r="J119" s="29">
        <f t="shared" si="19"/>
        <v>0</v>
      </c>
      <c r="K119" s="32" t="str" cm="1">
        <f t="array" ref="K119">IF(AF119&lt;&gt;"",IFERROR(INDEX('Group List A'!B:B,MATCH(AI119,'Group List A'!A:A,0),0),"-"),"")</f>
        <v/>
      </c>
      <c r="L119" s="33">
        <f t="shared" si="20"/>
        <v>0</v>
      </c>
      <c r="M119" s="33">
        <f t="shared" si="21"/>
        <v>0</v>
      </c>
      <c r="N119" s="33">
        <f t="shared" si="22"/>
        <v>0</v>
      </c>
      <c r="O119" s="28"/>
      <c r="P119" s="33">
        <f t="shared" si="23"/>
        <v>0</v>
      </c>
      <c r="Q119" s="35" t="str" cm="1">
        <f t="array" ref="Q119">IF(AF119&lt;&gt;"",IFERROR(INDEX('Group List B'!B:B,MATCH(AI119,'Group List B'!A:A,0),0),"-"),"")</f>
        <v/>
      </c>
      <c r="R119" s="36">
        <f t="shared" si="24"/>
        <v>0</v>
      </c>
      <c r="S119" s="36">
        <f t="shared" si="25"/>
        <v>0</v>
      </c>
      <c r="T119" s="36">
        <f t="shared" si="26"/>
        <v>0</v>
      </c>
      <c r="U119" s="28"/>
      <c r="V119" s="37">
        <f t="shared" si="27"/>
        <v>0</v>
      </c>
      <c r="W119" s="41"/>
      <c r="X119" s="27"/>
      <c r="Y119" s="27"/>
      <c r="Z119" s="27"/>
      <c r="AA119" s="15"/>
      <c r="AB119" s="17"/>
      <c r="AC119" s="17"/>
      <c r="AD119" s="17"/>
      <c r="AE119" s="90"/>
      <c r="AF119" s="82" t="str">
        <f t="shared" si="28"/>
        <v/>
      </c>
      <c r="AG119" s="83" t="str">
        <f t="shared" si="29"/>
        <v/>
      </c>
      <c r="AH119" s="82" t="str">
        <f t="shared" si="30"/>
        <v/>
      </c>
      <c r="AI119" s="82" t="str">
        <f t="shared" si="31"/>
        <v/>
      </c>
      <c r="AJ119" s="90"/>
      <c r="AP119" s="88"/>
    </row>
    <row r="120" spans="1:42" x14ac:dyDescent="0.25">
      <c r="A120" s="2"/>
      <c r="C120" s="68" t="str" cm="1">
        <f t="array" ref="C120">IF(AF120&lt;&gt;"",
IFERROR(INDEX('LaunchPad Markbook'!A:A,MATCH(AH120,'LaunchPad Markbook'!D:D,0),0),"-"),"")</f>
        <v/>
      </c>
      <c r="D120" s="27"/>
      <c r="E120" s="27"/>
      <c r="F120" s="27"/>
      <c r="G120" s="14">
        <f>IF(OR(H120&gt;AB$2,I120&gt;AC$2,J120&gt;AD$2,
P120&gt;1,V120&gt;1,
L120&gt;'Group List A'!E$2,M120&gt;'Group List A'!F$2,N120&gt;'Group List A'!G$2,
R120&gt;'Group List B'!E$2,S120&gt;'Group List B'!F$2,T120&gt;'Group List B'!G$2),"Exceed",
IF(OR(H120=AB$2,I120=AC$2,J120=AD$2,
P120=1,V120=1,
L120='Group List A'!E$2,M120='Group List A'!F$2,N120='Group List A'!G$2,
R120='Group List B'!E$2,S120='Group List B'!F$2,T120='Group List B'!G$2),"Limit",0))</f>
        <v>0</v>
      </c>
      <c r="H120" s="29">
        <f t="shared" si="17"/>
        <v>0</v>
      </c>
      <c r="I120" s="29">
        <f t="shared" si="18"/>
        <v>0</v>
      </c>
      <c r="J120" s="29">
        <f t="shared" si="19"/>
        <v>0</v>
      </c>
      <c r="K120" s="32" t="str" cm="1">
        <f t="array" ref="K120">IF(AF120&lt;&gt;"",IFERROR(INDEX('Group List A'!B:B,MATCH(AI120,'Group List A'!A:A,0),0),"-"),"")</f>
        <v/>
      </c>
      <c r="L120" s="33">
        <f t="shared" si="20"/>
        <v>0</v>
      </c>
      <c r="M120" s="33">
        <f t="shared" si="21"/>
        <v>0</v>
      </c>
      <c r="N120" s="33">
        <f t="shared" si="22"/>
        <v>0</v>
      </c>
      <c r="O120" s="28"/>
      <c r="P120" s="33">
        <f t="shared" si="23"/>
        <v>0</v>
      </c>
      <c r="Q120" s="35" t="str" cm="1">
        <f t="array" ref="Q120">IF(AF120&lt;&gt;"",IFERROR(INDEX('Group List B'!B:B,MATCH(AI120,'Group List B'!A:A,0),0),"-"),"")</f>
        <v/>
      </c>
      <c r="R120" s="36">
        <f t="shared" si="24"/>
        <v>0</v>
      </c>
      <c r="S120" s="36">
        <f t="shared" si="25"/>
        <v>0</v>
      </c>
      <c r="T120" s="36">
        <f t="shared" si="26"/>
        <v>0</v>
      </c>
      <c r="U120" s="28"/>
      <c r="V120" s="37">
        <f t="shared" si="27"/>
        <v>0</v>
      </c>
      <c r="W120" s="41"/>
      <c r="X120" s="27"/>
      <c r="Y120" s="27"/>
      <c r="Z120" s="27"/>
      <c r="AA120" s="15"/>
      <c r="AB120" s="17"/>
      <c r="AC120" s="17"/>
      <c r="AD120" s="17"/>
      <c r="AE120" s="90"/>
      <c r="AF120" s="82" t="str">
        <f t="shared" si="28"/>
        <v/>
      </c>
      <c r="AG120" s="83" t="str">
        <f t="shared" si="29"/>
        <v/>
      </c>
      <c r="AH120" s="82" t="str">
        <f t="shared" si="30"/>
        <v/>
      </c>
      <c r="AI120" s="82" t="str">
        <f t="shared" si="31"/>
        <v/>
      </c>
      <c r="AJ120" s="90"/>
      <c r="AP120" s="88"/>
    </row>
    <row r="121" spans="1:42" x14ac:dyDescent="0.25">
      <c r="A121" s="2"/>
      <c r="C121" s="68" t="str" cm="1">
        <f t="array" ref="C121">IF(AF121&lt;&gt;"",
IFERROR(INDEX('LaunchPad Markbook'!A:A,MATCH(AH121,'LaunchPad Markbook'!D:D,0),0),"-"),"")</f>
        <v/>
      </c>
      <c r="D121" s="27"/>
      <c r="E121" s="27"/>
      <c r="F121" s="27"/>
      <c r="G121" s="14">
        <f>IF(OR(H121&gt;AB$2,I121&gt;AC$2,J121&gt;AD$2,
P121&gt;1,V121&gt;1,
L121&gt;'Group List A'!E$2,M121&gt;'Group List A'!F$2,N121&gt;'Group List A'!G$2,
R121&gt;'Group List B'!E$2,S121&gt;'Group List B'!F$2,T121&gt;'Group List B'!G$2),"Exceed",
IF(OR(H121=AB$2,I121=AC$2,J121=AD$2,
P121=1,V121=1,
L121='Group List A'!E$2,M121='Group List A'!F$2,N121='Group List A'!G$2,
R121='Group List B'!E$2,S121='Group List B'!F$2,T121='Group List B'!G$2),"Limit",0))</f>
        <v>0</v>
      </c>
      <c r="H121" s="29">
        <f t="shared" si="17"/>
        <v>0</v>
      </c>
      <c r="I121" s="29">
        <f t="shared" si="18"/>
        <v>0</v>
      </c>
      <c r="J121" s="29">
        <f t="shared" si="19"/>
        <v>0</v>
      </c>
      <c r="K121" s="32" t="str" cm="1">
        <f t="array" ref="K121">IF(AF121&lt;&gt;"",IFERROR(INDEX('Group List A'!B:B,MATCH(AI121,'Group List A'!A:A,0),0),"-"),"")</f>
        <v/>
      </c>
      <c r="L121" s="33">
        <f t="shared" si="20"/>
        <v>0</v>
      </c>
      <c r="M121" s="33">
        <f t="shared" si="21"/>
        <v>0</v>
      </c>
      <c r="N121" s="33">
        <f t="shared" si="22"/>
        <v>0</v>
      </c>
      <c r="O121" s="28"/>
      <c r="P121" s="33">
        <f t="shared" si="23"/>
        <v>0</v>
      </c>
      <c r="Q121" s="35" t="str" cm="1">
        <f t="array" ref="Q121">IF(AF121&lt;&gt;"",IFERROR(INDEX('Group List B'!B:B,MATCH(AI121,'Group List B'!A:A,0),0),"-"),"")</f>
        <v/>
      </c>
      <c r="R121" s="36">
        <f t="shared" si="24"/>
        <v>0</v>
      </c>
      <c r="S121" s="36">
        <f t="shared" si="25"/>
        <v>0</v>
      </c>
      <c r="T121" s="36">
        <f t="shared" si="26"/>
        <v>0</v>
      </c>
      <c r="U121" s="28"/>
      <c r="V121" s="37">
        <f t="shared" si="27"/>
        <v>0</v>
      </c>
      <c r="W121" s="41"/>
      <c r="X121" s="27"/>
      <c r="Y121" s="27"/>
      <c r="Z121" s="27"/>
      <c r="AA121" s="15"/>
      <c r="AB121" s="17"/>
      <c r="AC121" s="17"/>
      <c r="AD121" s="17"/>
      <c r="AE121" s="90"/>
      <c r="AF121" s="82" t="str">
        <f t="shared" si="28"/>
        <v/>
      </c>
      <c r="AG121" s="83" t="str">
        <f t="shared" si="29"/>
        <v/>
      </c>
      <c r="AH121" s="82" t="str">
        <f t="shared" si="30"/>
        <v/>
      </c>
      <c r="AI121" s="82" t="str">
        <f t="shared" si="31"/>
        <v/>
      </c>
      <c r="AJ121" s="90"/>
      <c r="AP121" s="88"/>
    </row>
    <row r="122" spans="1:42" x14ac:dyDescent="0.25">
      <c r="A122" s="2"/>
      <c r="C122" s="68" t="str" cm="1">
        <f t="array" ref="C122">IF(AF122&lt;&gt;"",
IFERROR(INDEX('LaunchPad Markbook'!A:A,MATCH(AH122,'LaunchPad Markbook'!D:D,0),0),"-"),"")</f>
        <v/>
      </c>
      <c r="D122" s="27"/>
      <c r="E122" s="27"/>
      <c r="F122" s="27"/>
      <c r="G122" s="14">
        <f>IF(OR(H122&gt;AB$2,I122&gt;AC$2,J122&gt;AD$2,
P122&gt;1,V122&gt;1,
L122&gt;'Group List A'!E$2,M122&gt;'Group List A'!F$2,N122&gt;'Group List A'!G$2,
R122&gt;'Group List B'!E$2,S122&gt;'Group List B'!F$2,T122&gt;'Group List B'!G$2),"Exceed",
IF(OR(H122=AB$2,I122=AC$2,J122=AD$2,
P122=1,V122=1,
L122='Group List A'!E$2,M122='Group List A'!F$2,N122='Group List A'!G$2,
R122='Group List B'!E$2,S122='Group List B'!F$2,T122='Group List B'!G$2),"Limit",0))</f>
        <v>0</v>
      </c>
      <c r="H122" s="29">
        <f t="shared" si="17"/>
        <v>0</v>
      </c>
      <c r="I122" s="29">
        <f t="shared" si="18"/>
        <v>0</v>
      </c>
      <c r="J122" s="29">
        <f t="shared" si="19"/>
        <v>0</v>
      </c>
      <c r="K122" s="32" t="str" cm="1">
        <f t="array" ref="K122">IF(AF122&lt;&gt;"",IFERROR(INDEX('Group List A'!B:B,MATCH(AI122,'Group List A'!A:A,0),0),"-"),"")</f>
        <v/>
      </c>
      <c r="L122" s="33">
        <f t="shared" si="20"/>
        <v>0</v>
      </c>
      <c r="M122" s="33">
        <f t="shared" si="21"/>
        <v>0</v>
      </c>
      <c r="N122" s="33">
        <f t="shared" si="22"/>
        <v>0</v>
      </c>
      <c r="O122" s="28"/>
      <c r="P122" s="33">
        <f t="shared" si="23"/>
        <v>0</v>
      </c>
      <c r="Q122" s="35" t="str" cm="1">
        <f t="array" ref="Q122">IF(AF122&lt;&gt;"",IFERROR(INDEX('Group List B'!B:B,MATCH(AI122,'Group List B'!A:A,0),0),"-"),"")</f>
        <v/>
      </c>
      <c r="R122" s="36">
        <f t="shared" si="24"/>
        <v>0</v>
      </c>
      <c r="S122" s="36">
        <f t="shared" si="25"/>
        <v>0</v>
      </c>
      <c r="T122" s="36">
        <f t="shared" si="26"/>
        <v>0</v>
      </c>
      <c r="U122" s="28"/>
      <c r="V122" s="37">
        <f t="shared" si="27"/>
        <v>0</v>
      </c>
      <c r="W122" s="41"/>
      <c r="X122" s="27"/>
      <c r="Y122" s="27"/>
      <c r="Z122" s="27"/>
      <c r="AA122" s="15"/>
      <c r="AB122" s="17"/>
      <c r="AC122" s="17"/>
      <c r="AD122" s="17"/>
      <c r="AE122" s="90"/>
      <c r="AF122" s="82" t="str">
        <f t="shared" si="28"/>
        <v/>
      </c>
      <c r="AG122" s="83" t="str">
        <f t="shared" si="29"/>
        <v/>
      </c>
      <c r="AH122" s="82" t="str">
        <f t="shared" si="30"/>
        <v/>
      </c>
      <c r="AI122" s="82" t="str">
        <f t="shared" si="31"/>
        <v/>
      </c>
      <c r="AJ122" s="90"/>
      <c r="AP122" s="88"/>
    </row>
    <row r="123" spans="1:42" x14ac:dyDescent="0.25">
      <c r="A123" s="2"/>
      <c r="C123" s="68" t="str" cm="1">
        <f t="array" ref="C123">IF(AF123&lt;&gt;"",
IFERROR(INDEX('LaunchPad Markbook'!A:A,MATCH(AH123,'LaunchPad Markbook'!D:D,0),0),"-"),"")</f>
        <v/>
      </c>
      <c r="D123" s="27"/>
      <c r="E123" s="27"/>
      <c r="F123" s="27"/>
      <c r="G123" s="14">
        <f>IF(OR(H123&gt;AB$2,I123&gt;AC$2,J123&gt;AD$2,
P123&gt;1,V123&gt;1,
L123&gt;'Group List A'!E$2,M123&gt;'Group List A'!F$2,N123&gt;'Group List A'!G$2,
R123&gt;'Group List B'!E$2,S123&gt;'Group List B'!F$2,T123&gt;'Group List B'!G$2),"Exceed",
IF(OR(H123=AB$2,I123=AC$2,J123=AD$2,
P123=1,V123=1,
L123='Group List A'!E$2,M123='Group List A'!F$2,N123='Group List A'!G$2,
R123='Group List B'!E$2,S123='Group List B'!F$2,T123='Group List B'!G$2),"Limit",0))</f>
        <v>0</v>
      </c>
      <c r="H123" s="29">
        <f t="shared" si="17"/>
        <v>0</v>
      </c>
      <c r="I123" s="29">
        <f t="shared" si="18"/>
        <v>0</v>
      </c>
      <c r="J123" s="29">
        <f t="shared" si="19"/>
        <v>0</v>
      </c>
      <c r="K123" s="32" t="str" cm="1">
        <f t="array" ref="K123">IF(AF123&lt;&gt;"",IFERROR(INDEX('Group List A'!B:B,MATCH(AI123,'Group List A'!A:A,0),0),"-"),"")</f>
        <v/>
      </c>
      <c r="L123" s="33">
        <f t="shared" si="20"/>
        <v>0</v>
      </c>
      <c r="M123" s="33">
        <f t="shared" si="21"/>
        <v>0</v>
      </c>
      <c r="N123" s="33">
        <f t="shared" si="22"/>
        <v>0</v>
      </c>
      <c r="O123" s="28"/>
      <c r="P123" s="33">
        <f t="shared" si="23"/>
        <v>0</v>
      </c>
      <c r="Q123" s="35" t="str" cm="1">
        <f t="array" ref="Q123">IF(AF123&lt;&gt;"",IFERROR(INDEX('Group List B'!B:B,MATCH(AI123,'Group List B'!A:A,0),0),"-"),"")</f>
        <v/>
      </c>
      <c r="R123" s="36">
        <f t="shared" si="24"/>
        <v>0</v>
      </c>
      <c r="S123" s="36">
        <f t="shared" si="25"/>
        <v>0</v>
      </c>
      <c r="T123" s="36">
        <f t="shared" si="26"/>
        <v>0</v>
      </c>
      <c r="U123" s="28"/>
      <c r="V123" s="37">
        <f t="shared" si="27"/>
        <v>0</v>
      </c>
      <c r="W123" s="41"/>
      <c r="X123" s="27"/>
      <c r="Y123" s="27"/>
      <c r="Z123" s="27"/>
      <c r="AA123" s="15"/>
      <c r="AB123" s="17"/>
      <c r="AC123" s="17"/>
      <c r="AD123" s="17"/>
      <c r="AE123" s="90"/>
      <c r="AF123" s="82" t="str">
        <f t="shared" si="28"/>
        <v/>
      </c>
      <c r="AG123" s="83" t="str">
        <f t="shared" si="29"/>
        <v/>
      </c>
      <c r="AH123" s="82" t="str">
        <f t="shared" si="30"/>
        <v/>
      </c>
      <c r="AI123" s="82" t="str">
        <f t="shared" si="31"/>
        <v/>
      </c>
      <c r="AJ123" s="90"/>
      <c r="AP123" s="88"/>
    </row>
    <row r="124" spans="1:42" x14ac:dyDescent="0.25">
      <c r="A124" s="2"/>
      <c r="C124" s="68" t="str" cm="1">
        <f t="array" ref="C124">IF(AF124&lt;&gt;"",
IFERROR(INDEX('LaunchPad Markbook'!A:A,MATCH(AH124,'LaunchPad Markbook'!D:D,0),0),"-"),"")</f>
        <v/>
      </c>
      <c r="D124" s="27"/>
      <c r="E124" s="27"/>
      <c r="F124" s="27"/>
      <c r="G124" s="14">
        <f>IF(OR(H124&gt;AB$2,I124&gt;AC$2,J124&gt;AD$2,
P124&gt;1,V124&gt;1,
L124&gt;'Group List A'!E$2,M124&gt;'Group List A'!F$2,N124&gt;'Group List A'!G$2,
R124&gt;'Group List B'!E$2,S124&gt;'Group List B'!F$2,T124&gt;'Group List B'!G$2),"Exceed",
IF(OR(H124=AB$2,I124=AC$2,J124=AD$2,
P124=1,V124=1,
L124='Group List A'!E$2,M124='Group List A'!F$2,N124='Group List A'!G$2,
R124='Group List B'!E$2,S124='Group List B'!F$2,T124='Group List B'!G$2),"Limit",0))</f>
        <v>0</v>
      </c>
      <c r="H124" s="29">
        <f t="shared" si="17"/>
        <v>0</v>
      </c>
      <c r="I124" s="29">
        <f t="shared" si="18"/>
        <v>0</v>
      </c>
      <c r="J124" s="29">
        <f t="shared" si="19"/>
        <v>0</v>
      </c>
      <c r="K124" s="32" t="str" cm="1">
        <f t="array" ref="K124">IF(AF124&lt;&gt;"",IFERROR(INDEX('Group List A'!B:B,MATCH(AI124,'Group List A'!A:A,0),0),"-"),"")</f>
        <v/>
      </c>
      <c r="L124" s="33">
        <f t="shared" si="20"/>
        <v>0</v>
      </c>
      <c r="M124" s="33">
        <f t="shared" si="21"/>
        <v>0</v>
      </c>
      <c r="N124" s="33">
        <f t="shared" si="22"/>
        <v>0</v>
      </c>
      <c r="O124" s="28"/>
      <c r="P124" s="33">
        <f t="shared" si="23"/>
        <v>0</v>
      </c>
      <c r="Q124" s="35" t="str" cm="1">
        <f t="array" ref="Q124">IF(AF124&lt;&gt;"",IFERROR(INDEX('Group List B'!B:B,MATCH(AI124,'Group List B'!A:A,0),0),"-"),"")</f>
        <v/>
      </c>
      <c r="R124" s="36">
        <f t="shared" si="24"/>
        <v>0</v>
      </c>
      <c r="S124" s="36">
        <f t="shared" si="25"/>
        <v>0</v>
      </c>
      <c r="T124" s="36">
        <f t="shared" si="26"/>
        <v>0</v>
      </c>
      <c r="U124" s="28"/>
      <c r="V124" s="37">
        <f t="shared" si="27"/>
        <v>0</v>
      </c>
      <c r="W124" s="41"/>
      <c r="X124" s="27"/>
      <c r="Y124" s="27"/>
      <c r="Z124" s="27"/>
      <c r="AA124" s="15"/>
      <c r="AB124" s="17"/>
      <c r="AC124" s="17"/>
      <c r="AD124" s="17"/>
      <c r="AE124" s="90"/>
      <c r="AF124" s="82" t="str">
        <f t="shared" si="28"/>
        <v/>
      </c>
      <c r="AG124" s="83" t="str">
        <f t="shared" si="29"/>
        <v/>
      </c>
      <c r="AH124" s="82" t="str">
        <f t="shared" si="30"/>
        <v/>
      </c>
      <c r="AI124" s="82" t="str">
        <f t="shared" si="31"/>
        <v/>
      </c>
      <c r="AJ124" s="90"/>
      <c r="AP124" s="88"/>
    </row>
    <row r="125" spans="1:42" x14ac:dyDescent="0.25">
      <c r="A125" s="2"/>
      <c r="C125" s="68" t="str" cm="1">
        <f t="array" ref="C125">IF(AF125&lt;&gt;"",
IFERROR(INDEX('LaunchPad Markbook'!A:A,MATCH(AH125,'LaunchPad Markbook'!D:D,0),0),"-"),"")</f>
        <v/>
      </c>
      <c r="D125" s="27"/>
      <c r="E125" s="27"/>
      <c r="F125" s="27"/>
      <c r="G125" s="14">
        <f>IF(OR(H125&gt;AB$2,I125&gt;AC$2,J125&gt;AD$2,
P125&gt;1,V125&gt;1,
L125&gt;'Group List A'!E$2,M125&gt;'Group List A'!F$2,N125&gt;'Group List A'!G$2,
R125&gt;'Group List B'!E$2,S125&gt;'Group List B'!F$2,T125&gt;'Group List B'!G$2),"Exceed",
IF(OR(H125=AB$2,I125=AC$2,J125=AD$2,
P125=1,V125=1,
L125='Group List A'!E$2,M125='Group List A'!F$2,N125='Group List A'!G$2,
R125='Group List B'!E$2,S125='Group List B'!F$2,T125='Group List B'!G$2),"Limit",0))</f>
        <v>0</v>
      </c>
      <c r="H125" s="29">
        <f t="shared" si="17"/>
        <v>0</v>
      </c>
      <c r="I125" s="29">
        <f t="shared" si="18"/>
        <v>0</v>
      </c>
      <c r="J125" s="29">
        <f t="shared" si="19"/>
        <v>0</v>
      </c>
      <c r="K125" s="32" t="str" cm="1">
        <f t="array" ref="K125">IF(AF125&lt;&gt;"",IFERROR(INDEX('Group List A'!B:B,MATCH(AI125,'Group List A'!A:A,0),0),"-"),"")</f>
        <v/>
      </c>
      <c r="L125" s="33">
        <f t="shared" si="20"/>
        <v>0</v>
      </c>
      <c r="M125" s="33">
        <f t="shared" si="21"/>
        <v>0</v>
      </c>
      <c r="N125" s="33">
        <f t="shared" si="22"/>
        <v>0</v>
      </c>
      <c r="O125" s="28"/>
      <c r="P125" s="33">
        <f t="shared" si="23"/>
        <v>0</v>
      </c>
      <c r="Q125" s="35" t="str" cm="1">
        <f t="array" ref="Q125">IF(AF125&lt;&gt;"",IFERROR(INDEX('Group List B'!B:B,MATCH(AI125,'Group List B'!A:A,0),0),"-"),"")</f>
        <v/>
      </c>
      <c r="R125" s="36">
        <f t="shared" si="24"/>
        <v>0</v>
      </c>
      <c r="S125" s="36">
        <f t="shared" si="25"/>
        <v>0</v>
      </c>
      <c r="T125" s="36">
        <f t="shared" si="26"/>
        <v>0</v>
      </c>
      <c r="U125" s="28"/>
      <c r="V125" s="37">
        <f t="shared" si="27"/>
        <v>0</v>
      </c>
      <c r="W125" s="41"/>
      <c r="X125" s="27"/>
      <c r="Y125" s="27"/>
      <c r="Z125" s="27"/>
      <c r="AA125" s="15"/>
      <c r="AB125" s="17"/>
      <c r="AC125" s="17"/>
      <c r="AD125" s="17"/>
      <c r="AE125" s="90"/>
      <c r="AF125" s="82" t="str">
        <f t="shared" si="28"/>
        <v/>
      </c>
      <c r="AG125" s="83" t="str">
        <f t="shared" si="29"/>
        <v/>
      </c>
      <c r="AH125" s="82" t="str">
        <f t="shared" si="30"/>
        <v/>
      </c>
      <c r="AI125" s="82" t="str">
        <f t="shared" si="31"/>
        <v/>
      </c>
      <c r="AJ125" s="90"/>
      <c r="AP125" s="88"/>
    </row>
    <row r="126" spans="1:42" x14ac:dyDescent="0.25">
      <c r="A126" s="2"/>
      <c r="C126" s="68" t="str" cm="1">
        <f t="array" ref="C126">IF(AF126&lt;&gt;"",
IFERROR(INDEX('LaunchPad Markbook'!A:A,MATCH(AH126,'LaunchPad Markbook'!D:D,0),0),"-"),"")</f>
        <v/>
      </c>
      <c r="D126" s="27"/>
      <c r="E126" s="27"/>
      <c r="F126" s="27"/>
      <c r="G126" s="14">
        <f>IF(OR(H126&gt;AB$2,I126&gt;AC$2,J126&gt;AD$2,
P126&gt;1,V126&gt;1,
L126&gt;'Group List A'!E$2,M126&gt;'Group List A'!F$2,N126&gt;'Group List A'!G$2,
R126&gt;'Group List B'!E$2,S126&gt;'Group List B'!F$2,T126&gt;'Group List B'!G$2),"Exceed",
IF(OR(H126=AB$2,I126=AC$2,J126=AD$2,
P126=1,V126=1,
L126='Group List A'!E$2,M126='Group List A'!F$2,N126='Group List A'!G$2,
R126='Group List B'!E$2,S126='Group List B'!F$2,T126='Group List B'!G$2),"Limit",0))</f>
        <v>0</v>
      </c>
      <c r="H126" s="29">
        <f t="shared" si="17"/>
        <v>0</v>
      </c>
      <c r="I126" s="29">
        <f t="shared" si="18"/>
        <v>0</v>
      </c>
      <c r="J126" s="29">
        <f t="shared" si="19"/>
        <v>0</v>
      </c>
      <c r="K126" s="32" t="str" cm="1">
        <f t="array" ref="K126">IF(AF126&lt;&gt;"",IFERROR(INDEX('Group List A'!B:B,MATCH(AI126,'Group List A'!A:A,0),0),"-"),"")</f>
        <v/>
      </c>
      <c r="L126" s="33">
        <f t="shared" si="20"/>
        <v>0</v>
      </c>
      <c r="M126" s="33">
        <f t="shared" si="21"/>
        <v>0</v>
      </c>
      <c r="N126" s="33">
        <f t="shared" si="22"/>
        <v>0</v>
      </c>
      <c r="O126" s="28"/>
      <c r="P126" s="33">
        <f t="shared" si="23"/>
        <v>0</v>
      </c>
      <c r="Q126" s="35" t="str" cm="1">
        <f t="array" ref="Q126">IF(AF126&lt;&gt;"",IFERROR(INDEX('Group List B'!B:B,MATCH(AI126,'Group List B'!A:A,0),0),"-"),"")</f>
        <v/>
      </c>
      <c r="R126" s="36">
        <f t="shared" si="24"/>
        <v>0</v>
      </c>
      <c r="S126" s="36">
        <f t="shared" si="25"/>
        <v>0</v>
      </c>
      <c r="T126" s="36">
        <f t="shared" si="26"/>
        <v>0</v>
      </c>
      <c r="U126" s="28"/>
      <c r="V126" s="37">
        <f t="shared" si="27"/>
        <v>0</v>
      </c>
      <c r="W126" s="41"/>
      <c r="X126" s="27"/>
      <c r="Y126" s="27"/>
      <c r="Z126" s="27"/>
      <c r="AA126" s="15"/>
      <c r="AB126" s="17"/>
      <c r="AC126" s="17"/>
      <c r="AD126" s="17"/>
      <c r="AE126" s="90"/>
      <c r="AF126" s="82" t="str">
        <f t="shared" si="28"/>
        <v/>
      </c>
      <c r="AG126" s="83" t="str">
        <f t="shared" si="29"/>
        <v/>
      </c>
      <c r="AH126" s="82" t="str">
        <f t="shared" si="30"/>
        <v/>
      </c>
      <c r="AI126" s="82" t="str">
        <f t="shared" si="31"/>
        <v/>
      </c>
      <c r="AJ126" s="90"/>
      <c r="AP126" s="88"/>
    </row>
    <row r="127" spans="1:42" x14ac:dyDescent="0.25">
      <c r="A127" s="2"/>
      <c r="C127" s="68" t="str" cm="1">
        <f t="array" ref="C127">IF(AF127&lt;&gt;"",
IFERROR(INDEX('LaunchPad Markbook'!A:A,MATCH(AH127,'LaunchPad Markbook'!D:D,0),0),"-"),"")</f>
        <v/>
      </c>
      <c r="D127" s="27"/>
      <c r="E127" s="27"/>
      <c r="F127" s="27"/>
      <c r="G127" s="14">
        <f>IF(OR(H127&gt;AB$2,I127&gt;AC$2,J127&gt;AD$2,
P127&gt;1,V127&gt;1,
L127&gt;'Group List A'!E$2,M127&gt;'Group List A'!F$2,N127&gt;'Group List A'!G$2,
R127&gt;'Group List B'!E$2,S127&gt;'Group List B'!F$2,T127&gt;'Group List B'!G$2),"Exceed",
IF(OR(H127=AB$2,I127=AC$2,J127=AD$2,
P127=1,V127=1,
L127='Group List A'!E$2,M127='Group List A'!F$2,N127='Group List A'!G$2,
R127='Group List B'!E$2,S127='Group List B'!F$2,T127='Group List B'!G$2),"Limit",0))</f>
        <v>0</v>
      </c>
      <c r="H127" s="29">
        <f t="shared" si="17"/>
        <v>0</v>
      </c>
      <c r="I127" s="29">
        <f t="shared" si="18"/>
        <v>0</v>
      </c>
      <c r="J127" s="29">
        <f t="shared" si="19"/>
        <v>0</v>
      </c>
      <c r="K127" s="32" t="str" cm="1">
        <f t="array" ref="K127">IF(AF127&lt;&gt;"",IFERROR(INDEX('Group List A'!B:B,MATCH(AI127,'Group List A'!A:A,0),0),"-"),"")</f>
        <v/>
      </c>
      <c r="L127" s="33">
        <f t="shared" si="20"/>
        <v>0</v>
      </c>
      <c r="M127" s="33">
        <f t="shared" si="21"/>
        <v>0</v>
      </c>
      <c r="N127" s="33">
        <f t="shared" si="22"/>
        <v>0</v>
      </c>
      <c r="O127" s="28"/>
      <c r="P127" s="33">
        <f t="shared" si="23"/>
        <v>0</v>
      </c>
      <c r="Q127" s="35" t="str" cm="1">
        <f t="array" ref="Q127">IF(AF127&lt;&gt;"",IFERROR(INDEX('Group List B'!B:B,MATCH(AI127,'Group List B'!A:A,0),0),"-"),"")</f>
        <v/>
      </c>
      <c r="R127" s="36">
        <f t="shared" si="24"/>
        <v>0</v>
      </c>
      <c r="S127" s="36">
        <f t="shared" si="25"/>
        <v>0</v>
      </c>
      <c r="T127" s="36">
        <f t="shared" si="26"/>
        <v>0</v>
      </c>
      <c r="U127" s="28"/>
      <c r="V127" s="37">
        <f t="shared" si="27"/>
        <v>0</v>
      </c>
      <c r="W127" s="41"/>
      <c r="X127" s="27"/>
      <c r="Y127" s="27"/>
      <c r="Z127" s="27"/>
      <c r="AA127" s="15"/>
      <c r="AB127" s="17"/>
      <c r="AC127" s="17"/>
      <c r="AD127" s="17"/>
      <c r="AE127" s="90"/>
      <c r="AF127" s="82" t="str">
        <f t="shared" si="28"/>
        <v/>
      </c>
      <c r="AG127" s="83" t="str">
        <f t="shared" si="29"/>
        <v/>
      </c>
      <c r="AH127" s="82" t="str">
        <f t="shared" si="30"/>
        <v/>
      </c>
      <c r="AI127" s="82" t="str">
        <f t="shared" si="31"/>
        <v/>
      </c>
      <c r="AJ127" s="90"/>
      <c r="AP127" s="88"/>
    </row>
    <row r="128" spans="1:42" x14ac:dyDescent="0.25">
      <c r="A128" s="2"/>
      <c r="C128" s="68" t="str" cm="1">
        <f t="array" ref="C128">IF(AF128&lt;&gt;"",
IFERROR(INDEX('LaunchPad Markbook'!A:A,MATCH(AH128,'LaunchPad Markbook'!D:D,0),0),"-"),"")</f>
        <v/>
      </c>
      <c r="D128" s="27"/>
      <c r="E128" s="27"/>
      <c r="F128" s="27"/>
      <c r="G128" s="14">
        <f>IF(OR(H128&gt;AB$2,I128&gt;AC$2,J128&gt;AD$2,
P128&gt;1,V128&gt;1,
L128&gt;'Group List A'!E$2,M128&gt;'Group List A'!F$2,N128&gt;'Group List A'!G$2,
R128&gt;'Group List B'!E$2,S128&gt;'Group List B'!F$2,T128&gt;'Group List B'!G$2),"Exceed",
IF(OR(H128=AB$2,I128=AC$2,J128=AD$2,
P128=1,V128=1,
L128='Group List A'!E$2,M128='Group List A'!F$2,N128='Group List A'!G$2,
R128='Group List B'!E$2,S128='Group List B'!F$2,T128='Group List B'!G$2),"Limit",0))</f>
        <v>0</v>
      </c>
      <c r="H128" s="29">
        <f t="shared" si="17"/>
        <v>0</v>
      </c>
      <c r="I128" s="29">
        <f t="shared" si="18"/>
        <v>0</v>
      </c>
      <c r="J128" s="29">
        <f t="shared" si="19"/>
        <v>0</v>
      </c>
      <c r="K128" s="32" t="str" cm="1">
        <f t="array" ref="K128">IF(AF128&lt;&gt;"",IFERROR(INDEX('Group List A'!B:B,MATCH(AI128,'Group List A'!A:A,0),0),"-"),"")</f>
        <v/>
      </c>
      <c r="L128" s="33">
        <f t="shared" si="20"/>
        <v>0</v>
      </c>
      <c r="M128" s="33">
        <f t="shared" si="21"/>
        <v>0</v>
      </c>
      <c r="N128" s="33">
        <f t="shared" si="22"/>
        <v>0</v>
      </c>
      <c r="O128" s="28"/>
      <c r="P128" s="33">
        <f t="shared" si="23"/>
        <v>0</v>
      </c>
      <c r="Q128" s="35" t="str" cm="1">
        <f t="array" ref="Q128">IF(AF128&lt;&gt;"",IFERROR(INDEX('Group List B'!B:B,MATCH(AI128,'Group List B'!A:A,0),0),"-"),"")</f>
        <v/>
      </c>
      <c r="R128" s="36">
        <f t="shared" si="24"/>
        <v>0</v>
      </c>
      <c r="S128" s="36">
        <f t="shared" si="25"/>
        <v>0</v>
      </c>
      <c r="T128" s="36">
        <f t="shared" si="26"/>
        <v>0</v>
      </c>
      <c r="U128" s="28"/>
      <c r="V128" s="37">
        <f t="shared" si="27"/>
        <v>0</v>
      </c>
      <c r="W128" s="41"/>
      <c r="X128" s="27"/>
      <c r="Y128" s="27"/>
      <c r="Z128" s="27"/>
      <c r="AA128" s="15"/>
      <c r="AB128" s="17"/>
      <c r="AC128" s="17"/>
      <c r="AD128" s="17"/>
      <c r="AE128" s="90"/>
      <c r="AF128" s="82" t="str">
        <f t="shared" si="28"/>
        <v/>
      </c>
      <c r="AG128" s="83" t="str">
        <f t="shared" si="29"/>
        <v/>
      </c>
      <c r="AH128" s="82" t="str">
        <f t="shared" si="30"/>
        <v/>
      </c>
      <c r="AI128" s="82" t="str">
        <f t="shared" si="31"/>
        <v/>
      </c>
      <c r="AJ128" s="90"/>
      <c r="AP128" s="88"/>
    </row>
    <row r="129" spans="1:42" x14ac:dyDescent="0.25">
      <c r="A129" s="2"/>
      <c r="C129" s="68" t="str" cm="1">
        <f t="array" ref="C129">IF(AF129&lt;&gt;"",
IFERROR(INDEX('LaunchPad Markbook'!A:A,MATCH(AH129,'LaunchPad Markbook'!D:D,0),0),"-"),"")</f>
        <v/>
      </c>
      <c r="D129" s="27"/>
      <c r="E129" s="27"/>
      <c r="F129" s="27"/>
      <c r="G129" s="14">
        <f>IF(OR(H129&gt;AB$2,I129&gt;AC$2,J129&gt;AD$2,
P129&gt;1,V129&gt;1,
L129&gt;'Group List A'!E$2,M129&gt;'Group List A'!F$2,N129&gt;'Group List A'!G$2,
R129&gt;'Group List B'!E$2,S129&gt;'Group List B'!F$2,T129&gt;'Group List B'!G$2),"Exceed",
IF(OR(H129=AB$2,I129=AC$2,J129=AD$2,
P129=1,V129=1,
L129='Group List A'!E$2,M129='Group List A'!F$2,N129='Group List A'!G$2,
R129='Group List B'!E$2,S129='Group List B'!F$2,T129='Group List B'!G$2),"Limit",0))</f>
        <v>0</v>
      </c>
      <c r="H129" s="29">
        <f t="shared" si="17"/>
        <v>0</v>
      </c>
      <c r="I129" s="29">
        <f t="shared" si="18"/>
        <v>0</v>
      </c>
      <c r="J129" s="29">
        <f t="shared" si="19"/>
        <v>0</v>
      </c>
      <c r="K129" s="32" t="str" cm="1">
        <f t="array" ref="K129">IF(AF129&lt;&gt;"",IFERROR(INDEX('Group List A'!B:B,MATCH(AI129,'Group List A'!A:A,0),0),"-"),"")</f>
        <v/>
      </c>
      <c r="L129" s="33">
        <f t="shared" si="20"/>
        <v>0</v>
      </c>
      <c r="M129" s="33">
        <f t="shared" si="21"/>
        <v>0</v>
      </c>
      <c r="N129" s="33">
        <f t="shared" si="22"/>
        <v>0</v>
      </c>
      <c r="O129" s="28"/>
      <c r="P129" s="33">
        <f t="shared" si="23"/>
        <v>0</v>
      </c>
      <c r="Q129" s="35" t="str" cm="1">
        <f t="array" ref="Q129">IF(AF129&lt;&gt;"",IFERROR(INDEX('Group List B'!B:B,MATCH(AI129,'Group List B'!A:A,0),0),"-"),"")</f>
        <v/>
      </c>
      <c r="R129" s="36">
        <f t="shared" si="24"/>
        <v>0</v>
      </c>
      <c r="S129" s="36">
        <f t="shared" si="25"/>
        <v>0</v>
      </c>
      <c r="T129" s="36">
        <f t="shared" si="26"/>
        <v>0</v>
      </c>
      <c r="U129" s="28"/>
      <c r="V129" s="37">
        <f t="shared" si="27"/>
        <v>0</v>
      </c>
      <c r="W129" s="41"/>
      <c r="X129" s="27"/>
      <c r="Y129" s="27"/>
      <c r="Z129" s="27"/>
      <c r="AA129" s="15"/>
      <c r="AB129" s="17"/>
      <c r="AC129" s="17"/>
      <c r="AD129" s="17"/>
      <c r="AE129" s="90"/>
      <c r="AF129" s="82" t="str">
        <f t="shared" si="28"/>
        <v/>
      </c>
      <c r="AG129" s="83" t="str">
        <f t="shared" si="29"/>
        <v/>
      </c>
      <c r="AH129" s="82" t="str">
        <f t="shared" si="30"/>
        <v/>
      </c>
      <c r="AI129" s="82" t="str">
        <f t="shared" si="31"/>
        <v/>
      </c>
      <c r="AJ129" s="90"/>
      <c r="AP129" s="88"/>
    </row>
    <row r="130" spans="1:42" x14ac:dyDescent="0.25">
      <c r="A130" s="2"/>
      <c r="C130" s="68" t="str" cm="1">
        <f t="array" ref="C130">IF(AF130&lt;&gt;"",
IFERROR(INDEX('LaunchPad Markbook'!A:A,MATCH(AH130,'LaunchPad Markbook'!D:D,0),0),"-"),"")</f>
        <v/>
      </c>
      <c r="D130" s="27"/>
      <c r="E130" s="27"/>
      <c r="F130" s="27"/>
      <c r="G130" s="14">
        <f>IF(OR(H130&gt;AB$2,I130&gt;AC$2,J130&gt;AD$2,
P130&gt;1,V130&gt;1,
L130&gt;'Group List A'!E$2,M130&gt;'Group List A'!F$2,N130&gt;'Group List A'!G$2,
R130&gt;'Group List B'!E$2,S130&gt;'Group List B'!F$2,T130&gt;'Group List B'!G$2),"Exceed",
IF(OR(H130=AB$2,I130=AC$2,J130=AD$2,
P130=1,V130=1,
L130='Group List A'!E$2,M130='Group List A'!F$2,N130='Group List A'!G$2,
R130='Group List B'!E$2,S130='Group List B'!F$2,T130='Group List B'!G$2),"Limit",0))</f>
        <v>0</v>
      </c>
      <c r="H130" s="29">
        <f t="shared" si="17"/>
        <v>0</v>
      </c>
      <c r="I130" s="29">
        <f t="shared" si="18"/>
        <v>0</v>
      </c>
      <c r="J130" s="29">
        <f t="shared" si="19"/>
        <v>0</v>
      </c>
      <c r="K130" s="32" t="str" cm="1">
        <f t="array" ref="K130">IF(AF130&lt;&gt;"",IFERROR(INDEX('Group List A'!B:B,MATCH(AI130,'Group List A'!A:A,0),0),"-"),"")</f>
        <v/>
      </c>
      <c r="L130" s="33">
        <f t="shared" si="20"/>
        <v>0</v>
      </c>
      <c r="M130" s="33">
        <f t="shared" si="21"/>
        <v>0</v>
      </c>
      <c r="N130" s="33">
        <f t="shared" si="22"/>
        <v>0</v>
      </c>
      <c r="O130" s="28"/>
      <c r="P130" s="33">
        <f t="shared" si="23"/>
        <v>0</v>
      </c>
      <c r="Q130" s="35" t="str" cm="1">
        <f t="array" ref="Q130">IF(AF130&lt;&gt;"",IFERROR(INDEX('Group List B'!B:B,MATCH(AI130,'Group List B'!A:A,0),0),"-"),"")</f>
        <v/>
      </c>
      <c r="R130" s="36">
        <f t="shared" si="24"/>
        <v>0</v>
      </c>
      <c r="S130" s="36">
        <f t="shared" si="25"/>
        <v>0</v>
      </c>
      <c r="T130" s="36">
        <f t="shared" si="26"/>
        <v>0</v>
      </c>
      <c r="U130" s="28"/>
      <c r="V130" s="37">
        <f t="shared" si="27"/>
        <v>0</v>
      </c>
      <c r="W130" s="41"/>
      <c r="X130" s="27"/>
      <c r="Y130" s="27"/>
      <c r="Z130" s="27"/>
      <c r="AA130" s="15"/>
      <c r="AB130" s="17"/>
      <c r="AC130" s="17"/>
      <c r="AD130" s="17"/>
      <c r="AE130" s="90"/>
      <c r="AF130" s="82" t="str">
        <f t="shared" si="28"/>
        <v/>
      </c>
      <c r="AG130" s="83" t="str">
        <f t="shared" si="29"/>
        <v/>
      </c>
      <c r="AH130" s="82" t="str">
        <f t="shared" si="30"/>
        <v/>
      </c>
      <c r="AI130" s="82" t="str">
        <f t="shared" si="31"/>
        <v/>
      </c>
      <c r="AJ130" s="90"/>
      <c r="AP130" s="88"/>
    </row>
    <row r="131" spans="1:42" x14ac:dyDescent="0.25">
      <c r="A131" s="2"/>
      <c r="C131" s="68" t="str" cm="1">
        <f t="array" ref="C131">IF(AF131&lt;&gt;"",
IFERROR(INDEX('LaunchPad Markbook'!A:A,MATCH(AH131,'LaunchPad Markbook'!D:D,0),0),"-"),"")</f>
        <v/>
      </c>
      <c r="D131" s="27"/>
      <c r="E131" s="27"/>
      <c r="F131" s="27"/>
      <c r="G131" s="14">
        <f>IF(OR(H131&gt;AB$2,I131&gt;AC$2,J131&gt;AD$2,
P131&gt;1,V131&gt;1,
L131&gt;'Group List A'!E$2,M131&gt;'Group List A'!F$2,N131&gt;'Group List A'!G$2,
R131&gt;'Group List B'!E$2,S131&gt;'Group List B'!F$2,T131&gt;'Group List B'!G$2),"Exceed",
IF(OR(H131=AB$2,I131=AC$2,J131=AD$2,
P131=1,V131=1,
L131='Group List A'!E$2,M131='Group List A'!F$2,N131='Group List A'!G$2,
R131='Group List B'!E$2,S131='Group List B'!F$2,T131='Group List B'!G$2),"Limit",0))</f>
        <v>0</v>
      </c>
      <c r="H131" s="29">
        <f t="shared" ref="H131:H194" si="32">IF(AND(K131="-",Q131="-"),
SUMIFS(D$2:D$2000,$AH$2:$AH$2000,$AH131),0)</f>
        <v>0</v>
      </c>
      <c r="I131" s="29">
        <f t="shared" ref="I131:I194" si="33">IF(AND(K131="-",Q131="-"),
SUMIFS(E$2:E$2000,$AH$2:$AH$2000,$AH131),0)</f>
        <v>0</v>
      </c>
      <c r="J131" s="29">
        <f t="shared" ref="J131:J194" si="34">IF(AND(K131="-",Q131="-"),
SUMIFS(F$2:F$2000,$AH$2:$AH$2000,$AH131),0)</f>
        <v>0</v>
      </c>
      <c r="K131" s="32" t="str" cm="1">
        <f t="array" ref="K131">IF(AF131&lt;&gt;"",IFERROR(INDEX('Group List A'!B:B,MATCH(AI131,'Group List A'!A:A,0),0),"-"),"")</f>
        <v/>
      </c>
      <c r="L131" s="33">
        <f t="shared" ref="L131:L194" si="35">IF($K131&lt;&gt;"-",SUMIFS(D$2:D$2000,$K$2:$K$2000,$K131),0)</f>
        <v>0</v>
      </c>
      <c r="M131" s="33">
        <f t="shared" ref="M131:M194" si="36">IF($K131&lt;&gt;"-",SUMIFS(E$2:E$2000,$K$2:$K$2000,$K131),0)</f>
        <v>0</v>
      </c>
      <c r="N131" s="33">
        <f t="shared" ref="N131:N194" si="37">IF($K131&lt;&gt;"-",SUMIFS(F$2:F$2000,$K$2:$K$2000,$K131),0)</f>
        <v>0</v>
      </c>
      <c r="O131" s="28"/>
      <c r="P131" s="33">
        <f t="shared" ref="P131:P194" si="38">SUMIFS(O$2:O$2000,$AH$2:$AH$2000,$AH131)</f>
        <v>0</v>
      </c>
      <c r="Q131" s="35" t="str" cm="1">
        <f t="array" ref="Q131">IF(AF131&lt;&gt;"",IFERROR(INDEX('Group List B'!B:B,MATCH(AI131,'Group List B'!A:A,0),0),"-"),"")</f>
        <v/>
      </c>
      <c r="R131" s="36">
        <f t="shared" ref="R131:R194" si="39">IF($Q131&lt;&gt;"-",SUMIFS(D$2:D$2000,$Q$2:$Q$2000,$Q131),0)</f>
        <v>0</v>
      </c>
      <c r="S131" s="36">
        <f t="shared" ref="S131:S194" si="40">IF($Q131&lt;&gt;"-",SUMIFS(E$2:E$2000,$Q$2:$Q$2000,$Q131),0)</f>
        <v>0</v>
      </c>
      <c r="T131" s="36">
        <f t="shared" ref="T131:T194" si="41">IF($Q131&lt;&gt;"-",SUMIFS(F$2:F$2000,$Q$2:$Q$2000,$Q131),0)</f>
        <v>0</v>
      </c>
      <c r="U131" s="28"/>
      <c r="V131" s="37">
        <f t="shared" ref="V131:V194" si="42">SUMIFS(U$2:U$2000,$AH$2:$AH$2000,$AH131)</f>
        <v>0</v>
      </c>
      <c r="W131" s="41"/>
      <c r="X131" s="27"/>
      <c r="Y131" s="27"/>
      <c r="Z131" s="27"/>
      <c r="AA131" s="15"/>
      <c r="AB131" s="17"/>
      <c r="AC131" s="17"/>
      <c r="AD131" s="17"/>
      <c r="AE131" s="90"/>
      <c r="AF131" s="82" t="str">
        <f t="shared" ref="AF131:AF194" si="43">IF(A131&lt;&gt;"",A131,"")</f>
        <v/>
      </c>
      <c r="AG131" s="83" t="str">
        <f t="shared" ref="AG131:AG194" si="44">IF(MID(AF131,1,1)="N","STUDENT",
IF(MID(AF131,1,1)="S","STAFF",
IF(MID(AF131,1,1)="V","VISITOR",
IF(AF131&lt;&gt;"","ERROR",""))))</f>
        <v/>
      </c>
      <c r="AH131" s="82" t="str">
        <f t="shared" ref="AH131:AH194" si="45">IF(AG131="STUDENT","N"&amp;(MID(AF131,2,8)-0),
IF(AG131="STAFF","S"&amp;MID(AF131,2,8),""))</f>
        <v/>
      </c>
      <c r="AI131" s="82" t="str">
        <f t="shared" ref="AI131:AI194" si="46">IF(AG131="STUDENT",(MID(AF131,2,8)-0),
IF(AG131="STAFF","STAFF",""))</f>
        <v/>
      </c>
      <c r="AJ131" s="90"/>
      <c r="AP131" s="88"/>
    </row>
    <row r="132" spans="1:42" x14ac:dyDescent="0.25">
      <c r="A132" s="2"/>
      <c r="C132" s="68" t="str" cm="1">
        <f t="array" ref="C132">IF(AF132&lt;&gt;"",
IFERROR(INDEX('LaunchPad Markbook'!A:A,MATCH(AH132,'LaunchPad Markbook'!D:D,0),0),"-"),"")</f>
        <v/>
      </c>
      <c r="D132" s="27"/>
      <c r="E132" s="27"/>
      <c r="F132" s="27"/>
      <c r="G132" s="14">
        <f>IF(OR(H132&gt;AB$2,I132&gt;AC$2,J132&gt;AD$2,
P132&gt;1,V132&gt;1,
L132&gt;'Group List A'!E$2,M132&gt;'Group List A'!F$2,N132&gt;'Group List A'!G$2,
R132&gt;'Group List B'!E$2,S132&gt;'Group List B'!F$2,T132&gt;'Group List B'!G$2),"Exceed",
IF(OR(H132=AB$2,I132=AC$2,J132=AD$2,
P132=1,V132=1,
L132='Group List A'!E$2,M132='Group List A'!F$2,N132='Group List A'!G$2,
R132='Group List B'!E$2,S132='Group List B'!F$2,T132='Group List B'!G$2),"Limit",0))</f>
        <v>0</v>
      </c>
      <c r="H132" s="29">
        <f t="shared" si="32"/>
        <v>0</v>
      </c>
      <c r="I132" s="29">
        <f t="shared" si="33"/>
        <v>0</v>
      </c>
      <c r="J132" s="29">
        <f t="shared" si="34"/>
        <v>0</v>
      </c>
      <c r="K132" s="32" t="str" cm="1">
        <f t="array" ref="K132">IF(AF132&lt;&gt;"",IFERROR(INDEX('Group List A'!B:B,MATCH(AI132,'Group List A'!A:A,0),0),"-"),"")</f>
        <v/>
      </c>
      <c r="L132" s="33">
        <f t="shared" si="35"/>
        <v>0</v>
      </c>
      <c r="M132" s="33">
        <f t="shared" si="36"/>
        <v>0</v>
      </c>
      <c r="N132" s="33">
        <f t="shared" si="37"/>
        <v>0</v>
      </c>
      <c r="O132" s="28"/>
      <c r="P132" s="33">
        <f t="shared" si="38"/>
        <v>0</v>
      </c>
      <c r="Q132" s="35" t="str" cm="1">
        <f t="array" ref="Q132">IF(AF132&lt;&gt;"",IFERROR(INDEX('Group List B'!B:B,MATCH(AI132,'Group List B'!A:A,0),0),"-"),"")</f>
        <v/>
      </c>
      <c r="R132" s="36">
        <f t="shared" si="39"/>
        <v>0</v>
      </c>
      <c r="S132" s="36">
        <f t="shared" si="40"/>
        <v>0</v>
      </c>
      <c r="T132" s="36">
        <f t="shared" si="41"/>
        <v>0</v>
      </c>
      <c r="U132" s="28"/>
      <c r="V132" s="37">
        <f t="shared" si="42"/>
        <v>0</v>
      </c>
      <c r="W132" s="41"/>
      <c r="X132" s="27"/>
      <c r="Y132" s="27"/>
      <c r="Z132" s="27"/>
      <c r="AA132" s="15"/>
      <c r="AB132" s="17"/>
      <c r="AC132" s="17"/>
      <c r="AD132" s="17"/>
      <c r="AE132" s="90"/>
      <c r="AF132" s="82" t="str">
        <f t="shared" si="43"/>
        <v/>
      </c>
      <c r="AG132" s="83" t="str">
        <f t="shared" si="44"/>
        <v/>
      </c>
      <c r="AH132" s="82" t="str">
        <f t="shared" si="45"/>
        <v/>
      </c>
      <c r="AI132" s="82" t="str">
        <f t="shared" si="46"/>
        <v/>
      </c>
      <c r="AJ132" s="90"/>
      <c r="AP132" s="88"/>
    </row>
    <row r="133" spans="1:42" x14ac:dyDescent="0.25">
      <c r="A133" s="2"/>
      <c r="C133" s="68" t="str" cm="1">
        <f t="array" ref="C133">IF(AF133&lt;&gt;"",
IFERROR(INDEX('LaunchPad Markbook'!A:A,MATCH(AH133,'LaunchPad Markbook'!D:D,0),0),"-"),"")</f>
        <v/>
      </c>
      <c r="D133" s="27"/>
      <c r="E133" s="27"/>
      <c r="F133" s="27"/>
      <c r="G133" s="14">
        <f>IF(OR(H133&gt;AB$2,I133&gt;AC$2,J133&gt;AD$2,
P133&gt;1,V133&gt;1,
L133&gt;'Group List A'!E$2,M133&gt;'Group List A'!F$2,N133&gt;'Group List A'!G$2,
R133&gt;'Group List B'!E$2,S133&gt;'Group List B'!F$2,T133&gt;'Group List B'!G$2),"Exceed",
IF(OR(H133=AB$2,I133=AC$2,J133=AD$2,
P133=1,V133=1,
L133='Group List A'!E$2,M133='Group List A'!F$2,N133='Group List A'!G$2,
R133='Group List B'!E$2,S133='Group List B'!F$2,T133='Group List B'!G$2),"Limit",0))</f>
        <v>0</v>
      </c>
      <c r="H133" s="29">
        <f t="shared" si="32"/>
        <v>0</v>
      </c>
      <c r="I133" s="29">
        <f t="shared" si="33"/>
        <v>0</v>
      </c>
      <c r="J133" s="29">
        <f t="shared" si="34"/>
        <v>0</v>
      </c>
      <c r="K133" s="32" t="str" cm="1">
        <f t="array" ref="K133">IF(AF133&lt;&gt;"",IFERROR(INDEX('Group List A'!B:B,MATCH(AI133,'Group List A'!A:A,0),0),"-"),"")</f>
        <v/>
      </c>
      <c r="L133" s="33">
        <f t="shared" si="35"/>
        <v>0</v>
      </c>
      <c r="M133" s="33">
        <f t="shared" si="36"/>
        <v>0</v>
      </c>
      <c r="N133" s="33">
        <f t="shared" si="37"/>
        <v>0</v>
      </c>
      <c r="O133" s="28"/>
      <c r="P133" s="33">
        <f t="shared" si="38"/>
        <v>0</v>
      </c>
      <c r="Q133" s="35" t="str" cm="1">
        <f t="array" ref="Q133">IF(AF133&lt;&gt;"",IFERROR(INDEX('Group List B'!B:B,MATCH(AI133,'Group List B'!A:A,0),0),"-"),"")</f>
        <v/>
      </c>
      <c r="R133" s="36">
        <f t="shared" si="39"/>
        <v>0</v>
      </c>
      <c r="S133" s="36">
        <f t="shared" si="40"/>
        <v>0</v>
      </c>
      <c r="T133" s="36">
        <f t="shared" si="41"/>
        <v>0</v>
      </c>
      <c r="U133" s="28"/>
      <c r="V133" s="37">
        <f t="shared" si="42"/>
        <v>0</v>
      </c>
      <c r="W133" s="41"/>
      <c r="X133" s="27"/>
      <c r="Y133" s="27"/>
      <c r="Z133" s="27"/>
      <c r="AA133" s="15"/>
      <c r="AB133" s="17"/>
      <c r="AC133" s="17"/>
      <c r="AD133" s="17"/>
      <c r="AE133" s="90"/>
      <c r="AF133" s="82" t="str">
        <f t="shared" si="43"/>
        <v/>
      </c>
      <c r="AG133" s="83" t="str">
        <f t="shared" si="44"/>
        <v/>
      </c>
      <c r="AH133" s="82" t="str">
        <f t="shared" si="45"/>
        <v/>
      </c>
      <c r="AI133" s="82" t="str">
        <f t="shared" si="46"/>
        <v/>
      </c>
      <c r="AJ133" s="90"/>
      <c r="AP133" s="88"/>
    </row>
    <row r="134" spans="1:42" x14ac:dyDescent="0.25">
      <c r="A134" s="2"/>
      <c r="C134" s="68" t="str" cm="1">
        <f t="array" ref="C134">IF(AF134&lt;&gt;"",
IFERROR(INDEX('LaunchPad Markbook'!A:A,MATCH(AH134,'LaunchPad Markbook'!D:D,0),0),"-"),"")</f>
        <v/>
      </c>
      <c r="D134" s="27"/>
      <c r="E134" s="27"/>
      <c r="F134" s="27"/>
      <c r="G134" s="14">
        <f>IF(OR(H134&gt;AB$2,I134&gt;AC$2,J134&gt;AD$2,
P134&gt;1,V134&gt;1,
L134&gt;'Group List A'!E$2,M134&gt;'Group List A'!F$2,N134&gt;'Group List A'!G$2,
R134&gt;'Group List B'!E$2,S134&gt;'Group List B'!F$2,T134&gt;'Group List B'!G$2),"Exceed",
IF(OR(H134=AB$2,I134=AC$2,J134=AD$2,
P134=1,V134=1,
L134='Group List A'!E$2,M134='Group List A'!F$2,N134='Group List A'!G$2,
R134='Group List B'!E$2,S134='Group List B'!F$2,T134='Group List B'!G$2),"Limit",0))</f>
        <v>0</v>
      </c>
      <c r="H134" s="29">
        <f t="shared" si="32"/>
        <v>0</v>
      </c>
      <c r="I134" s="29">
        <f t="shared" si="33"/>
        <v>0</v>
      </c>
      <c r="J134" s="29">
        <f t="shared" si="34"/>
        <v>0</v>
      </c>
      <c r="K134" s="32" t="str" cm="1">
        <f t="array" ref="K134">IF(AF134&lt;&gt;"",IFERROR(INDEX('Group List A'!B:B,MATCH(AI134,'Group List A'!A:A,0),0),"-"),"")</f>
        <v/>
      </c>
      <c r="L134" s="33">
        <f t="shared" si="35"/>
        <v>0</v>
      </c>
      <c r="M134" s="33">
        <f t="shared" si="36"/>
        <v>0</v>
      </c>
      <c r="N134" s="33">
        <f t="shared" si="37"/>
        <v>0</v>
      </c>
      <c r="O134" s="28"/>
      <c r="P134" s="33">
        <f t="shared" si="38"/>
        <v>0</v>
      </c>
      <c r="Q134" s="35" t="str" cm="1">
        <f t="array" ref="Q134">IF(AF134&lt;&gt;"",IFERROR(INDEX('Group List B'!B:B,MATCH(AI134,'Group List B'!A:A,0),0),"-"),"")</f>
        <v/>
      </c>
      <c r="R134" s="36">
        <f t="shared" si="39"/>
        <v>0</v>
      </c>
      <c r="S134" s="36">
        <f t="shared" si="40"/>
        <v>0</v>
      </c>
      <c r="T134" s="36">
        <f t="shared" si="41"/>
        <v>0</v>
      </c>
      <c r="U134" s="28"/>
      <c r="V134" s="37">
        <f t="shared" si="42"/>
        <v>0</v>
      </c>
      <c r="W134" s="41"/>
      <c r="X134" s="27"/>
      <c r="Y134" s="27"/>
      <c r="Z134" s="27"/>
      <c r="AA134" s="15"/>
      <c r="AB134" s="17"/>
      <c r="AC134" s="17"/>
      <c r="AD134" s="17"/>
      <c r="AE134" s="90"/>
      <c r="AF134" s="82" t="str">
        <f t="shared" si="43"/>
        <v/>
      </c>
      <c r="AG134" s="83" t="str">
        <f t="shared" si="44"/>
        <v/>
      </c>
      <c r="AH134" s="82" t="str">
        <f t="shared" si="45"/>
        <v/>
      </c>
      <c r="AI134" s="82" t="str">
        <f t="shared" si="46"/>
        <v/>
      </c>
      <c r="AJ134" s="90"/>
      <c r="AP134" s="88"/>
    </row>
    <row r="135" spans="1:42" x14ac:dyDescent="0.25">
      <c r="A135" s="2"/>
      <c r="C135" s="68" t="str" cm="1">
        <f t="array" ref="C135">IF(AF135&lt;&gt;"",
IFERROR(INDEX('LaunchPad Markbook'!A:A,MATCH(AH135,'LaunchPad Markbook'!D:D,0),0),"-"),"")</f>
        <v/>
      </c>
      <c r="D135" s="27"/>
      <c r="E135" s="27"/>
      <c r="F135" s="27"/>
      <c r="G135" s="14">
        <f>IF(OR(H135&gt;AB$2,I135&gt;AC$2,J135&gt;AD$2,
P135&gt;1,V135&gt;1,
L135&gt;'Group List A'!E$2,M135&gt;'Group List A'!F$2,N135&gt;'Group List A'!G$2,
R135&gt;'Group List B'!E$2,S135&gt;'Group List B'!F$2,T135&gt;'Group List B'!G$2),"Exceed",
IF(OR(H135=AB$2,I135=AC$2,J135=AD$2,
P135=1,V135=1,
L135='Group List A'!E$2,M135='Group List A'!F$2,N135='Group List A'!G$2,
R135='Group List B'!E$2,S135='Group List B'!F$2,T135='Group List B'!G$2),"Limit",0))</f>
        <v>0</v>
      </c>
      <c r="H135" s="29">
        <f t="shared" si="32"/>
        <v>0</v>
      </c>
      <c r="I135" s="29">
        <f t="shared" si="33"/>
        <v>0</v>
      </c>
      <c r="J135" s="29">
        <f t="shared" si="34"/>
        <v>0</v>
      </c>
      <c r="K135" s="32" t="str" cm="1">
        <f t="array" ref="K135">IF(AF135&lt;&gt;"",IFERROR(INDEX('Group List A'!B:B,MATCH(AI135,'Group List A'!A:A,0),0),"-"),"")</f>
        <v/>
      </c>
      <c r="L135" s="33">
        <f t="shared" si="35"/>
        <v>0</v>
      </c>
      <c r="M135" s="33">
        <f t="shared" si="36"/>
        <v>0</v>
      </c>
      <c r="N135" s="33">
        <f t="shared" si="37"/>
        <v>0</v>
      </c>
      <c r="O135" s="28"/>
      <c r="P135" s="33">
        <f t="shared" si="38"/>
        <v>0</v>
      </c>
      <c r="Q135" s="35" t="str" cm="1">
        <f t="array" ref="Q135">IF(AF135&lt;&gt;"",IFERROR(INDEX('Group List B'!B:B,MATCH(AI135,'Group List B'!A:A,0),0),"-"),"")</f>
        <v/>
      </c>
      <c r="R135" s="36">
        <f t="shared" si="39"/>
        <v>0</v>
      </c>
      <c r="S135" s="36">
        <f t="shared" si="40"/>
        <v>0</v>
      </c>
      <c r="T135" s="36">
        <f t="shared" si="41"/>
        <v>0</v>
      </c>
      <c r="U135" s="28"/>
      <c r="V135" s="37">
        <f t="shared" si="42"/>
        <v>0</v>
      </c>
      <c r="W135" s="41"/>
      <c r="X135" s="27"/>
      <c r="Y135" s="27"/>
      <c r="Z135" s="27"/>
      <c r="AA135" s="15"/>
      <c r="AB135" s="17"/>
      <c r="AC135" s="17"/>
      <c r="AD135" s="17"/>
      <c r="AE135" s="90"/>
      <c r="AF135" s="82" t="str">
        <f t="shared" si="43"/>
        <v/>
      </c>
      <c r="AG135" s="83" t="str">
        <f t="shared" si="44"/>
        <v/>
      </c>
      <c r="AH135" s="82" t="str">
        <f t="shared" si="45"/>
        <v/>
      </c>
      <c r="AI135" s="82" t="str">
        <f t="shared" si="46"/>
        <v/>
      </c>
      <c r="AJ135" s="90"/>
      <c r="AP135" s="88"/>
    </row>
    <row r="136" spans="1:42" x14ac:dyDescent="0.25">
      <c r="A136" s="2"/>
      <c r="C136" s="68" t="str" cm="1">
        <f t="array" ref="C136">IF(AF136&lt;&gt;"",
IFERROR(INDEX('LaunchPad Markbook'!A:A,MATCH(AH136,'LaunchPad Markbook'!D:D,0),0),"-"),"")</f>
        <v/>
      </c>
      <c r="D136" s="27"/>
      <c r="E136" s="27"/>
      <c r="F136" s="27"/>
      <c r="G136" s="14">
        <f>IF(OR(H136&gt;AB$2,I136&gt;AC$2,J136&gt;AD$2,
P136&gt;1,V136&gt;1,
L136&gt;'Group List A'!E$2,M136&gt;'Group List A'!F$2,N136&gt;'Group List A'!G$2,
R136&gt;'Group List B'!E$2,S136&gt;'Group List B'!F$2,T136&gt;'Group List B'!G$2),"Exceed",
IF(OR(H136=AB$2,I136=AC$2,J136=AD$2,
P136=1,V136=1,
L136='Group List A'!E$2,M136='Group List A'!F$2,N136='Group List A'!G$2,
R136='Group List B'!E$2,S136='Group List B'!F$2,T136='Group List B'!G$2),"Limit",0))</f>
        <v>0</v>
      </c>
      <c r="H136" s="29">
        <f t="shared" si="32"/>
        <v>0</v>
      </c>
      <c r="I136" s="29">
        <f t="shared" si="33"/>
        <v>0</v>
      </c>
      <c r="J136" s="29">
        <f t="shared" si="34"/>
        <v>0</v>
      </c>
      <c r="K136" s="32" t="str" cm="1">
        <f t="array" ref="K136">IF(AF136&lt;&gt;"",IFERROR(INDEX('Group List A'!B:B,MATCH(AI136,'Group List A'!A:A,0),0),"-"),"")</f>
        <v/>
      </c>
      <c r="L136" s="33">
        <f t="shared" si="35"/>
        <v>0</v>
      </c>
      <c r="M136" s="33">
        <f t="shared" si="36"/>
        <v>0</v>
      </c>
      <c r="N136" s="33">
        <f t="shared" si="37"/>
        <v>0</v>
      </c>
      <c r="O136" s="28"/>
      <c r="P136" s="33">
        <f t="shared" si="38"/>
        <v>0</v>
      </c>
      <c r="Q136" s="35" t="str" cm="1">
        <f t="array" ref="Q136">IF(AF136&lt;&gt;"",IFERROR(INDEX('Group List B'!B:B,MATCH(AI136,'Group List B'!A:A,0),0),"-"),"")</f>
        <v/>
      </c>
      <c r="R136" s="36">
        <f t="shared" si="39"/>
        <v>0</v>
      </c>
      <c r="S136" s="36">
        <f t="shared" si="40"/>
        <v>0</v>
      </c>
      <c r="T136" s="36">
        <f t="shared" si="41"/>
        <v>0</v>
      </c>
      <c r="U136" s="28"/>
      <c r="V136" s="37">
        <f t="shared" si="42"/>
        <v>0</v>
      </c>
      <c r="W136" s="41"/>
      <c r="X136" s="27"/>
      <c r="Y136" s="27"/>
      <c r="Z136" s="27"/>
      <c r="AA136" s="15"/>
      <c r="AB136" s="17"/>
      <c r="AC136" s="17"/>
      <c r="AD136" s="17"/>
      <c r="AE136" s="90"/>
      <c r="AF136" s="82" t="str">
        <f t="shared" si="43"/>
        <v/>
      </c>
      <c r="AG136" s="83" t="str">
        <f t="shared" si="44"/>
        <v/>
      </c>
      <c r="AH136" s="82" t="str">
        <f t="shared" si="45"/>
        <v/>
      </c>
      <c r="AI136" s="82" t="str">
        <f t="shared" si="46"/>
        <v/>
      </c>
      <c r="AJ136" s="90"/>
      <c r="AP136" s="88"/>
    </row>
    <row r="137" spans="1:42" x14ac:dyDescent="0.25">
      <c r="A137" s="2"/>
      <c r="C137" s="68" t="str" cm="1">
        <f t="array" ref="C137">IF(AF137&lt;&gt;"",
IFERROR(INDEX('LaunchPad Markbook'!A:A,MATCH(AH137,'LaunchPad Markbook'!D:D,0),0),"-"),"")</f>
        <v/>
      </c>
      <c r="D137" s="27"/>
      <c r="E137" s="27"/>
      <c r="F137" s="27"/>
      <c r="G137" s="14">
        <f>IF(OR(H137&gt;AB$2,I137&gt;AC$2,J137&gt;AD$2,
P137&gt;1,V137&gt;1,
L137&gt;'Group List A'!E$2,M137&gt;'Group List A'!F$2,N137&gt;'Group List A'!G$2,
R137&gt;'Group List B'!E$2,S137&gt;'Group List B'!F$2,T137&gt;'Group List B'!G$2),"Exceed",
IF(OR(H137=AB$2,I137=AC$2,J137=AD$2,
P137=1,V137=1,
L137='Group List A'!E$2,M137='Group List A'!F$2,N137='Group List A'!G$2,
R137='Group List B'!E$2,S137='Group List B'!F$2,T137='Group List B'!G$2),"Limit",0))</f>
        <v>0</v>
      </c>
      <c r="H137" s="29">
        <f t="shared" si="32"/>
        <v>0</v>
      </c>
      <c r="I137" s="29">
        <f t="shared" si="33"/>
        <v>0</v>
      </c>
      <c r="J137" s="29">
        <f t="shared" si="34"/>
        <v>0</v>
      </c>
      <c r="K137" s="32" t="str" cm="1">
        <f t="array" ref="K137">IF(AF137&lt;&gt;"",IFERROR(INDEX('Group List A'!B:B,MATCH(AI137,'Group List A'!A:A,0),0),"-"),"")</f>
        <v/>
      </c>
      <c r="L137" s="33">
        <f t="shared" si="35"/>
        <v>0</v>
      </c>
      <c r="M137" s="33">
        <f t="shared" si="36"/>
        <v>0</v>
      </c>
      <c r="N137" s="33">
        <f t="shared" si="37"/>
        <v>0</v>
      </c>
      <c r="O137" s="28"/>
      <c r="P137" s="33">
        <f t="shared" si="38"/>
        <v>0</v>
      </c>
      <c r="Q137" s="35" t="str" cm="1">
        <f t="array" ref="Q137">IF(AF137&lt;&gt;"",IFERROR(INDEX('Group List B'!B:B,MATCH(AI137,'Group List B'!A:A,0),0),"-"),"")</f>
        <v/>
      </c>
      <c r="R137" s="36">
        <f t="shared" si="39"/>
        <v>0</v>
      </c>
      <c r="S137" s="36">
        <f t="shared" si="40"/>
        <v>0</v>
      </c>
      <c r="T137" s="36">
        <f t="shared" si="41"/>
        <v>0</v>
      </c>
      <c r="U137" s="28"/>
      <c r="V137" s="37">
        <f t="shared" si="42"/>
        <v>0</v>
      </c>
      <c r="W137" s="41"/>
      <c r="X137" s="27"/>
      <c r="Y137" s="27"/>
      <c r="Z137" s="27"/>
      <c r="AA137" s="15"/>
      <c r="AB137" s="17"/>
      <c r="AC137" s="17"/>
      <c r="AD137" s="17"/>
      <c r="AE137" s="90"/>
      <c r="AF137" s="82" t="str">
        <f t="shared" si="43"/>
        <v/>
      </c>
      <c r="AG137" s="83" t="str">
        <f t="shared" si="44"/>
        <v/>
      </c>
      <c r="AH137" s="82" t="str">
        <f t="shared" si="45"/>
        <v/>
      </c>
      <c r="AI137" s="82" t="str">
        <f t="shared" si="46"/>
        <v/>
      </c>
      <c r="AJ137" s="90"/>
      <c r="AP137" s="88"/>
    </row>
    <row r="138" spans="1:42" x14ac:dyDescent="0.25">
      <c r="A138" s="2"/>
      <c r="C138" s="68" t="str" cm="1">
        <f t="array" ref="C138">IF(AF138&lt;&gt;"",
IFERROR(INDEX('LaunchPad Markbook'!A:A,MATCH(AH138,'LaunchPad Markbook'!D:D,0),0),"-"),"")</f>
        <v/>
      </c>
      <c r="D138" s="27"/>
      <c r="E138" s="27"/>
      <c r="F138" s="27"/>
      <c r="G138" s="14">
        <f>IF(OR(H138&gt;AB$2,I138&gt;AC$2,J138&gt;AD$2,
P138&gt;1,V138&gt;1,
L138&gt;'Group List A'!E$2,M138&gt;'Group List A'!F$2,N138&gt;'Group List A'!G$2,
R138&gt;'Group List B'!E$2,S138&gt;'Group List B'!F$2,T138&gt;'Group List B'!G$2),"Exceed",
IF(OR(H138=AB$2,I138=AC$2,J138=AD$2,
P138=1,V138=1,
L138='Group List A'!E$2,M138='Group List A'!F$2,N138='Group List A'!G$2,
R138='Group List B'!E$2,S138='Group List B'!F$2,T138='Group List B'!G$2),"Limit",0))</f>
        <v>0</v>
      </c>
      <c r="H138" s="29">
        <f t="shared" si="32"/>
        <v>0</v>
      </c>
      <c r="I138" s="29">
        <f t="shared" si="33"/>
        <v>0</v>
      </c>
      <c r="J138" s="29">
        <f t="shared" si="34"/>
        <v>0</v>
      </c>
      <c r="K138" s="32" t="str" cm="1">
        <f t="array" ref="K138">IF(AF138&lt;&gt;"",IFERROR(INDEX('Group List A'!B:B,MATCH(AI138,'Group List A'!A:A,0),0),"-"),"")</f>
        <v/>
      </c>
      <c r="L138" s="33">
        <f t="shared" si="35"/>
        <v>0</v>
      </c>
      <c r="M138" s="33">
        <f t="shared" si="36"/>
        <v>0</v>
      </c>
      <c r="N138" s="33">
        <f t="shared" si="37"/>
        <v>0</v>
      </c>
      <c r="O138" s="28"/>
      <c r="P138" s="33">
        <f t="shared" si="38"/>
        <v>0</v>
      </c>
      <c r="Q138" s="35" t="str" cm="1">
        <f t="array" ref="Q138">IF(AF138&lt;&gt;"",IFERROR(INDEX('Group List B'!B:B,MATCH(AI138,'Group List B'!A:A,0),0),"-"),"")</f>
        <v/>
      </c>
      <c r="R138" s="36">
        <f t="shared" si="39"/>
        <v>0</v>
      </c>
      <c r="S138" s="36">
        <f t="shared" si="40"/>
        <v>0</v>
      </c>
      <c r="T138" s="36">
        <f t="shared" si="41"/>
        <v>0</v>
      </c>
      <c r="U138" s="28"/>
      <c r="V138" s="37">
        <f t="shared" si="42"/>
        <v>0</v>
      </c>
      <c r="W138" s="41"/>
      <c r="X138" s="27"/>
      <c r="Y138" s="27"/>
      <c r="Z138" s="27"/>
      <c r="AA138" s="15"/>
      <c r="AB138" s="17"/>
      <c r="AC138" s="17"/>
      <c r="AD138" s="17"/>
      <c r="AE138" s="90"/>
      <c r="AF138" s="82" t="str">
        <f t="shared" si="43"/>
        <v/>
      </c>
      <c r="AG138" s="83" t="str">
        <f t="shared" si="44"/>
        <v/>
      </c>
      <c r="AH138" s="82" t="str">
        <f t="shared" si="45"/>
        <v/>
      </c>
      <c r="AI138" s="82" t="str">
        <f t="shared" si="46"/>
        <v/>
      </c>
      <c r="AJ138" s="90"/>
      <c r="AP138" s="88"/>
    </row>
    <row r="139" spans="1:42" x14ac:dyDescent="0.25">
      <c r="A139" s="2"/>
      <c r="C139" s="68" t="str" cm="1">
        <f t="array" ref="C139">IF(AF139&lt;&gt;"",
IFERROR(INDEX('LaunchPad Markbook'!A:A,MATCH(AH139,'LaunchPad Markbook'!D:D,0),0),"-"),"")</f>
        <v/>
      </c>
      <c r="D139" s="27"/>
      <c r="E139" s="27"/>
      <c r="F139" s="27"/>
      <c r="G139" s="14">
        <f>IF(OR(H139&gt;AB$2,I139&gt;AC$2,J139&gt;AD$2,
P139&gt;1,V139&gt;1,
L139&gt;'Group List A'!E$2,M139&gt;'Group List A'!F$2,N139&gt;'Group List A'!G$2,
R139&gt;'Group List B'!E$2,S139&gt;'Group List B'!F$2,T139&gt;'Group List B'!G$2),"Exceed",
IF(OR(H139=AB$2,I139=AC$2,J139=AD$2,
P139=1,V139=1,
L139='Group List A'!E$2,M139='Group List A'!F$2,N139='Group List A'!G$2,
R139='Group List B'!E$2,S139='Group List B'!F$2,T139='Group List B'!G$2),"Limit",0))</f>
        <v>0</v>
      </c>
      <c r="H139" s="29">
        <f t="shared" si="32"/>
        <v>0</v>
      </c>
      <c r="I139" s="29">
        <f t="shared" si="33"/>
        <v>0</v>
      </c>
      <c r="J139" s="29">
        <f t="shared" si="34"/>
        <v>0</v>
      </c>
      <c r="K139" s="32" t="str" cm="1">
        <f t="array" ref="K139">IF(AF139&lt;&gt;"",IFERROR(INDEX('Group List A'!B:B,MATCH(AI139,'Group List A'!A:A,0),0),"-"),"")</f>
        <v/>
      </c>
      <c r="L139" s="33">
        <f t="shared" si="35"/>
        <v>0</v>
      </c>
      <c r="M139" s="33">
        <f t="shared" si="36"/>
        <v>0</v>
      </c>
      <c r="N139" s="33">
        <f t="shared" si="37"/>
        <v>0</v>
      </c>
      <c r="O139" s="28"/>
      <c r="P139" s="33">
        <f t="shared" si="38"/>
        <v>0</v>
      </c>
      <c r="Q139" s="35" t="str" cm="1">
        <f t="array" ref="Q139">IF(AF139&lt;&gt;"",IFERROR(INDEX('Group List B'!B:B,MATCH(AI139,'Group List B'!A:A,0),0),"-"),"")</f>
        <v/>
      </c>
      <c r="R139" s="36">
        <f t="shared" si="39"/>
        <v>0</v>
      </c>
      <c r="S139" s="36">
        <f t="shared" si="40"/>
        <v>0</v>
      </c>
      <c r="T139" s="36">
        <f t="shared" si="41"/>
        <v>0</v>
      </c>
      <c r="U139" s="28"/>
      <c r="V139" s="37">
        <f t="shared" si="42"/>
        <v>0</v>
      </c>
      <c r="W139" s="41"/>
      <c r="X139" s="27"/>
      <c r="Y139" s="27"/>
      <c r="Z139" s="27"/>
      <c r="AA139" s="15"/>
      <c r="AB139" s="17"/>
      <c r="AC139" s="17"/>
      <c r="AD139" s="17"/>
      <c r="AE139" s="90"/>
      <c r="AF139" s="82" t="str">
        <f t="shared" si="43"/>
        <v/>
      </c>
      <c r="AG139" s="83" t="str">
        <f t="shared" si="44"/>
        <v/>
      </c>
      <c r="AH139" s="82" t="str">
        <f t="shared" si="45"/>
        <v/>
      </c>
      <c r="AI139" s="82" t="str">
        <f t="shared" si="46"/>
        <v/>
      </c>
      <c r="AJ139" s="90"/>
      <c r="AP139" s="88"/>
    </row>
    <row r="140" spans="1:42" x14ac:dyDescent="0.25">
      <c r="A140" s="2"/>
      <c r="C140" s="68" t="str" cm="1">
        <f t="array" ref="C140">IF(AF140&lt;&gt;"",
IFERROR(INDEX('LaunchPad Markbook'!A:A,MATCH(AH140,'LaunchPad Markbook'!D:D,0),0),"-"),"")</f>
        <v/>
      </c>
      <c r="D140" s="27"/>
      <c r="E140" s="27"/>
      <c r="F140" s="27"/>
      <c r="G140" s="14">
        <f>IF(OR(H140&gt;AB$2,I140&gt;AC$2,J140&gt;AD$2,
P140&gt;1,V140&gt;1,
L140&gt;'Group List A'!E$2,M140&gt;'Group List A'!F$2,N140&gt;'Group List A'!G$2,
R140&gt;'Group List B'!E$2,S140&gt;'Group List B'!F$2,T140&gt;'Group List B'!G$2),"Exceed",
IF(OR(H140=AB$2,I140=AC$2,J140=AD$2,
P140=1,V140=1,
L140='Group List A'!E$2,M140='Group List A'!F$2,N140='Group List A'!G$2,
R140='Group List B'!E$2,S140='Group List B'!F$2,T140='Group List B'!G$2),"Limit",0))</f>
        <v>0</v>
      </c>
      <c r="H140" s="29">
        <f t="shared" si="32"/>
        <v>0</v>
      </c>
      <c r="I140" s="29">
        <f t="shared" si="33"/>
        <v>0</v>
      </c>
      <c r="J140" s="29">
        <f t="shared" si="34"/>
        <v>0</v>
      </c>
      <c r="K140" s="32" t="str" cm="1">
        <f t="array" ref="K140">IF(AF140&lt;&gt;"",IFERROR(INDEX('Group List A'!B:B,MATCH(AI140,'Group List A'!A:A,0),0),"-"),"")</f>
        <v/>
      </c>
      <c r="L140" s="33">
        <f t="shared" si="35"/>
        <v>0</v>
      </c>
      <c r="M140" s="33">
        <f t="shared" si="36"/>
        <v>0</v>
      </c>
      <c r="N140" s="33">
        <f t="shared" si="37"/>
        <v>0</v>
      </c>
      <c r="O140" s="28"/>
      <c r="P140" s="33">
        <f t="shared" si="38"/>
        <v>0</v>
      </c>
      <c r="Q140" s="35" t="str" cm="1">
        <f t="array" ref="Q140">IF(AF140&lt;&gt;"",IFERROR(INDEX('Group List B'!B:B,MATCH(AI140,'Group List B'!A:A,0),0),"-"),"")</f>
        <v/>
      </c>
      <c r="R140" s="36">
        <f t="shared" si="39"/>
        <v>0</v>
      </c>
      <c r="S140" s="36">
        <f t="shared" si="40"/>
        <v>0</v>
      </c>
      <c r="T140" s="36">
        <f t="shared" si="41"/>
        <v>0</v>
      </c>
      <c r="U140" s="28"/>
      <c r="V140" s="37">
        <f t="shared" si="42"/>
        <v>0</v>
      </c>
      <c r="W140" s="41"/>
      <c r="X140" s="27"/>
      <c r="Y140" s="27"/>
      <c r="Z140" s="27"/>
      <c r="AA140" s="15"/>
      <c r="AB140" s="17"/>
      <c r="AC140" s="17"/>
      <c r="AD140" s="17"/>
      <c r="AE140" s="90"/>
      <c r="AF140" s="82" t="str">
        <f t="shared" si="43"/>
        <v/>
      </c>
      <c r="AG140" s="83" t="str">
        <f t="shared" si="44"/>
        <v/>
      </c>
      <c r="AH140" s="82" t="str">
        <f t="shared" si="45"/>
        <v/>
      </c>
      <c r="AI140" s="82" t="str">
        <f t="shared" si="46"/>
        <v/>
      </c>
      <c r="AJ140" s="90"/>
      <c r="AP140" s="88"/>
    </row>
    <row r="141" spans="1:42" x14ac:dyDescent="0.25">
      <c r="A141" s="2"/>
      <c r="C141" s="68" t="str" cm="1">
        <f t="array" ref="C141">IF(AF141&lt;&gt;"",
IFERROR(INDEX('LaunchPad Markbook'!A:A,MATCH(AH141,'LaunchPad Markbook'!D:D,0),0),"-"),"")</f>
        <v/>
      </c>
      <c r="D141" s="27"/>
      <c r="E141" s="27"/>
      <c r="F141" s="27"/>
      <c r="G141" s="14">
        <f>IF(OR(H141&gt;AB$2,I141&gt;AC$2,J141&gt;AD$2,
P141&gt;1,V141&gt;1,
L141&gt;'Group List A'!E$2,M141&gt;'Group List A'!F$2,N141&gt;'Group List A'!G$2,
R141&gt;'Group List B'!E$2,S141&gt;'Group List B'!F$2,T141&gt;'Group List B'!G$2),"Exceed",
IF(OR(H141=AB$2,I141=AC$2,J141=AD$2,
P141=1,V141=1,
L141='Group List A'!E$2,M141='Group List A'!F$2,N141='Group List A'!G$2,
R141='Group List B'!E$2,S141='Group List B'!F$2,T141='Group List B'!G$2),"Limit",0))</f>
        <v>0</v>
      </c>
      <c r="H141" s="29">
        <f t="shared" si="32"/>
        <v>0</v>
      </c>
      <c r="I141" s="29">
        <f t="shared" si="33"/>
        <v>0</v>
      </c>
      <c r="J141" s="29">
        <f t="shared" si="34"/>
        <v>0</v>
      </c>
      <c r="K141" s="32" t="str" cm="1">
        <f t="array" ref="K141">IF(AF141&lt;&gt;"",IFERROR(INDEX('Group List A'!B:B,MATCH(AI141,'Group List A'!A:A,0),0),"-"),"")</f>
        <v/>
      </c>
      <c r="L141" s="33">
        <f t="shared" si="35"/>
        <v>0</v>
      </c>
      <c r="M141" s="33">
        <f t="shared" si="36"/>
        <v>0</v>
      </c>
      <c r="N141" s="33">
        <f t="shared" si="37"/>
        <v>0</v>
      </c>
      <c r="O141" s="28"/>
      <c r="P141" s="33">
        <f t="shared" si="38"/>
        <v>0</v>
      </c>
      <c r="Q141" s="35" t="str" cm="1">
        <f t="array" ref="Q141">IF(AF141&lt;&gt;"",IFERROR(INDEX('Group List B'!B:B,MATCH(AI141,'Group List B'!A:A,0),0),"-"),"")</f>
        <v/>
      </c>
      <c r="R141" s="36">
        <f t="shared" si="39"/>
        <v>0</v>
      </c>
      <c r="S141" s="36">
        <f t="shared" si="40"/>
        <v>0</v>
      </c>
      <c r="T141" s="36">
        <f t="shared" si="41"/>
        <v>0</v>
      </c>
      <c r="U141" s="28"/>
      <c r="V141" s="37">
        <f t="shared" si="42"/>
        <v>0</v>
      </c>
      <c r="W141" s="41"/>
      <c r="X141" s="27"/>
      <c r="Y141" s="27"/>
      <c r="Z141" s="27"/>
      <c r="AA141" s="15"/>
      <c r="AB141" s="17"/>
      <c r="AC141" s="17"/>
      <c r="AD141" s="17"/>
      <c r="AE141" s="90"/>
      <c r="AF141" s="82" t="str">
        <f t="shared" si="43"/>
        <v/>
      </c>
      <c r="AG141" s="83" t="str">
        <f t="shared" si="44"/>
        <v/>
      </c>
      <c r="AH141" s="82" t="str">
        <f t="shared" si="45"/>
        <v/>
      </c>
      <c r="AI141" s="82" t="str">
        <f t="shared" si="46"/>
        <v/>
      </c>
      <c r="AJ141" s="90"/>
      <c r="AP141" s="88"/>
    </row>
    <row r="142" spans="1:42" x14ac:dyDescent="0.25">
      <c r="A142" s="2"/>
      <c r="C142" s="68" t="str" cm="1">
        <f t="array" ref="C142">IF(AF142&lt;&gt;"",
IFERROR(INDEX('LaunchPad Markbook'!A:A,MATCH(AH142,'LaunchPad Markbook'!D:D,0),0),"-"),"")</f>
        <v/>
      </c>
      <c r="D142" s="27"/>
      <c r="E142" s="27"/>
      <c r="F142" s="27"/>
      <c r="G142" s="14">
        <f>IF(OR(H142&gt;AB$2,I142&gt;AC$2,J142&gt;AD$2,
P142&gt;1,V142&gt;1,
L142&gt;'Group List A'!E$2,M142&gt;'Group List A'!F$2,N142&gt;'Group List A'!G$2,
R142&gt;'Group List B'!E$2,S142&gt;'Group List B'!F$2,T142&gt;'Group List B'!G$2),"Exceed",
IF(OR(H142=AB$2,I142=AC$2,J142=AD$2,
P142=1,V142=1,
L142='Group List A'!E$2,M142='Group List A'!F$2,N142='Group List A'!G$2,
R142='Group List B'!E$2,S142='Group List B'!F$2,T142='Group List B'!G$2),"Limit",0))</f>
        <v>0</v>
      </c>
      <c r="H142" s="29">
        <f t="shared" si="32"/>
        <v>0</v>
      </c>
      <c r="I142" s="29">
        <f t="shared" si="33"/>
        <v>0</v>
      </c>
      <c r="J142" s="29">
        <f t="shared" si="34"/>
        <v>0</v>
      </c>
      <c r="K142" s="32" t="str" cm="1">
        <f t="array" ref="K142">IF(AF142&lt;&gt;"",IFERROR(INDEX('Group List A'!B:B,MATCH(AI142,'Group List A'!A:A,0),0),"-"),"")</f>
        <v/>
      </c>
      <c r="L142" s="33">
        <f t="shared" si="35"/>
        <v>0</v>
      </c>
      <c r="M142" s="33">
        <f t="shared" si="36"/>
        <v>0</v>
      </c>
      <c r="N142" s="33">
        <f t="shared" si="37"/>
        <v>0</v>
      </c>
      <c r="O142" s="28"/>
      <c r="P142" s="33">
        <f t="shared" si="38"/>
        <v>0</v>
      </c>
      <c r="Q142" s="35" t="str" cm="1">
        <f t="array" ref="Q142">IF(AF142&lt;&gt;"",IFERROR(INDEX('Group List B'!B:B,MATCH(AI142,'Group List B'!A:A,0),0),"-"),"")</f>
        <v/>
      </c>
      <c r="R142" s="36">
        <f t="shared" si="39"/>
        <v>0</v>
      </c>
      <c r="S142" s="36">
        <f t="shared" si="40"/>
        <v>0</v>
      </c>
      <c r="T142" s="36">
        <f t="shared" si="41"/>
        <v>0</v>
      </c>
      <c r="U142" s="28"/>
      <c r="V142" s="37">
        <f t="shared" si="42"/>
        <v>0</v>
      </c>
      <c r="W142" s="41"/>
      <c r="X142" s="27"/>
      <c r="Y142" s="27"/>
      <c r="Z142" s="27"/>
      <c r="AA142" s="15"/>
      <c r="AB142" s="17"/>
      <c r="AC142" s="17"/>
      <c r="AD142" s="17"/>
      <c r="AE142" s="90"/>
      <c r="AF142" s="82" t="str">
        <f t="shared" si="43"/>
        <v/>
      </c>
      <c r="AG142" s="83" t="str">
        <f t="shared" si="44"/>
        <v/>
      </c>
      <c r="AH142" s="82" t="str">
        <f t="shared" si="45"/>
        <v/>
      </c>
      <c r="AI142" s="82" t="str">
        <f t="shared" si="46"/>
        <v/>
      </c>
      <c r="AJ142" s="90"/>
      <c r="AP142" s="88"/>
    </row>
    <row r="143" spans="1:42" x14ac:dyDescent="0.25">
      <c r="A143" s="2"/>
      <c r="C143" s="68" t="str" cm="1">
        <f t="array" ref="C143">IF(AF143&lt;&gt;"",
IFERROR(INDEX('LaunchPad Markbook'!A:A,MATCH(AH143,'LaunchPad Markbook'!D:D,0),0),"-"),"")</f>
        <v/>
      </c>
      <c r="D143" s="27"/>
      <c r="E143" s="27"/>
      <c r="F143" s="27"/>
      <c r="G143" s="14">
        <f>IF(OR(H143&gt;AB$2,I143&gt;AC$2,J143&gt;AD$2,
P143&gt;1,V143&gt;1,
L143&gt;'Group List A'!E$2,M143&gt;'Group List A'!F$2,N143&gt;'Group List A'!G$2,
R143&gt;'Group List B'!E$2,S143&gt;'Group List B'!F$2,T143&gt;'Group List B'!G$2),"Exceed",
IF(OR(H143=AB$2,I143=AC$2,J143=AD$2,
P143=1,V143=1,
L143='Group List A'!E$2,M143='Group List A'!F$2,N143='Group List A'!G$2,
R143='Group List B'!E$2,S143='Group List B'!F$2,T143='Group List B'!G$2),"Limit",0))</f>
        <v>0</v>
      </c>
      <c r="H143" s="29">
        <f t="shared" si="32"/>
        <v>0</v>
      </c>
      <c r="I143" s="29">
        <f t="shared" si="33"/>
        <v>0</v>
      </c>
      <c r="J143" s="29">
        <f t="shared" si="34"/>
        <v>0</v>
      </c>
      <c r="K143" s="32" t="str" cm="1">
        <f t="array" ref="K143">IF(AF143&lt;&gt;"",IFERROR(INDEX('Group List A'!B:B,MATCH(AI143,'Group List A'!A:A,0),0),"-"),"")</f>
        <v/>
      </c>
      <c r="L143" s="33">
        <f t="shared" si="35"/>
        <v>0</v>
      </c>
      <c r="M143" s="33">
        <f t="shared" si="36"/>
        <v>0</v>
      </c>
      <c r="N143" s="33">
        <f t="shared" si="37"/>
        <v>0</v>
      </c>
      <c r="O143" s="28"/>
      <c r="P143" s="33">
        <f t="shared" si="38"/>
        <v>0</v>
      </c>
      <c r="Q143" s="35" t="str" cm="1">
        <f t="array" ref="Q143">IF(AF143&lt;&gt;"",IFERROR(INDEX('Group List B'!B:B,MATCH(AI143,'Group List B'!A:A,0),0),"-"),"")</f>
        <v/>
      </c>
      <c r="R143" s="36">
        <f t="shared" si="39"/>
        <v>0</v>
      </c>
      <c r="S143" s="36">
        <f t="shared" si="40"/>
        <v>0</v>
      </c>
      <c r="T143" s="36">
        <f t="shared" si="41"/>
        <v>0</v>
      </c>
      <c r="U143" s="28"/>
      <c r="V143" s="37">
        <f t="shared" si="42"/>
        <v>0</v>
      </c>
      <c r="W143" s="41"/>
      <c r="X143" s="27"/>
      <c r="Y143" s="27"/>
      <c r="Z143" s="27"/>
      <c r="AA143" s="15"/>
      <c r="AB143" s="17"/>
      <c r="AC143" s="17"/>
      <c r="AD143" s="17"/>
      <c r="AE143" s="90"/>
      <c r="AF143" s="82" t="str">
        <f t="shared" si="43"/>
        <v/>
      </c>
      <c r="AG143" s="83" t="str">
        <f t="shared" si="44"/>
        <v/>
      </c>
      <c r="AH143" s="82" t="str">
        <f t="shared" si="45"/>
        <v/>
      </c>
      <c r="AI143" s="82" t="str">
        <f t="shared" si="46"/>
        <v/>
      </c>
      <c r="AJ143" s="90"/>
      <c r="AP143" s="88"/>
    </row>
    <row r="144" spans="1:42" x14ac:dyDescent="0.25">
      <c r="A144" s="2"/>
      <c r="C144" s="68" t="str" cm="1">
        <f t="array" ref="C144">IF(AF144&lt;&gt;"",
IFERROR(INDEX('LaunchPad Markbook'!A:A,MATCH(AH144,'LaunchPad Markbook'!D:D,0),0),"-"),"")</f>
        <v/>
      </c>
      <c r="D144" s="27"/>
      <c r="E144" s="27"/>
      <c r="F144" s="27"/>
      <c r="G144" s="14">
        <f>IF(OR(H144&gt;AB$2,I144&gt;AC$2,J144&gt;AD$2,
P144&gt;1,V144&gt;1,
L144&gt;'Group List A'!E$2,M144&gt;'Group List A'!F$2,N144&gt;'Group List A'!G$2,
R144&gt;'Group List B'!E$2,S144&gt;'Group List B'!F$2,T144&gt;'Group List B'!G$2),"Exceed",
IF(OR(H144=AB$2,I144=AC$2,J144=AD$2,
P144=1,V144=1,
L144='Group List A'!E$2,M144='Group List A'!F$2,N144='Group List A'!G$2,
R144='Group List B'!E$2,S144='Group List B'!F$2,T144='Group List B'!G$2),"Limit",0))</f>
        <v>0</v>
      </c>
      <c r="H144" s="29">
        <f t="shared" si="32"/>
        <v>0</v>
      </c>
      <c r="I144" s="29">
        <f t="shared" si="33"/>
        <v>0</v>
      </c>
      <c r="J144" s="29">
        <f t="shared" si="34"/>
        <v>0</v>
      </c>
      <c r="K144" s="32" t="str" cm="1">
        <f t="array" ref="K144">IF(AF144&lt;&gt;"",IFERROR(INDEX('Group List A'!B:B,MATCH(AI144,'Group List A'!A:A,0),0),"-"),"")</f>
        <v/>
      </c>
      <c r="L144" s="33">
        <f t="shared" si="35"/>
        <v>0</v>
      </c>
      <c r="M144" s="33">
        <f t="shared" si="36"/>
        <v>0</v>
      </c>
      <c r="N144" s="33">
        <f t="shared" si="37"/>
        <v>0</v>
      </c>
      <c r="O144" s="28"/>
      <c r="P144" s="33">
        <f t="shared" si="38"/>
        <v>0</v>
      </c>
      <c r="Q144" s="35" t="str" cm="1">
        <f t="array" ref="Q144">IF(AF144&lt;&gt;"",IFERROR(INDEX('Group List B'!B:B,MATCH(AI144,'Group List B'!A:A,0),0),"-"),"")</f>
        <v/>
      </c>
      <c r="R144" s="36">
        <f t="shared" si="39"/>
        <v>0</v>
      </c>
      <c r="S144" s="36">
        <f t="shared" si="40"/>
        <v>0</v>
      </c>
      <c r="T144" s="36">
        <f t="shared" si="41"/>
        <v>0</v>
      </c>
      <c r="U144" s="28"/>
      <c r="V144" s="37">
        <f t="shared" si="42"/>
        <v>0</v>
      </c>
      <c r="W144" s="41"/>
      <c r="X144" s="27"/>
      <c r="Y144" s="27"/>
      <c r="Z144" s="27"/>
      <c r="AA144" s="15"/>
      <c r="AB144" s="17"/>
      <c r="AC144" s="17"/>
      <c r="AD144" s="17"/>
      <c r="AE144" s="90"/>
      <c r="AF144" s="82" t="str">
        <f t="shared" si="43"/>
        <v/>
      </c>
      <c r="AG144" s="83" t="str">
        <f t="shared" si="44"/>
        <v/>
      </c>
      <c r="AH144" s="82" t="str">
        <f t="shared" si="45"/>
        <v/>
      </c>
      <c r="AI144" s="82" t="str">
        <f t="shared" si="46"/>
        <v/>
      </c>
      <c r="AJ144" s="90"/>
      <c r="AP144" s="88"/>
    </row>
    <row r="145" spans="1:42" x14ac:dyDescent="0.25">
      <c r="A145" s="2"/>
      <c r="C145" s="68" t="str" cm="1">
        <f t="array" ref="C145">IF(AF145&lt;&gt;"",
IFERROR(INDEX('LaunchPad Markbook'!A:A,MATCH(AH145,'LaunchPad Markbook'!D:D,0),0),"-"),"")</f>
        <v/>
      </c>
      <c r="D145" s="27"/>
      <c r="E145" s="27"/>
      <c r="F145" s="27"/>
      <c r="G145" s="14">
        <f>IF(OR(H145&gt;AB$2,I145&gt;AC$2,J145&gt;AD$2,
P145&gt;1,V145&gt;1,
L145&gt;'Group List A'!E$2,M145&gt;'Group List A'!F$2,N145&gt;'Group List A'!G$2,
R145&gt;'Group List B'!E$2,S145&gt;'Group List B'!F$2,T145&gt;'Group List B'!G$2),"Exceed",
IF(OR(H145=AB$2,I145=AC$2,J145=AD$2,
P145=1,V145=1,
L145='Group List A'!E$2,M145='Group List A'!F$2,N145='Group List A'!G$2,
R145='Group List B'!E$2,S145='Group List B'!F$2,T145='Group List B'!G$2),"Limit",0))</f>
        <v>0</v>
      </c>
      <c r="H145" s="29">
        <f t="shared" si="32"/>
        <v>0</v>
      </c>
      <c r="I145" s="29">
        <f t="shared" si="33"/>
        <v>0</v>
      </c>
      <c r="J145" s="29">
        <f t="shared" si="34"/>
        <v>0</v>
      </c>
      <c r="K145" s="32" t="str" cm="1">
        <f t="array" ref="K145">IF(AF145&lt;&gt;"",IFERROR(INDEX('Group List A'!B:B,MATCH(AI145,'Group List A'!A:A,0),0),"-"),"")</f>
        <v/>
      </c>
      <c r="L145" s="33">
        <f t="shared" si="35"/>
        <v>0</v>
      </c>
      <c r="M145" s="33">
        <f t="shared" si="36"/>
        <v>0</v>
      </c>
      <c r="N145" s="33">
        <f t="shared" si="37"/>
        <v>0</v>
      </c>
      <c r="O145" s="28"/>
      <c r="P145" s="33">
        <f t="shared" si="38"/>
        <v>0</v>
      </c>
      <c r="Q145" s="35" t="str" cm="1">
        <f t="array" ref="Q145">IF(AF145&lt;&gt;"",IFERROR(INDEX('Group List B'!B:B,MATCH(AI145,'Group List B'!A:A,0),0),"-"),"")</f>
        <v/>
      </c>
      <c r="R145" s="36">
        <f t="shared" si="39"/>
        <v>0</v>
      </c>
      <c r="S145" s="36">
        <f t="shared" si="40"/>
        <v>0</v>
      </c>
      <c r="T145" s="36">
        <f t="shared" si="41"/>
        <v>0</v>
      </c>
      <c r="U145" s="28"/>
      <c r="V145" s="37">
        <f t="shared" si="42"/>
        <v>0</v>
      </c>
      <c r="W145" s="41"/>
      <c r="X145" s="27"/>
      <c r="Y145" s="27"/>
      <c r="Z145" s="27"/>
      <c r="AA145" s="15"/>
      <c r="AB145" s="17"/>
      <c r="AC145" s="17"/>
      <c r="AD145" s="17"/>
      <c r="AE145" s="90"/>
      <c r="AF145" s="82" t="str">
        <f t="shared" si="43"/>
        <v/>
      </c>
      <c r="AG145" s="83" t="str">
        <f t="shared" si="44"/>
        <v/>
      </c>
      <c r="AH145" s="82" t="str">
        <f t="shared" si="45"/>
        <v/>
      </c>
      <c r="AI145" s="82" t="str">
        <f t="shared" si="46"/>
        <v/>
      </c>
      <c r="AJ145" s="90"/>
      <c r="AP145" s="88"/>
    </row>
    <row r="146" spans="1:42" x14ac:dyDescent="0.25">
      <c r="A146" s="2"/>
      <c r="C146" s="68" t="str" cm="1">
        <f t="array" ref="C146">IF(AF146&lt;&gt;"",
IFERROR(INDEX('LaunchPad Markbook'!A:A,MATCH(AH146,'LaunchPad Markbook'!D:D,0),0),"-"),"")</f>
        <v/>
      </c>
      <c r="D146" s="27"/>
      <c r="E146" s="27"/>
      <c r="F146" s="27"/>
      <c r="G146" s="14">
        <f>IF(OR(H146&gt;AB$2,I146&gt;AC$2,J146&gt;AD$2,
P146&gt;1,V146&gt;1,
L146&gt;'Group List A'!E$2,M146&gt;'Group List A'!F$2,N146&gt;'Group List A'!G$2,
R146&gt;'Group List B'!E$2,S146&gt;'Group List B'!F$2,T146&gt;'Group List B'!G$2),"Exceed",
IF(OR(H146=AB$2,I146=AC$2,J146=AD$2,
P146=1,V146=1,
L146='Group List A'!E$2,M146='Group List A'!F$2,N146='Group List A'!G$2,
R146='Group List B'!E$2,S146='Group List B'!F$2,T146='Group List B'!G$2),"Limit",0))</f>
        <v>0</v>
      </c>
      <c r="H146" s="29">
        <f t="shared" si="32"/>
        <v>0</v>
      </c>
      <c r="I146" s="29">
        <f t="shared" si="33"/>
        <v>0</v>
      </c>
      <c r="J146" s="29">
        <f t="shared" si="34"/>
        <v>0</v>
      </c>
      <c r="K146" s="32" t="str" cm="1">
        <f t="array" ref="K146">IF(AF146&lt;&gt;"",IFERROR(INDEX('Group List A'!B:B,MATCH(AI146,'Group List A'!A:A,0),0),"-"),"")</f>
        <v/>
      </c>
      <c r="L146" s="33">
        <f t="shared" si="35"/>
        <v>0</v>
      </c>
      <c r="M146" s="33">
        <f t="shared" si="36"/>
        <v>0</v>
      </c>
      <c r="N146" s="33">
        <f t="shared" si="37"/>
        <v>0</v>
      </c>
      <c r="O146" s="28"/>
      <c r="P146" s="33">
        <f t="shared" si="38"/>
        <v>0</v>
      </c>
      <c r="Q146" s="35" t="str" cm="1">
        <f t="array" ref="Q146">IF(AF146&lt;&gt;"",IFERROR(INDEX('Group List B'!B:B,MATCH(AI146,'Group List B'!A:A,0),0),"-"),"")</f>
        <v/>
      </c>
      <c r="R146" s="36">
        <f t="shared" si="39"/>
        <v>0</v>
      </c>
      <c r="S146" s="36">
        <f t="shared" si="40"/>
        <v>0</v>
      </c>
      <c r="T146" s="36">
        <f t="shared" si="41"/>
        <v>0</v>
      </c>
      <c r="U146" s="28"/>
      <c r="V146" s="37">
        <f t="shared" si="42"/>
        <v>0</v>
      </c>
      <c r="W146" s="41"/>
      <c r="X146" s="27"/>
      <c r="Y146" s="27"/>
      <c r="Z146" s="27"/>
      <c r="AA146" s="15"/>
      <c r="AB146" s="17"/>
      <c r="AC146" s="17"/>
      <c r="AD146" s="17"/>
      <c r="AE146" s="90"/>
      <c r="AF146" s="82" t="str">
        <f t="shared" si="43"/>
        <v/>
      </c>
      <c r="AG146" s="83" t="str">
        <f t="shared" si="44"/>
        <v/>
      </c>
      <c r="AH146" s="82" t="str">
        <f t="shared" si="45"/>
        <v/>
      </c>
      <c r="AI146" s="82" t="str">
        <f t="shared" si="46"/>
        <v/>
      </c>
      <c r="AJ146" s="90"/>
      <c r="AP146" s="88"/>
    </row>
    <row r="147" spans="1:42" x14ac:dyDescent="0.25">
      <c r="A147" s="2"/>
      <c r="C147" s="68" t="str" cm="1">
        <f t="array" ref="C147">IF(AF147&lt;&gt;"",
IFERROR(INDEX('LaunchPad Markbook'!A:A,MATCH(AH147,'LaunchPad Markbook'!D:D,0),0),"-"),"")</f>
        <v/>
      </c>
      <c r="D147" s="27"/>
      <c r="E147" s="27"/>
      <c r="F147" s="27"/>
      <c r="G147" s="14">
        <f>IF(OR(H147&gt;AB$2,I147&gt;AC$2,J147&gt;AD$2,
P147&gt;1,V147&gt;1,
L147&gt;'Group List A'!E$2,M147&gt;'Group List A'!F$2,N147&gt;'Group List A'!G$2,
R147&gt;'Group List B'!E$2,S147&gt;'Group List B'!F$2,T147&gt;'Group List B'!G$2),"Exceed",
IF(OR(H147=AB$2,I147=AC$2,J147=AD$2,
P147=1,V147=1,
L147='Group List A'!E$2,M147='Group List A'!F$2,N147='Group List A'!G$2,
R147='Group List B'!E$2,S147='Group List B'!F$2,T147='Group List B'!G$2),"Limit",0))</f>
        <v>0</v>
      </c>
      <c r="H147" s="29">
        <f t="shared" si="32"/>
        <v>0</v>
      </c>
      <c r="I147" s="29">
        <f t="shared" si="33"/>
        <v>0</v>
      </c>
      <c r="J147" s="29">
        <f t="shared" si="34"/>
        <v>0</v>
      </c>
      <c r="K147" s="32" t="str" cm="1">
        <f t="array" ref="K147">IF(AF147&lt;&gt;"",IFERROR(INDEX('Group List A'!B:B,MATCH(AI147,'Group List A'!A:A,0),0),"-"),"")</f>
        <v/>
      </c>
      <c r="L147" s="33">
        <f t="shared" si="35"/>
        <v>0</v>
      </c>
      <c r="M147" s="33">
        <f t="shared" si="36"/>
        <v>0</v>
      </c>
      <c r="N147" s="33">
        <f t="shared" si="37"/>
        <v>0</v>
      </c>
      <c r="O147" s="28"/>
      <c r="P147" s="33">
        <f t="shared" si="38"/>
        <v>0</v>
      </c>
      <c r="Q147" s="35" t="str" cm="1">
        <f t="array" ref="Q147">IF(AF147&lt;&gt;"",IFERROR(INDEX('Group List B'!B:B,MATCH(AI147,'Group List B'!A:A,0),0),"-"),"")</f>
        <v/>
      </c>
      <c r="R147" s="36">
        <f t="shared" si="39"/>
        <v>0</v>
      </c>
      <c r="S147" s="36">
        <f t="shared" si="40"/>
        <v>0</v>
      </c>
      <c r="T147" s="36">
        <f t="shared" si="41"/>
        <v>0</v>
      </c>
      <c r="U147" s="28"/>
      <c r="V147" s="37">
        <f t="shared" si="42"/>
        <v>0</v>
      </c>
      <c r="W147" s="41"/>
      <c r="X147" s="27"/>
      <c r="Y147" s="27"/>
      <c r="Z147" s="27"/>
      <c r="AA147" s="15"/>
      <c r="AB147" s="17"/>
      <c r="AC147" s="17"/>
      <c r="AD147" s="17"/>
      <c r="AE147" s="90"/>
      <c r="AF147" s="82" t="str">
        <f t="shared" si="43"/>
        <v/>
      </c>
      <c r="AG147" s="83" t="str">
        <f t="shared" si="44"/>
        <v/>
      </c>
      <c r="AH147" s="82" t="str">
        <f t="shared" si="45"/>
        <v/>
      </c>
      <c r="AI147" s="82" t="str">
        <f t="shared" si="46"/>
        <v/>
      </c>
      <c r="AJ147" s="90"/>
      <c r="AP147" s="88"/>
    </row>
    <row r="148" spans="1:42" x14ac:dyDescent="0.25">
      <c r="A148" s="2"/>
      <c r="C148" s="68" t="str" cm="1">
        <f t="array" ref="C148">IF(AF148&lt;&gt;"",
IFERROR(INDEX('LaunchPad Markbook'!A:A,MATCH(AH148,'LaunchPad Markbook'!D:D,0),0),"-"),"")</f>
        <v/>
      </c>
      <c r="D148" s="27"/>
      <c r="E148" s="27"/>
      <c r="F148" s="27"/>
      <c r="G148" s="14">
        <f>IF(OR(H148&gt;AB$2,I148&gt;AC$2,J148&gt;AD$2,
P148&gt;1,V148&gt;1,
L148&gt;'Group List A'!E$2,M148&gt;'Group List A'!F$2,N148&gt;'Group List A'!G$2,
R148&gt;'Group List B'!E$2,S148&gt;'Group List B'!F$2,T148&gt;'Group List B'!G$2),"Exceed",
IF(OR(H148=AB$2,I148=AC$2,J148=AD$2,
P148=1,V148=1,
L148='Group List A'!E$2,M148='Group List A'!F$2,N148='Group List A'!G$2,
R148='Group List B'!E$2,S148='Group List B'!F$2,T148='Group List B'!G$2),"Limit",0))</f>
        <v>0</v>
      </c>
      <c r="H148" s="29">
        <f t="shared" si="32"/>
        <v>0</v>
      </c>
      <c r="I148" s="29">
        <f t="shared" si="33"/>
        <v>0</v>
      </c>
      <c r="J148" s="29">
        <f t="shared" si="34"/>
        <v>0</v>
      </c>
      <c r="K148" s="32" t="str" cm="1">
        <f t="array" ref="K148">IF(AF148&lt;&gt;"",IFERROR(INDEX('Group List A'!B:B,MATCH(AI148,'Group List A'!A:A,0),0),"-"),"")</f>
        <v/>
      </c>
      <c r="L148" s="33">
        <f t="shared" si="35"/>
        <v>0</v>
      </c>
      <c r="M148" s="33">
        <f t="shared" si="36"/>
        <v>0</v>
      </c>
      <c r="N148" s="33">
        <f t="shared" si="37"/>
        <v>0</v>
      </c>
      <c r="O148" s="28"/>
      <c r="P148" s="33">
        <f t="shared" si="38"/>
        <v>0</v>
      </c>
      <c r="Q148" s="35" t="str" cm="1">
        <f t="array" ref="Q148">IF(AF148&lt;&gt;"",IFERROR(INDEX('Group List B'!B:B,MATCH(AI148,'Group List B'!A:A,0),0),"-"),"")</f>
        <v/>
      </c>
      <c r="R148" s="36">
        <f t="shared" si="39"/>
        <v>0</v>
      </c>
      <c r="S148" s="36">
        <f t="shared" si="40"/>
        <v>0</v>
      </c>
      <c r="T148" s="36">
        <f t="shared" si="41"/>
        <v>0</v>
      </c>
      <c r="U148" s="28"/>
      <c r="V148" s="37">
        <f t="shared" si="42"/>
        <v>0</v>
      </c>
      <c r="W148" s="41"/>
      <c r="X148" s="27"/>
      <c r="Y148" s="27"/>
      <c r="Z148" s="27"/>
      <c r="AA148" s="15"/>
      <c r="AB148" s="17"/>
      <c r="AC148" s="17"/>
      <c r="AD148" s="17"/>
      <c r="AE148" s="90"/>
      <c r="AF148" s="82" t="str">
        <f t="shared" si="43"/>
        <v/>
      </c>
      <c r="AG148" s="83" t="str">
        <f t="shared" si="44"/>
        <v/>
      </c>
      <c r="AH148" s="82" t="str">
        <f t="shared" si="45"/>
        <v/>
      </c>
      <c r="AI148" s="82" t="str">
        <f t="shared" si="46"/>
        <v/>
      </c>
      <c r="AJ148" s="90"/>
      <c r="AP148" s="88"/>
    </row>
    <row r="149" spans="1:42" x14ac:dyDescent="0.25">
      <c r="A149" s="2"/>
      <c r="C149" s="68" t="str" cm="1">
        <f t="array" ref="C149">IF(AF149&lt;&gt;"",
IFERROR(INDEX('LaunchPad Markbook'!A:A,MATCH(AH149,'LaunchPad Markbook'!D:D,0),0),"-"),"")</f>
        <v/>
      </c>
      <c r="D149" s="27"/>
      <c r="E149" s="27"/>
      <c r="F149" s="27"/>
      <c r="G149" s="14">
        <f>IF(OR(H149&gt;AB$2,I149&gt;AC$2,J149&gt;AD$2,
P149&gt;1,V149&gt;1,
L149&gt;'Group List A'!E$2,M149&gt;'Group List A'!F$2,N149&gt;'Group List A'!G$2,
R149&gt;'Group List B'!E$2,S149&gt;'Group List B'!F$2,T149&gt;'Group List B'!G$2),"Exceed",
IF(OR(H149=AB$2,I149=AC$2,J149=AD$2,
P149=1,V149=1,
L149='Group List A'!E$2,M149='Group List A'!F$2,N149='Group List A'!G$2,
R149='Group List B'!E$2,S149='Group List B'!F$2,T149='Group List B'!G$2),"Limit",0))</f>
        <v>0</v>
      </c>
      <c r="H149" s="29">
        <f t="shared" si="32"/>
        <v>0</v>
      </c>
      <c r="I149" s="29">
        <f t="shared" si="33"/>
        <v>0</v>
      </c>
      <c r="J149" s="29">
        <f t="shared" si="34"/>
        <v>0</v>
      </c>
      <c r="K149" s="32" t="str" cm="1">
        <f t="array" ref="K149">IF(AF149&lt;&gt;"",IFERROR(INDEX('Group List A'!B:B,MATCH(AI149,'Group List A'!A:A,0),0),"-"),"")</f>
        <v/>
      </c>
      <c r="L149" s="33">
        <f t="shared" si="35"/>
        <v>0</v>
      </c>
      <c r="M149" s="33">
        <f t="shared" si="36"/>
        <v>0</v>
      </c>
      <c r="N149" s="33">
        <f t="shared" si="37"/>
        <v>0</v>
      </c>
      <c r="O149" s="28"/>
      <c r="P149" s="33">
        <f t="shared" si="38"/>
        <v>0</v>
      </c>
      <c r="Q149" s="35" t="str" cm="1">
        <f t="array" ref="Q149">IF(AF149&lt;&gt;"",IFERROR(INDEX('Group List B'!B:B,MATCH(AI149,'Group List B'!A:A,0),0),"-"),"")</f>
        <v/>
      </c>
      <c r="R149" s="36">
        <f t="shared" si="39"/>
        <v>0</v>
      </c>
      <c r="S149" s="36">
        <f t="shared" si="40"/>
        <v>0</v>
      </c>
      <c r="T149" s="36">
        <f t="shared" si="41"/>
        <v>0</v>
      </c>
      <c r="U149" s="28"/>
      <c r="V149" s="37">
        <f t="shared" si="42"/>
        <v>0</v>
      </c>
      <c r="W149" s="41"/>
      <c r="X149" s="27"/>
      <c r="Y149" s="27"/>
      <c r="Z149" s="27"/>
      <c r="AA149" s="15"/>
      <c r="AB149" s="17"/>
      <c r="AC149" s="17"/>
      <c r="AD149" s="17"/>
      <c r="AE149" s="90"/>
      <c r="AF149" s="82" t="str">
        <f t="shared" si="43"/>
        <v/>
      </c>
      <c r="AG149" s="83" t="str">
        <f t="shared" si="44"/>
        <v/>
      </c>
      <c r="AH149" s="82" t="str">
        <f t="shared" si="45"/>
        <v/>
      </c>
      <c r="AI149" s="82" t="str">
        <f t="shared" si="46"/>
        <v/>
      </c>
      <c r="AJ149" s="90"/>
      <c r="AP149" s="88"/>
    </row>
    <row r="150" spans="1:42" x14ac:dyDescent="0.25">
      <c r="A150" s="2"/>
      <c r="C150" s="68" t="str" cm="1">
        <f t="array" ref="C150">IF(AF150&lt;&gt;"",
IFERROR(INDEX('LaunchPad Markbook'!A:A,MATCH(AH150,'LaunchPad Markbook'!D:D,0),0),"-"),"")</f>
        <v/>
      </c>
      <c r="D150" s="27"/>
      <c r="E150" s="27"/>
      <c r="F150" s="27"/>
      <c r="G150" s="14">
        <f>IF(OR(H150&gt;AB$2,I150&gt;AC$2,J150&gt;AD$2,
P150&gt;1,V150&gt;1,
L150&gt;'Group List A'!E$2,M150&gt;'Group List A'!F$2,N150&gt;'Group List A'!G$2,
R150&gt;'Group List B'!E$2,S150&gt;'Group List B'!F$2,T150&gt;'Group List B'!G$2),"Exceed",
IF(OR(H150=AB$2,I150=AC$2,J150=AD$2,
P150=1,V150=1,
L150='Group List A'!E$2,M150='Group List A'!F$2,N150='Group List A'!G$2,
R150='Group List B'!E$2,S150='Group List B'!F$2,T150='Group List B'!G$2),"Limit",0))</f>
        <v>0</v>
      </c>
      <c r="H150" s="29">
        <f t="shared" si="32"/>
        <v>0</v>
      </c>
      <c r="I150" s="29">
        <f t="shared" si="33"/>
        <v>0</v>
      </c>
      <c r="J150" s="29">
        <f t="shared" si="34"/>
        <v>0</v>
      </c>
      <c r="K150" s="32" t="str" cm="1">
        <f t="array" ref="K150">IF(AF150&lt;&gt;"",IFERROR(INDEX('Group List A'!B:B,MATCH(AI150,'Group List A'!A:A,0),0),"-"),"")</f>
        <v/>
      </c>
      <c r="L150" s="33">
        <f t="shared" si="35"/>
        <v>0</v>
      </c>
      <c r="M150" s="33">
        <f t="shared" si="36"/>
        <v>0</v>
      </c>
      <c r="N150" s="33">
        <f t="shared" si="37"/>
        <v>0</v>
      </c>
      <c r="O150" s="28"/>
      <c r="P150" s="33">
        <f t="shared" si="38"/>
        <v>0</v>
      </c>
      <c r="Q150" s="35" t="str" cm="1">
        <f t="array" ref="Q150">IF(AF150&lt;&gt;"",IFERROR(INDEX('Group List B'!B:B,MATCH(AI150,'Group List B'!A:A,0),0),"-"),"")</f>
        <v/>
      </c>
      <c r="R150" s="36">
        <f t="shared" si="39"/>
        <v>0</v>
      </c>
      <c r="S150" s="36">
        <f t="shared" si="40"/>
        <v>0</v>
      </c>
      <c r="T150" s="36">
        <f t="shared" si="41"/>
        <v>0</v>
      </c>
      <c r="U150" s="28"/>
      <c r="V150" s="37">
        <f t="shared" si="42"/>
        <v>0</v>
      </c>
      <c r="W150" s="41"/>
      <c r="X150" s="27"/>
      <c r="Y150" s="27"/>
      <c r="Z150" s="27"/>
      <c r="AA150" s="15"/>
      <c r="AB150" s="17"/>
      <c r="AC150" s="17"/>
      <c r="AD150" s="17"/>
      <c r="AE150" s="90"/>
      <c r="AF150" s="82" t="str">
        <f t="shared" si="43"/>
        <v/>
      </c>
      <c r="AG150" s="83" t="str">
        <f t="shared" si="44"/>
        <v/>
      </c>
      <c r="AH150" s="82" t="str">
        <f t="shared" si="45"/>
        <v/>
      </c>
      <c r="AI150" s="82" t="str">
        <f t="shared" si="46"/>
        <v/>
      </c>
      <c r="AJ150" s="90"/>
      <c r="AP150" s="88"/>
    </row>
    <row r="151" spans="1:42" x14ac:dyDescent="0.25">
      <c r="A151" s="2"/>
      <c r="C151" s="68" t="str" cm="1">
        <f t="array" ref="C151">IF(AF151&lt;&gt;"",
IFERROR(INDEX('LaunchPad Markbook'!A:A,MATCH(AH151,'LaunchPad Markbook'!D:D,0),0),"-"),"")</f>
        <v/>
      </c>
      <c r="D151" s="27"/>
      <c r="E151" s="27"/>
      <c r="F151" s="27"/>
      <c r="G151" s="14">
        <f>IF(OR(H151&gt;AB$2,I151&gt;AC$2,J151&gt;AD$2,
P151&gt;1,V151&gt;1,
L151&gt;'Group List A'!E$2,M151&gt;'Group List A'!F$2,N151&gt;'Group List A'!G$2,
R151&gt;'Group List B'!E$2,S151&gt;'Group List B'!F$2,T151&gt;'Group List B'!G$2),"Exceed",
IF(OR(H151=AB$2,I151=AC$2,J151=AD$2,
P151=1,V151=1,
L151='Group List A'!E$2,M151='Group List A'!F$2,N151='Group List A'!G$2,
R151='Group List B'!E$2,S151='Group List B'!F$2,T151='Group List B'!G$2),"Limit",0))</f>
        <v>0</v>
      </c>
      <c r="H151" s="29">
        <f t="shared" si="32"/>
        <v>0</v>
      </c>
      <c r="I151" s="29">
        <f t="shared" si="33"/>
        <v>0</v>
      </c>
      <c r="J151" s="29">
        <f t="shared" si="34"/>
        <v>0</v>
      </c>
      <c r="K151" s="32" t="str" cm="1">
        <f t="array" ref="K151">IF(AF151&lt;&gt;"",IFERROR(INDEX('Group List A'!B:B,MATCH(AI151,'Group List A'!A:A,0),0),"-"),"")</f>
        <v/>
      </c>
      <c r="L151" s="33">
        <f t="shared" si="35"/>
        <v>0</v>
      </c>
      <c r="M151" s="33">
        <f t="shared" si="36"/>
        <v>0</v>
      </c>
      <c r="N151" s="33">
        <f t="shared" si="37"/>
        <v>0</v>
      </c>
      <c r="O151" s="28"/>
      <c r="P151" s="33">
        <f t="shared" si="38"/>
        <v>0</v>
      </c>
      <c r="Q151" s="35" t="str" cm="1">
        <f t="array" ref="Q151">IF(AF151&lt;&gt;"",IFERROR(INDEX('Group List B'!B:B,MATCH(AI151,'Group List B'!A:A,0),0),"-"),"")</f>
        <v/>
      </c>
      <c r="R151" s="36">
        <f t="shared" si="39"/>
        <v>0</v>
      </c>
      <c r="S151" s="36">
        <f t="shared" si="40"/>
        <v>0</v>
      </c>
      <c r="T151" s="36">
        <f t="shared" si="41"/>
        <v>0</v>
      </c>
      <c r="U151" s="28"/>
      <c r="V151" s="37">
        <f t="shared" si="42"/>
        <v>0</v>
      </c>
      <c r="W151" s="41"/>
      <c r="X151" s="27"/>
      <c r="Y151" s="27"/>
      <c r="Z151" s="27"/>
      <c r="AA151" s="15"/>
      <c r="AB151" s="17"/>
      <c r="AC151" s="17"/>
      <c r="AD151" s="17"/>
      <c r="AE151" s="90"/>
      <c r="AF151" s="82" t="str">
        <f t="shared" si="43"/>
        <v/>
      </c>
      <c r="AG151" s="83" t="str">
        <f t="shared" si="44"/>
        <v/>
      </c>
      <c r="AH151" s="82" t="str">
        <f t="shared" si="45"/>
        <v/>
      </c>
      <c r="AI151" s="82" t="str">
        <f t="shared" si="46"/>
        <v/>
      </c>
      <c r="AJ151" s="90"/>
      <c r="AP151" s="88"/>
    </row>
    <row r="152" spans="1:42" x14ac:dyDescent="0.25">
      <c r="A152" s="2"/>
      <c r="C152" s="68" t="str" cm="1">
        <f t="array" ref="C152">IF(AF152&lt;&gt;"",
IFERROR(INDEX('LaunchPad Markbook'!A:A,MATCH(AH152,'LaunchPad Markbook'!D:D,0),0),"-"),"")</f>
        <v/>
      </c>
      <c r="D152" s="27"/>
      <c r="E152" s="27"/>
      <c r="F152" s="27"/>
      <c r="G152" s="14">
        <f>IF(OR(H152&gt;AB$2,I152&gt;AC$2,J152&gt;AD$2,
P152&gt;1,V152&gt;1,
L152&gt;'Group List A'!E$2,M152&gt;'Group List A'!F$2,N152&gt;'Group List A'!G$2,
R152&gt;'Group List B'!E$2,S152&gt;'Group List B'!F$2,T152&gt;'Group List B'!G$2),"Exceed",
IF(OR(H152=AB$2,I152=AC$2,J152=AD$2,
P152=1,V152=1,
L152='Group List A'!E$2,M152='Group List A'!F$2,N152='Group List A'!G$2,
R152='Group List B'!E$2,S152='Group List B'!F$2,T152='Group List B'!G$2),"Limit",0))</f>
        <v>0</v>
      </c>
      <c r="H152" s="29">
        <f t="shared" si="32"/>
        <v>0</v>
      </c>
      <c r="I152" s="29">
        <f t="shared" si="33"/>
        <v>0</v>
      </c>
      <c r="J152" s="29">
        <f t="shared" si="34"/>
        <v>0</v>
      </c>
      <c r="K152" s="32" t="str" cm="1">
        <f t="array" ref="K152">IF(AF152&lt;&gt;"",IFERROR(INDEX('Group List A'!B:B,MATCH(AI152,'Group List A'!A:A,0),0),"-"),"")</f>
        <v/>
      </c>
      <c r="L152" s="33">
        <f t="shared" si="35"/>
        <v>0</v>
      </c>
      <c r="M152" s="33">
        <f t="shared" si="36"/>
        <v>0</v>
      </c>
      <c r="N152" s="33">
        <f t="shared" si="37"/>
        <v>0</v>
      </c>
      <c r="O152" s="28"/>
      <c r="P152" s="33">
        <f t="shared" si="38"/>
        <v>0</v>
      </c>
      <c r="Q152" s="35" t="str" cm="1">
        <f t="array" ref="Q152">IF(AF152&lt;&gt;"",IFERROR(INDEX('Group List B'!B:B,MATCH(AI152,'Group List B'!A:A,0),0),"-"),"")</f>
        <v/>
      </c>
      <c r="R152" s="36">
        <f t="shared" si="39"/>
        <v>0</v>
      </c>
      <c r="S152" s="36">
        <f t="shared" si="40"/>
        <v>0</v>
      </c>
      <c r="T152" s="36">
        <f t="shared" si="41"/>
        <v>0</v>
      </c>
      <c r="U152" s="28"/>
      <c r="V152" s="37">
        <f t="shared" si="42"/>
        <v>0</v>
      </c>
      <c r="W152" s="41"/>
      <c r="X152" s="27"/>
      <c r="Y152" s="27"/>
      <c r="Z152" s="27"/>
      <c r="AA152" s="15"/>
      <c r="AB152" s="17"/>
      <c r="AC152" s="17"/>
      <c r="AD152" s="17"/>
      <c r="AE152" s="90"/>
      <c r="AF152" s="82" t="str">
        <f t="shared" si="43"/>
        <v/>
      </c>
      <c r="AG152" s="83" t="str">
        <f t="shared" si="44"/>
        <v/>
      </c>
      <c r="AH152" s="82" t="str">
        <f t="shared" si="45"/>
        <v/>
      </c>
      <c r="AI152" s="82" t="str">
        <f t="shared" si="46"/>
        <v/>
      </c>
      <c r="AJ152" s="90"/>
      <c r="AP152" s="88"/>
    </row>
    <row r="153" spans="1:42" x14ac:dyDescent="0.25">
      <c r="A153" s="2"/>
      <c r="C153" s="68" t="str" cm="1">
        <f t="array" ref="C153">IF(AF153&lt;&gt;"",
IFERROR(INDEX('LaunchPad Markbook'!A:A,MATCH(AH153,'LaunchPad Markbook'!D:D,0),0),"-"),"")</f>
        <v/>
      </c>
      <c r="D153" s="27"/>
      <c r="E153" s="27"/>
      <c r="F153" s="27"/>
      <c r="G153" s="14">
        <f>IF(OR(H153&gt;AB$2,I153&gt;AC$2,J153&gt;AD$2,
P153&gt;1,V153&gt;1,
L153&gt;'Group List A'!E$2,M153&gt;'Group List A'!F$2,N153&gt;'Group List A'!G$2,
R153&gt;'Group List B'!E$2,S153&gt;'Group List B'!F$2,T153&gt;'Group List B'!G$2),"Exceed",
IF(OR(H153=AB$2,I153=AC$2,J153=AD$2,
P153=1,V153=1,
L153='Group List A'!E$2,M153='Group List A'!F$2,N153='Group List A'!G$2,
R153='Group List B'!E$2,S153='Group List B'!F$2,T153='Group List B'!G$2),"Limit",0))</f>
        <v>0</v>
      </c>
      <c r="H153" s="29">
        <f t="shared" si="32"/>
        <v>0</v>
      </c>
      <c r="I153" s="29">
        <f t="shared" si="33"/>
        <v>0</v>
      </c>
      <c r="J153" s="29">
        <f t="shared" si="34"/>
        <v>0</v>
      </c>
      <c r="K153" s="32" t="str" cm="1">
        <f t="array" ref="K153">IF(AF153&lt;&gt;"",IFERROR(INDEX('Group List A'!B:B,MATCH(AI153,'Group List A'!A:A,0),0),"-"),"")</f>
        <v/>
      </c>
      <c r="L153" s="33">
        <f t="shared" si="35"/>
        <v>0</v>
      </c>
      <c r="M153" s="33">
        <f t="shared" si="36"/>
        <v>0</v>
      </c>
      <c r="N153" s="33">
        <f t="shared" si="37"/>
        <v>0</v>
      </c>
      <c r="O153" s="28"/>
      <c r="P153" s="33">
        <f t="shared" si="38"/>
        <v>0</v>
      </c>
      <c r="Q153" s="35" t="str" cm="1">
        <f t="array" ref="Q153">IF(AF153&lt;&gt;"",IFERROR(INDEX('Group List B'!B:B,MATCH(AI153,'Group List B'!A:A,0),0),"-"),"")</f>
        <v/>
      </c>
      <c r="R153" s="36">
        <f t="shared" si="39"/>
        <v>0</v>
      </c>
      <c r="S153" s="36">
        <f t="shared" si="40"/>
        <v>0</v>
      </c>
      <c r="T153" s="36">
        <f t="shared" si="41"/>
        <v>0</v>
      </c>
      <c r="U153" s="28"/>
      <c r="V153" s="37">
        <f t="shared" si="42"/>
        <v>0</v>
      </c>
      <c r="W153" s="41"/>
      <c r="X153" s="27"/>
      <c r="Y153" s="27"/>
      <c r="Z153" s="27"/>
      <c r="AA153" s="15"/>
      <c r="AB153" s="17"/>
      <c r="AC153" s="17"/>
      <c r="AD153" s="17"/>
      <c r="AE153" s="90"/>
      <c r="AF153" s="82" t="str">
        <f t="shared" si="43"/>
        <v/>
      </c>
      <c r="AG153" s="83" t="str">
        <f t="shared" si="44"/>
        <v/>
      </c>
      <c r="AH153" s="82" t="str">
        <f t="shared" si="45"/>
        <v/>
      </c>
      <c r="AI153" s="82" t="str">
        <f t="shared" si="46"/>
        <v/>
      </c>
      <c r="AJ153" s="90"/>
      <c r="AP153" s="88"/>
    </row>
    <row r="154" spans="1:42" x14ac:dyDescent="0.25">
      <c r="A154" s="2"/>
      <c r="C154" s="68" t="str" cm="1">
        <f t="array" ref="C154">IF(AF154&lt;&gt;"",
IFERROR(INDEX('LaunchPad Markbook'!A:A,MATCH(AH154,'LaunchPad Markbook'!D:D,0),0),"-"),"")</f>
        <v/>
      </c>
      <c r="D154" s="27"/>
      <c r="E154" s="27"/>
      <c r="F154" s="27"/>
      <c r="G154" s="14">
        <f>IF(OR(H154&gt;AB$2,I154&gt;AC$2,J154&gt;AD$2,
P154&gt;1,V154&gt;1,
L154&gt;'Group List A'!E$2,M154&gt;'Group List A'!F$2,N154&gt;'Group List A'!G$2,
R154&gt;'Group List B'!E$2,S154&gt;'Group List B'!F$2,T154&gt;'Group List B'!G$2),"Exceed",
IF(OR(H154=AB$2,I154=AC$2,J154=AD$2,
P154=1,V154=1,
L154='Group List A'!E$2,M154='Group List A'!F$2,N154='Group List A'!G$2,
R154='Group List B'!E$2,S154='Group List B'!F$2,T154='Group List B'!G$2),"Limit",0))</f>
        <v>0</v>
      </c>
      <c r="H154" s="29">
        <f t="shared" si="32"/>
        <v>0</v>
      </c>
      <c r="I154" s="29">
        <f t="shared" si="33"/>
        <v>0</v>
      </c>
      <c r="J154" s="29">
        <f t="shared" si="34"/>
        <v>0</v>
      </c>
      <c r="K154" s="32" t="str" cm="1">
        <f t="array" ref="K154">IF(AF154&lt;&gt;"",IFERROR(INDEX('Group List A'!B:B,MATCH(AI154,'Group List A'!A:A,0),0),"-"),"")</f>
        <v/>
      </c>
      <c r="L154" s="33">
        <f t="shared" si="35"/>
        <v>0</v>
      </c>
      <c r="M154" s="33">
        <f t="shared" si="36"/>
        <v>0</v>
      </c>
      <c r="N154" s="33">
        <f t="shared" si="37"/>
        <v>0</v>
      </c>
      <c r="O154" s="28"/>
      <c r="P154" s="33">
        <f t="shared" si="38"/>
        <v>0</v>
      </c>
      <c r="Q154" s="35" t="str" cm="1">
        <f t="array" ref="Q154">IF(AF154&lt;&gt;"",IFERROR(INDEX('Group List B'!B:B,MATCH(AI154,'Group List B'!A:A,0),0),"-"),"")</f>
        <v/>
      </c>
      <c r="R154" s="36">
        <f t="shared" si="39"/>
        <v>0</v>
      </c>
      <c r="S154" s="36">
        <f t="shared" si="40"/>
        <v>0</v>
      </c>
      <c r="T154" s="36">
        <f t="shared" si="41"/>
        <v>0</v>
      </c>
      <c r="U154" s="28"/>
      <c r="V154" s="37">
        <f t="shared" si="42"/>
        <v>0</v>
      </c>
      <c r="W154" s="41"/>
      <c r="X154" s="27"/>
      <c r="Y154" s="27"/>
      <c r="Z154" s="27"/>
      <c r="AA154" s="15"/>
      <c r="AB154" s="17"/>
      <c r="AC154" s="17"/>
      <c r="AD154" s="17"/>
      <c r="AE154" s="90"/>
      <c r="AF154" s="82" t="str">
        <f t="shared" si="43"/>
        <v/>
      </c>
      <c r="AG154" s="83" t="str">
        <f t="shared" si="44"/>
        <v/>
      </c>
      <c r="AH154" s="82" t="str">
        <f t="shared" si="45"/>
        <v/>
      </c>
      <c r="AI154" s="82" t="str">
        <f t="shared" si="46"/>
        <v/>
      </c>
      <c r="AJ154" s="90"/>
      <c r="AP154" s="88"/>
    </row>
    <row r="155" spans="1:42" x14ac:dyDescent="0.25">
      <c r="A155" s="2"/>
      <c r="C155" s="68" t="str" cm="1">
        <f t="array" ref="C155">IF(AF155&lt;&gt;"",
IFERROR(INDEX('LaunchPad Markbook'!A:A,MATCH(AH155,'LaunchPad Markbook'!D:D,0),0),"-"),"")</f>
        <v/>
      </c>
      <c r="D155" s="27"/>
      <c r="E155" s="27"/>
      <c r="F155" s="27"/>
      <c r="G155" s="14">
        <f>IF(OR(H155&gt;AB$2,I155&gt;AC$2,J155&gt;AD$2,
P155&gt;1,V155&gt;1,
L155&gt;'Group List A'!E$2,M155&gt;'Group List A'!F$2,N155&gt;'Group List A'!G$2,
R155&gt;'Group List B'!E$2,S155&gt;'Group List B'!F$2,T155&gt;'Group List B'!G$2),"Exceed",
IF(OR(H155=AB$2,I155=AC$2,J155=AD$2,
P155=1,V155=1,
L155='Group List A'!E$2,M155='Group List A'!F$2,N155='Group List A'!G$2,
R155='Group List B'!E$2,S155='Group List B'!F$2,T155='Group List B'!G$2),"Limit",0))</f>
        <v>0</v>
      </c>
      <c r="H155" s="29">
        <f t="shared" si="32"/>
        <v>0</v>
      </c>
      <c r="I155" s="29">
        <f t="shared" si="33"/>
        <v>0</v>
      </c>
      <c r="J155" s="29">
        <f t="shared" si="34"/>
        <v>0</v>
      </c>
      <c r="K155" s="32" t="str" cm="1">
        <f t="array" ref="K155">IF(AF155&lt;&gt;"",IFERROR(INDEX('Group List A'!B:B,MATCH(AI155,'Group List A'!A:A,0),0),"-"),"")</f>
        <v/>
      </c>
      <c r="L155" s="33">
        <f t="shared" si="35"/>
        <v>0</v>
      </c>
      <c r="M155" s="33">
        <f t="shared" si="36"/>
        <v>0</v>
      </c>
      <c r="N155" s="33">
        <f t="shared" si="37"/>
        <v>0</v>
      </c>
      <c r="O155" s="28"/>
      <c r="P155" s="33">
        <f t="shared" si="38"/>
        <v>0</v>
      </c>
      <c r="Q155" s="35" t="str" cm="1">
        <f t="array" ref="Q155">IF(AF155&lt;&gt;"",IFERROR(INDEX('Group List B'!B:B,MATCH(AI155,'Group List B'!A:A,0),0),"-"),"")</f>
        <v/>
      </c>
      <c r="R155" s="36">
        <f t="shared" si="39"/>
        <v>0</v>
      </c>
      <c r="S155" s="36">
        <f t="shared" si="40"/>
        <v>0</v>
      </c>
      <c r="T155" s="36">
        <f t="shared" si="41"/>
        <v>0</v>
      </c>
      <c r="U155" s="28"/>
      <c r="V155" s="37">
        <f t="shared" si="42"/>
        <v>0</v>
      </c>
      <c r="W155" s="41"/>
      <c r="X155" s="27"/>
      <c r="Y155" s="27"/>
      <c r="Z155" s="27"/>
      <c r="AA155" s="15"/>
      <c r="AB155" s="17"/>
      <c r="AC155" s="17"/>
      <c r="AD155" s="17"/>
      <c r="AE155" s="90"/>
      <c r="AF155" s="82" t="str">
        <f t="shared" si="43"/>
        <v/>
      </c>
      <c r="AG155" s="83" t="str">
        <f t="shared" si="44"/>
        <v/>
      </c>
      <c r="AH155" s="82" t="str">
        <f t="shared" si="45"/>
        <v/>
      </c>
      <c r="AI155" s="82" t="str">
        <f t="shared" si="46"/>
        <v/>
      </c>
      <c r="AJ155" s="90"/>
      <c r="AP155" s="88"/>
    </row>
    <row r="156" spans="1:42" x14ac:dyDescent="0.25">
      <c r="A156" s="2"/>
      <c r="C156" s="68" t="str" cm="1">
        <f t="array" ref="C156">IF(AF156&lt;&gt;"",
IFERROR(INDEX('LaunchPad Markbook'!A:A,MATCH(AH156,'LaunchPad Markbook'!D:D,0),0),"-"),"")</f>
        <v/>
      </c>
      <c r="D156" s="27"/>
      <c r="E156" s="27"/>
      <c r="F156" s="27"/>
      <c r="G156" s="14">
        <f>IF(OR(H156&gt;AB$2,I156&gt;AC$2,J156&gt;AD$2,
P156&gt;1,V156&gt;1,
L156&gt;'Group List A'!E$2,M156&gt;'Group List A'!F$2,N156&gt;'Group List A'!G$2,
R156&gt;'Group List B'!E$2,S156&gt;'Group List B'!F$2,T156&gt;'Group List B'!G$2),"Exceed",
IF(OR(H156=AB$2,I156=AC$2,J156=AD$2,
P156=1,V156=1,
L156='Group List A'!E$2,M156='Group List A'!F$2,N156='Group List A'!G$2,
R156='Group List B'!E$2,S156='Group List B'!F$2,T156='Group List B'!G$2),"Limit",0))</f>
        <v>0</v>
      </c>
      <c r="H156" s="29">
        <f t="shared" si="32"/>
        <v>0</v>
      </c>
      <c r="I156" s="29">
        <f t="shared" si="33"/>
        <v>0</v>
      </c>
      <c r="J156" s="29">
        <f t="shared" si="34"/>
        <v>0</v>
      </c>
      <c r="K156" s="32" t="str" cm="1">
        <f t="array" ref="K156">IF(AF156&lt;&gt;"",IFERROR(INDEX('Group List A'!B:B,MATCH(AI156,'Group List A'!A:A,0),0),"-"),"")</f>
        <v/>
      </c>
      <c r="L156" s="33">
        <f t="shared" si="35"/>
        <v>0</v>
      </c>
      <c r="M156" s="33">
        <f t="shared" si="36"/>
        <v>0</v>
      </c>
      <c r="N156" s="33">
        <f t="shared" si="37"/>
        <v>0</v>
      </c>
      <c r="O156" s="28"/>
      <c r="P156" s="33">
        <f t="shared" si="38"/>
        <v>0</v>
      </c>
      <c r="Q156" s="35" t="str" cm="1">
        <f t="array" ref="Q156">IF(AF156&lt;&gt;"",IFERROR(INDEX('Group List B'!B:B,MATCH(AI156,'Group List B'!A:A,0),0),"-"),"")</f>
        <v/>
      </c>
      <c r="R156" s="36">
        <f t="shared" si="39"/>
        <v>0</v>
      </c>
      <c r="S156" s="36">
        <f t="shared" si="40"/>
        <v>0</v>
      </c>
      <c r="T156" s="36">
        <f t="shared" si="41"/>
        <v>0</v>
      </c>
      <c r="U156" s="28"/>
      <c r="V156" s="37">
        <f t="shared" si="42"/>
        <v>0</v>
      </c>
      <c r="W156" s="41"/>
      <c r="X156" s="27"/>
      <c r="Y156" s="27"/>
      <c r="Z156" s="27"/>
      <c r="AA156" s="15"/>
      <c r="AB156" s="17"/>
      <c r="AC156" s="17"/>
      <c r="AD156" s="17"/>
      <c r="AE156" s="90"/>
      <c r="AF156" s="82" t="str">
        <f t="shared" si="43"/>
        <v/>
      </c>
      <c r="AG156" s="83" t="str">
        <f t="shared" si="44"/>
        <v/>
      </c>
      <c r="AH156" s="82" t="str">
        <f t="shared" si="45"/>
        <v/>
      </c>
      <c r="AI156" s="82" t="str">
        <f t="shared" si="46"/>
        <v/>
      </c>
      <c r="AJ156" s="90"/>
      <c r="AP156" s="88"/>
    </row>
    <row r="157" spans="1:42" x14ac:dyDescent="0.25">
      <c r="A157" s="2"/>
      <c r="C157" s="68" t="str" cm="1">
        <f t="array" ref="C157">IF(AF157&lt;&gt;"",
IFERROR(INDEX('LaunchPad Markbook'!A:A,MATCH(AH157,'LaunchPad Markbook'!D:D,0),0),"-"),"")</f>
        <v/>
      </c>
      <c r="D157" s="27"/>
      <c r="E157" s="27"/>
      <c r="F157" s="27"/>
      <c r="G157" s="14">
        <f>IF(OR(H157&gt;AB$2,I157&gt;AC$2,J157&gt;AD$2,
P157&gt;1,V157&gt;1,
L157&gt;'Group List A'!E$2,M157&gt;'Group List A'!F$2,N157&gt;'Group List A'!G$2,
R157&gt;'Group List B'!E$2,S157&gt;'Group List B'!F$2,T157&gt;'Group List B'!G$2),"Exceed",
IF(OR(H157=AB$2,I157=AC$2,J157=AD$2,
P157=1,V157=1,
L157='Group List A'!E$2,M157='Group List A'!F$2,N157='Group List A'!G$2,
R157='Group List B'!E$2,S157='Group List B'!F$2,T157='Group List B'!G$2),"Limit",0))</f>
        <v>0</v>
      </c>
      <c r="H157" s="29">
        <f t="shared" si="32"/>
        <v>0</v>
      </c>
      <c r="I157" s="29">
        <f t="shared" si="33"/>
        <v>0</v>
      </c>
      <c r="J157" s="29">
        <f t="shared" si="34"/>
        <v>0</v>
      </c>
      <c r="K157" s="32" t="str" cm="1">
        <f t="array" ref="K157">IF(AF157&lt;&gt;"",IFERROR(INDEX('Group List A'!B:B,MATCH(AI157,'Group List A'!A:A,0),0),"-"),"")</f>
        <v/>
      </c>
      <c r="L157" s="33">
        <f t="shared" si="35"/>
        <v>0</v>
      </c>
      <c r="M157" s="33">
        <f t="shared" si="36"/>
        <v>0</v>
      </c>
      <c r="N157" s="33">
        <f t="shared" si="37"/>
        <v>0</v>
      </c>
      <c r="O157" s="28"/>
      <c r="P157" s="33">
        <f t="shared" si="38"/>
        <v>0</v>
      </c>
      <c r="Q157" s="35" t="str" cm="1">
        <f t="array" ref="Q157">IF(AF157&lt;&gt;"",IFERROR(INDEX('Group List B'!B:B,MATCH(AI157,'Group List B'!A:A,0),0),"-"),"")</f>
        <v/>
      </c>
      <c r="R157" s="36">
        <f t="shared" si="39"/>
        <v>0</v>
      </c>
      <c r="S157" s="36">
        <f t="shared" si="40"/>
        <v>0</v>
      </c>
      <c r="T157" s="36">
        <f t="shared" si="41"/>
        <v>0</v>
      </c>
      <c r="U157" s="28"/>
      <c r="V157" s="37">
        <f t="shared" si="42"/>
        <v>0</v>
      </c>
      <c r="W157" s="41"/>
      <c r="X157" s="27"/>
      <c r="Y157" s="27"/>
      <c r="Z157" s="27"/>
      <c r="AA157" s="15"/>
      <c r="AB157" s="17"/>
      <c r="AC157" s="17"/>
      <c r="AD157" s="17"/>
      <c r="AE157" s="90"/>
      <c r="AF157" s="82" t="str">
        <f t="shared" si="43"/>
        <v/>
      </c>
      <c r="AG157" s="83" t="str">
        <f t="shared" si="44"/>
        <v/>
      </c>
      <c r="AH157" s="82" t="str">
        <f t="shared" si="45"/>
        <v/>
      </c>
      <c r="AI157" s="82" t="str">
        <f t="shared" si="46"/>
        <v/>
      </c>
      <c r="AJ157" s="90"/>
      <c r="AP157" s="88"/>
    </row>
    <row r="158" spans="1:42" x14ac:dyDescent="0.25">
      <c r="A158" s="2"/>
      <c r="C158" s="68" t="str" cm="1">
        <f t="array" ref="C158">IF(AF158&lt;&gt;"",
IFERROR(INDEX('LaunchPad Markbook'!A:A,MATCH(AH158,'LaunchPad Markbook'!D:D,0),0),"-"),"")</f>
        <v/>
      </c>
      <c r="D158" s="27"/>
      <c r="E158" s="27"/>
      <c r="F158" s="27"/>
      <c r="G158" s="14">
        <f>IF(OR(H158&gt;AB$2,I158&gt;AC$2,J158&gt;AD$2,
P158&gt;1,V158&gt;1,
L158&gt;'Group List A'!E$2,M158&gt;'Group List A'!F$2,N158&gt;'Group List A'!G$2,
R158&gt;'Group List B'!E$2,S158&gt;'Group List B'!F$2,T158&gt;'Group List B'!G$2),"Exceed",
IF(OR(H158=AB$2,I158=AC$2,J158=AD$2,
P158=1,V158=1,
L158='Group List A'!E$2,M158='Group List A'!F$2,N158='Group List A'!G$2,
R158='Group List B'!E$2,S158='Group List B'!F$2,T158='Group List B'!G$2),"Limit",0))</f>
        <v>0</v>
      </c>
      <c r="H158" s="29">
        <f t="shared" si="32"/>
        <v>0</v>
      </c>
      <c r="I158" s="29">
        <f t="shared" si="33"/>
        <v>0</v>
      </c>
      <c r="J158" s="29">
        <f t="shared" si="34"/>
        <v>0</v>
      </c>
      <c r="K158" s="32" t="str" cm="1">
        <f t="array" ref="K158">IF(AF158&lt;&gt;"",IFERROR(INDEX('Group List A'!B:B,MATCH(AI158,'Group List A'!A:A,0),0),"-"),"")</f>
        <v/>
      </c>
      <c r="L158" s="33">
        <f t="shared" si="35"/>
        <v>0</v>
      </c>
      <c r="M158" s="33">
        <f t="shared" si="36"/>
        <v>0</v>
      </c>
      <c r="N158" s="33">
        <f t="shared" si="37"/>
        <v>0</v>
      </c>
      <c r="O158" s="28"/>
      <c r="P158" s="33">
        <f t="shared" si="38"/>
        <v>0</v>
      </c>
      <c r="Q158" s="35" t="str" cm="1">
        <f t="array" ref="Q158">IF(AF158&lt;&gt;"",IFERROR(INDEX('Group List B'!B:B,MATCH(AI158,'Group List B'!A:A,0),0),"-"),"")</f>
        <v/>
      </c>
      <c r="R158" s="36">
        <f t="shared" si="39"/>
        <v>0</v>
      </c>
      <c r="S158" s="36">
        <f t="shared" si="40"/>
        <v>0</v>
      </c>
      <c r="T158" s="36">
        <f t="shared" si="41"/>
        <v>0</v>
      </c>
      <c r="U158" s="28"/>
      <c r="V158" s="37">
        <f t="shared" si="42"/>
        <v>0</v>
      </c>
      <c r="W158" s="41"/>
      <c r="X158" s="27"/>
      <c r="Y158" s="27"/>
      <c r="Z158" s="27"/>
      <c r="AA158" s="15"/>
      <c r="AB158" s="17"/>
      <c r="AC158" s="17"/>
      <c r="AD158" s="17"/>
      <c r="AE158" s="90"/>
      <c r="AF158" s="82" t="str">
        <f t="shared" si="43"/>
        <v/>
      </c>
      <c r="AG158" s="83" t="str">
        <f t="shared" si="44"/>
        <v/>
      </c>
      <c r="AH158" s="82" t="str">
        <f t="shared" si="45"/>
        <v/>
      </c>
      <c r="AI158" s="82" t="str">
        <f t="shared" si="46"/>
        <v/>
      </c>
      <c r="AJ158" s="90"/>
      <c r="AP158" s="88"/>
    </row>
    <row r="159" spans="1:42" x14ac:dyDescent="0.25">
      <c r="A159" s="2"/>
      <c r="C159" s="68" t="str" cm="1">
        <f t="array" ref="C159">IF(AF159&lt;&gt;"",
IFERROR(INDEX('LaunchPad Markbook'!A:A,MATCH(AH159,'LaunchPad Markbook'!D:D,0),0),"-"),"")</f>
        <v/>
      </c>
      <c r="D159" s="27"/>
      <c r="E159" s="27"/>
      <c r="F159" s="27"/>
      <c r="G159" s="14">
        <f>IF(OR(H159&gt;AB$2,I159&gt;AC$2,J159&gt;AD$2,
P159&gt;1,V159&gt;1,
L159&gt;'Group List A'!E$2,M159&gt;'Group List A'!F$2,N159&gt;'Group List A'!G$2,
R159&gt;'Group List B'!E$2,S159&gt;'Group List B'!F$2,T159&gt;'Group List B'!G$2),"Exceed",
IF(OR(H159=AB$2,I159=AC$2,J159=AD$2,
P159=1,V159=1,
L159='Group List A'!E$2,M159='Group List A'!F$2,N159='Group List A'!G$2,
R159='Group List B'!E$2,S159='Group List B'!F$2,T159='Group List B'!G$2),"Limit",0))</f>
        <v>0</v>
      </c>
      <c r="H159" s="29">
        <f t="shared" si="32"/>
        <v>0</v>
      </c>
      <c r="I159" s="29">
        <f t="shared" si="33"/>
        <v>0</v>
      </c>
      <c r="J159" s="29">
        <f t="shared" si="34"/>
        <v>0</v>
      </c>
      <c r="K159" s="32" t="str" cm="1">
        <f t="array" ref="K159">IF(AF159&lt;&gt;"",IFERROR(INDEX('Group List A'!B:B,MATCH(AI159,'Group List A'!A:A,0),0),"-"),"")</f>
        <v/>
      </c>
      <c r="L159" s="33">
        <f t="shared" si="35"/>
        <v>0</v>
      </c>
      <c r="M159" s="33">
        <f t="shared" si="36"/>
        <v>0</v>
      </c>
      <c r="N159" s="33">
        <f t="shared" si="37"/>
        <v>0</v>
      </c>
      <c r="O159" s="28"/>
      <c r="P159" s="33">
        <f t="shared" si="38"/>
        <v>0</v>
      </c>
      <c r="Q159" s="35" t="str" cm="1">
        <f t="array" ref="Q159">IF(AF159&lt;&gt;"",IFERROR(INDEX('Group List B'!B:B,MATCH(AI159,'Group List B'!A:A,0),0),"-"),"")</f>
        <v/>
      </c>
      <c r="R159" s="36">
        <f t="shared" si="39"/>
        <v>0</v>
      </c>
      <c r="S159" s="36">
        <f t="shared" si="40"/>
        <v>0</v>
      </c>
      <c r="T159" s="36">
        <f t="shared" si="41"/>
        <v>0</v>
      </c>
      <c r="U159" s="28"/>
      <c r="V159" s="37">
        <f t="shared" si="42"/>
        <v>0</v>
      </c>
      <c r="W159" s="41"/>
      <c r="X159" s="27"/>
      <c r="Y159" s="27"/>
      <c r="Z159" s="27"/>
      <c r="AA159" s="15"/>
      <c r="AB159" s="17"/>
      <c r="AC159" s="17"/>
      <c r="AD159" s="17"/>
      <c r="AE159" s="90"/>
      <c r="AF159" s="82" t="str">
        <f t="shared" si="43"/>
        <v/>
      </c>
      <c r="AG159" s="83" t="str">
        <f t="shared" si="44"/>
        <v/>
      </c>
      <c r="AH159" s="82" t="str">
        <f t="shared" si="45"/>
        <v/>
      </c>
      <c r="AI159" s="82" t="str">
        <f t="shared" si="46"/>
        <v/>
      </c>
      <c r="AJ159" s="90"/>
      <c r="AP159" s="88"/>
    </row>
    <row r="160" spans="1:42" x14ac:dyDescent="0.25">
      <c r="A160" s="2"/>
      <c r="C160" s="68" t="str" cm="1">
        <f t="array" ref="C160">IF(AF160&lt;&gt;"",
IFERROR(INDEX('LaunchPad Markbook'!A:A,MATCH(AH160,'LaunchPad Markbook'!D:D,0),0),"-"),"")</f>
        <v/>
      </c>
      <c r="D160" s="27"/>
      <c r="E160" s="27"/>
      <c r="F160" s="27"/>
      <c r="G160" s="14">
        <f>IF(OR(H160&gt;AB$2,I160&gt;AC$2,J160&gt;AD$2,
P160&gt;1,V160&gt;1,
L160&gt;'Group List A'!E$2,M160&gt;'Group List A'!F$2,N160&gt;'Group List A'!G$2,
R160&gt;'Group List B'!E$2,S160&gt;'Group List B'!F$2,T160&gt;'Group List B'!G$2),"Exceed",
IF(OR(H160=AB$2,I160=AC$2,J160=AD$2,
P160=1,V160=1,
L160='Group List A'!E$2,M160='Group List A'!F$2,N160='Group List A'!G$2,
R160='Group List B'!E$2,S160='Group List B'!F$2,T160='Group List B'!G$2),"Limit",0))</f>
        <v>0</v>
      </c>
      <c r="H160" s="29">
        <f t="shared" si="32"/>
        <v>0</v>
      </c>
      <c r="I160" s="29">
        <f t="shared" si="33"/>
        <v>0</v>
      </c>
      <c r="J160" s="29">
        <f t="shared" si="34"/>
        <v>0</v>
      </c>
      <c r="K160" s="32" t="str" cm="1">
        <f t="array" ref="K160">IF(AF160&lt;&gt;"",IFERROR(INDEX('Group List A'!B:B,MATCH(AI160,'Group List A'!A:A,0),0),"-"),"")</f>
        <v/>
      </c>
      <c r="L160" s="33">
        <f t="shared" si="35"/>
        <v>0</v>
      </c>
      <c r="M160" s="33">
        <f t="shared" si="36"/>
        <v>0</v>
      </c>
      <c r="N160" s="33">
        <f t="shared" si="37"/>
        <v>0</v>
      </c>
      <c r="O160" s="28"/>
      <c r="P160" s="33">
        <f t="shared" si="38"/>
        <v>0</v>
      </c>
      <c r="Q160" s="35" t="str" cm="1">
        <f t="array" ref="Q160">IF(AF160&lt;&gt;"",IFERROR(INDEX('Group List B'!B:B,MATCH(AI160,'Group List B'!A:A,0),0),"-"),"")</f>
        <v/>
      </c>
      <c r="R160" s="36">
        <f t="shared" si="39"/>
        <v>0</v>
      </c>
      <c r="S160" s="36">
        <f t="shared" si="40"/>
        <v>0</v>
      </c>
      <c r="T160" s="36">
        <f t="shared" si="41"/>
        <v>0</v>
      </c>
      <c r="U160" s="28"/>
      <c r="V160" s="37">
        <f t="shared" si="42"/>
        <v>0</v>
      </c>
      <c r="W160" s="41"/>
      <c r="X160" s="27"/>
      <c r="Y160" s="27"/>
      <c r="Z160" s="27"/>
      <c r="AA160" s="15"/>
      <c r="AB160" s="17"/>
      <c r="AC160" s="17"/>
      <c r="AD160" s="17"/>
      <c r="AE160" s="90"/>
      <c r="AF160" s="82" t="str">
        <f t="shared" si="43"/>
        <v/>
      </c>
      <c r="AG160" s="83" t="str">
        <f t="shared" si="44"/>
        <v/>
      </c>
      <c r="AH160" s="82" t="str">
        <f t="shared" si="45"/>
        <v/>
      </c>
      <c r="AI160" s="82" t="str">
        <f t="shared" si="46"/>
        <v/>
      </c>
      <c r="AJ160" s="90"/>
      <c r="AP160" s="88"/>
    </row>
    <row r="161" spans="1:42" x14ac:dyDescent="0.25">
      <c r="A161" s="2"/>
      <c r="C161" s="68" t="str" cm="1">
        <f t="array" ref="C161">IF(AF161&lt;&gt;"",
IFERROR(INDEX('LaunchPad Markbook'!A:A,MATCH(AH161,'LaunchPad Markbook'!D:D,0),0),"-"),"")</f>
        <v/>
      </c>
      <c r="D161" s="27"/>
      <c r="E161" s="27"/>
      <c r="F161" s="27"/>
      <c r="G161" s="14">
        <f>IF(OR(H161&gt;AB$2,I161&gt;AC$2,J161&gt;AD$2,
P161&gt;1,V161&gt;1,
L161&gt;'Group List A'!E$2,M161&gt;'Group List A'!F$2,N161&gt;'Group List A'!G$2,
R161&gt;'Group List B'!E$2,S161&gt;'Group List B'!F$2,T161&gt;'Group List B'!G$2),"Exceed",
IF(OR(H161=AB$2,I161=AC$2,J161=AD$2,
P161=1,V161=1,
L161='Group List A'!E$2,M161='Group List A'!F$2,N161='Group List A'!G$2,
R161='Group List B'!E$2,S161='Group List B'!F$2,T161='Group List B'!G$2),"Limit",0))</f>
        <v>0</v>
      </c>
      <c r="H161" s="29">
        <f t="shared" si="32"/>
        <v>0</v>
      </c>
      <c r="I161" s="29">
        <f t="shared" si="33"/>
        <v>0</v>
      </c>
      <c r="J161" s="29">
        <f t="shared" si="34"/>
        <v>0</v>
      </c>
      <c r="K161" s="32" t="str" cm="1">
        <f t="array" ref="K161">IF(AF161&lt;&gt;"",IFERROR(INDEX('Group List A'!B:B,MATCH(AI161,'Group List A'!A:A,0),0),"-"),"")</f>
        <v/>
      </c>
      <c r="L161" s="33">
        <f t="shared" si="35"/>
        <v>0</v>
      </c>
      <c r="M161" s="33">
        <f t="shared" si="36"/>
        <v>0</v>
      </c>
      <c r="N161" s="33">
        <f t="shared" si="37"/>
        <v>0</v>
      </c>
      <c r="O161" s="28"/>
      <c r="P161" s="33">
        <f t="shared" si="38"/>
        <v>0</v>
      </c>
      <c r="Q161" s="35" t="str" cm="1">
        <f t="array" ref="Q161">IF(AF161&lt;&gt;"",IFERROR(INDEX('Group List B'!B:B,MATCH(AI161,'Group List B'!A:A,0),0),"-"),"")</f>
        <v/>
      </c>
      <c r="R161" s="36">
        <f t="shared" si="39"/>
        <v>0</v>
      </c>
      <c r="S161" s="36">
        <f t="shared" si="40"/>
        <v>0</v>
      </c>
      <c r="T161" s="36">
        <f t="shared" si="41"/>
        <v>0</v>
      </c>
      <c r="U161" s="28"/>
      <c r="V161" s="37">
        <f t="shared" si="42"/>
        <v>0</v>
      </c>
      <c r="W161" s="41"/>
      <c r="X161" s="27"/>
      <c r="Y161" s="27"/>
      <c r="Z161" s="27"/>
      <c r="AA161" s="15"/>
      <c r="AB161" s="17"/>
      <c r="AC161" s="17"/>
      <c r="AD161" s="17"/>
      <c r="AE161" s="90"/>
      <c r="AF161" s="82" t="str">
        <f t="shared" si="43"/>
        <v/>
      </c>
      <c r="AG161" s="83" t="str">
        <f t="shared" si="44"/>
        <v/>
      </c>
      <c r="AH161" s="82" t="str">
        <f t="shared" si="45"/>
        <v/>
      </c>
      <c r="AI161" s="82" t="str">
        <f t="shared" si="46"/>
        <v/>
      </c>
      <c r="AJ161" s="90"/>
      <c r="AP161" s="88"/>
    </row>
    <row r="162" spans="1:42" x14ac:dyDescent="0.25">
      <c r="A162" s="2"/>
      <c r="C162" s="68" t="str" cm="1">
        <f t="array" ref="C162">IF(AF162&lt;&gt;"",
IFERROR(INDEX('LaunchPad Markbook'!A:A,MATCH(AH162,'LaunchPad Markbook'!D:D,0),0),"-"),"")</f>
        <v/>
      </c>
      <c r="D162" s="27"/>
      <c r="E162" s="27"/>
      <c r="F162" s="27"/>
      <c r="G162" s="14">
        <f>IF(OR(H162&gt;AB$2,I162&gt;AC$2,J162&gt;AD$2,
P162&gt;1,V162&gt;1,
L162&gt;'Group List A'!E$2,M162&gt;'Group List A'!F$2,N162&gt;'Group List A'!G$2,
R162&gt;'Group List B'!E$2,S162&gt;'Group List B'!F$2,T162&gt;'Group List B'!G$2),"Exceed",
IF(OR(H162=AB$2,I162=AC$2,J162=AD$2,
P162=1,V162=1,
L162='Group List A'!E$2,M162='Group List A'!F$2,N162='Group List A'!G$2,
R162='Group List B'!E$2,S162='Group List B'!F$2,T162='Group List B'!G$2),"Limit",0))</f>
        <v>0</v>
      </c>
      <c r="H162" s="29">
        <f t="shared" si="32"/>
        <v>0</v>
      </c>
      <c r="I162" s="29">
        <f t="shared" si="33"/>
        <v>0</v>
      </c>
      <c r="J162" s="29">
        <f t="shared" si="34"/>
        <v>0</v>
      </c>
      <c r="K162" s="32" t="str" cm="1">
        <f t="array" ref="K162">IF(AF162&lt;&gt;"",IFERROR(INDEX('Group List A'!B:B,MATCH(AI162,'Group List A'!A:A,0),0),"-"),"")</f>
        <v/>
      </c>
      <c r="L162" s="33">
        <f t="shared" si="35"/>
        <v>0</v>
      </c>
      <c r="M162" s="33">
        <f t="shared" si="36"/>
        <v>0</v>
      </c>
      <c r="N162" s="33">
        <f t="shared" si="37"/>
        <v>0</v>
      </c>
      <c r="O162" s="28"/>
      <c r="P162" s="33">
        <f t="shared" si="38"/>
        <v>0</v>
      </c>
      <c r="Q162" s="35" t="str" cm="1">
        <f t="array" ref="Q162">IF(AF162&lt;&gt;"",IFERROR(INDEX('Group List B'!B:B,MATCH(AI162,'Group List B'!A:A,0),0),"-"),"")</f>
        <v/>
      </c>
      <c r="R162" s="36">
        <f t="shared" si="39"/>
        <v>0</v>
      </c>
      <c r="S162" s="36">
        <f t="shared" si="40"/>
        <v>0</v>
      </c>
      <c r="T162" s="36">
        <f t="shared" si="41"/>
        <v>0</v>
      </c>
      <c r="U162" s="28"/>
      <c r="V162" s="37">
        <f t="shared" si="42"/>
        <v>0</v>
      </c>
      <c r="W162" s="41"/>
      <c r="X162" s="27"/>
      <c r="Y162" s="27"/>
      <c r="Z162" s="27"/>
      <c r="AA162" s="15"/>
      <c r="AB162" s="17"/>
      <c r="AC162" s="17"/>
      <c r="AD162" s="17"/>
      <c r="AE162" s="90"/>
      <c r="AF162" s="82" t="str">
        <f t="shared" si="43"/>
        <v/>
      </c>
      <c r="AG162" s="83" t="str">
        <f t="shared" si="44"/>
        <v/>
      </c>
      <c r="AH162" s="82" t="str">
        <f t="shared" si="45"/>
        <v/>
      </c>
      <c r="AI162" s="82" t="str">
        <f t="shared" si="46"/>
        <v/>
      </c>
      <c r="AJ162" s="90"/>
      <c r="AP162" s="88"/>
    </row>
    <row r="163" spans="1:42" x14ac:dyDescent="0.25">
      <c r="A163" s="2"/>
      <c r="C163" s="68" t="str" cm="1">
        <f t="array" ref="C163">IF(AF163&lt;&gt;"",
IFERROR(INDEX('LaunchPad Markbook'!A:A,MATCH(AH163,'LaunchPad Markbook'!D:D,0),0),"-"),"")</f>
        <v/>
      </c>
      <c r="D163" s="27"/>
      <c r="E163" s="27"/>
      <c r="F163" s="27"/>
      <c r="G163" s="14">
        <f>IF(OR(H163&gt;AB$2,I163&gt;AC$2,J163&gt;AD$2,
P163&gt;1,V163&gt;1,
L163&gt;'Group List A'!E$2,M163&gt;'Group List A'!F$2,N163&gt;'Group List A'!G$2,
R163&gt;'Group List B'!E$2,S163&gt;'Group List B'!F$2,T163&gt;'Group List B'!G$2),"Exceed",
IF(OR(H163=AB$2,I163=AC$2,J163=AD$2,
P163=1,V163=1,
L163='Group List A'!E$2,M163='Group List A'!F$2,N163='Group List A'!G$2,
R163='Group List B'!E$2,S163='Group List B'!F$2,T163='Group List B'!G$2),"Limit",0))</f>
        <v>0</v>
      </c>
      <c r="H163" s="29">
        <f t="shared" si="32"/>
        <v>0</v>
      </c>
      <c r="I163" s="29">
        <f t="shared" si="33"/>
        <v>0</v>
      </c>
      <c r="J163" s="29">
        <f t="shared" si="34"/>
        <v>0</v>
      </c>
      <c r="K163" s="32" t="str" cm="1">
        <f t="array" ref="K163">IF(AF163&lt;&gt;"",IFERROR(INDEX('Group List A'!B:B,MATCH(AI163,'Group List A'!A:A,0),0),"-"),"")</f>
        <v/>
      </c>
      <c r="L163" s="33">
        <f t="shared" si="35"/>
        <v>0</v>
      </c>
      <c r="M163" s="33">
        <f t="shared" si="36"/>
        <v>0</v>
      </c>
      <c r="N163" s="33">
        <f t="shared" si="37"/>
        <v>0</v>
      </c>
      <c r="O163" s="28"/>
      <c r="P163" s="33">
        <f t="shared" si="38"/>
        <v>0</v>
      </c>
      <c r="Q163" s="35" t="str" cm="1">
        <f t="array" ref="Q163">IF(AF163&lt;&gt;"",IFERROR(INDEX('Group List B'!B:B,MATCH(AI163,'Group List B'!A:A,0),0),"-"),"")</f>
        <v/>
      </c>
      <c r="R163" s="36">
        <f t="shared" si="39"/>
        <v>0</v>
      </c>
      <c r="S163" s="36">
        <f t="shared" si="40"/>
        <v>0</v>
      </c>
      <c r="T163" s="36">
        <f t="shared" si="41"/>
        <v>0</v>
      </c>
      <c r="U163" s="28"/>
      <c r="V163" s="37">
        <f t="shared" si="42"/>
        <v>0</v>
      </c>
      <c r="W163" s="41"/>
      <c r="X163" s="27"/>
      <c r="Y163" s="27"/>
      <c r="Z163" s="27"/>
      <c r="AA163" s="15"/>
      <c r="AB163" s="17"/>
      <c r="AC163" s="17"/>
      <c r="AD163" s="17"/>
      <c r="AE163" s="90"/>
      <c r="AF163" s="82" t="str">
        <f t="shared" si="43"/>
        <v/>
      </c>
      <c r="AG163" s="83" t="str">
        <f t="shared" si="44"/>
        <v/>
      </c>
      <c r="AH163" s="82" t="str">
        <f t="shared" si="45"/>
        <v/>
      </c>
      <c r="AI163" s="82" t="str">
        <f t="shared" si="46"/>
        <v/>
      </c>
      <c r="AJ163" s="90"/>
      <c r="AP163" s="88"/>
    </row>
    <row r="164" spans="1:42" x14ac:dyDescent="0.25">
      <c r="A164" s="2"/>
      <c r="C164" s="68" t="str" cm="1">
        <f t="array" ref="C164">IF(AF164&lt;&gt;"",
IFERROR(INDEX('LaunchPad Markbook'!A:A,MATCH(AH164,'LaunchPad Markbook'!D:D,0),0),"-"),"")</f>
        <v/>
      </c>
      <c r="D164" s="27"/>
      <c r="E164" s="27"/>
      <c r="F164" s="27"/>
      <c r="G164" s="14">
        <f>IF(OR(H164&gt;AB$2,I164&gt;AC$2,J164&gt;AD$2,
P164&gt;1,V164&gt;1,
L164&gt;'Group List A'!E$2,M164&gt;'Group List A'!F$2,N164&gt;'Group List A'!G$2,
R164&gt;'Group List B'!E$2,S164&gt;'Group List B'!F$2,T164&gt;'Group List B'!G$2),"Exceed",
IF(OR(H164=AB$2,I164=AC$2,J164=AD$2,
P164=1,V164=1,
L164='Group List A'!E$2,M164='Group List A'!F$2,N164='Group List A'!G$2,
R164='Group List B'!E$2,S164='Group List B'!F$2,T164='Group List B'!G$2),"Limit",0))</f>
        <v>0</v>
      </c>
      <c r="H164" s="29">
        <f t="shared" si="32"/>
        <v>0</v>
      </c>
      <c r="I164" s="29">
        <f t="shared" si="33"/>
        <v>0</v>
      </c>
      <c r="J164" s="29">
        <f t="shared" si="34"/>
        <v>0</v>
      </c>
      <c r="K164" s="32" t="str" cm="1">
        <f t="array" ref="K164">IF(AF164&lt;&gt;"",IFERROR(INDEX('Group List A'!B:B,MATCH(AI164,'Group List A'!A:A,0),0),"-"),"")</f>
        <v/>
      </c>
      <c r="L164" s="33">
        <f t="shared" si="35"/>
        <v>0</v>
      </c>
      <c r="M164" s="33">
        <f t="shared" si="36"/>
        <v>0</v>
      </c>
      <c r="N164" s="33">
        <f t="shared" si="37"/>
        <v>0</v>
      </c>
      <c r="O164" s="28"/>
      <c r="P164" s="33">
        <f t="shared" si="38"/>
        <v>0</v>
      </c>
      <c r="Q164" s="35" t="str" cm="1">
        <f t="array" ref="Q164">IF(AF164&lt;&gt;"",IFERROR(INDEX('Group List B'!B:B,MATCH(AI164,'Group List B'!A:A,0),0),"-"),"")</f>
        <v/>
      </c>
      <c r="R164" s="36">
        <f t="shared" si="39"/>
        <v>0</v>
      </c>
      <c r="S164" s="36">
        <f t="shared" si="40"/>
        <v>0</v>
      </c>
      <c r="T164" s="36">
        <f t="shared" si="41"/>
        <v>0</v>
      </c>
      <c r="U164" s="28"/>
      <c r="V164" s="37">
        <f t="shared" si="42"/>
        <v>0</v>
      </c>
      <c r="W164" s="41"/>
      <c r="X164" s="27"/>
      <c r="Y164" s="27"/>
      <c r="Z164" s="27"/>
      <c r="AA164" s="15"/>
      <c r="AB164" s="17"/>
      <c r="AC164" s="17"/>
      <c r="AD164" s="17"/>
      <c r="AE164" s="90"/>
      <c r="AF164" s="82" t="str">
        <f t="shared" si="43"/>
        <v/>
      </c>
      <c r="AG164" s="83" t="str">
        <f t="shared" si="44"/>
        <v/>
      </c>
      <c r="AH164" s="82" t="str">
        <f t="shared" si="45"/>
        <v/>
      </c>
      <c r="AI164" s="82" t="str">
        <f t="shared" si="46"/>
        <v/>
      </c>
      <c r="AJ164" s="90"/>
      <c r="AP164" s="88"/>
    </row>
    <row r="165" spans="1:42" x14ac:dyDescent="0.25">
      <c r="A165" s="2"/>
      <c r="C165" s="68" t="str" cm="1">
        <f t="array" ref="C165">IF(AF165&lt;&gt;"",
IFERROR(INDEX('LaunchPad Markbook'!A:A,MATCH(AH165,'LaunchPad Markbook'!D:D,0),0),"-"),"")</f>
        <v/>
      </c>
      <c r="D165" s="27"/>
      <c r="E165" s="27"/>
      <c r="F165" s="27"/>
      <c r="G165" s="14">
        <f>IF(OR(H165&gt;AB$2,I165&gt;AC$2,J165&gt;AD$2,
P165&gt;1,V165&gt;1,
L165&gt;'Group List A'!E$2,M165&gt;'Group List A'!F$2,N165&gt;'Group List A'!G$2,
R165&gt;'Group List B'!E$2,S165&gt;'Group List B'!F$2,T165&gt;'Group List B'!G$2),"Exceed",
IF(OR(H165=AB$2,I165=AC$2,J165=AD$2,
P165=1,V165=1,
L165='Group List A'!E$2,M165='Group List A'!F$2,N165='Group List A'!G$2,
R165='Group List B'!E$2,S165='Group List B'!F$2,T165='Group List B'!G$2),"Limit",0))</f>
        <v>0</v>
      </c>
      <c r="H165" s="29">
        <f t="shared" si="32"/>
        <v>0</v>
      </c>
      <c r="I165" s="29">
        <f t="shared" si="33"/>
        <v>0</v>
      </c>
      <c r="J165" s="29">
        <f t="shared" si="34"/>
        <v>0</v>
      </c>
      <c r="K165" s="32" t="str" cm="1">
        <f t="array" ref="K165">IF(AF165&lt;&gt;"",IFERROR(INDEX('Group List A'!B:B,MATCH(AI165,'Group List A'!A:A,0),0),"-"),"")</f>
        <v/>
      </c>
      <c r="L165" s="33">
        <f t="shared" si="35"/>
        <v>0</v>
      </c>
      <c r="M165" s="33">
        <f t="shared" si="36"/>
        <v>0</v>
      </c>
      <c r="N165" s="33">
        <f t="shared" si="37"/>
        <v>0</v>
      </c>
      <c r="O165" s="28"/>
      <c r="P165" s="33">
        <f t="shared" si="38"/>
        <v>0</v>
      </c>
      <c r="Q165" s="35" t="str" cm="1">
        <f t="array" ref="Q165">IF(AF165&lt;&gt;"",IFERROR(INDEX('Group List B'!B:B,MATCH(AI165,'Group List B'!A:A,0),0),"-"),"")</f>
        <v/>
      </c>
      <c r="R165" s="36">
        <f t="shared" si="39"/>
        <v>0</v>
      </c>
      <c r="S165" s="36">
        <f t="shared" si="40"/>
        <v>0</v>
      </c>
      <c r="T165" s="36">
        <f t="shared" si="41"/>
        <v>0</v>
      </c>
      <c r="U165" s="28"/>
      <c r="V165" s="37">
        <f t="shared" si="42"/>
        <v>0</v>
      </c>
      <c r="W165" s="41"/>
      <c r="X165" s="27"/>
      <c r="Y165" s="27"/>
      <c r="Z165" s="27"/>
      <c r="AA165" s="15"/>
      <c r="AB165" s="17"/>
      <c r="AC165" s="17"/>
      <c r="AD165" s="17"/>
      <c r="AE165" s="90"/>
      <c r="AF165" s="82" t="str">
        <f t="shared" si="43"/>
        <v/>
      </c>
      <c r="AG165" s="83" t="str">
        <f t="shared" si="44"/>
        <v/>
      </c>
      <c r="AH165" s="82" t="str">
        <f t="shared" si="45"/>
        <v/>
      </c>
      <c r="AI165" s="82" t="str">
        <f t="shared" si="46"/>
        <v/>
      </c>
      <c r="AJ165" s="90"/>
      <c r="AP165" s="88"/>
    </row>
    <row r="166" spans="1:42" x14ac:dyDescent="0.25">
      <c r="A166" s="2"/>
      <c r="C166" s="68" t="str" cm="1">
        <f t="array" ref="C166">IF(AF166&lt;&gt;"",
IFERROR(INDEX('LaunchPad Markbook'!A:A,MATCH(AH166,'LaunchPad Markbook'!D:D,0),0),"-"),"")</f>
        <v/>
      </c>
      <c r="D166" s="27"/>
      <c r="E166" s="27"/>
      <c r="F166" s="27"/>
      <c r="G166" s="14">
        <f>IF(OR(H166&gt;AB$2,I166&gt;AC$2,J166&gt;AD$2,
P166&gt;1,V166&gt;1,
L166&gt;'Group List A'!E$2,M166&gt;'Group List A'!F$2,N166&gt;'Group List A'!G$2,
R166&gt;'Group List B'!E$2,S166&gt;'Group List B'!F$2,T166&gt;'Group List B'!G$2),"Exceed",
IF(OR(H166=AB$2,I166=AC$2,J166=AD$2,
P166=1,V166=1,
L166='Group List A'!E$2,M166='Group List A'!F$2,N166='Group List A'!G$2,
R166='Group List B'!E$2,S166='Group List B'!F$2,T166='Group List B'!G$2),"Limit",0))</f>
        <v>0</v>
      </c>
      <c r="H166" s="29">
        <f t="shared" si="32"/>
        <v>0</v>
      </c>
      <c r="I166" s="29">
        <f t="shared" si="33"/>
        <v>0</v>
      </c>
      <c r="J166" s="29">
        <f t="shared" si="34"/>
        <v>0</v>
      </c>
      <c r="K166" s="32" t="str" cm="1">
        <f t="array" ref="K166">IF(AF166&lt;&gt;"",IFERROR(INDEX('Group List A'!B:B,MATCH(AI166,'Group List A'!A:A,0),0),"-"),"")</f>
        <v/>
      </c>
      <c r="L166" s="33">
        <f t="shared" si="35"/>
        <v>0</v>
      </c>
      <c r="M166" s="33">
        <f t="shared" si="36"/>
        <v>0</v>
      </c>
      <c r="N166" s="33">
        <f t="shared" si="37"/>
        <v>0</v>
      </c>
      <c r="O166" s="28"/>
      <c r="P166" s="33">
        <f t="shared" si="38"/>
        <v>0</v>
      </c>
      <c r="Q166" s="35" t="str" cm="1">
        <f t="array" ref="Q166">IF(AF166&lt;&gt;"",IFERROR(INDEX('Group List B'!B:B,MATCH(AI166,'Group List B'!A:A,0),0),"-"),"")</f>
        <v/>
      </c>
      <c r="R166" s="36">
        <f t="shared" si="39"/>
        <v>0</v>
      </c>
      <c r="S166" s="36">
        <f t="shared" si="40"/>
        <v>0</v>
      </c>
      <c r="T166" s="36">
        <f t="shared" si="41"/>
        <v>0</v>
      </c>
      <c r="U166" s="28"/>
      <c r="V166" s="37">
        <f t="shared" si="42"/>
        <v>0</v>
      </c>
      <c r="W166" s="41"/>
      <c r="X166" s="27"/>
      <c r="Y166" s="27"/>
      <c r="Z166" s="27"/>
      <c r="AA166" s="15"/>
      <c r="AB166" s="17"/>
      <c r="AC166" s="17"/>
      <c r="AD166" s="17"/>
      <c r="AE166" s="90"/>
      <c r="AF166" s="82" t="str">
        <f t="shared" si="43"/>
        <v/>
      </c>
      <c r="AG166" s="83" t="str">
        <f t="shared" si="44"/>
        <v/>
      </c>
      <c r="AH166" s="82" t="str">
        <f t="shared" si="45"/>
        <v/>
      </c>
      <c r="AI166" s="82" t="str">
        <f t="shared" si="46"/>
        <v/>
      </c>
      <c r="AJ166" s="90"/>
      <c r="AP166" s="88"/>
    </row>
    <row r="167" spans="1:42" x14ac:dyDescent="0.25">
      <c r="A167" s="2"/>
      <c r="C167" s="68" t="str" cm="1">
        <f t="array" ref="C167">IF(AF167&lt;&gt;"",
IFERROR(INDEX('LaunchPad Markbook'!A:A,MATCH(AH167,'LaunchPad Markbook'!D:D,0),0),"-"),"")</f>
        <v/>
      </c>
      <c r="D167" s="27"/>
      <c r="E167" s="27"/>
      <c r="F167" s="27"/>
      <c r="G167" s="14">
        <f>IF(OR(H167&gt;AB$2,I167&gt;AC$2,J167&gt;AD$2,
P167&gt;1,V167&gt;1,
L167&gt;'Group List A'!E$2,M167&gt;'Group List A'!F$2,N167&gt;'Group List A'!G$2,
R167&gt;'Group List B'!E$2,S167&gt;'Group List B'!F$2,T167&gt;'Group List B'!G$2),"Exceed",
IF(OR(H167=AB$2,I167=AC$2,J167=AD$2,
P167=1,V167=1,
L167='Group List A'!E$2,M167='Group List A'!F$2,N167='Group List A'!G$2,
R167='Group List B'!E$2,S167='Group List B'!F$2,T167='Group List B'!G$2),"Limit",0))</f>
        <v>0</v>
      </c>
      <c r="H167" s="29">
        <f t="shared" si="32"/>
        <v>0</v>
      </c>
      <c r="I167" s="29">
        <f t="shared" si="33"/>
        <v>0</v>
      </c>
      <c r="J167" s="29">
        <f t="shared" si="34"/>
        <v>0</v>
      </c>
      <c r="K167" s="32" t="str" cm="1">
        <f t="array" ref="K167">IF(AF167&lt;&gt;"",IFERROR(INDEX('Group List A'!B:B,MATCH(AI167,'Group List A'!A:A,0),0),"-"),"")</f>
        <v/>
      </c>
      <c r="L167" s="33">
        <f t="shared" si="35"/>
        <v>0</v>
      </c>
      <c r="M167" s="33">
        <f t="shared" si="36"/>
        <v>0</v>
      </c>
      <c r="N167" s="33">
        <f t="shared" si="37"/>
        <v>0</v>
      </c>
      <c r="O167" s="28"/>
      <c r="P167" s="33">
        <f t="shared" si="38"/>
        <v>0</v>
      </c>
      <c r="Q167" s="35" t="str" cm="1">
        <f t="array" ref="Q167">IF(AF167&lt;&gt;"",IFERROR(INDEX('Group List B'!B:B,MATCH(AI167,'Group List B'!A:A,0),0),"-"),"")</f>
        <v/>
      </c>
      <c r="R167" s="36">
        <f t="shared" si="39"/>
        <v>0</v>
      </c>
      <c r="S167" s="36">
        <f t="shared" si="40"/>
        <v>0</v>
      </c>
      <c r="T167" s="36">
        <f t="shared" si="41"/>
        <v>0</v>
      </c>
      <c r="U167" s="28"/>
      <c r="V167" s="37">
        <f t="shared" si="42"/>
        <v>0</v>
      </c>
      <c r="W167" s="41"/>
      <c r="X167" s="27"/>
      <c r="Y167" s="27"/>
      <c r="Z167" s="27"/>
      <c r="AA167" s="15"/>
      <c r="AB167" s="17"/>
      <c r="AC167" s="17"/>
      <c r="AD167" s="17"/>
      <c r="AE167" s="90"/>
      <c r="AF167" s="82" t="str">
        <f t="shared" si="43"/>
        <v/>
      </c>
      <c r="AG167" s="83" t="str">
        <f t="shared" si="44"/>
        <v/>
      </c>
      <c r="AH167" s="82" t="str">
        <f t="shared" si="45"/>
        <v/>
      </c>
      <c r="AI167" s="82" t="str">
        <f t="shared" si="46"/>
        <v/>
      </c>
      <c r="AJ167" s="90"/>
      <c r="AP167" s="88"/>
    </row>
    <row r="168" spans="1:42" x14ac:dyDescent="0.25">
      <c r="A168" s="2"/>
      <c r="C168" s="68" t="str" cm="1">
        <f t="array" ref="C168">IF(AF168&lt;&gt;"",
IFERROR(INDEX('LaunchPad Markbook'!A:A,MATCH(AH168,'LaunchPad Markbook'!D:D,0),0),"-"),"")</f>
        <v/>
      </c>
      <c r="D168" s="27"/>
      <c r="E168" s="27"/>
      <c r="F168" s="27"/>
      <c r="G168" s="14">
        <f>IF(OR(H168&gt;AB$2,I168&gt;AC$2,J168&gt;AD$2,
P168&gt;1,V168&gt;1,
L168&gt;'Group List A'!E$2,M168&gt;'Group List A'!F$2,N168&gt;'Group List A'!G$2,
R168&gt;'Group List B'!E$2,S168&gt;'Group List B'!F$2,T168&gt;'Group List B'!G$2),"Exceed",
IF(OR(H168=AB$2,I168=AC$2,J168=AD$2,
P168=1,V168=1,
L168='Group List A'!E$2,M168='Group List A'!F$2,N168='Group List A'!G$2,
R168='Group List B'!E$2,S168='Group List B'!F$2,T168='Group List B'!G$2),"Limit",0))</f>
        <v>0</v>
      </c>
      <c r="H168" s="29">
        <f t="shared" si="32"/>
        <v>0</v>
      </c>
      <c r="I168" s="29">
        <f t="shared" si="33"/>
        <v>0</v>
      </c>
      <c r="J168" s="29">
        <f t="shared" si="34"/>
        <v>0</v>
      </c>
      <c r="K168" s="32" t="str" cm="1">
        <f t="array" ref="K168">IF(AF168&lt;&gt;"",IFERROR(INDEX('Group List A'!B:B,MATCH(AI168,'Group List A'!A:A,0),0),"-"),"")</f>
        <v/>
      </c>
      <c r="L168" s="33">
        <f t="shared" si="35"/>
        <v>0</v>
      </c>
      <c r="M168" s="33">
        <f t="shared" si="36"/>
        <v>0</v>
      </c>
      <c r="N168" s="33">
        <f t="shared" si="37"/>
        <v>0</v>
      </c>
      <c r="O168" s="28"/>
      <c r="P168" s="33">
        <f t="shared" si="38"/>
        <v>0</v>
      </c>
      <c r="Q168" s="35" t="str" cm="1">
        <f t="array" ref="Q168">IF(AF168&lt;&gt;"",IFERROR(INDEX('Group List B'!B:B,MATCH(AI168,'Group List B'!A:A,0),0),"-"),"")</f>
        <v/>
      </c>
      <c r="R168" s="36">
        <f t="shared" si="39"/>
        <v>0</v>
      </c>
      <c r="S168" s="36">
        <f t="shared" si="40"/>
        <v>0</v>
      </c>
      <c r="T168" s="36">
        <f t="shared" si="41"/>
        <v>0</v>
      </c>
      <c r="U168" s="28"/>
      <c r="V168" s="37">
        <f t="shared" si="42"/>
        <v>0</v>
      </c>
      <c r="W168" s="41"/>
      <c r="X168" s="27"/>
      <c r="Y168" s="27"/>
      <c r="Z168" s="27"/>
      <c r="AA168" s="15"/>
      <c r="AB168" s="17"/>
      <c r="AC168" s="17"/>
      <c r="AD168" s="17"/>
      <c r="AE168" s="90"/>
      <c r="AF168" s="82" t="str">
        <f t="shared" si="43"/>
        <v/>
      </c>
      <c r="AG168" s="83" t="str">
        <f t="shared" si="44"/>
        <v/>
      </c>
      <c r="AH168" s="82" t="str">
        <f t="shared" si="45"/>
        <v/>
      </c>
      <c r="AI168" s="82" t="str">
        <f t="shared" si="46"/>
        <v/>
      </c>
      <c r="AJ168" s="90"/>
      <c r="AP168" s="88"/>
    </row>
    <row r="169" spans="1:42" x14ac:dyDescent="0.25">
      <c r="A169" s="2"/>
      <c r="C169" s="68" t="str" cm="1">
        <f t="array" ref="C169">IF(AF169&lt;&gt;"",
IFERROR(INDEX('LaunchPad Markbook'!A:A,MATCH(AH169,'LaunchPad Markbook'!D:D,0),0),"-"),"")</f>
        <v/>
      </c>
      <c r="D169" s="27"/>
      <c r="E169" s="27"/>
      <c r="F169" s="27"/>
      <c r="G169" s="14">
        <f>IF(OR(H169&gt;AB$2,I169&gt;AC$2,J169&gt;AD$2,
P169&gt;1,V169&gt;1,
L169&gt;'Group List A'!E$2,M169&gt;'Group List A'!F$2,N169&gt;'Group List A'!G$2,
R169&gt;'Group List B'!E$2,S169&gt;'Group List B'!F$2,T169&gt;'Group List B'!G$2),"Exceed",
IF(OR(H169=AB$2,I169=AC$2,J169=AD$2,
P169=1,V169=1,
L169='Group List A'!E$2,M169='Group List A'!F$2,N169='Group List A'!G$2,
R169='Group List B'!E$2,S169='Group List B'!F$2,T169='Group List B'!G$2),"Limit",0))</f>
        <v>0</v>
      </c>
      <c r="H169" s="29">
        <f t="shared" si="32"/>
        <v>0</v>
      </c>
      <c r="I169" s="29">
        <f t="shared" si="33"/>
        <v>0</v>
      </c>
      <c r="J169" s="29">
        <f t="shared" si="34"/>
        <v>0</v>
      </c>
      <c r="K169" s="32" t="str" cm="1">
        <f t="array" ref="K169">IF(AF169&lt;&gt;"",IFERROR(INDEX('Group List A'!B:B,MATCH(AI169,'Group List A'!A:A,0),0),"-"),"")</f>
        <v/>
      </c>
      <c r="L169" s="33">
        <f t="shared" si="35"/>
        <v>0</v>
      </c>
      <c r="M169" s="33">
        <f t="shared" si="36"/>
        <v>0</v>
      </c>
      <c r="N169" s="33">
        <f t="shared" si="37"/>
        <v>0</v>
      </c>
      <c r="O169" s="28"/>
      <c r="P169" s="33">
        <f t="shared" si="38"/>
        <v>0</v>
      </c>
      <c r="Q169" s="35" t="str" cm="1">
        <f t="array" ref="Q169">IF(AF169&lt;&gt;"",IFERROR(INDEX('Group List B'!B:B,MATCH(AI169,'Group List B'!A:A,0),0),"-"),"")</f>
        <v/>
      </c>
      <c r="R169" s="36">
        <f t="shared" si="39"/>
        <v>0</v>
      </c>
      <c r="S169" s="36">
        <f t="shared" si="40"/>
        <v>0</v>
      </c>
      <c r="T169" s="36">
        <f t="shared" si="41"/>
        <v>0</v>
      </c>
      <c r="U169" s="28"/>
      <c r="V169" s="37">
        <f t="shared" si="42"/>
        <v>0</v>
      </c>
      <c r="W169" s="41"/>
      <c r="X169" s="27"/>
      <c r="Y169" s="27"/>
      <c r="Z169" s="27"/>
      <c r="AA169" s="15"/>
      <c r="AB169" s="17"/>
      <c r="AC169" s="17"/>
      <c r="AD169" s="17"/>
      <c r="AE169" s="90"/>
      <c r="AF169" s="82" t="str">
        <f t="shared" si="43"/>
        <v/>
      </c>
      <c r="AG169" s="83" t="str">
        <f t="shared" si="44"/>
        <v/>
      </c>
      <c r="AH169" s="82" t="str">
        <f t="shared" si="45"/>
        <v/>
      </c>
      <c r="AI169" s="82" t="str">
        <f t="shared" si="46"/>
        <v/>
      </c>
      <c r="AJ169" s="90"/>
      <c r="AP169" s="88"/>
    </row>
    <row r="170" spans="1:42" x14ac:dyDescent="0.25">
      <c r="A170" s="2"/>
      <c r="C170" s="68" t="str" cm="1">
        <f t="array" ref="C170">IF(AF170&lt;&gt;"",
IFERROR(INDEX('LaunchPad Markbook'!A:A,MATCH(AH170,'LaunchPad Markbook'!D:D,0),0),"-"),"")</f>
        <v/>
      </c>
      <c r="D170" s="27"/>
      <c r="E170" s="27"/>
      <c r="F170" s="27"/>
      <c r="G170" s="14">
        <f>IF(OR(H170&gt;AB$2,I170&gt;AC$2,J170&gt;AD$2,
P170&gt;1,V170&gt;1,
L170&gt;'Group List A'!E$2,M170&gt;'Group List A'!F$2,N170&gt;'Group List A'!G$2,
R170&gt;'Group List B'!E$2,S170&gt;'Group List B'!F$2,T170&gt;'Group List B'!G$2),"Exceed",
IF(OR(H170=AB$2,I170=AC$2,J170=AD$2,
P170=1,V170=1,
L170='Group List A'!E$2,M170='Group List A'!F$2,N170='Group List A'!G$2,
R170='Group List B'!E$2,S170='Group List B'!F$2,T170='Group List B'!G$2),"Limit",0))</f>
        <v>0</v>
      </c>
      <c r="H170" s="29">
        <f t="shared" si="32"/>
        <v>0</v>
      </c>
      <c r="I170" s="29">
        <f t="shared" si="33"/>
        <v>0</v>
      </c>
      <c r="J170" s="29">
        <f t="shared" si="34"/>
        <v>0</v>
      </c>
      <c r="K170" s="32" t="str" cm="1">
        <f t="array" ref="K170">IF(AF170&lt;&gt;"",IFERROR(INDEX('Group List A'!B:B,MATCH(AI170,'Group List A'!A:A,0),0),"-"),"")</f>
        <v/>
      </c>
      <c r="L170" s="33">
        <f t="shared" si="35"/>
        <v>0</v>
      </c>
      <c r="M170" s="33">
        <f t="shared" si="36"/>
        <v>0</v>
      </c>
      <c r="N170" s="33">
        <f t="shared" si="37"/>
        <v>0</v>
      </c>
      <c r="O170" s="28"/>
      <c r="P170" s="33">
        <f t="shared" si="38"/>
        <v>0</v>
      </c>
      <c r="Q170" s="35" t="str" cm="1">
        <f t="array" ref="Q170">IF(AF170&lt;&gt;"",IFERROR(INDEX('Group List B'!B:B,MATCH(AI170,'Group List B'!A:A,0),0),"-"),"")</f>
        <v/>
      </c>
      <c r="R170" s="36">
        <f t="shared" si="39"/>
        <v>0</v>
      </c>
      <c r="S170" s="36">
        <f t="shared" si="40"/>
        <v>0</v>
      </c>
      <c r="T170" s="36">
        <f t="shared" si="41"/>
        <v>0</v>
      </c>
      <c r="U170" s="28"/>
      <c r="V170" s="37">
        <f t="shared" si="42"/>
        <v>0</v>
      </c>
      <c r="W170" s="41"/>
      <c r="X170" s="27"/>
      <c r="Y170" s="27"/>
      <c r="Z170" s="27"/>
      <c r="AA170" s="15"/>
      <c r="AB170" s="17"/>
      <c r="AC170" s="17"/>
      <c r="AD170" s="17"/>
      <c r="AE170" s="90"/>
      <c r="AF170" s="82" t="str">
        <f t="shared" si="43"/>
        <v/>
      </c>
      <c r="AG170" s="83" t="str">
        <f t="shared" si="44"/>
        <v/>
      </c>
      <c r="AH170" s="82" t="str">
        <f t="shared" si="45"/>
        <v/>
      </c>
      <c r="AI170" s="82" t="str">
        <f t="shared" si="46"/>
        <v/>
      </c>
      <c r="AJ170" s="90"/>
      <c r="AP170" s="88"/>
    </row>
    <row r="171" spans="1:42" x14ac:dyDescent="0.25">
      <c r="A171" s="2"/>
      <c r="C171" s="68" t="str" cm="1">
        <f t="array" ref="C171">IF(AF171&lt;&gt;"",
IFERROR(INDEX('LaunchPad Markbook'!A:A,MATCH(AH171,'LaunchPad Markbook'!D:D,0),0),"-"),"")</f>
        <v/>
      </c>
      <c r="D171" s="27"/>
      <c r="E171" s="27"/>
      <c r="F171" s="27"/>
      <c r="G171" s="14">
        <f>IF(OR(H171&gt;AB$2,I171&gt;AC$2,J171&gt;AD$2,
P171&gt;1,V171&gt;1,
L171&gt;'Group List A'!E$2,M171&gt;'Group List A'!F$2,N171&gt;'Group List A'!G$2,
R171&gt;'Group List B'!E$2,S171&gt;'Group List B'!F$2,T171&gt;'Group List B'!G$2),"Exceed",
IF(OR(H171=AB$2,I171=AC$2,J171=AD$2,
P171=1,V171=1,
L171='Group List A'!E$2,M171='Group List A'!F$2,N171='Group List A'!G$2,
R171='Group List B'!E$2,S171='Group List B'!F$2,T171='Group List B'!G$2),"Limit",0))</f>
        <v>0</v>
      </c>
      <c r="H171" s="29">
        <f t="shared" si="32"/>
        <v>0</v>
      </c>
      <c r="I171" s="29">
        <f t="shared" si="33"/>
        <v>0</v>
      </c>
      <c r="J171" s="29">
        <f t="shared" si="34"/>
        <v>0</v>
      </c>
      <c r="K171" s="32" t="str" cm="1">
        <f t="array" ref="K171">IF(AF171&lt;&gt;"",IFERROR(INDEX('Group List A'!B:B,MATCH(AI171,'Group List A'!A:A,0),0),"-"),"")</f>
        <v/>
      </c>
      <c r="L171" s="33">
        <f t="shared" si="35"/>
        <v>0</v>
      </c>
      <c r="M171" s="33">
        <f t="shared" si="36"/>
        <v>0</v>
      </c>
      <c r="N171" s="33">
        <f t="shared" si="37"/>
        <v>0</v>
      </c>
      <c r="O171" s="28"/>
      <c r="P171" s="33">
        <f t="shared" si="38"/>
        <v>0</v>
      </c>
      <c r="Q171" s="35" t="str" cm="1">
        <f t="array" ref="Q171">IF(AF171&lt;&gt;"",IFERROR(INDEX('Group List B'!B:B,MATCH(AI171,'Group List B'!A:A,0),0),"-"),"")</f>
        <v/>
      </c>
      <c r="R171" s="36">
        <f t="shared" si="39"/>
        <v>0</v>
      </c>
      <c r="S171" s="36">
        <f t="shared" si="40"/>
        <v>0</v>
      </c>
      <c r="T171" s="36">
        <f t="shared" si="41"/>
        <v>0</v>
      </c>
      <c r="U171" s="28"/>
      <c r="V171" s="37">
        <f t="shared" si="42"/>
        <v>0</v>
      </c>
      <c r="W171" s="41"/>
      <c r="X171" s="27"/>
      <c r="Y171" s="27"/>
      <c r="Z171" s="27"/>
      <c r="AA171" s="15"/>
      <c r="AB171" s="17"/>
      <c r="AC171" s="17"/>
      <c r="AD171" s="17"/>
      <c r="AE171" s="90"/>
      <c r="AF171" s="82" t="str">
        <f t="shared" si="43"/>
        <v/>
      </c>
      <c r="AG171" s="83" t="str">
        <f t="shared" si="44"/>
        <v/>
      </c>
      <c r="AH171" s="82" t="str">
        <f t="shared" si="45"/>
        <v/>
      </c>
      <c r="AI171" s="82" t="str">
        <f t="shared" si="46"/>
        <v/>
      </c>
      <c r="AJ171" s="90"/>
      <c r="AP171" s="88"/>
    </row>
    <row r="172" spans="1:42" x14ac:dyDescent="0.25">
      <c r="A172" s="2"/>
      <c r="C172" s="68" t="str" cm="1">
        <f t="array" ref="C172">IF(AF172&lt;&gt;"",
IFERROR(INDEX('LaunchPad Markbook'!A:A,MATCH(AH172,'LaunchPad Markbook'!D:D,0),0),"-"),"")</f>
        <v/>
      </c>
      <c r="D172" s="27"/>
      <c r="E172" s="27"/>
      <c r="F172" s="27"/>
      <c r="G172" s="14">
        <f>IF(OR(H172&gt;AB$2,I172&gt;AC$2,J172&gt;AD$2,
P172&gt;1,V172&gt;1,
L172&gt;'Group List A'!E$2,M172&gt;'Group List A'!F$2,N172&gt;'Group List A'!G$2,
R172&gt;'Group List B'!E$2,S172&gt;'Group List B'!F$2,T172&gt;'Group List B'!G$2),"Exceed",
IF(OR(H172=AB$2,I172=AC$2,J172=AD$2,
P172=1,V172=1,
L172='Group List A'!E$2,M172='Group List A'!F$2,N172='Group List A'!G$2,
R172='Group List B'!E$2,S172='Group List B'!F$2,T172='Group List B'!G$2),"Limit",0))</f>
        <v>0</v>
      </c>
      <c r="H172" s="29">
        <f t="shared" si="32"/>
        <v>0</v>
      </c>
      <c r="I172" s="29">
        <f t="shared" si="33"/>
        <v>0</v>
      </c>
      <c r="J172" s="29">
        <f t="shared" si="34"/>
        <v>0</v>
      </c>
      <c r="K172" s="32" t="str" cm="1">
        <f t="array" ref="K172">IF(AF172&lt;&gt;"",IFERROR(INDEX('Group List A'!B:B,MATCH(AI172,'Group List A'!A:A,0),0),"-"),"")</f>
        <v/>
      </c>
      <c r="L172" s="33">
        <f t="shared" si="35"/>
        <v>0</v>
      </c>
      <c r="M172" s="33">
        <f t="shared" si="36"/>
        <v>0</v>
      </c>
      <c r="N172" s="33">
        <f t="shared" si="37"/>
        <v>0</v>
      </c>
      <c r="O172" s="28"/>
      <c r="P172" s="33">
        <f t="shared" si="38"/>
        <v>0</v>
      </c>
      <c r="Q172" s="35" t="str" cm="1">
        <f t="array" ref="Q172">IF(AF172&lt;&gt;"",IFERROR(INDEX('Group List B'!B:B,MATCH(AI172,'Group List B'!A:A,0),0),"-"),"")</f>
        <v/>
      </c>
      <c r="R172" s="36">
        <f t="shared" si="39"/>
        <v>0</v>
      </c>
      <c r="S172" s="36">
        <f t="shared" si="40"/>
        <v>0</v>
      </c>
      <c r="T172" s="36">
        <f t="shared" si="41"/>
        <v>0</v>
      </c>
      <c r="U172" s="28"/>
      <c r="V172" s="37">
        <f t="shared" si="42"/>
        <v>0</v>
      </c>
      <c r="W172" s="41"/>
      <c r="X172" s="27"/>
      <c r="Y172" s="27"/>
      <c r="Z172" s="27"/>
      <c r="AA172" s="15"/>
      <c r="AB172" s="17"/>
      <c r="AC172" s="17"/>
      <c r="AD172" s="17"/>
      <c r="AE172" s="90"/>
      <c r="AF172" s="82" t="str">
        <f t="shared" si="43"/>
        <v/>
      </c>
      <c r="AG172" s="83" t="str">
        <f t="shared" si="44"/>
        <v/>
      </c>
      <c r="AH172" s="82" t="str">
        <f t="shared" si="45"/>
        <v/>
      </c>
      <c r="AI172" s="82" t="str">
        <f t="shared" si="46"/>
        <v/>
      </c>
      <c r="AJ172" s="90"/>
      <c r="AP172" s="88"/>
    </row>
    <row r="173" spans="1:42" x14ac:dyDescent="0.25">
      <c r="A173" s="2"/>
      <c r="C173" s="68" t="str" cm="1">
        <f t="array" ref="C173">IF(AF173&lt;&gt;"",
IFERROR(INDEX('LaunchPad Markbook'!A:A,MATCH(AH173,'LaunchPad Markbook'!D:D,0),0),"-"),"")</f>
        <v/>
      </c>
      <c r="D173" s="27"/>
      <c r="E173" s="27"/>
      <c r="F173" s="27"/>
      <c r="G173" s="14">
        <f>IF(OR(H173&gt;AB$2,I173&gt;AC$2,J173&gt;AD$2,
P173&gt;1,V173&gt;1,
L173&gt;'Group List A'!E$2,M173&gt;'Group List A'!F$2,N173&gt;'Group List A'!G$2,
R173&gt;'Group List B'!E$2,S173&gt;'Group List B'!F$2,T173&gt;'Group List B'!G$2),"Exceed",
IF(OR(H173=AB$2,I173=AC$2,J173=AD$2,
P173=1,V173=1,
L173='Group List A'!E$2,M173='Group List A'!F$2,N173='Group List A'!G$2,
R173='Group List B'!E$2,S173='Group List B'!F$2,T173='Group List B'!G$2),"Limit",0))</f>
        <v>0</v>
      </c>
      <c r="H173" s="29">
        <f t="shared" si="32"/>
        <v>0</v>
      </c>
      <c r="I173" s="29">
        <f t="shared" si="33"/>
        <v>0</v>
      </c>
      <c r="J173" s="29">
        <f t="shared" si="34"/>
        <v>0</v>
      </c>
      <c r="K173" s="32" t="str" cm="1">
        <f t="array" ref="K173">IF(AF173&lt;&gt;"",IFERROR(INDEX('Group List A'!B:B,MATCH(AI173,'Group List A'!A:A,0),0),"-"),"")</f>
        <v/>
      </c>
      <c r="L173" s="33">
        <f t="shared" si="35"/>
        <v>0</v>
      </c>
      <c r="M173" s="33">
        <f t="shared" si="36"/>
        <v>0</v>
      </c>
      <c r="N173" s="33">
        <f t="shared" si="37"/>
        <v>0</v>
      </c>
      <c r="O173" s="28"/>
      <c r="P173" s="33">
        <f t="shared" si="38"/>
        <v>0</v>
      </c>
      <c r="Q173" s="35" t="str" cm="1">
        <f t="array" ref="Q173">IF(AF173&lt;&gt;"",IFERROR(INDEX('Group List B'!B:B,MATCH(AI173,'Group List B'!A:A,0),0),"-"),"")</f>
        <v/>
      </c>
      <c r="R173" s="36">
        <f t="shared" si="39"/>
        <v>0</v>
      </c>
      <c r="S173" s="36">
        <f t="shared" si="40"/>
        <v>0</v>
      </c>
      <c r="T173" s="36">
        <f t="shared" si="41"/>
        <v>0</v>
      </c>
      <c r="U173" s="28"/>
      <c r="V173" s="37">
        <f t="shared" si="42"/>
        <v>0</v>
      </c>
      <c r="W173" s="41"/>
      <c r="X173" s="27"/>
      <c r="Y173" s="27"/>
      <c r="Z173" s="27"/>
      <c r="AA173" s="15"/>
      <c r="AB173" s="17"/>
      <c r="AC173" s="17"/>
      <c r="AD173" s="17"/>
      <c r="AE173" s="90"/>
      <c r="AF173" s="82" t="str">
        <f t="shared" si="43"/>
        <v/>
      </c>
      <c r="AG173" s="83" t="str">
        <f t="shared" si="44"/>
        <v/>
      </c>
      <c r="AH173" s="82" t="str">
        <f t="shared" si="45"/>
        <v/>
      </c>
      <c r="AI173" s="82" t="str">
        <f t="shared" si="46"/>
        <v/>
      </c>
      <c r="AJ173" s="90"/>
      <c r="AP173" s="88"/>
    </row>
    <row r="174" spans="1:42" x14ac:dyDescent="0.25">
      <c r="A174" s="2"/>
      <c r="C174" s="68" t="str" cm="1">
        <f t="array" ref="C174">IF(AF174&lt;&gt;"",
IFERROR(INDEX('LaunchPad Markbook'!A:A,MATCH(AH174,'LaunchPad Markbook'!D:D,0),0),"-"),"")</f>
        <v/>
      </c>
      <c r="D174" s="27"/>
      <c r="E174" s="27"/>
      <c r="F174" s="27"/>
      <c r="G174" s="14">
        <f>IF(OR(H174&gt;AB$2,I174&gt;AC$2,J174&gt;AD$2,
P174&gt;1,V174&gt;1,
L174&gt;'Group List A'!E$2,M174&gt;'Group List A'!F$2,N174&gt;'Group List A'!G$2,
R174&gt;'Group List B'!E$2,S174&gt;'Group List B'!F$2,T174&gt;'Group List B'!G$2),"Exceed",
IF(OR(H174=AB$2,I174=AC$2,J174=AD$2,
P174=1,V174=1,
L174='Group List A'!E$2,M174='Group List A'!F$2,N174='Group List A'!G$2,
R174='Group List B'!E$2,S174='Group List B'!F$2,T174='Group List B'!G$2),"Limit",0))</f>
        <v>0</v>
      </c>
      <c r="H174" s="29">
        <f t="shared" si="32"/>
        <v>0</v>
      </c>
      <c r="I174" s="29">
        <f t="shared" si="33"/>
        <v>0</v>
      </c>
      <c r="J174" s="29">
        <f t="shared" si="34"/>
        <v>0</v>
      </c>
      <c r="K174" s="32" t="str" cm="1">
        <f t="array" ref="K174">IF(AF174&lt;&gt;"",IFERROR(INDEX('Group List A'!B:B,MATCH(AI174,'Group List A'!A:A,0),0),"-"),"")</f>
        <v/>
      </c>
      <c r="L174" s="33">
        <f t="shared" si="35"/>
        <v>0</v>
      </c>
      <c r="M174" s="33">
        <f t="shared" si="36"/>
        <v>0</v>
      </c>
      <c r="N174" s="33">
        <f t="shared" si="37"/>
        <v>0</v>
      </c>
      <c r="O174" s="28"/>
      <c r="P174" s="33">
        <f t="shared" si="38"/>
        <v>0</v>
      </c>
      <c r="Q174" s="35" t="str" cm="1">
        <f t="array" ref="Q174">IF(AF174&lt;&gt;"",IFERROR(INDEX('Group List B'!B:B,MATCH(AI174,'Group List B'!A:A,0),0),"-"),"")</f>
        <v/>
      </c>
      <c r="R174" s="36">
        <f t="shared" si="39"/>
        <v>0</v>
      </c>
      <c r="S174" s="36">
        <f t="shared" si="40"/>
        <v>0</v>
      </c>
      <c r="T174" s="36">
        <f t="shared" si="41"/>
        <v>0</v>
      </c>
      <c r="U174" s="28"/>
      <c r="V174" s="37">
        <f t="shared" si="42"/>
        <v>0</v>
      </c>
      <c r="W174" s="41"/>
      <c r="X174" s="27"/>
      <c r="Y174" s="27"/>
      <c r="Z174" s="27"/>
      <c r="AA174" s="15"/>
      <c r="AB174" s="17"/>
      <c r="AC174" s="17"/>
      <c r="AD174" s="17"/>
      <c r="AE174" s="90"/>
      <c r="AF174" s="82" t="str">
        <f t="shared" si="43"/>
        <v/>
      </c>
      <c r="AG174" s="83" t="str">
        <f t="shared" si="44"/>
        <v/>
      </c>
      <c r="AH174" s="82" t="str">
        <f t="shared" si="45"/>
        <v/>
      </c>
      <c r="AI174" s="82" t="str">
        <f t="shared" si="46"/>
        <v/>
      </c>
      <c r="AJ174" s="90"/>
      <c r="AP174" s="88"/>
    </row>
    <row r="175" spans="1:42" x14ac:dyDescent="0.25">
      <c r="A175" s="2"/>
      <c r="C175" s="68" t="str" cm="1">
        <f t="array" ref="C175">IF(AF175&lt;&gt;"",
IFERROR(INDEX('LaunchPad Markbook'!A:A,MATCH(AH175,'LaunchPad Markbook'!D:D,0),0),"-"),"")</f>
        <v/>
      </c>
      <c r="D175" s="27"/>
      <c r="E175" s="27"/>
      <c r="F175" s="27"/>
      <c r="G175" s="14">
        <f>IF(OR(H175&gt;AB$2,I175&gt;AC$2,J175&gt;AD$2,
P175&gt;1,V175&gt;1,
L175&gt;'Group List A'!E$2,M175&gt;'Group List A'!F$2,N175&gt;'Group List A'!G$2,
R175&gt;'Group List B'!E$2,S175&gt;'Group List B'!F$2,T175&gt;'Group List B'!G$2),"Exceed",
IF(OR(H175=AB$2,I175=AC$2,J175=AD$2,
P175=1,V175=1,
L175='Group List A'!E$2,M175='Group List A'!F$2,N175='Group List A'!G$2,
R175='Group List B'!E$2,S175='Group List B'!F$2,T175='Group List B'!G$2),"Limit",0))</f>
        <v>0</v>
      </c>
      <c r="H175" s="29">
        <f t="shared" si="32"/>
        <v>0</v>
      </c>
      <c r="I175" s="29">
        <f t="shared" si="33"/>
        <v>0</v>
      </c>
      <c r="J175" s="29">
        <f t="shared" si="34"/>
        <v>0</v>
      </c>
      <c r="K175" s="32" t="str" cm="1">
        <f t="array" ref="K175">IF(AF175&lt;&gt;"",IFERROR(INDEX('Group List A'!B:B,MATCH(AI175,'Group List A'!A:A,0),0),"-"),"")</f>
        <v/>
      </c>
      <c r="L175" s="33">
        <f t="shared" si="35"/>
        <v>0</v>
      </c>
      <c r="M175" s="33">
        <f t="shared" si="36"/>
        <v>0</v>
      </c>
      <c r="N175" s="33">
        <f t="shared" si="37"/>
        <v>0</v>
      </c>
      <c r="O175" s="28"/>
      <c r="P175" s="33">
        <f t="shared" si="38"/>
        <v>0</v>
      </c>
      <c r="Q175" s="35" t="str" cm="1">
        <f t="array" ref="Q175">IF(AF175&lt;&gt;"",IFERROR(INDEX('Group List B'!B:B,MATCH(AI175,'Group List B'!A:A,0),0),"-"),"")</f>
        <v/>
      </c>
      <c r="R175" s="36">
        <f t="shared" si="39"/>
        <v>0</v>
      </c>
      <c r="S175" s="36">
        <f t="shared" si="40"/>
        <v>0</v>
      </c>
      <c r="T175" s="36">
        <f t="shared" si="41"/>
        <v>0</v>
      </c>
      <c r="U175" s="28"/>
      <c r="V175" s="37">
        <f t="shared" si="42"/>
        <v>0</v>
      </c>
      <c r="W175" s="41"/>
      <c r="X175" s="27"/>
      <c r="Y175" s="27"/>
      <c r="Z175" s="27"/>
      <c r="AA175" s="15"/>
      <c r="AB175" s="17"/>
      <c r="AC175" s="17"/>
      <c r="AD175" s="17"/>
      <c r="AE175" s="90"/>
      <c r="AF175" s="82" t="str">
        <f t="shared" si="43"/>
        <v/>
      </c>
      <c r="AG175" s="83" t="str">
        <f t="shared" si="44"/>
        <v/>
      </c>
      <c r="AH175" s="82" t="str">
        <f t="shared" si="45"/>
        <v/>
      </c>
      <c r="AI175" s="82" t="str">
        <f t="shared" si="46"/>
        <v/>
      </c>
      <c r="AJ175" s="90"/>
      <c r="AP175" s="88"/>
    </row>
    <row r="176" spans="1:42" x14ac:dyDescent="0.25">
      <c r="A176" s="2"/>
      <c r="C176" s="68" t="str" cm="1">
        <f t="array" ref="C176">IF(AF176&lt;&gt;"",
IFERROR(INDEX('LaunchPad Markbook'!A:A,MATCH(AH176,'LaunchPad Markbook'!D:D,0),0),"-"),"")</f>
        <v/>
      </c>
      <c r="D176" s="27"/>
      <c r="E176" s="27"/>
      <c r="F176" s="27"/>
      <c r="G176" s="14">
        <f>IF(OR(H176&gt;AB$2,I176&gt;AC$2,J176&gt;AD$2,
P176&gt;1,V176&gt;1,
L176&gt;'Group List A'!E$2,M176&gt;'Group List A'!F$2,N176&gt;'Group List A'!G$2,
R176&gt;'Group List B'!E$2,S176&gt;'Group List B'!F$2,T176&gt;'Group List B'!G$2),"Exceed",
IF(OR(H176=AB$2,I176=AC$2,J176=AD$2,
P176=1,V176=1,
L176='Group List A'!E$2,M176='Group List A'!F$2,N176='Group List A'!G$2,
R176='Group List B'!E$2,S176='Group List B'!F$2,T176='Group List B'!G$2),"Limit",0))</f>
        <v>0</v>
      </c>
      <c r="H176" s="29">
        <f t="shared" si="32"/>
        <v>0</v>
      </c>
      <c r="I176" s="29">
        <f t="shared" si="33"/>
        <v>0</v>
      </c>
      <c r="J176" s="29">
        <f t="shared" si="34"/>
        <v>0</v>
      </c>
      <c r="K176" s="32" t="str" cm="1">
        <f t="array" ref="K176">IF(AF176&lt;&gt;"",IFERROR(INDEX('Group List A'!B:B,MATCH(AI176,'Group List A'!A:A,0),0),"-"),"")</f>
        <v/>
      </c>
      <c r="L176" s="33">
        <f t="shared" si="35"/>
        <v>0</v>
      </c>
      <c r="M176" s="33">
        <f t="shared" si="36"/>
        <v>0</v>
      </c>
      <c r="N176" s="33">
        <f t="shared" si="37"/>
        <v>0</v>
      </c>
      <c r="O176" s="28"/>
      <c r="P176" s="33">
        <f t="shared" si="38"/>
        <v>0</v>
      </c>
      <c r="Q176" s="35" t="str" cm="1">
        <f t="array" ref="Q176">IF(AF176&lt;&gt;"",IFERROR(INDEX('Group List B'!B:B,MATCH(AI176,'Group List B'!A:A,0),0),"-"),"")</f>
        <v/>
      </c>
      <c r="R176" s="36">
        <f t="shared" si="39"/>
        <v>0</v>
      </c>
      <c r="S176" s="36">
        <f t="shared" si="40"/>
        <v>0</v>
      </c>
      <c r="T176" s="36">
        <f t="shared" si="41"/>
        <v>0</v>
      </c>
      <c r="U176" s="28"/>
      <c r="V176" s="37">
        <f t="shared" si="42"/>
        <v>0</v>
      </c>
      <c r="W176" s="41"/>
      <c r="X176" s="27"/>
      <c r="Y176" s="27"/>
      <c r="Z176" s="27"/>
      <c r="AA176" s="15"/>
      <c r="AB176" s="17"/>
      <c r="AC176" s="17"/>
      <c r="AD176" s="17"/>
      <c r="AE176" s="90"/>
      <c r="AF176" s="82" t="str">
        <f t="shared" si="43"/>
        <v/>
      </c>
      <c r="AG176" s="83" t="str">
        <f t="shared" si="44"/>
        <v/>
      </c>
      <c r="AH176" s="82" t="str">
        <f t="shared" si="45"/>
        <v/>
      </c>
      <c r="AI176" s="82" t="str">
        <f t="shared" si="46"/>
        <v/>
      </c>
      <c r="AJ176" s="90"/>
      <c r="AP176" s="88"/>
    </row>
    <row r="177" spans="1:42" x14ac:dyDescent="0.25">
      <c r="A177" s="2"/>
      <c r="C177" s="68" t="str" cm="1">
        <f t="array" ref="C177">IF(AF177&lt;&gt;"",
IFERROR(INDEX('LaunchPad Markbook'!A:A,MATCH(AH177,'LaunchPad Markbook'!D:D,0),0),"-"),"")</f>
        <v/>
      </c>
      <c r="D177" s="27"/>
      <c r="E177" s="27"/>
      <c r="F177" s="27"/>
      <c r="G177" s="14">
        <f>IF(OR(H177&gt;AB$2,I177&gt;AC$2,J177&gt;AD$2,
P177&gt;1,V177&gt;1,
L177&gt;'Group List A'!E$2,M177&gt;'Group List A'!F$2,N177&gt;'Group List A'!G$2,
R177&gt;'Group List B'!E$2,S177&gt;'Group List B'!F$2,T177&gt;'Group List B'!G$2),"Exceed",
IF(OR(H177=AB$2,I177=AC$2,J177=AD$2,
P177=1,V177=1,
L177='Group List A'!E$2,M177='Group List A'!F$2,N177='Group List A'!G$2,
R177='Group List B'!E$2,S177='Group List B'!F$2,T177='Group List B'!G$2),"Limit",0))</f>
        <v>0</v>
      </c>
      <c r="H177" s="29">
        <f t="shared" si="32"/>
        <v>0</v>
      </c>
      <c r="I177" s="29">
        <f t="shared" si="33"/>
        <v>0</v>
      </c>
      <c r="J177" s="29">
        <f t="shared" si="34"/>
        <v>0</v>
      </c>
      <c r="K177" s="32" t="str" cm="1">
        <f t="array" ref="K177">IF(AF177&lt;&gt;"",IFERROR(INDEX('Group List A'!B:B,MATCH(AI177,'Group List A'!A:A,0),0),"-"),"")</f>
        <v/>
      </c>
      <c r="L177" s="33">
        <f t="shared" si="35"/>
        <v>0</v>
      </c>
      <c r="M177" s="33">
        <f t="shared" si="36"/>
        <v>0</v>
      </c>
      <c r="N177" s="33">
        <f t="shared" si="37"/>
        <v>0</v>
      </c>
      <c r="O177" s="28"/>
      <c r="P177" s="33">
        <f t="shared" si="38"/>
        <v>0</v>
      </c>
      <c r="Q177" s="35" t="str" cm="1">
        <f t="array" ref="Q177">IF(AF177&lt;&gt;"",IFERROR(INDEX('Group List B'!B:B,MATCH(AI177,'Group List B'!A:A,0),0),"-"),"")</f>
        <v/>
      </c>
      <c r="R177" s="36">
        <f t="shared" si="39"/>
        <v>0</v>
      </c>
      <c r="S177" s="36">
        <f t="shared" si="40"/>
        <v>0</v>
      </c>
      <c r="T177" s="36">
        <f t="shared" si="41"/>
        <v>0</v>
      </c>
      <c r="U177" s="28"/>
      <c r="V177" s="37">
        <f t="shared" si="42"/>
        <v>0</v>
      </c>
      <c r="W177" s="41"/>
      <c r="X177" s="27"/>
      <c r="Y177" s="27"/>
      <c r="Z177" s="27"/>
      <c r="AA177" s="15"/>
      <c r="AB177" s="17"/>
      <c r="AC177" s="17"/>
      <c r="AD177" s="17"/>
      <c r="AE177" s="90"/>
      <c r="AF177" s="82" t="str">
        <f t="shared" si="43"/>
        <v/>
      </c>
      <c r="AG177" s="83" t="str">
        <f t="shared" si="44"/>
        <v/>
      </c>
      <c r="AH177" s="82" t="str">
        <f t="shared" si="45"/>
        <v/>
      </c>
      <c r="AI177" s="82" t="str">
        <f t="shared" si="46"/>
        <v/>
      </c>
      <c r="AJ177" s="90"/>
      <c r="AP177" s="88"/>
    </row>
    <row r="178" spans="1:42" x14ac:dyDescent="0.25">
      <c r="A178" s="2"/>
      <c r="C178" s="68" t="str" cm="1">
        <f t="array" ref="C178">IF(AF178&lt;&gt;"",
IFERROR(INDEX('LaunchPad Markbook'!A:A,MATCH(AH178,'LaunchPad Markbook'!D:D,0),0),"-"),"")</f>
        <v/>
      </c>
      <c r="D178" s="27"/>
      <c r="E178" s="27"/>
      <c r="F178" s="27"/>
      <c r="G178" s="14">
        <f>IF(OR(H178&gt;AB$2,I178&gt;AC$2,J178&gt;AD$2,
P178&gt;1,V178&gt;1,
L178&gt;'Group List A'!E$2,M178&gt;'Group List A'!F$2,N178&gt;'Group List A'!G$2,
R178&gt;'Group List B'!E$2,S178&gt;'Group List B'!F$2,T178&gt;'Group List B'!G$2),"Exceed",
IF(OR(H178=AB$2,I178=AC$2,J178=AD$2,
P178=1,V178=1,
L178='Group List A'!E$2,M178='Group List A'!F$2,N178='Group List A'!G$2,
R178='Group List B'!E$2,S178='Group List B'!F$2,T178='Group List B'!G$2),"Limit",0))</f>
        <v>0</v>
      </c>
      <c r="H178" s="29">
        <f t="shared" si="32"/>
        <v>0</v>
      </c>
      <c r="I178" s="29">
        <f t="shared" si="33"/>
        <v>0</v>
      </c>
      <c r="J178" s="29">
        <f t="shared" si="34"/>
        <v>0</v>
      </c>
      <c r="K178" s="32" t="str" cm="1">
        <f t="array" ref="K178">IF(AF178&lt;&gt;"",IFERROR(INDEX('Group List A'!B:B,MATCH(AI178,'Group List A'!A:A,0),0),"-"),"")</f>
        <v/>
      </c>
      <c r="L178" s="33">
        <f t="shared" si="35"/>
        <v>0</v>
      </c>
      <c r="M178" s="33">
        <f t="shared" si="36"/>
        <v>0</v>
      </c>
      <c r="N178" s="33">
        <f t="shared" si="37"/>
        <v>0</v>
      </c>
      <c r="O178" s="28"/>
      <c r="P178" s="33">
        <f t="shared" si="38"/>
        <v>0</v>
      </c>
      <c r="Q178" s="35" t="str" cm="1">
        <f t="array" ref="Q178">IF(AF178&lt;&gt;"",IFERROR(INDEX('Group List B'!B:B,MATCH(AI178,'Group List B'!A:A,0),0),"-"),"")</f>
        <v/>
      </c>
      <c r="R178" s="36">
        <f t="shared" si="39"/>
        <v>0</v>
      </c>
      <c r="S178" s="36">
        <f t="shared" si="40"/>
        <v>0</v>
      </c>
      <c r="T178" s="36">
        <f t="shared" si="41"/>
        <v>0</v>
      </c>
      <c r="U178" s="28"/>
      <c r="V178" s="37">
        <f t="shared" si="42"/>
        <v>0</v>
      </c>
      <c r="W178" s="41"/>
      <c r="X178" s="27"/>
      <c r="Y178" s="27"/>
      <c r="Z178" s="27"/>
      <c r="AA178" s="15"/>
      <c r="AB178" s="17"/>
      <c r="AC178" s="17"/>
      <c r="AD178" s="17"/>
      <c r="AE178" s="90"/>
      <c r="AF178" s="82" t="str">
        <f t="shared" si="43"/>
        <v/>
      </c>
      <c r="AG178" s="83" t="str">
        <f t="shared" si="44"/>
        <v/>
      </c>
      <c r="AH178" s="82" t="str">
        <f t="shared" si="45"/>
        <v/>
      </c>
      <c r="AI178" s="82" t="str">
        <f t="shared" si="46"/>
        <v/>
      </c>
      <c r="AJ178" s="90"/>
      <c r="AP178" s="88"/>
    </row>
    <row r="179" spans="1:42" x14ac:dyDescent="0.25">
      <c r="A179" s="2"/>
      <c r="C179" s="68" t="str" cm="1">
        <f t="array" ref="C179">IF(AF179&lt;&gt;"",
IFERROR(INDEX('LaunchPad Markbook'!A:A,MATCH(AH179,'LaunchPad Markbook'!D:D,0),0),"-"),"")</f>
        <v/>
      </c>
      <c r="D179" s="27"/>
      <c r="E179" s="27"/>
      <c r="F179" s="27"/>
      <c r="G179" s="14">
        <f>IF(OR(H179&gt;AB$2,I179&gt;AC$2,J179&gt;AD$2,
P179&gt;1,V179&gt;1,
L179&gt;'Group List A'!E$2,M179&gt;'Group List A'!F$2,N179&gt;'Group List A'!G$2,
R179&gt;'Group List B'!E$2,S179&gt;'Group List B'!F$2,T179&gt;'Group List B'!G$2),"Exceed",
IF(OR(H179=AB$2,I179=AC$2,J179=AD$2,
P179=1,V179=1,
L179='Group List A'!E$2,M179='Group List A'!F$2,N179='Group List A'!G$2,
R179='Group List B'!E$2,S179='Group List B'!F$2,T179='Group List B'!G$2),"Limit",0))</f>
        <v>0</v>
      </c>
      <c r="H179" s="29">
        <f t="shared" si="32"/>
        <v>0</v>
      </c>
      <c r="I179" s="29">
        <f t="shared" si="33"/>
        <v>0</v>
      </c>
      <c r="J179" s="29">
        <f t="shared" si="34"/>
        <v>0</v>
      </c>
      <c r="K179" s="32" t="str" cm="1">
        <f t="array" ref="K179">IF(AF179&lt;&gt;"",IFERROR(INDEX('Group List A'!B:B,MATCH(AI179,'Group List A'!A:A,0),0),"-"),"")</f>
        <v/>
      </c>
      <c r="L179" s="33">
        <f t="shared" si="35"/>
        <v>0</v>
      </c>
      <c r="M179" s="33">
        <f t="shared" si="36"/>
        <v>0</v>
      </c>
      <c r="N179" s="33">
        <f t="shared" si="37"/>
        <v>0</v>
      </c>
      <c r="O179" s="28"/>
      <c r="P179" s="33">
        <f t="shared" si="38"/>
        <v>0</v>
      </c>
      <c r="Q179" s="35" t="str" cm="1">
        <f t="array" ref="Q179">IF(AF179&lt;&gt;"",IFERROR(INDEX('Group List B'!B:B,MATCH(AI179,'Group List B'!A:A,0),0),"-"),"")</f>
        <v/>
      </c>
      <c r="R179" s="36">
        <f t="shared" si="39"/>
        <v>0</v>
      </c>
      <c r="S179" s="36">
        <f t="shared" si="40"/>
        <v>0</v>
      </c>
      <c r="T179" s="36">
        <f t="shared" si="41"/>
        <v>0</v>
      </c>
      <c r="U179" s="28"/>
      <c r="V179" s="37">
        <f t="shared" si="42"/>
        <v>0</v>
      </c>
      <c r="W179" s="41"/>
      <c r="X179" s="27"/>
      <c r="Y179" s="27"/>
      <c r="Z179" s="27"/>
      <c r="AA179" s="15"/>
      <c r="AB179" s="17"/>
      <c r="AC179" s="17"/>
      <c r="AD179" s="17"/>
      <c r="AE179" s="90"/>
      <c r="AF179" s="82" t="str">
        <f t="shared" si="43"/>
        <v/>
      </c>
      <c r="AG179" s="83" t="str">
        <f t="shared" si="44"/>
        <v/>
      </c>
      <c r="AH179" s="82" t="str">
        <f t="shared" si="45"/>
        <v/>
      </c>
      <c r="AI179" s="82" t="str">
        <f t="shared" si="46"/>
        <v/>
      </c>
      <c r="AJ179" s="90"/>
      <c r="AP179" s="88"/>
    </row>
    <row r="180" spans="1:42" x14ac:dyDescent="0.25">
      <c r="A180" s="2"/>
      <c r="C180" s="68" t="str" cm="1">
        <f t="array" ref="C180">IF(AF180&lt;&gt;"",
IFERROR(INDEX('LaunchPad Markbook'!A:A,MATCH(AH180,'LaunchPad Markbook'!D:D,0),0),"-"),"")</f>
        <v/>
      </c>
      <c r="D180" s="27"/>
      <c r="E180" s="27"/>
      <c r="F180" s="27"/>
      <c r="G180" s="14">
        <f>IF(OR(H180&gt;AB$2,I180&gt;AC$2,J180&gt;AD$2,
P180&gt;1,V180&gt;1,
L180&gt;'Group List A'!E$2,M180&gt;'Group List A'!F$2,N180&gt;'Group List A'!G$2,
R180&gt;'Group List B'!E$2,S180&gt;'Group List B'!F$2,T180&gt;'Group List B'!G$2),"Exceed",
IF(OR(H180=AB$2,I180=AC$2,J180=AD$2,
P180=1,V180=1,
L180='Group List A'!E$2,M180='Group List A'!F$2,N180='Group List A'!G$2,
R180='Group List B'!E$2,S180='Group List B'!F$2,T180='Group List B'!G$2),"Limit",0))</f>
        <v>0</v>
      </c>
      <c r="H180" s="29">
        <f t="shared" si="32"/>
        <v>0</v>
      </c>
      <c r="I180" s="29">
        <f t="shared" si="33"/>
        <v>0</v>
      </c>
      <c r="J180" s="29">
        <f t="shared" si="34"/>
        <v>0</v>
      </c>
      <c r="K180" s="32" t="str" cm="1">
        <f t="array" ref="K180">IF(AF180&lt;&gt;"",IFERROR(INDEX('Group List A'!B:B,MATCH(AI180,'Group List A'!A:A,0),0),"-"),"")</f>
        <v/>
      </c>
      <c r="L180" s="33">
        <f t="shared" si="35"/>
        <v>0</v>
      </c>
      <c r="M180" s="33">
        <f t="shared" si="36"/>
        <v>0</v>
      </c>
      <c r="N180" s="33">
        <f t="shared" si="37"/>
        <v>0</v>
      </c>
      <c r="O180" s="28"/>
      <c r="P180" s="33">
        <f t="shared" si="38"/>
        <v>0</v>
      </c>
      <c r="Q180" s="35" t="str" cm="1">
        <f t="array" ref="Q180">IF(AF180&lt;&gt;"",IFERROR(INDEX('Group List B'!B:B,MATCH(AI180,'Group List B'!A:A,0),0),"-"),"")</f>
        <v/>
      </c>
      <c r="R180" s="36">
        <f t="shared" si="39"/>
        <v>0</v>
      </c>
      <c r="S180" s="36">
        <f t="shared" si="40"/>
        <v>0</v>
      </c>
      <c r="T180" s="36">
        <f t="shared" si="41"/>
        <v>0</v>
      </c>
      <c r="U180" s="28"/>
      <c r="V180" s="37">
        <f t="shared" si="42"/>
        <v>0</v>
      </c>
      <c r="W180" s="41"/>
      <c r="X180" s="27"/>
      <c r="Y180" s="27"/>
      <c r="Z180" s="27"/>
      <c r="AA180" s="15"/>
      <c r="AB180" s="17"/>
      <c r="AC180" s="17"/>
      <c r="AD180" s="17"/>
      <c r="AE180" s="90"/>
      <c r="AF180" s="82" t="str">
        <f t="shared" si="43"/>
        <v/>
      </c>
      <c r="AG180" s="83" t="str">
        <f t="shared" si="44"/>
        <v/>
      </c>
      <c r="AH180" s="82" t="str">
        <f t="shared" si="45"/>
        <v/>
      </c>
      <c r="AI180" s="82" t="str">
        <f t="shared" si="46"/>
        <v/>
      </c>
      <c r="AJ180" s="90"/>
      <c r="AP180" s="88"/>
    </row>
    <row r="181" spans="1:42" x14ac:dyDescent="0.25">
      <c r="A181" s="2"/>
      <c r="C181" s="68" t="str" cm="1">
        <f t="array" ref="C181">IF(AF181&lt;&gt;"",
IFERROR(INDEX('LaunchPad Markbook'!A:A,MATCH(AH181,'LaunchPad Markbook'!D:D,0),0),"-"),"")</f>
        <v/>
      </c>
      <c r="D181" s="27"/>
      <c r="E181" s="27"/>
      <c r="F181" s="27"/>
      <c r="G181" s="14">
        <f>IF(OR(H181&gt;AB$2,I181&gt;AC$2,J181&gt;AD$2,
P181&gt;1,V181&gt;1,
L181&gt;'Group List A'!E$2,M181&gt;'Group List A'!F$2,N181&gt;'Group List A'!G$2,
R181&gt;'Group List B'!E$2,S181&gt;'Group List B'!F$2,T181&gt;'Group List B'!G$2),"Exceed",
IF(OR(H181=AB$2,I181=AC$2,J181=AD$2,
P181=1,V181=1,
L181='Group List A'!E$2,M181='Group List A'!F$2,N181='Group List A'!G$2,
R181='Group List B'!E$2,S181='Group List B'!F$2,T181='Group List B'!G$2),"Limit",0))</f>
        <v>0</v>
      </c>
      <c r="H181" s="29">
        <f t="shared" si="32"/>
        <v>0</v>
      </c>
      <c r="I181" s="29">
        <f t="shared" si="33"/>
        <v>0</v>
      </c>
      <c r="J181" s="29">
        <f t="shared" si="34"/>
        <v>0</v>
      </c>
      <c r="K181" s="32" t="str" cm="1">
        <f t="array" ref="K181">IF(AF181&lt;&gt;"",IFERROR(INDEX('Group List A'!B:B,MATCH(AI181,'Group List A'!A:A,0),0),"-"),"")</f>
        <v/>
      </c>
      <c r="L181" s="33">
        <f t="shared" si="35"/>
        <v>0</v>
      </c>
      <c r="M181" s="33">
        <f t="shared" si="36"/>
        <v>0</v>
      </c>
      <c r="N181" s="33">
        <f t="shared" si="37"/>
        <v>0</v>
      </c>
      <c r="O181" s="28"/>
      <c r="P181" s="33">
        <f t="shared" si="38"/>
        <v>0</v>
      </c>
      <c r="Q181" s="35" t="str" cm="1">
        <f t="array" ref="Q181">IF(AF181&lt;&gt;"",IFERROR(INDEX('Group List B'!B:B,MATCH(AI181,'Group List B'!A:A,0),0),"-"),"")</f>
        <v/>
      </c>
      <c r="R181" s="36">
        <f t="shared" si="39"/>
        <v>0</v>
      </c>
      <c r="S181" s="36">
        <f t="shared" si="40"/>
        <v>0</v>
      </c>
      <c r="T181" s="36">
        <f t="shared" si="41"/>
        <v>0</v>
      </c>
      <c r="U181" s="28"/>
      <c r="V181" s="37">
        <f t="shared" si="42"/>
        <v>0</v>
      </c>
      <c r="W181" s="41"/>
      <c r="X181" s="27"/>
      <c r="Y181" s="27"/>
      <c r="Z181" s="27"/>
      <c r="AA181" s="15"/>
      <c r="AB181" s="17"/>
      <c r="AC181" s="17"/>
      <c r="AD181" s="17"/>
      <c r="AE181" s="90"/>
      <c r="AF181" s="82" t="str">
        <f t="shared" si="43"/>
        <v/>
      </c>
      <c r="AG181" s="83" t="str">
        <f t="shared" si="44"/>
        <v/>
      </c>
      <c r="AH181" s="82" t="str">
        <f t="shared" si="45"/>
        <v/>
      </c>
      <c r="AI181" s="82" t="str">
        <f t="shared" si="46"/>
        <v/>
      </c>
      <c r="AJ181" s="90"/>
      <c r="AP181" s="88"/>
    </row>
    <row r="182" spans="1:42" x14ac:dyDescent="0.25">
      <c r="A182" s="2"/>
      <c r="C182" s="68" t="str" cm="1">
        <f t="array" ref="C182">IF(AF182&lt;&gt;"",
IFERROR(INDEX('LaunchPad Markbook'!A:A,MATCH(AH182,'LaunchPad Markbook'!D:D,0),0),"-"),"")</f>
        <v/>
      </c>
      <c r="D182" s="27"/>
      <c r="E182" s="27"/>
      <c r="F182" s="27"/>
      <c r="G182" s="14">
        <f>IF(OR(H182&gt;AB$2,I182&gt;AC$2,J182&gt;AD$2,
P182&gt;1,V182&gt;1,
L182&gt;'Group List A'!E$2,M182&gt;'Group List A'!F$2,N182&gt;'Group List A'!G$2,
R182&gt;'Group List B'!E$2,S182&gt;'Group List B'!F$2,T182&gt;'Group List B'!G$2),"Exceed",
IF(OR(H182=AB$2,I182=AC$2,J182=AD$2,
P182=1,V182=1,
L182='Group List A'!E$2,M182='Group List A'!F$2,N182='Group List A'!G$2,
R182='Group List B'!E$2,S182='Group List B'!F$2,T182='Group List B'!G$2),"Limit",0))</f>
        <v>0</v>
      </c>
      <c r="H182" s="29">
        <f t="shared" si="32"/>
        <v>0</v>
      </c>
      <c r="I182" s="29">
        <f t="shared" si="33"/>
        <v>0</v>
      </c>
      <c r="J182" s="29">
        <f t="shared" si="34"/>
        <v>0</v>
      </c>
      <c r="K182" s="32" t="str" cm="1">
        <f t="array" ref="K182">IF(AF182&lt;&gt;"",IFERROR(INDEX('Group List A'!B:B,MATCH(AI182,'Group List A'!A:A,0),0),"-"),"")</f>
        <v/>
      </c>
      <c r="L182" s="33">
        <f t="shared" si="35"/>
        <v>0</v>
      </c>
      <c r="M182" s="33">
        <f t="shared" si="36"/>
        <v>0</v>
      </c>
      <c r="N182" s="33">
        <f t="shared" si="37"/>
        <v>0</v>
      </c>
      <c r="O182" s="28"/>
      <c r="P182" s="33">
        <f t="shared" si="38"/>
        <v>0</v>
      </c>
      <c r="Q182" s="35" t="str" cm="1">
        <f t="array" ref="Q182">IF(AF182&lt;&gt;"",IFERROR(INDEX('Group List B'!B:B,MATCH(AI182,'Group List B'!A:A,0),0),"-"),"")</f>
        <v/>
      </c>
      <c r="R182" s="36">
        <f t="shared" si="39"/>
        <v>0</v>
      </c>
      <c r="S182" s="36">
        <f t="shared" si="40"/>
        <v>0</v>
      </c>
      <c r="T182" s="36">
        <f t="shared" si="41"/>
        <v>0</v>
      </c>
      <c r="U182" s="28"/>
      <c r="V182" s="37">
        <f t="shared" si="42"/>
        <v>0</v>
      </c>
      <c r="W182" s="41"/>
      <c r="X182" s="27"/>
      <c r="Y182" s="27"/>
      <c r="Z182" s="27"/>
      <c r="AA182" s="15"/>
      <c r="AB182" s="17"/>
      <c r="AC182" s="17"/>
      <c r="AD182" s="17"/>
      <c r="AE182" s="90"/>
      <c r="AF182" s="82" t="str">
        <f t="shared" si="43"/>
        <v/>
      </c>
      <c r="AG182" s="83" t="str">
        <f t="shared" si="44"/>
        <v/>
      </c>
      <c r="AH182" s="82" t="str">
        <f t="shared" si="45"/>
        <v/>
      </c>
      <c r="AI182" s="82" t="str">
        <f t="shared" si="46"/>
        <v/>
      </c>
      <c r="AJ182" s="90"/>
      <c r="AP182" s="88"/>
    </row>
    <row r="183" spans="1:42" x14ac:dyDescent="0.25">
      <c r="A183" s="2"/>
      <c r="C183" s="68" t="str" cm="1">
        <f t="array" ref="C183">IF(AF183&lt;&gt;"",
IFERROR(INDEX('LaunchPad Markbook'!A:A,MATCH(AH183,'LaunchPad Markbook'!D:D,0),0),"-"),"")</f>
        <v/>
      </c>
      <c r="D183" s="27"/>
      <c r="E183" s="27"/>
      <c r="F183" s="27"/>
      <c r="G183" s="14">
        <f>IF(OR(H183&gt;AB$2,I183&gt;AC$2,J183&gt;AD$2,
P183&gt;1,V183&gt;1,
L183&gt;'Group List A'!E$2,M183&gt;'Group List A'!F$2,N183&gt;'Group List A'!G$2,
R183&gt;'Group List B'!E$2,S183&gt;'Group List B'!F$2,T183&gt;'Group List B'!G$2),"Exceed",
IF(OR(H183=AB$2,I183=AC$2,J183=AD$2,
P183=1,V183=1,
L183='Group List A'!E$2,M183='Group List A'!F$2,N183='Group List A'!G$2,
R183='Group List B'!E$2,S183='Group List B'!F$2,T183='Group List B'!G$2),"Limit",0))</f>
        <v>0</v>
      </c>
      <c r="H183" s="29">
        <f t="shared" si="32"/>
        <v>0</v>
      </c>
      <c r="I183" s="29">
        <f t="shared" si="33"/>
        <v>0</v>
      </c>
      <c r="J183" s="29">
        <f t="shared" si="34"/>
        <v>0</v>
      </c>
      <c r="K183" s="32" t="str" cm="1">
        <f t="array" ref="K183">IF(AF183&lt;&gt;"",IFERROR(INDEX('Group List A'!B:B,MATCH(AI183,'Group List A'!A:A,0),0),"-"),"")</f>
        <v/>
      </c>
      <c r="L183" s="33">
        <f t="shared" si="35"/>
        <v>0</v>
      </c>
      <c r="M183" s="33">
        <f t="shared" si="36"/>
        <v>0</v>
      </c>
      <c r="N183" s="33">
        <f t="shared" si="37"/>
        <v>0</v>
      </c>
      <c r="O183" s="28"/>
      <c r="P183" s="33">
        <f t="shared" si="38"/>
        <v>0</v>
      </c>
      <c r="Q183" s="35" t="str" cm="1">
        <f t="array" ref="Q183">IF(AF183&lt;&gt;"",IFERROR(INDEX('Group List B'!B:B,MATCH(AI183,'Group List B'!A:A,0),0),"-"),"")</f>
        <v/>
      </c>
      <c r="R183" s="36">
        <f t="shared" si="39"/>
        <v>0</v>
      </c>
      <c r="S183" s="36">
        <f t="shared" si="40"/>
        <v>0</v>
      </c>
      <c r="T183" s="36">
        <f t="shared" si="41"/>
        <v>0</v>
      </c>
      <c r="U183" s="28"/>
      <c r="V183" s="37">
        <f t="shared" si="42"/>
        <v>0</v>
      </c>
      <c r="W183" s="41"/>
      <c r="X183" s="27"/>
      <c r="Y183" s="27"/>
      <c r="Z183" s="27"/>
      <c r="AA183" s="15"/>
      <c r="AB183" s="17"/>
      <c r="AC183" s="17"/>
      <c r="AD183" s="17"/>
      <c r="AE183" s="90"/>
      <c r="AF183" s="82" t="str">
        <f t="shared" si="43"/>
        <v/>
      </c>
      <c r="AG183" s="83" t="str">
        <f t="shared" si="44"/>
        <v/>
      </c>
      <c r="AH183" s="82" t="str">
        <f t="shared" si="45"/>
        <v/>
      </c>
      <c r="AI183" s="82" t="str">
        <f t="shared" si="46"/>
        <v/>
      </c>
      <c r="AJ183" s="90"/>
      <c r="AP183" s="88"/>
    </row>
    <row r="184" spans="1:42" x14ac:dyDescent="0.25">
      <c r="A184" s="2"/>
      <c r="C184" s="68" t="str" cm="1">
        <f t="array" ref="C184">IF(AF184&lt;&gt;"",
IFERROR(INDEX('LaunchPad Markbook'!A:A,MATCH(AH184,'LaunchPad Markbook'!D:D,0),0),"-"),"")</f>
        <v/>
      </c>
      <c r="D184" s="27"/>
      <c r="E184" s="27"/>
      <c r="F184" s="27"/>
      <c r="G184" s="14">
        <f>IF(OR(H184&gt;AB$2,I184&gt;AC$2,J184&gt;AD$2,
P184&gt;1,V184&gt;1,
L184&gt;'Group List A'!E$2,M184&gt;'Group List A'!F$2,N184&gt;'Group List A'!G$2,
R184&gt;'Group List B'!E$2,S184&gt;'Group List B'!F$2,T184&gt;'Group List B'!G$2),"Exceed",
IF(OR(H184=AB$2,I184=AC$2,J184=AD$2,
P184=1,V184=1,
L184='Group List A'!E$2,M184='Group List A'!F$2,N184='Group List A'!G$2,
R184='Group List B'!E$2,S184='Group List B'!F$2,T184='Group List B'!G$2),"Limit",0))</f>
        <v>0</v>
      </c>
      <c r="H184" s="29">
        <f t="shared" si="32"/>
        <v>0</v>
      </c>
      <c r="I184" s="29">
        <f t="shared" si="33"/>
        <v>0</v>
      </c>
      <c r="J184" s="29">
        <f t="shared" si="34"/>
        <v>0</v>
      </c>
      <c r="K184" s="32" t="str" cm="1">
        <f t="array" ref="K184">IF(AF184&lt;&gt;"",IFERROR(INDEX('Group List A'!B:B,MATCH(AI184,'Group List A'!A:A,0),0),"-"),"")</f>
        <v/>
      </c>
      <c r="L184" s="33">
        <f t="shared" si="35"/>
        <v>0</v>
      </c>
      <c r="M184" s="33">
        <f t="shared" si="36"/>
        <v>0</v>
      </c>
      <c r="N184" s="33">
        <f t="shared" si="37"/>
        <v>0</v>
      </c>
      <c r="O184" s="28"/>
      <c r="P184" s="33">
        <f t="shared" si="38"/>
        <v>0</v>
      </c>
      <c r="Q184" s="35" t="str" cm="1">
        <f t="array" ref="Q184">IF(AF184&lt;&gt;"",IFERROR(INDEX('Group List B'!B:B,MATCH(AI184,'Group List B'!A:A,0),0),"-"),"")</f>
        <v/>
      </c>
      <c r="R184" s="36">
        <f t="shared" si="39"/>
        <v>0</v>
      </c>
      <c r="S184" s="36">
        <f t="shared" si="40"/>
        <v>0</v>
      </c>
      <c r="T184" s="36">
        <f t="shared" si="41"/>
        <v>0</v>
      </c>
      <c r="U184" s="28"/>
      <c r="V184" s="37">
        <f t="shared" si="42"/>
        <v>0</v>
      </c>
      <c r="W184" s="41"/>
      <c r="X184" s="27"/>
      <c r="Y184" s="27"/>
      <c r="Z184" s="27"/>
      <c r="AA184" s="15"/>
      <c r="AB184" s="17"/>
      <c r="AC184" s="17"/>
      <c r="AD184" s="17"/>
      <c r="AE184" s="90"/>
      <c r="AF184" s="82" t="str">
        <f t="shared" si="43"/>
        <v/>
      </c>
      <c r="AG184" s="83" t="str">
        <f t="shared" si="44"/>
        <v/>
      </c>
      <c r="AH184" s="82" t="str">
        <f t="shared" si="45"/>
        <v/>
      </c>
      <c r="AI184" s="82" t="str">
        <f t="shared" si="46"/>
        <v/>
      </c>
      <c r="AJ184" s="90"/>
      <c r="AP184" s="88"/>
    </row>
    <row r="185" spans="1:42" x14ac:dyDescent="0.25">
      <c r="A185" s="2"/>
      <c r="C185" s="68" t="str" cm="1">
        <f t="array" ref="C185">IF(AF185&lt;&gt;"",
IFERROR(INDEX('LaunchPad Markbook'!A:A,MATCH(AH185,'LaunchPad Markbook'!D:D,0),0),"-"),"")</f>
        <v/>
      </c>
      <c r="D185" s="27"/>
      <c r="E185" s="27"/>
      <c r="F185" s="27"/>
      <c r="G185" s="14">
        <f>IF(OR(H185&gt;AB$2,I185&gt;AC$2,J185&gt;AD$2,
P185&gt;1,V185&gt;1,
L185&gt;'Group List A'!E$2,M185&gt;'Group List A'!F$2,N185&gt;'Group List A'!G$2,
R185&gt;'Group List B'!E$2,S185&gt;'Group List B'!F$2,T185&gt;'Group List B'!G$2),"Exceed",
IF(OR(H185=AB$2,I185=AC$2,J185=AD$2,
P185=1,V185=1,
L185='Group List A'!E$2,M185='Group List A'!F$2,N185='Group List A'!G$2,
R185='Group List B'!E$2,S185='Group List B'!F$2,T185='Group List B'!G$2),"Limit",0))</f>
        <v>0</v>
      </c>
      <c r="H185" s="29">
        <f t="shared" si="32"/>
        <v>0</v>
      </c>
      <c r="I185" s="29">
        <f t="shared" si="33"/>
        <v>0</v>
      </c>
      <c r="J185" s="29">
        <f t="shared" si="34"/>
        <v>0</v>
      </c>
      <c r="K185" s="32" t="str" cm="1">
        <f t="array" ref="K185">IF(AF185&lt;&gt;"",IFERROR(INDEX('Group List A'!B:B,MATCH(AI185,'Group List A'!A:A,0),0),"-"),"")</f>
        <v/>
      </c>
      <c r="L185" s="33">
        <f t="shared" si="35"/>
        <v>0</v>
      </c>
      <c r="M185" s="33">
        <f t="shared" si="36"/>
        <v>0</v>
      </c>
      <c r="N185" s="33">
        <f t="shared" si="37"/>
        <v>0</v>
      </c>
      <c r="O185" s="28"/>
      <c r="P185" s="33">
        <f t="shared" si="38"/>
        <v>0</v>
      </c>
      <c r="Q185" s="35" t="str" cm="1">
        <f t="array" ref="Q185">IF(AF185&lt;&gt;"",IFERROR(INDEX('Group List B'!B:B,MATCH(AI185,'Group List B'!A:A,0),0),"-"),"")</f>
        <v/>
      </c>
      <c r="R185" s="36">
        <f t="shared" si="39"/>
        <v>0</v>
      </c>
      <c r="S185" s="36">
        <f t="shared" si="40"/>
        <v>0</v>
      </c>
      <c r="T185" s="36">
        <f t="shared" si="41"/>
        <v>0</v>
      </c>
      <c r="U185" s="28"/>
      <c r="V185" s="37">
        <f t="shared" si="42"/>
        <v>0</v>
      </c>
      <c r="W185" s="41"/>
      <c r="X185" s="27"/>
      <c r="Y185" s="27"/>
      <c r="Z185" s="27"/>
      <c r="AA185" s="15"/>
      <c r="AB185" s="17"/>
      <c r="AC185" s="17"/>
      <c r="AD185" s="17"/>
      <c r="AE185" s="90"/>
      <c r="AF185" s="82" t="str">
        <f t="shared" si="43"/>
        <v/>
      </c>
      <c r="AG185" s="83" t="str">
        <f t="shared" si="44"/>
        <v/>
      </c>
      <c r="AH185" s="82" t="str">
        <f t="shared" si="45"/>
        <v/>
      </c>
      <c r="AI185" s="82" t="str">
        <f t="shared" si="46"/>
        <v/>
      </c>
      <c r="AJ185" s="90"/>
      <c r="AP185" s="88"/>
    </row>
    <row r="186" spans="1:42" x14ac:dyDescent="0.25">
      <c r="A186" s="2"/>
      <c r="C186" s="68" t="str" cm="1">
        <f t="array" ref="C186">IF(AF186&lt;&gt;"",
IFERROR(INDEX('LaunchPad Markbook'!A:A,MATCH(AH186,'LaunchPad Markbook'!D:D,0),0),"-"),"")</f>
        <v/>
      </c>
      <c r="D186" s="27"/>
      <c r="E186" s="27"/>
      <c r="F186" s="27"/>
      <c r="G186" s="14">
        <f>IF(OR(H186&gt;AB$2,I186&gt;AC$2,J186&gt;AD$2,
P186&gt;1,V186&gt;1,
L186&gt;'Group List A'!E$2,M186&gt;'Group List A'!F$2,N186&gt;'Group List A'!G$2,
R186&gt;'Group List B'!E$2,S186&gt;'Group List B'!F$2,T186&gt;'Group List B'!G$2),"Exceed",
IF(OR(H186=AB$2,I186=AC$2,J186=AD$2,
P186=1,V186=1,
L186='Group List A'!E$2,M186='Group List A'!F$2,N186='Group List A'!G$2,
R186='Group List B'!E$2,S186='Group List B'!F$2,T186='Group List B'!G$2),"Limit",0))</f>
        <v>0</v>
      </c>
      <c r="H186" s="29">
        <f t="shared" si="32"/>
        <v>0</v>
      </c>
      <c r="I186" s="29">
        <f t="shared" si="33"/>
        <v>0</v>
      </c>
      <c r="J186" s="29">
        <f t="shared" si="34"/>
        <v>0</v>
      </c>
      <c r="K186" s="32" t="str" cm="1">
        <f t="array" ref="K186">IF(AF186&lt;&gt;"",IFERROR(INDEX('Group List A'!B:B,MATCH(AI186,'Group List A'!A:A,0),0),"-"),"")</f>
        <v/>
      </c>
      <c r="L186" s="33">
        <f t="shared" si="35"/>
        <v>0</v>
      </c>
      <c r="M186" s="33">
        <f t="shared" si="36"/>
        <v>0</v>
      </c>
      <c r="N186" s="33">
        <f t="shared" si="37"/>
        <v>0</v>
      </c>
      <c r="O186" s="28"/>
      <c r="P186" s="33">
        <f t="shared" si="38"/>
        <v>0</v>
      </c>
      <c r="Q186" s="35" t="str" cm="1">
        <f t="array" ref="Q186">IF(AF186&lt;&gt;"",IFERROR(INDEX('Group List B'!B:B,MATCH(AI186,'Group List B'!A:A,0),0),"-"),"")</f>
        <v/>
      </c>
      <c r="R186" s="36">
        <f t="shared" si="39"/>
        <v>0</v>
      </c>
      <c r="S186" s="36">
        <f t="shared" si="40"/>
        <v>0</v>
      </c>
      <c r="T186" s="36">
        <f t="shared" si="41"/>
        <v>0</v>
      </c>
      <c r="U186" s="28"/>
      <c r="V186" s="37">
        <f t="shared" si="42"/>
        <v>0</v>
      </c>
      <c r="W186" s="41"/>
      <c r="X186" s="27"/>
      <c r="Y186" s="27"/>
      <c r="Z186" s="27"/>
      <c r="AA186" s="15"/>
      <c r="AB186" s="17"/>
      <c r="AC186" s="17"/>
      <c r="AD186" s="17"/>
      <c r="AE186" s="90"/>
      <c r="AF186" s="82" t="str">
        <f t="shared" si="43"/>
        <v/>
      </c>
      <c r="AG186" s="83" t="str">
        <f t="shared" si="44"/>
        <v/>
      </c>
      <c r="AH186" s="82" t="str">
        <f t="shared" si="45"/>
        <v/>
      </c>
      <c r="AI186" s="82" t="str">
        <f t="shared" si="46"/>
        <v/>
      </c>
      <c r="AJ186" s="90"/>
      <c r="AP186" s="88"/>
    </row>
    <row r="187" spans="1:42" x14ac:dyDescent="0.25">
      <c r="A187" s="2"/>
      <c r="C187" s="68" t="str" cm="1">
        <f t="array" ref="C187">IF(AF187&lt;&gt;"",
IFERROR(INDEX('LaunchPad Markbook'!A:A,MATCH(AH187,'LaunchPad Markbook'!D:D,0),0),"-"),"")</f>
        <v/>
      </c>
      <c r="D187" s="27"/>
      <c r="E187" s="27"/>
      <c r="F187" s="27"/>
      <c r="G187" s="14">
        <f>IF(OR(H187&gt;AB$2,I187&gt;AC$2,J187&gt;AD$2,
P187&gt;1,V187&gt;1,
L187&gt;'Group List A'!E$2,M187&gt;'Group List A'!F$2,N187&gt;'Group List A'!G$2,
R187&gt;'Group List B'!E$2,S187&gt;'Group List B'!F$2,T187&gt;'Group List B'!G$2),"Exceed",
IF(OR(H187=AB$2,I187=AC$2,J187=AD$2,
P187=1,V187=1,
L187='Group List A'!E$2,M187='Group List A'!F$2,N187='Group List A'!G$2,
R187='Group List B'!E$2,S187='Group List B'!F$2,T187='Group List B'!G$2),"Limit",0))</f>
        <v>0</v>
      </c>
      <c r="H187" s="29">
        <f t="shared" si="32"/>
        <v>0</v>
      </c>
      <c r="I187" s="29">
        <f t="shared" si="33"/>
        <v>0</v>
      </c>
      <c r="J187" s="29">
        <f t="shared" si="34"/>
        <v>0</v>
      </c>
      <c r="K187" s="32" t="str" cm="1">
        <f t="array" ref="K187">IF(AF187&lt;&gt;"",IFERROR(INDEX('Group List A'!B:B,MATCH(AI187,'Group List A'!A:A,0),0),"-"),"")</f>
        <v/>
      </c>
      <c r="L187" s="33">
        <f t="shared" si="35"/>
        <v>0</v>
      </c>
      <c r="M187" s="33">
        <f t="shared" si="36"/>
        <v>0</v>
      </c>
      <c r="N187" s="33">
        <f t="shared" si="37"/>
        <v>0</v>
      </c>
      <c r="O187" s="28"/>
      <c r="P187" s="33">
        <f t="shared" si="38"/>
        <v>0</v>
      </c>
      <c r="Q187" s="35" t="str" cm="1">
        <f t="array" ref="Q187">IF(AF187&lt;&gt;"",IFERROR(INDEX('Group List B'!B:B,MATCH(AI187,'Group List B'!A:A,0),0),"-"),"")</f>
        <v/>
      </c>
      <c r="R187" s="36">
        <f t="shared" si="39"/>
        <v>0</v>
      </c>
      <c r="S187" s="36">
        <f t="shared" si="40"/>
        <v>0</v>
      </c>
      <c r="T187" s="36">
        <f t="shared" si="41"/>
        <v>0</v>
      </c>
      <c r="U187" s="28"/>
      <c r="V187" s="37">
        <f t="shared" si="42"/>
        <v>0</v>
      </c>
      <c r="W187" s="41"/>
      <c r="X187" s="27"/>
      <c r="Y187" s="27"/>
      <c r="Z187" s="27"/>
      <c r="AA187" s="15"/>
      <c r="AB187" s="17"/>
      <c r="AC187" s="17"/>
      <c r="AD187" s="17"/>
      <c r="AE187" s="90"/>
      <c r="AF187" s="82" t="str">
        <f t="shared" si="43"/>
        <v/>
      </c>
      <c r="AG187" s="83" t="str">
        <f t="shared" si="44"/>
        <v/>
      </c>
      <c r="AH187" s="82" t="str">
        <f t="shared" si="45"/>
        <v/>
      </c>
      <c r="AI187" s="82" t="str">
        <f t="shared" si="46"/>
        <v/>
      </c>
      <c r="AJ187" s="90"/>
      <c r="AP187" s="88"/>
    </row>
    <row r="188" spans="1:42" x14ac:dyDescent="0.25">
      <c r="A188" s="2"/>
      <c r="C188" s="68" t="str" cm="1">
        <f t="array" ref="C188">IF(AF188&lt;&gt;"",
IFERROR(INDEX('LaunchPad Markbook'!A:A,MATCH(AH188,'LaunchPad Markbook'!D:D,0),0),"-"),"")</f>
        <v/>
      </c>
      <c r="D188" s="27"/>
      <c r="E188" s="27"/>
      <c r="F188" s="27"/>
      <c r="G188" s="14">
        <f>IF(OR(H188&gt;AB$2,I188&gt;AC$2,J188&gt;AD$2,
P188&gt;1,V188&gt;1,
L188&gt;'Group List A'!E$2,M188&gt;'Group List A'!F$2,N188&gt;'Group List A'!G$2,
R188&gt;'Group List B'!E$2,S188&gt;'Group List B'!F$2,T188&gt;'Group List B'!G$2),"Exceed",
IF(OR(H188=AB$2,I188=AC$2,J188=AD$2,
P188=1,V188=1,
L188='Group List A'!E$2,M188='Group List A'!F$2,N188='Group List A'!G$2,
R188='Group List B'!E$2,S188='Group List B'!F$2,T188='Group List B'!G$2),"Limit",0))</f>
        <v>0</v>
      </c>
      <c r="H188" s="29">
        <f t="shared" si="32"/>
        <v>0</v>
      </c>
      <c r="I188" s="29">
        <f t="shared" si="33"/>
        <v>0</v>
      </c>
      <c r="J188" s="29">
        <f t="shared" si="34"/>
        <v>0</v>
      </c>
      <c r="K188" s="32" t="str" cm="1">
        <f t="array" ref="K188">IF(AF188&lt;&gt;"",IFERROR(INDEX('Group List A'!B:B,MATCH(AI188,'Group List A'!A:A,0),0),"-"),"")</f>
        <v/>
      </c>
      <c r="L188" s="33">
        <f t="shared" si="35"/>
        <v>0</v>
      </c>
      <c r="M188" s="33">
        <f t="shared" si="36"/>
        <v>0</v>
      </c>
      <c r="N188" s="33">
        <f t="shared" si="37"/>
        <v>0</v>
      </c>
      <c r="O188" s="28"/>
      <c r="P188" s="33">
        <f t="shared" si="38"/>
        <v>0</v>
      </c>
      <c r="Q188" s="35" t="str" cm="1">
        <f t="array" ref="Q188">IF(AF188&lt;&gt;"",IFERROR(INDEX('Group List B'!B:B,MATCH(AI188,'Group List B'!A:A,0),0),"-"),"")</f>
        <v/>
      </c>
      <c r="R188" s="36">
        <f t="shared" si="39"/>
        <v>0</v>
      </c>
      <c r="S188" s="36">
        <f t="shared" si="40"/>
        <v>0</v>
      </c>
      <c r="T188" s="36">
        <f t="shared" si="41"/>
        <v>0</v>
      </c>
      <c r="U188" s="28"/>
      <c r="V188" s="37">
        <f t="shared" si="42"/>
        <v>0</v>
      </c>
      <c r="W188" s="41"/>
      <c r="X188" s="27"/>
      <c r="Y188" s="27"/>
      <c r="Z188" s="27"/>
      <c r="AA188" s="15"/>
      <c r="AB188" s="17"/>
      <c r="AC188" s="17"/>
      <c r="AD188" s="17"/>
      <c r="AE188" s="90"/>
      <c r="AF188" s="82" t="str">
        <f t="shared" si="43"/>
        <v/>
      </c>
      <c r="AG188" s="83" t="str">
        <f t="shared" si="44"/>
        <v/>
      </c>
      <c r="AH188" s="82" t="str">
        <f t="shared" si="45"/>
        <v/>
      </c>
      <c r="AI188" s="82" t="str">
        <f t="shared" si="46"/>
        <v/>
      </c>
      <c r="AJ188" s="90"/>
      <c r="AP188" s="88"/>
    </row>
    <row r="189" spans="1:42" x14ac:dyDescent="0.25">
      <c r="A189" s="2"/>
      <c r="C189" s="68" t="str" cm="1">
        <f t="array" ref="C189">IF(AF189&lt;&gt;"",
IFERROR(INDEX('LaunchPad Markbook'!A:A,MATCH(AH189,'LaunchPad Markbook'!D:D,0),0),"-"),"")</f>
        <v/>
      </c>
      <c r="D189" s="27"/>
      <c r="E189" s="27"/>
      <c r="F189" s="27"/>
      <c r="G189" s="14">
        <f>IF(OR(H189&gt;AB$2,I189&gt;AC$2,J189&gt;AD$2,
P189&gt;1,V189&gt;1,
L189&gt;'Group List A'!E$2,M189&gt;'Group List A'!F$2,N189&gt;'Group List A'!G$2,
R189&gt;'Group List B'!E$2,S189&gt;'Group List B'!F$2,T189&gt;'Group List B'!G$2),"Exceed",
IF(OR(H189=AB$2,I189=AC$2,J189=AD$2,
P189=1,V189=1,
L189='Group List A'!E$2,M189='Group List A'!F$2,N189='Group List A'!G$2,
R189='Group List B'!E$2,S189='Group List B'!F$2,T189='Group List B'!G$2),"Limit",0))</f>
        <v>0</v>
      </c>
      <c r="H189" s="29">
        <f t="shared" si="32"/>
        <v>0</v>
      </c>
      <c r="I189" s="29">
        <f t="shared" si="33"/>
        <v>0</v>
      </c>
      <c r="J189" s="29">
        <f t="shared" si="34"/>
        <v>0</v>
      </c>
      <c r="K189" s="32" t="str" cm="1">
        <f t="array" ref="K189">IF(AF189&lt;&gt;"",IFERROR(INDEX('Group List A'!B:B,MATCH(AI189,'Group List A'!A:A,0),0),"-"),"")</f>
        <v/>
      </c>
      <c r="L189" s="33">
        <f t="shared" si="35"/>
        <v>0</v>
      </c>
      <c r="M189" s="33">
        <f t="shared" si="36"/>
        <v>0</v>
      </c>
      <c r="N189" s="33">
        <f t="shared" si="37"/>
        <v>0</v>
      </c>
      <c r="O189" s="28"/>
      <c r="P189" s="33">
        <f t="shared" si="38"/>
        <v>0</v>
      </c>
      <c r="Q189" s="35" t="str" cm="1">
        <f t="array" ref="Q189">IF(AF189&lt;&gt;"",IFERROR(INDEX('Group List B'!B:B,MATCH(AI189,'Group List B'!A:A,0),0),"-"),"")</f>
        <v/>
      </c>
      <c r="R189" s="36">
        <f t="shared" si="39"/>
        <v>0</v>
      </c>
      <c r="S189" s="36">
        <f t="shared" si="40"/>
        <v>0</v>
      </c>
      <c r="T189" s="36">
        <f t="shared" si="41"/>
        <v>0</v>
      </c>
      <c r="U189" s="28"/>
      <c r="V189" s="37">
        <f t="shared" si="42"/>
        <v>0</v>
      </c>
      <c r="W189" s="41"/>
      <c r="X189" s="27"/>
      <c r="Y189" s="27"/>
      <c r="Z189" s="27"/>
      <c r="AA189" s="15"/>
      <c r="AB189" s="17"/>
      <c r="AC189" s="17"/>
      <c r="AD189" s="17"/>
      <c r="AE189" s="90"/>
      <c r="AF189" s="82" t="str">
        <f t="shared" si="43"/>
        <v/>
      </c>
      <c r="AG189" s="83" t="str">
        <f t="shared" si="44"/>
        <v/>
      </c>
      <c r="AH189" s="82" t="str">
        <f t="shared" si="45"/>
        <v/>
      </c>
      <c r="AI189" s="82" t="str">
        <f t="shared" si="46"/>
        <v/>
      </c>
      <c r="AJ189" s="90"/>
      <c r="AP189" s="88"/>
    </row>
    <row r="190" spans="1:42" x14ac:dyDescent="0.25">
      <c r="A190" s="2"/>
      <c r="C190" s="68" t="str" cm="1">
        <f t="array" ref="C190">IF(AF190&lt;&gt;"",
IFERROR(INDEX('LaunchPad Markbook'!A:A,MATCH(AH190,'LaunchPad Markbook'!D:D,0),0),"-"),"")</f>
        <v/>
      </c>
      <c r="D190" s="27"/>
      <c r="E190" s="27"/>
      <c r="F190" s="27"/>
      <c r="G190" s="14">
        <f>IF(OR(H190&gt;AB$2,I190&gt;AC$2,J190&gt;AD$2,
P190&gt;1,V190&gt;1,
L190&gt;'Group List A'!E$2,M190&gt;'Group List A'!F$2,N190&gt;'Group List A'!G$2,
R190&gt;'Group List B'!E$2,S190&gt;'Group List B'!F$2,T190&gt;'Group List B'!G$2),"Exceed",
IF(OR(H190=AB$2,I190=AC$2,J190=AD$2,
P190=1,V190=1,
L190='Group List A'!E$2,M190='Group List A'!F$2,N190='Group List A'!G$2,
R190='Group List B'!E$2,S190='Group List B'!F$2,T190='Group List B'!G$2),"Limit",0))</f>
        <v>0</v>
      </c>
      <c r="H190" s="29">
        <f t="shared" si="32"/>
        <v>0</v>
      </c>
      <c r="I190" s="29">
        <f t="shared" si="33"/>
        <v>0</v>
      </c>
      <c r="J190" s="29">
        <f t="shared" si="34"/>
        <v>0</v>
      </c>
      <c r="K190" s="32" t="str" cm="1">
        <f t="array" ref="K190">IF(AF190&lt;&gt;"",IFERROR(INDEX('Group List A'!B:B,MATCH(AI190,'Group List A'!A:A,0),0),"-"),"")</f>
        <v/>
      </c>
      <c r="L190" s="33">
        <f t="shared" si="35"/>
        <v>0</v>
      </c>
      <c r="M190" s="33">
        <f t="shared" si="36"/>
        <v>0</v>
      </c>
      <c r="N190" s="33">
        <f t="shared" si="37"/>
        <v>0</v>
      </c>
      <c r="O190" s="28"/>
      <c r="P190" s="33">
        <f t="shared" si="38"/>
        <v>0</v>
      </c>
      <c r="Q190" s="35" t="str" cm="1">
        <f t="array" ref="Q190">IF(AF190&lt;&gt;"",IFERROR(INDEX('Group List B'!B:B,MATCH(AI190,'Group List B'!A:A,0),0),"-"),"")</f>
        <v/>
      </c>
      <c r="R190" s="36">
        <f t="shared" si="39"/>
        <v>0</v>
      </c>
      <c r="S190" s="36">
        <f t="shared" si="40"/>
        <v>0</v>
      </c>
      <c r="T190" s="36">
        <f t="shared" si="41"/>
        <v>0</v>
      </c>
      <c r="U190" s="28"/>
      <c r="V190" s="37">
        <f t="shared" si="42"/>
        <v>0</v>
      </c>
      <c r="W190" s="41"/>
      <c r="X190" s="27"/>
      <c r="Y190" s="27"/>
      <c r="Z190" s="27"/>
      <c r="AA190" s="15"/>
      <c r="AB190" s="17"/>
      <c r="AC190" s="17"/>
      <c r="AD190" s="17"/>
      <c r="AE190" s="90"/>
      <c r="AF190" s="82" t="str">
        <f t="shared" si="43"/>
        <v/>
      </c>
      <c r="AG190" s="83" t="str">
        <f t="shared" si="44"/>
        <v/>
      </c>
      <c r="AH190" s="82" t="str">
        <f t="shared" si="45"/>
        <v/>
      </c>
      <c r="AI190" s="82" t="str">
        <f t="shared" si="46"/>
        <v/>
      </c>
      <c r="AJ190" s="90"/>
      <c r="AP190" s="88"/>
    </row>
    <row r="191" spans="1:42" x14ac:dyDescent="0.25">
      <c r="A191" s="2"/>
      <c r="C191" s="68" t="str" cm="1">
        <f t="array" ref="C191">IF(AF191&lt;&gt;"",
IFERROR(INDEX('LaunchPad Markbook'!A:A,MATCH(AH191,'LaunchPad Markbook'!D:D,0),0),"-"),"")</f>
        <v/>
      </c>
      <c r="D191" s="27"/>
      <c r="E191" s="27"/>
      <c r="F191" s="27"/>
      <c r="G191" s="14">
        <f>IF(OR(H191&gt;AB$2,I191&gt;AC$2,J191&gt;AD$2,
P191&gt;1,V191&gt;1,
L191&gt;'Group List A'!E$2,M191&gt;'Group List A'!F$2,N191&gt;'Group List A'!G$2,
R191&gt;'Group List B'!E$2,S191&gt;'Group List B'!F$2,T191&gt;'Group List B'!G$2),"Exceed",
IF(OR(H191=AB$2,I191=AC$2,J191=AD$2,
P191=1,V191=1,
L191='Group List A'!E$2,M191='Group List A'!F$2,N191='Group List A'!G$2,
R191='Group List B'!E$2,S191='Group List B'!F$2,T191='Group List B'!G$2),"Limit",0))</f>
        <v>0</v>
      </c>
      <c r="H191" s="29">
        <f t="shared" si="32"/>
        <v>0</v>
      </c>
      <c r="I191" s="29">
        <f t="shared" si="33"/>
        <v>0</v>
      </c>
      <c r="J191" s="29">
        <f t="shared" si="34"/>
        <v>0</v>
      </c>
      <c r="K191" s="32" t="str" cm="1">
        <f t="array" ref="K191">IF(AF191&lt;&gt;"",IFERROR(INDEX('Group List A'!B:B,MATCH(AI191,'Group List A'!A:A,0),0),"-"),"")</f>
        <v/>
      </c>
      <c r="L191" s="33">
        <f t="shared" si="35"/>
        <v>0</v>
      </c>
      <c r="M191" s="33">
        <f t="shared" si="36"/>
        <v>0</v>
      </c>
      <c r="N191" s="33">
        <f t="shared" si="37"/>
        <v>0</v>
      </c>
      <c r="O191" s="28"/>
      <c r="P191" s="33">
        <f t="shared" si="38"/>
        <v>0</v>
      </c>
      <c r="Q191" s="35" t="str" cm="1">
        <f t="array" ref="Q191">IF(AF191&lt;&gt;"",IFERROR(INDEX('Group List B'!B:B,MATCH(AI191,'Group List B'!A:A,0),0),"-"),"")</f>
        <v/>
      </c>
      <c r="R191" s="36">
        <f t="shared" si="39"/>
        <v>0</v>
      </c>
      <c r="S191" s="36">
        <f t="shared" si="40"/>
        <v>0</v>
      </c>
      <c r="T191" s="36">
        <f t="shared" si="41"/>
        <v>0</v>
      </c>
      <c r="U191" s="28"/>
      <c r="V191" s="37">
        <f t="shared" si="42"/>
        <v>0</v>
      </c>
      <c r="W191" s="41"/>
      <c r="X191" s="27"/>
      <c r="Y191" s="27"/>
      <c r="Z191" s="27"/>
      <c r="AA191" s="15"/>
      <c r="AB191" s="17"/>
      <c r="AC191" s="17"/>
      <c r="AD191" s="17"/>
      <c r="AE191" s="90"/>
      <c r="AF191" s="82" t="str">
        <f t="shared" si="43"/>
        <v/>
      </c>
      <c r="AG191" s="83" t="str">
        <f t="shared" si="44"/>
        <v/>
      </c>
      <c r="AH191" s="82" t="str">
        <f t="shared" si="45"/>
        <v/>
      </c>
      <c r="AI191" s="82" t="str">
        <f t="shared" si="46"/>
        <v/>
      </c>
      <c r="AJ191" s="90"/>
      <c r="AP191" s="88"/>
    </row>
    <row r="192" spans="1:42" x14ac:dyDescent="0.25">
      <c r="A192" s="2"/>
      <c r="C192" s="68" t="str" cm="1">
        <f t="array" ref="C192">IF(AF192&lt;&gt;"",
IFERROR(INDEX('LaunchPad Markbook'!A:A,MATCH(AH192,'LaunchPad Markbook'!D:D,0),0),"-"),"")</f>
        <v/>
      </c>
      <c r="D192" s="27"/>
      <c r="E192" s="27"/>
      <c r="F192" s="27"/>
      <c r="G192" s="14">
        <f>IF(OR(H192&gt;AB$2,I192&gt;AC$2,J192&gt;AD$2,
P192&gt;1,V192&gt;1,
L192&gt;'Group List A'!E$2,M192&gt;'Group List A'!F$2,N192&gt;'Group List A'!G$2,
R192&gt;'Group List B'!E$2,S192&gt;'Group List B'!F$2,T192&gt;'Group List B'!G$2),"Exceed",
IF(OR(H192=AB$2,I192=AC$2,J192=AD$2,
P192=1,V192=1,
L192='Group List A'!E$2,M192='Group List A'!F$2,N192='Group List A'!G$2,
R192='Group List B'!E$2,S192='Group List B'!F$2,T192='Group List B'!G$2),"Limit",0))</f>
        <v>0</v>
      </c>
      <c r="H192" s="29">
        <f t="shared" si="32"/>
        <v>0</v>
      </c>
      <c r="I192" s="29">
        <f t="shared" si="33"/>
        <v>0</v>
      </c>
      <c r="J192" s="29">
        <f t="shared" si="34"/>
        <v>0</v>
      </c>
      <c r="K192" s="32" t="str" cm="1">
        <f t="array" ref="K192">IF(AF192&lt;&gt;"",IFERROR(INDEX('Group List A'!B:B,MATCH(AI192,'Group List A'!A:A,0),0),"-"),"")</f>
        <v/>
      </c>
      <c r="L192" s="33">
        <f t="shared" si="35"/>
        <v>0</v>
      </c>
      <c r="M192" s="33">
        <f t="shared" si="36"/>
        <v>0</v>
      </c>
      <c r="N192" s="33">
        <f t="shared" si="37"/>
        <v>0</v>
      </c>
      <c r="O192" s="28"/>
      <c r="P192" s="33">
        <f t="shared" si="38"/>
        <v>0</v>
      </c>
      <c r="Q192" s="35" t="str" cm="1">
        <f t="array" ref="Q192">IF(AF192&lt;&gt;"",IFERROR(INDEX('Group List B'!B:B,MATCH(AI192,'Group List B'!A:A,0),0),"-"),"")</f>
        <v/>
      </c>
      <c r="R192" s="36">
        <f t="shared" si="39"/>
        <v>0</v>
      </c>
      <c r="S192" s="36">
        <f t="shared" si="40"/>
        <v>0</v>
      </c>
      <c r="T192" s="36">
        <f t="shared" si="41"/>
        <v>0</v>
      </c>
      <c r="U192" s="28"/>
      <c r="V192" s="37">
        <f t="shared" si="42"/>
        <v>0</v>
      </c>
      <c r="W192" s="41"/>
      <c r="X192" s="27"/>
      <c r="Y192" s="27"/>
      <c r="Z192" s="27"/>
      <c r="AA192" s="15"/>
      <c r="AB192" s="17"/>
      <c r="AC192" s="17"/>
      <c r="AD192" s="17"/>
      <c r="AE192" s="90"/>
      <c r="AF192" s="82" t="str">
        <f t="shared" si="43"/>
        <v/>
      </c>
      <c r="AG192" s="83" t="str">
        <f t="shared" si="44"/>
        <v/>
      </c>
      <c r="AH192" s="82" t="str">
        <f t="shared" si="45"/>
        <v/>
      </c>
      <c r="AI192" s="82" t="str">
        <f t="shared" si="46"/>
        <v/>
      </c>
      <c r="AJ192" s="90"/>
      <c r="AP192" s="88"/>
    </row>
    <row r="193" spans="1:42" x14ac:dyDescent="0.25">
      <c r="A193" s="2"/>
      <c r="C193" s="68" t="str" cm="1">
        <f t="array" ref="C193">IF(AF193&lt;&gt;"",
IFERROR(INDEX('LaunchPad Markbook'!A:A,MATCH(AH193,'LaunchPad Markbook'!D:D,0),0),"-"),"")</f>
        <v/>
      </c>
      <c r="D193" s="27"/>
      <c r="E193" s="27"/>
      <c r="F193" s="27"/>
      <c r="G193" s="14">
        <f>IF(OR(H193&gt;AB$2,I193&gt;AC$2,J193&gt;AD$2,
P193&gt;1,V193&gt;1,
L193&gt;'Group List A'!E$2,M193&gt;'Group List A'!F$2,N193&gt;'Group List A'!G$2,
R193&gt;'Group List B'!E$2,S193&gt;'Group List B'!F$2,T193&gt;'Group List B'!G$2),"Exceed",
IF(OR(H193=AB$2,I193=AC$2,J193=AD$2,
P193=1,V193=1,
L193='Group List A'!E$2,M193='Group List A'!F$2,N193='Group List A'!G$2,
R193='Group List B'!E$2,S193='Group List B'!F$2,T193='Group List B'!G$2),"Limit",0))</f>
        <v>0</v>
      </c>
      <c r="H193" s="29">
        <f t="shared" si="32"/>
        <v>0</v>
      </c>
      <c r="I193" s="29">
        <f t="shared" si="33"/>
        <v>0</v>
      </c>
      <c r="J193" s="29">
        <f t="shared" si="34"/>
        <v>0</v>
      </c>
      <c r="K193" s="32" t="str" cm="1">
        <f t="array" ref="K193">IF(AF193&lt;&gt;"",IFERROR(INDEX('Group List A'!B:B,MATCH(AI193,'Group List A'!A:A,0),0),"-"),"")</f>
        <v/>
      </c>
      <c r="L193" s="33">
        <f t="shared" si="35"/>
        <v>0</v>
      </c>
      <c r="M193" s="33">
        <f t="shared" si="36"/>
        <v>0</v>
      </c>
      <c r="N193" s="33">
        <f t="shared" si="37"/>
        <v>0</v>
      </c>
      <c r="O193" s="28"/>
      <c r="P193" s="33">
        <f t="shared" si="38"/>
        <v>0</v>
      </c>
      <c r="Q193" s="35" t="str" cm="1">
        <f t="array" ref="Q193">IF(AF193&lt;&gt;"",IFERROR(INDEX('Group List B'!B:B,MATCH(AI193,'Group List B'!A:A,0),0),"-"),"")</f>
        <v/>
      </c>
      <c r="R193" s="36">
        <f t="shared" si="39"/>
        <v>0</v>
      </c>
      <c r="S193" s="36">
        <f t="shared" si="40"/>
        <v>0</v>
      </c>
      <c r="T193" s="36">
        <f t="shared" si="41"/>
        <v>0</v>
      </c>
      <c r="U193" s="28"/>
      <c r="V193" s="37">
        <f t="shared" si="42"/>
        <v>0</v>
      </c>
      <c r="W193" s="41"/>
      <c r="X193" s="27"/>
      <c r="Y193" s="27"/>
      <c r="Z193" s="27"/>
      <c r="AA193" s="15"/>
      <c r="AB193" s="17"/>
      <c r="AC193" s="17"/>
      <c r="AD193" s="17"/>
      <c r="AE193" s="90"/>
      <c r="AF193" s="82" t="str">
        <f t="shared" si="43"/>
        <v/>
      </c>
      <c r="AG193" s="83" t="str">
        <f t="shared" si="44"/>
        <v/>
      </c>
      <c r="AH193" s="82" t="str">
        <f t="shared" si="45"/>
        <v/>
      </c>
      <c r="AI193" s="82" t="str">
        <f t="shared" si="46"/>
        <v/>
      </c>
      <c r="AJ193" s="90"/>
      <c r="AP193" s="88"/>
    </row>
    <row r="194" spans="1:42" x14ac:dyDescent="0.25">
      <c r="A194" s="2"/>
      <c r="C194" s="68" t="str" cm="1">
        <f t="array" ref="C194">IF(AF194&lt;&gt;"",
IFERROR(INDEX('LaunchPad Markbook'!A:A,MATCH(AH194,'LaunchPad Markbook'!D:D,0),0),"-"),"")</f>
        <v/>
      </c>
      <c r="D194" s="27"/>
      <c r="E194" s="27"/>
      <c r="F194" s="27"/>
      <c r="G194" s="14">
        <f>IF(OR(H194&gt;AB$2,I194&gt;AC$2,J194&gt;AD$2,
P194&gt;1,V194&gt;1,
L194&gt;'Group List A'!E$2,M194&gt;'Group List A'!F$2,N194&gt;'Group List A'!G$2,
R194&gt;'Group List B'!E$2,S194&gt;'Group List B'!F$2,T194&gt;'Group List B'!G$2),"Exceed",
IF(OR(H194=AB$2,I194=AC$2,J194=AD$2,
P194=1,V194=1,
L194='Group List A'!E$2,M194='Group List A'!F$2,N194='Group List A'!G$2,
R194='Group List B'!E$2,S194='Group List B'!F$2,T194='Group List B'!G$2),"Limit",0))</f>
        <v>0</v>
      </c>
      <c r="H194" s="29">
        <f t="shared" si="32"/>
        <v>0</v>
      </c>
      <c r="I194" s="29">
        <f t="shared" si="33"/>
        <v>0</v>
      </c>
      <c r="J194" s="29">
        <f t="shared" si="34"/>
        <v>0</v>
      </c>
      <c r="K194" s="32" t="str" cm="1">
        <f t="array" ref="K194">IF(AF194&lt;&gt;"",IFERROR(INDEX('Group List A'!B:B,MATCH(AI194,'Group List A'!A:A,0),0),"-"),"")</f>
        <v/>
      </c>
      <c r="L194" s="33">
        <f t="shared" si="35"/>
        <v>0</v>
      </c>
      <c r="M194" s="33">
        <f t="shared" si="36"/>
        <v>0</v>
      </c>
      <c r="N194" s="33">
        <f t="shared" si="37"/>
        <v>0</v>
      </c>
      <c r="O194" s="28"/>
      <c r="P194" s="33">
        <f t="shared" si="38"/>
        <v>0</v>
      </c>
      <c r="Q194" s="35" t="str" cm="1">
        <f t="array" ref="Q194">IF(AF194&lt;&gt;"",IFERROR(INDEX('Group List B'!B:B,MATCH(AI194,'Group List B'!A:A,0),0),"-"),"")</f>
        <v/>
      </c>
      <c r="R194" s="36">
        <f t="shared" si="39"/>
        <v>0</v>
      </c>
      <c r="S194" s="36">
        <f t="shared" si="40"/>
        <v>0</v>
      </c>
      <c r="T194" s="36">
        <f t="shared" si="41"/>
        <v>0</v>
      </c>
      <c r="U194" s="28"/>
      <c r="V194" s="37">
        <f t="shared" si="42"/>
        <v>0</v>
      </c>
      <c r="W194" s="41"/>
      <c r="X194" s="27"/>
      <c r="Y194" s="27"/>
      <c r="Z194" s="27"/>
      <c r="AA194" s="15"/>
      <c r="AB194" s="17"/>
      <c r="AC194" s="17"/>
      <c r="AD194" s="17"/>
      <c r="AE194" s="90"/>
      <c r="AF194" s="82" t="str">
        <f t="shared" si="43"/>
        <v/>
      </c>
      <c r="AG194" s="83" t="str">
        <f t="shared" si="44"/>
        <v/>
      </c>
      <c r="AH194" s="82" t="str">
        <f t="shared" si="45"/>
        <v/>
      </c>
      <c r="AI194" s="82" t="str">
        <f t="shared" si="46"/>
        <v/>
      </c>
      <c r="AJ194" s="90"/>
      <c r="AP194" s="88"/>
    </row>
    <row r="195" spans="1:42" x14ac:dyDescent="0.25">
      <c r="A195" s="2"/>
      <c r="C195" s="68" t="str" cm="1">
        <f t="array" ref="C195">IF(AF195&lt;&gt;"",
IFERROR(INDEX('LaunchPad Markbook'!A:A,MATCH(AH195,'LaunchPad Markbook'!D:D,0),0),"-"),"")</f>
        <v/>
      </c>
      <c r="D195" s="27"/>
      <c r="E195" s="27"/>
      <c r="F195" s="27"/>
      <c r="G195" s="14">
        <f>IF(OR(H195&gt;AB$2,I195&gt;AC$2,J195&gt;AD$2,
P195&gt;1,V195&gt;1,
L195&gt;'Group List A'!E$2,M195&gt;'Group List A'!F$2,N195&gt;'Group List A'!G$2,
R195&gt;'Group List B'!E$2,S195&gt;'Group List B'!F$2,T195&gt;'Group List B'!G$2),"Exceed",
IF(OR(H195=AB$2,I195=AC$2,J195=AD$2,
P195=1,V195=1,
L195='Group List A'!E$2,M195='Group List A'!F$2,N195='Group List A'!G$2,
R195='Group List B'!E$2,S195='Group List B'!F$2,T195='Group List B'!G$2),"Limit",0))</f>
        <v>0</v>
      </c>
      <c r="H195" s="29">
        <f t="shared" ref="H195:H258" si="47">IF(AND(K195="-",Q195="-"),
SUMIFS(D$2:D$2000,$AH$2:$AH$2000,$AH195),0)</f>
        <v>0</v>
      </c>
      <c r="I195" s="29">
        <f t="shared" ref="I195:I258" si="48">IF(AND(K195="-",Q195="-"),
SUMIFS(E$2:E$2000,$AH$2:$AH$2000,$AH195),0)</f>
        <v>0</v>
      </c>
      <c r="J195" s="29">
        <f t="shared" ref="J195:J258" si="49">IF(AND(K195="-",Q195="-"),
SUMIFS(F$2:F$2000,$AH$2:$AH$2000,$AH195),0)</f>
        <v>0</v>
      </c>
      <c r="K195" s="32" t="str" cm="1">
        <f t="array" ref="K195">IF(AF195&lt;&gt;"",IFERROR(INDEX('Group List A'!B:B,MATCH(AI195,'Group List A'!A:A,0),0),"-"),"")</f>
        <v/>
      </c>
      <c r="L195" s="33">
        <f t="shared" ref="L195:L258" si="50">IF($K195&lt;&gt;"-",SUMIFS(D$2:D$2000,$K$2:$K$2000,$K195),0)</f>
        <v>0</v>
      </c>
      <c r="M195" s="33">
        <f t="shared" ref="M195:M258" si="51">IF($K195&lt;&gt;"-",SUMIFS(E$2:E$2000,$K$2:$K$2000,$K195),0)</f>
        <v>0</v>
      </c>
      <c r="N195" s="33">
        <f t="shared" ref="N195:N258" si="52">IF($K195&lt;&gt;"-",SUMIFS(F$2:F$2000,$K$2:$K$2000,$K195),0)</f>
        <v>0</v>
      </c>
      <c r="O195" s="28"/>
      <c r="P195" s="33">
        <f t="shared" ref="P195:P258" si="53">SUMIFS(O$2:O$2000,$AH$2:$AH$2000,$AH195)</f>
        <v>0</v>
      </c>
      <c r="Q195" s="35" t="str" cm="1">
        <f t="array" ref="Q195">IF(AF195&lt;&gt;"",IFERROR(INDEX('Group List B'!B:B,MATCH(AI195,'Group List B'!A:A,0),0),"-"),"")</f>
        <v/>
      </c>
      <c r="R195" s="36">
        <f t="shared" ref="R195:R258" si="54">IF($Q195&lt;&gt;"-",SUMIFS(D$2:D$2000,$Q$2:$Q$2000,$Q195),0)</f>
        <v>0</v>
      </c>
      <c r="S195" s="36">
        <f t="shared" ref="S195:S258" si="55">IF($Q195&lt;&gt;"-",SUMIFS(E$2:E$2000,$Q$2:$Q$2000,$Q195),0)</f>
        <v>0</v>
      </c>
      <c r="T195" s="36">
        <f t="shared" ref="T195:T258" si="56">IF($Q195&lt;&gt;"-",SUMIFS(F$2:F$2000,$Q$2:$Q$2000,$Q195),0)</f>
        <v>0</v>
      </c>
      <c r="U195" s="28"/>
      <c r="V195" s="37">
        <f t="shared" ref="V195:V258" si="57">SUMIFS(U$2:U$2000,$AH$2:$AH$2000,$AH195)</f>
        <v>0</v>
      </c>
      <c r="W195" s="41"/>
      <c r="X195" s="27"/>
      <c r="Y195" s="27"/>
      <c r="Z195" s="27"/>
      <c r="AA195" s="15"/>
      <c r="AB195" s="17"/>
      <c r="AC195" s="17"/>
      <c r="AD195" s="17"/>
      <c r="AE195" s="90"/>
      <c r="AF195" s="82" t="str">
        <f t="shared" ref="AF195:AF258" si="58">IF(A195&lt;&gt;"",A195,"")</f>
        <v/>
      </c>
      <c r="AG195" s="83" t="str">
        <f t="shared" ref="AG195:AG258" si="59">IF(MID(AF195,1,1)="N","STUDENT",
IF(MID(AF195,1,1)="S","STAFF",
IF(MID(AF195,1,1)="V","VISITOR",
IF(AF195&lt;&gt;"","ERROR",""))))</f>
        <v/>
      </c>
      <c r="AH195" s="82" t="str">
        <f t="shared" ref="AH195:AH258" si="60">IF(AG195="STUDENT","N"&amp;(MID(AF195,2,8)-0),
IF(AG195="STAFF","S"&amp;MID(AF195,2,8),""))</f>
        <v/>
      </c>
      <c r="AI195" s="82" t="str">
        <f t="shared" ref="AI195:AI258" si="61">IF(AG195="STUDENT",(MID(AF195,2,8)-0),
IF(AG195="STAFF","STAFF",""))</f>
        <v/>
      </c>
      <c r="AJ195" s="90"/>
      <c r="AP195" s="88"/>
    </row>
    <row r="196" spans="1:42" x14ac:dyDescent="0.25">
      <c r="A196" s="2"/>
      <c r="C196" s="68" t="str" cm="1">
        <f t="array" ref="C196">IF(AF196&lt;&gt;"",
IFERROR(INDEX('LaunchPad Markbook'!A:A,MATCH(AH196,'LaunchPad Markbook'!D:D,0),0),"-"),"")</f>
        <v/>
      </c>
      <c r="D196" s="27"/>
      <c r="E196" s="27"/>
      <c r="F196" s="27"/>
      <c r="G196" s="14">
        <f>IF(OR(H196&gt;AB$2,I196&gt;AC$2,J196&gt;AD$2,
P196&gt;1,V196&gt;1,
L196&gt;'Group List A'!E$2,M196&gt;'Group List A'!F$2,N196&gt;'Group List A'!G$2,
R196&gt;'Group List B'!E$2,S196&gt;'Group List B'!F$2,T196&gt;'Group List B'!G$2),"Exceed",
IF(OR(H196=AB$2,I196=AC$2,J196=AD$2,
P196=1,V196=1,
L196='Group List A'!E$2,M196='Group List A'!F$2,N196='Group List A'!G$2,
R196='Group List B'!E$2,S196='Group List B'!F$2,T196='Group List B'!G$2),"Limit",0))</f>
        <v>0</v>
      </c>
      <c r="H196" s="29">
        <f t="shared" si="47"/>
        <v>0</v>
      </c>
      <c r="I196" s="29">
        <f t="shared" si="48"/>
        <v>0</v>
      </c>
      <c r="J196" s="29">
        <f t="shared" si="49"/>
        <v>0</v>
      </c>
      <c r="K196" s="32" t="str" cm="1">
        <f t="array" ref="K196">IF(AF196&lt;&gt;"",IFERROR(INDEX('Group List A'!B:B,MATCH(AI196,'Group List A'!A:A,0),0),"-"),"")</f>
        <v/>
      </c>
      <c r="L196" s="33">
        <f t="shared" si="50"/>
        <v>0</v>
      </c>
      <c r="M196" s="33">
        <f t="shared" si="51"/>
        <v>0</v>
      </c>
      <c r="N196" s="33">
        <f t="shared" si="52"/>
        <v>0</v>
      </c>
      <c r="O196" s="28"/>
      <c r="P196" s="33">
        <f t="shared" si="53"/>
        <v>0</v>
      </c>
      <c r="Q196" s="35" t="str" cm="1">
        <f t="array" ref="Q196">IF(AF196&lt;&gt;"",IFERROR(INDEX('Group List B'!B:B,MATCH(AI196,'Group List B'!A:A,0),0),"-"),"")</f>
        <v/>
      </c>
      <c r="R196" s="36">
        <f t="shared" si="54"/>
        <v>0</v>
      </c>
      <c r="S196" s="36">
        <f t="shared" si="55"/>
        <v>0</v>
      </c>
      <c r="T196" s="36">
        <f t="shared" si="56"/>
        <v>0</v>
      </c>
      <c r="U196" s="28"/>
      <c r="V196" s="37">
        <f t="shared" si="57"/>
        <v>0</v>
      </c>
      <c r="W196" s="41"/>
      <c r="X196" s="27"/>
      <c r="Y196" s="27"/>
      <c r="Z196" s="27"/>
      <c r="AA196" s="15"/>
      <c r="AB196" s="17"/>
      <c r="AC196" s="17"/>
      <c r="AD196" s="17"/>
      <c r="AE196" s="90"/>
      <c r="AF196" s="82" t="str">
        <f t="shared" si="58"/>
        <v/>
      </c>
      <c r="AG196" s="83" t="str">
        <f t="shared" si="59"/>
        <v/>
      </c>
      <c r="AH196" s="82" t="str">
        <f t="shared" si="60"/>
        <v/>
      </c>
      <c r="AI196" s="82" t="str">
        <f t="shared" si="61"/>
        <v/>
      </c>
      <c r="AJ196" s="90"/>
      <c r="AP196" s="88"/>
    </row>
    <row r="197" spans="1:42" x14ac:dyDescent="0.25">
      <c r="A197" s="2"/>
      <c r="C197" s="68" t="str" cm="1">
        <f t="array" ref="C197">IF(AF197&lt;&gt;"",
IFERROR(INDEX('LaunchPad Markbook'!A:A,MATCH(AH197,'LaunchPad Markbook'!D:D,0),0),"-"),"")</f>
        <v/>
      </c>
      <c r="D197" s="27"/>
      <c r="E197" s="27"/>
      <c r="F197" s="27"/>
      <c r="G197" s="14">
        <f>IF(OR(H197&gt;AB$2,I197&gt;AC$2,J197&gt;AD$2,
P197&gt;1,V197&gt;1,
L197&gt;'Group List A'!E$2,M197&gt;'Group List A'!F$2,N197&gt;'Group List A'!G$2,
R197&gt;'Group List B'!E$2,S197&gt;'Group List B'!F$2,T197&gt;'Group List B'!G$2),"Exceed",
IF(OR(H197=AB$2,I197=AC$2,J197=AD$2,
P197=1,V197=1,
L197='Group List A'!E$2,M197='Group List A'!F$2,N197='Group List A'!G$2,
R197='Group List B'!E$2,S197='Group List B'!F$2,T197='Group List B'!G$2),"Limit",0))</f>
        <v>0</v>
      </c>
      <c r="H197" s="29">
        <f t="shared" si="47"/>
        <v>0</v>
      </c>
      <c r="I197" s="29">
        <f t="shared" si="48"/>
        <v>0</v>
      </c>
      <c r="J197" s="29">
        <f t="shared" si="49"/>
        <v>0</v>
      </c>
      <c r="K197" s="32" t="str" cm="1">
        <f t="array" ref="K197">IF(AF197&lt;&gt;"",IFERROR(INDEX('Group List A'!B:B,MATCH(AI197,'Group List A'!A:A,0),0),"-"),"")</f>
        <v/>
      </c>
      <c r="L197" s="33">
        <f t="shared" si="50"/>
        <v>0</v>
      </c>
      <c r="M197" s="33">
        <f t="shared" si="51"/>
        <v>0</v>
      </c>
      <c r="N197" s="33">
        <f t="shared" si="52"/>
        <v>0</v>
      </c>
      <c r="O197" s="28"/>
      <c r="P197" s="33">
        <f t="shared" si="53"/>
        <v>0</v>
      </c>
      <c r="Q197" s="35" t="str" cm="1">
        <f t="array" ref="Q197">IF(AF197&lt;&gt;"",IFERROR(INDEX('Group List B'!B:B,MATCH(AI197,'Group List B'!A:A,0),0),"-"),"")</f>
        <v/>
      </c>
      <c r="R197" s="36">
        <f t="shared" si="54"/>
        <v>0</v>
      </c>
      <c r="S197" s="36">
        <f t="shared" si="55"/>
        <v>0</v>
      </c>
      <c r="T197" s="36">
        <f t="shared" si="56"/>
        <v>0</v>
      </c>
      <c r="U197" s="28"/>
      <c r="V197" s="37">
        <f t="shared" si="57"/>
        <v>0</v>
      </c>
      <c r="W197" s="41"/>
      <c r="X197" s="27"/>
      <c r="Y197" s="27"/>
      <c r="Z197" s="27"/>
      <c r="AA197" s="15"/>
      <c r="AB197" s="17"/>
      <c r="AC197" s="17"/>
      <c r="AD197" s="17"/>
      <c r="AE197" s="90"/>
      <c r="AF197" s="82" t="str">
        <f t="shared" si="58"/>
        <v/>
      </c>
      <c r="AG197" s="83" t="str">
        <f t="shared" si="59"/>
        <v/>
      </c>
      <c r="AH197" s="82" t="str">
        <f t="shared" si="60"/>
        <v/>
      </c>
      <c r="AI197" s="82" t="str">
        <f t="shared" si="61"/>
        <v/>
      </c>
      <c r="AJ197" s="90"/>
      <c r="AP197" s="88"/>
    </row>
    <row r="198" spans="1:42" x14ac:dyDescent="0.25">
      <c r="A198" s="2"/>
      <c r="C198" s="68" t="str" cm="1">
        <f t="array" ref="C198">IF(AF198&lt;&gt;"",
IFERROR(INDEX('LaunchPad Markbook'!A:A,MATCH(AH198,'LaunchPad Markbook'!D:D,0),0),"-"),"")</f>
        <v/>
      </c>
      <c r="D198" s="27"/>
      <c r="E198" s="27"/>
      <c r="F198" s="27"/>
      <c r="G198" s="14">
        <f>IF(OR(H198&gt;AB$2,I198&gt;AC$2,J198&gt;AD$2,
P198&gt;1,V198&gt;1,
L198&gt;'Group List A'!E$2,M198&gt;'Group List A'!F$2,N198&gt;'Group List A'!G$2,
R198&gt;'Group List B'!E$2,S198&gt;'Group List B'!F$2,T198&gt;'Group List B'!G$2),"Exceed",
IF(OR(H198=AB$2,I198=AC$2,J198=AD$2,
P198=1,V198=1,
L198='Group List A'!E$2,M198='Group List A'!F$2,N198='Group List A'!G$2,
R198='Group List B'!E$2,S198='Group List B'!F$2,T198='Group List B'!G$2),"Limit",0))</f>
        <v>0</v>
      </c>
      <c r="H198" s="29">
        <f t="shared" si="47"/>
        <v>0</v>
      </c>
      <c r="I198" s="29">
        <f t="shared" si="48"/>
        <v>0</v>
      </c>
      <c r="J198" s="29">
        <f t="shared" si="49"/>
        <v>0</v>
      </c>
      <c r="K198" s="32" t="str" cm="1">
        <f t="array" ref="K198">IF(AF198&lt;&gt;"",IFERROR(INDEX('Group List A'!B:B,MATCH(AI198,'Group List A'!A:A,0),0),"-"),"")</f>
        <v/>
      </c>
      <c r="L198" s="33">
        <f t="shared" si="50"/>
        <v>0</v>
      </c>
      <c r="M198" s="33">
        <f t="shared" si="51"/>
        <v>0</v>
      </c>
      <c r="N198" s="33">
        <f t="shared" si="52"/>
        <v>0</v>
      </c>
      <c r="O198" s="28"/>
      <c r="P198" s="33">
        <f t="shared" si="53"/>
        <v>0</v>
      </c>
      <c r="Q198" s="35" t="str" cm="1">
        <f t="array" ref="Q198">IF(AF198&lt;&gt;"",IFERROR(INDEX('Group List B'!B:B,MATCH(AI198,'Group List B'!A:A,0),0),"-"),"")</f>
        <v/>
      </c>
      <c r="R198" s="36">
        <f t="shared" si="54"/>
        <v>0</v>
      </c>
      <c r="S198" s="36">
        <f t="shared" si="55"/>
        <v>0</v>
      </c>
      <c r="T198" s="36">
        <f t="shared" si="56"/>
        <v>0</v>
      </c>
      <c r="U198" s="28"/>
      <c r="V198" s="37">
        <f t="shared" si="57"/>
        <v>0</v>
      </c>
      <c r="W198" s="41"/>
      <c r="X198" s="27"/>
      <c r="Y198" s="27"/>
      <c r="Z198" s="27"/>
      <c r="AA198" s="15"/>
      <c r="AB198" s="17"/>
      <c r="AC198" s="17"/>
      <c r="AD198" s="17"/>
      <c r="AE198" s="90"/>
      <c r="AF198" s="82" t="str">
        <f t="shared" si="58"/>
        <v/>
      </c>
      <c r="AG198" s="83" t="str">
        <f t="shared" si="59"/>
        <v/>
      </c>
      <c r="AH198" s="82" t="str">
        <f t="shared" si="60"/>
        <v/>
      </c>
      <c r="AI198" s="82" t="str">
        <f t="shared" si="61"/>
        <v/>
      </c>
      <c r="AJ198" s="90"/>
      <c r="AP198" s="88"/>
    </row>
    <row r="199" spans="1:42" x14ac:dyDescent="0.25">
      <c r="A199" s="2"/>
      <c r="C199" s="68" t="str" cm="1">
        <f t="array" ref="C199">IF(AF199&lt;&gt;"",
IFERROR(INDEX('LaunchPad Markbook'!A:A,MATCH(AH199,'LaunchPad Markbook'!D:D,0),0),"-"),"")</f>
        <v/>
      </c>
      <c r="D199" s="27"/>
      <c r="E199" s="27"/>
      <c r="F199" s="27"/>
      <c r="G199" s="14">
        <f>IF(OR(H199&gt;AB$2,I199&gt;AC$2,J199&gt;AD$2,
P199&gt;1,V199&gt;1,
L199&gt;'Group List A'!E$2,M199&gt;'Group List A'!F$2,N199&gt;'Group List A'!G$2,
R199&gt;'Group List B'!E$2,S199&gt;'Group List B'!F$2,T199&gt;'Group List B'!G$2),"Exceed",
IF(OR(H199=AB$2,I199=AC$2,J199=AD$2,
P199=1,V199=1,
L199='Group List A'!E$2,M199='Group List A'!F$2,N199='Group List A'!G$2,
R199='Group List B'!E$2,S199='Group List B'!F$2,T199='Group List B'!G$2),"Limit",0))</f>
        <v>0</v>
      </c>
      <c r="H199" s="29">
        <f t="shared" si="47"/>
        <v>0</v>
      </c>
      <c r="I199" s="29">
        <f t="shared" si="48"/>
        <v>0</v>
      </c>
      <c r="J199" s="29">
        <f t="shared" si="49"/>
        <v>0</v>
      </c>
      <c r="K199" s="32" t="str" cm="1">
        <f t="array" ref="K199">IF(AF199&lt;&gt;"",IFERROR(INDEX('Group List A'!B:B,MATCH(AI199,'Group List A'!A:A,0),0),"-"),"")</f>
        <v/>
      </c>
      <c r="L199" s="33">
        <f t="shared" si="50"/>
        <v>0</v>
      </c>
      <c r="M199" s="33">
        <f t="shared" si="51"/>
        <v>0</v>
      </c>
      <c r="N199" s="33">
        <f t="shared" si="52"/>
        <v>0</v>
      </c>
      <c r="O199" s="28"/>
      <c r="P199" s="33">
        <f t="shared" si="53"/>
        <v>0</v>
      </c>
      <c r="Q199" s="35" t="str" cm="1">
        <f t="array" ref="Q199">IF(AF199&lt;&gt;"",IFERROR(INDEX('Group List B'!B:B,MATCH(AI199,'Group List B'!A:A,0),0),"-"),"")</f>
        <v/>
      </c>
      <c r="R199" s="36">
        <f t="shared" si="54"/>
        <v>0</v>
      </c>
      <c r="S199" s="36">
        <f t="shared" si="55"/>
        <v>0</v>
      </c>
      <c r="T199" s="36">
        <f t="shared" si="56"/>
        <v>0</v>
      </c>
      <c r="U199" s="28"/>
      <c r="V199" s="37">
        <f t="shared" si="57"/>
        <v>0</v>
      </c>
      <c r="W199" s="41"/>
      <c r="X199" s="27"/>
      <c r="Y199" s="27"/>
      <c r="Z199" s="27"/>
      <c r="AA199" s="15"/>
      <c r="AB199" s="17"/>
      <c r="AC199" s="17"/>
      <c r="AD199" s="17"/>
      <c r="AE199" s="90"/>
      <c r="AF199" s="82" t="str">
        <f t="shared" si="58"/>
        <v/>
      </c>
      <c r="AG199" s="83" t="str">
        <f t="shared" si="59"/>
        <v/>
      </c>
      <c r="AH199" s="82" t="str">
        <f t="shared" si="60"/>
        <v/>
      </c>
      <c r="AI199" s="82" t="str">
        <f t="shared" si="61"/>
        <v/>
      </c>
      <c r="AJ199" s="90"/>
      <c r="AP199" s="88"/>
    </row>
    <row r="200" spans="1:42" x14ac:dyDescent="0.25">
      <c r="A200" s="2"/>
      <c r="C200" s="68" t="str" cm="1">
        <f t="array" ref="C200">IF(AF200&lt;&gt;"",
IFERROR(INDEX('LaunchPad Markbook'!A:A,MATCH(AH200,'LaunchPad Markbook'!D:D,0),0),"-"),"")</f>
        <v/>
      </c>
      <c r="D200" s="27"/>
      <c r="E200" s="27"/>
      <c r="F200" s="27"/>
      <c r="G200" s="14">
        <f>IF(OR(H200&gt;AB$2,I200&gt;AC$2,J200&gt;AD$2,
P200&gt;1,V200&gt;1,
L200&gt;'Group List A'!E$2,M200&gt;'Group List A'!F$2,N200&gt;'Group List A'!G$2,
R200&gt;'Group List B'!E$2,S200&gt;'Group List B'!F$2,T200&gt;'Group List B'!G$2),"Exceed",
IF(OR(H200=AB$2,I200=AC$2,J200=AD$2,
P200=1,V200=1,
L200='Group List A'!E$2,M200='Group List A'!F$2,N200='Group List A'!G$2,
R200='Group List B'!E$2,S200='Group List B'!F$2,T200='Group List B'!G$2),"Limit",0))</f>
        <v>0</v>
      </c>
      <c r="H200" s="29">
        <f t="shared" si="47"/>
        <v>0</v>
      </c>
      <c r="I200" s="29">
        <f t="shared" si="48"/>
        <v>0</v>
      </c>
      <c r="J200" s="29">
        <f t="shared" si="49"/>
        <v>0</v>
      </c>
      <c r="K200" s="32" t="str" cm="1">
        <f t="array" ref="K200">IF(AF200&lt;&gt;"",IFERROR(INDEX('Group List A'!B:B,MATCH(AI200,'Group List A'!A:A,0),0),"-"),"")</f>
        <v/>
      </c>
      <c r="L200" s="33">
        <f t="shared" si="50"/>
        <v>0</v>
      </c>
      <c r="M200" s="33">
        <f t="shared" si="51"/>
        <v>0</v>
      </c>
      <c r="N200" s="33">
        <f t="shared" si="52"/>
        <v>0</v>
      </c>
      <c r="O200" s="28"/>
      <c r="P200" s="33">
        <f t="shared" si="53"/>
        <v>0</v>
      </c>
      <c r="Q200" s="35" t="str" cm="1">
        <f t="array" ref="Q200">IF(AF200&lt;&gt;"",IFERROR(INDEX('Group List B'!B:B,MATCH(AI200,'Group List B'!A:A,0),0),"-"),"")</f>
        <v/>
      </c>
      <c r="R200" s="36">
        <f t="shared" si="54"/>
        <v>0</v>
      </c>
      <c r="S200" s="36">
        <f t="shared" si="55"/>
        <v>0</v>
      </c>
      <c r="T200" s="36">
        <f t="shared" si="56"/>
        <v>0</v>
      </c>
      <c r="U200" s="28"/>
      <c r="V200" s="37">
        <f t="shared" si="57"/>
        <v>0</v>
      </c>
      <c r="W200" s="41"/>
      <c r="X200" s="27"/>
      <c r="Y200" s="27"/>
      <c r="Z200" s="27"/>
      <c r="AA200" s="15"/>
      <c r="AB200" s="17"/>
      <c r="AC200" s="17"/>
      <c r="AD200" s="17"/>
      <c r="AE200" s="90"/>
      <c r="AF200" s="82" t="str">
        <f t="shared" si="58"/>
        <v/>
      </c>
      <c r="AG200" s="83" t="str">
        <f t="shared" si="59"/>
        <v/>
      </c>
      <c r="AH200" s="82" t="str">
        <f t="shared" si="60"/>
        <v/>
      </c>
      <c r="AI200" s="82" t="str">
        <f t="shared" si="61"/>
        <v/>
      </c>
      <c r="AJ200" s="90"/>
      <c r="AP200" s="88"/>
    </row>
    <row r="201" spans="1:42" x14ac:dyDescent="0.25">
      <c r="A201" s="2"/>
      <c r="C201" s="68" t="str" cm="1">
        <f t="array" ref="C201">IF(AF201&lt;&gt;"",
IFERROR(INDEX('LaunchPad Markbook'!A:A,MATCH(AH201,'LaunchPad Markbook'!D:D,0),0),"-"),"")</f>
        <v/>
      </c>
      <c r="D201" s="27"/>
      <c r="E201" s="27"/>
      <c r="F201" s="27"/>
      <c r="G201" s="14">
        <f>IF(OR(H201&gt;AB$2,I201&gt;AC$2,J201&gt;AD$2,
P201&gt;1,V201&gt;1,
L201&gt;'Group List A'!E$2,M201&gt;'Group List A'!F$2,N201&gt;'Group List A'!G$2,
R201&gt;'Group List B'!E$2,S201&gt;'Group List B'!F$2,T201&gt;'Group List B'!G$2),"Exceed",
IF(OR(H201=AB$2,I201=AC$2,J201=AD$2,
P201=1,V201=1,
L201='Group List A'!E$2,M201='Group List A'!F$2,N201='Group List A'!G$2,
R201='Group List B'!E$2,S201='Group List B'!F$2,T201='Group List B'!G$2),"Limit",0))</f>
        <v>0</v>
      </c>
      <c r="H201" s="29">
        <f t="shared" si="47"/>
        <v>0</v>
      </c>
      <c r="I201" s="29">
        <f t="shared" si="48"/>
        <v>0</v>
      </c>
      <c r="J201" s="29">
        <f t="shared" si="49"/>
        <v>0</v>
      </c>
      <c r="K201" s="32" t="str" cm="1">
        <f t="array" ref="K201">IF(AF201&lt;&gt;"",IFERROR(INDEX('Group List A'!B:B,MATCH(AI201,'Group List A'!A:A,0),0),"-"),"")</f>
        <v/>
      </c>
      <c r="L201" s="33">
        <f t="shared" si="50"/>
        <v>0</v>
      </c>
      <c r="M201" s="33">
        <f t="shared" si="51"/>
        <v>0</v>
      </c>
      <c r="N201" s="33">
        <f t="shared" si="52"/>
        <v>0</v>
      </c>
      <c r="O201" s="28"/>
      <c r="P201" s="33">
        <f t="shared" si="53"/>
        <v>0</v>
      </c>
      <c r="Q201" s="35" t="str" cm="1">
        <f t="array" ref="Q201">IF(AF201&lt;&gt;"",IFERROR(INDEX('Group List B'!B:B,MATCH(AI201,'Group List B'!A:A,0),0),"-"),"")</f>
        <v/>
      </c>
      <c r="R201" s="36">
        <f t="shared" si="54"/>
        <v>0</v>
      </c>
      <c r="S201" s="36">
        <f t="shared" si="55"/>
        <v>0</v>
      </c>
      <c r="T201" s="36">
        <f t="shared" si="56"/>
        <v>0</v>
      </c>
      <c r="U201" s="28"/>
      <c r="V201" s="37">
        <f t="shared" si="57"/>
        <v>0</v>
      </c>
      <c r="W201" s="41"/>
      <c r="X201" s="27"/>
      <c r="Y201" s="27"/>
      <c r="Z201" s="27"/>
      <c r="AA201" s="15"/>
      <c r="AB201" s="17"/>
      <c r="AC201" s="17"/>
      <c r="AD201" s="17"/>
      <c r="AE201" s="90"/>
      <c r="AF201" s="82" t="str">
        <f t="shared" si="58"/>
        <v/>
      </c>
      <c r="AG201" s="83" t="str">
        <f t="shared" si="59"/>
        <v/>
      </c>
      <c r="AH201" s="82" t="str">
        <f t="shared" si="60"/>
        <v/>
      </c>
      <c r="AI201" s="82" t="str">
        <f t="shared" si="61"/>
        <v/>
      </c>
      <c r="AJ201" s="90"/>
      <c r="AP201" s="88"/>
    </row>
    <row r="202" spans="1:42" x14ac:dyDescent="0.25">
      <c r="A202" s="2"/>
      <c r="C202" s="68" t="str" cm="1">
        <f t="array" ref="C202">IF(AF202&lt;&gt;"",
IFERROR(INDEX('LaunchPad Markbook'!A:A,MATCH(AH202,'LaunchPad Markbook'!D:D,0),0),"-"),"")</f>
        <v/>
      </c>
      <c r="D202" s="27"/>
      <c r="E202" s="27"/>
      <c r="F202" s="27"/>
      <c r="G202" s="14">
        <f>IF(OR(H202&gt;AB$2,I202&gt;AC$2,J202&gt;AD$2,
P202&gt;1,V202&gt;1,
L202&gt;'Group List A'!E$2,M202&gt;'Group List A'!F$2,N202&gt;'Group List A'!G$2,
R202&gt;'Group List B'!E$2,S202&gt;'Group List B'!F$2,T202&gt;'Group List B'!G$2),"Exceed",
IF(OR(H202=AB$2,I202=AC$2,J202=AD$2,
P202=1,V202=1,
L202='Group List A'!E$2,M202='Group List A'!F$2,N202='Group List A'!G$2,
R202='Group List B'!E$2,S202='Group List B'!F$2,T202='Group List B'!G$2),"Limit",0))</f>
        <v>0</v>
      </c>
      <c r="H202" s="29">
        <f t="shared" si="47"/>
        <v>0</v>
      </c>
      <c r="I202" s="29">
        <f t="shared" si="48"/>
        <v>0</v>
      </c>
      <c r="J202" s="29">
        <f t="shared" si="49"/>
        <v>0</v>
      </c>
      <c r="K202" s="32" t="str" cm="1">
        <f t="array" ref="K202">IF(AF202&lt;&gt;"",IFERROR(INDEX('Group List A'!B:B,MATCH(AI202,'Group List A'!A:A,0),0),"-"),"")</f>
        <v/>
      </c>
      <c r="L202" s="33">
        <f t="shared" si="50"/>
        <v>0</v>
      </c>
      <c r="M202" s="33">
        <f t="shared" si="51"/>
        <v>0</v>
      </c>
      <c r="N202" s="33">
        <f t="shared" si="52"/>
        <v>0</v>
      </c>
      <c r="O202" s="28"/>
      <c r="P202" s="33">
        <f t="shared" si="53"/>
        <v>0</v>
      </c>
      <c r="Q202" s="35" t="str" cm="1">
        <f t="array" ref="Q202">IF(AF202&lt;&gt;"",IFERROR(INDEX('Group List B'!B:B,MATCH(AI202,'Group List B'!A:A,0),0),"-"),"")</f>
        <v/>
      </c>
      <c r="R202" s="36">
        <f t="shared" si="54"/>
        <v>0</v>
      </c>
      <c r="S202" s="36">
        <f t="shared" si="55"/>
        <v>0</v>
      </c>
      <c r="T202" s="36">
        <f t="shared" si="56"/>
        <v>0</v>
      </c>
      <c r="U202" s="28"/>
      <c r="V202" s="37">
        <f t="shared" si="57"/>
        <v>0</v>
      </c>
      <c r="W202" s="41"/>
      <c r="X202" s="27"/>
      <c r="Y202" s="27"/>
      <c r="Z202" s="27"/>
      <c r="AA202" s="15"/>
      <c r="AB202" s="17"/>
      <c r="AC202" s="17"/>
      <c r="AD202" s="17"/>
      <c r="AE202" s="90"/>
      <c r="AF202" s="82" t="str">
        <f t="shared" si="58"/>
        <v/>
      </c>
      <c r="AG202" s="83" t="str">
        <f t="shared" si="59"/>
        <v/>
      </c>
      <c r="AH202" s="82" t="str">
        <f t="shared" si="60"/>
        <v/>
      </c>
      <c r="AI202" s="82" t="str">
        <f t="shared" si="61"/>
        <v/>
      </c>
      <c r="AJ202" s="90"/>
      <c r="AP202" s="88"/>
    </row>
    <row r="203" spans="1:42" x14ac:dyDescent="0.25">
      <c r="A203" s="2"/>
      <c r="C203" s="68" t="str" cm="1">
        <f t="array" ref="C203">IF(AF203&lt;&gt;"",
IFERROR(INDEX('LaunchPad Markbook'!A:A,MATCH(AH203,'LaunchPad Markbook'!D:D,0),0),"-"),"")</f>
        <v/>
      </c>
      <c r="D203" s="27"/>
      <c r="E203" s="27"/>
      <c r="F203" s="27"/>
      <c r="G203" s="14">
        <f>IF(OR(H203&gt;AB$2,I203&gt;AC$2,J203&gt;AD$2,
P203&gt;1,V203&gt;1,
L203&gt;'Group List A'!E$2,M203&gt;'Group List A'!F$2,N203&gt;'Group List A'!G$2,
R203&gt;'Group List B'!E$2,S203&gt;'Group List B'!F$2,T203&gt;'Group List B'!G$2),"Exceed",
IF(OR(H203=AB$2,I203=AC$2,J203=AD$2,
P203=1,V203=1,
L203='Group List A'!E$2,M203='Group List A'!F$2,N203='Group List A'!G$2,
R203='Group List B'!E$2,S203='Group List B'!F$2,T203='Group List B'!G$2),"Limit",0))</f>
        <v>0</v>
      </c>
      <c r="H203" s="29">
        <f t="shared" si="47"/>
        <v>0</v>
      </c>
      <c r="I203" s="29">
        <f t="shared" si="48"/>
        <v>0</v>
      </c>
      <c r="J203" s="29">
        <f t="shared" si="49"/>
        <v>0</v>
      </c>
      <c r="K203" s="32" t="str" cm="1">
        <f t="array" ref="K203">IF(AF203&lt;&gt;"",IFERROR(INDEX('Group List A'!B:B,MATCH(AI203,'Group List A'!A:A,0),0),"-"),"")</f>
        <v/>
      </c>
      <c r="L203" s="33">
        <f t="shared" si="50"/>
        <v>0</v>
      </c>
      <c r="M203" s="33">
        <f t="shared" si="51"/>
        <v>0</v>
      </c>
      <c r="N203" s="33">
        <f t="shared" si="52"/>
        <v>0</v>
      </c>
      <c r="O203" s="28"/>
      <c r="P203" s="33">
        <f t="shared" si="53"/>
        <v>0</v>
      </c>
      <c r="Q203" s="35" t="str" cm="1">
        <f t="array" ref="Q203">IF(AF203&lt;&gt;"",IFERROR(INDEX('Group List B'!B:B,MATCH(AI203,'Group List B'!A:A,0),0),"-"),"")</f>
        <v/>
      </c>
      <c r="R203" s="36">
        <f t="shared" si="54"/>
        <v>0</v>
      </c>
      <c r="S203" s="36">
        <f t="shared" si="55"/>
        <v>0</v>
      </c>
      <c r="T203" s="36">
        <f t="shared" si="56"/>
        <v>0</v>
      </c>
      <c r="U203" s="28"/>
      <c r="V203" s="37">
        <f t="shared" si="57"/>
        <v>0</v>
      </c>
      <c r="W203" s="41"/>
      <c r="X203" s="27"/>
      <c r="Y203" s="27"/>
      <c r="Z203" s="27"/>
      <c r="AA203" s="15"/>
      <c r="AB203" s="17"/>
      <c r="AC203" s="17"/>
      <c r="AD203" s="17"/>
      <c r="AE203" s="90"/>
      <c r="AF203" s="82" t="str">
        <f t="shared" si="58"/>
        <v/>
      </c>
      <c r="AG203" s="83" t="str">
        <f t="shared" si="59"/>
        <v/>
      </c>
      <c r="AH203" s="82" t="str">
        <f t="shared" si="60"/>
        <v/>
      </c>
      <c r="AI203" s="82" t="str">
        <f t="shared" si="61"/>
        <v/>
      </c>
      <c r="AJ203" s="90"/>
      <c r="AP203" s="88"/>
    </row>
    <row r="204" spans="1:42" x14ac:dyDescent="0.25">
      <c r="A204" s="2"/>
      <c r="C204" s="68" t="str" cm="1">
        <f t="array" ref="C204">IF(AF204&lt;&gt;"",
IFERROR(INDEX('LaunchPad Markbook'!A:A,MATCH(AH204,'LaunchPad Markbook'!D:D,0),0),"-"),"")</f>
        <v/>
      </c>
      <c r="D204" s="27"/>
      <c r="E204" s="27"/>
      <c r="F204" s="27"/>
      <c r="G204" s="14">
        <f>IF(OR(H204&gt;AB$2,I204&gt;AC$2,J204&gt;AD$2,
P204&gt;1,V204&gt;1,
L204&gt;'Group List A'!E$2,M204&gt;'Group List A'!F$2,N204&gt;'Group List A'!G$2,
R204&gt;'Group List B'!E$2,S204&gt;'Group List B'!F$2,T204&gt;'Group List B'!G$2),"Exceed",
IF(OR(H204=AB$2,I204=AC$2,J204=AD$2,
P204=1,V204=1,
L204='Group List A'!E$2,M204='Group List A'!F$2,N204='Group List A'!G$2,
R204='Group List B'!E$2,S204='Group List B'!F$2,T204='Group List B'!G$2),"Limit",0))</f>
        <v>0</v>
      </c>
      <c r="H204" s="29">
        <f t="shared" si="47"/>
        <v>0</v>
      </c>
      <c r="I204" s="29">
        <f t="shared" si="48"/>
        <v>0</v>
      </c>
      <c r="J204" s="29">
        <f t="shared" si="49"/>
        <v>0</v>
      </c>
      <c r="K204" s="32" t="str" cm="1">
        <f t="array" ref="K204">IF(AF204&lt;&gt;"",IFERROR(INDEX('Group List A'!B:B,MATCH(AI204,'Group List A'!A:A,0),0),"-"),"")</f>
        <v/>
      </c>
      <c r="L204" s="33">
        <f t="shared" si="50"/>
        <v>0</v>
      </c>
      <c r="M204" s="33">
        <f t="shared" si="51"/>
        <v>0</v>
      </c>
      <c r="N204" s="33">
        <f t="shared" si="52"/>
        <v>0</v>
      </c>
      <c r="O204" s="28"/>
      <c r="P204" s="33">
        <f t="shared" si="53"/>
        <v>0</v>
      </c>
      <c r="Q204" s="35" t="str" cm="1">
        <f t="array" ref="Q204">IF(AF204&lt;&gt;"",IFERROR(INDEX('Group List B'!B:B,MATCH(AI204,'Group List B'!A:A,0),0),"-"),"")</f>
        <v/>
      </c>
      <c r="R204" s="36">
        <f t="shared" si="54"/>
        <v>0</v>
      </c>
      <c r="S204" s="36">
        <f t="shared" si="55"/>
        <v>0</v>
      </c>
      <c r="T204" s="36">
        <f t="shared" si="56"/>
        <v>0</v>
      </c>
      <c r="U204" s="28"/>
      <c r="V204" s="37">
        <f t="shared" si="57"/>
        <v>0</v>
      </c>
      <c r="W204" s="41"/>
      <c r="X204" s="27"/>
      <c r="Y204" s="27"/>
      <c r="Z204" s="27"/>
      <c r="AA204" s="15"/>
      <c r="AB204" s="17"/>
      <c r="AC204" s="17"/>
      <c r="AD204" s="17"/>
      <c r="AE204" s="90"/>
      <c r="AF204" s="82" t="str">
        <f t="shared" si="58"/>
        <v/>
      </c>
      <c r="AG204" s="83" t="str">
        <f t="shared" si="59"/>
        <v/>
      </c>
      <c r="AH204" s="82" t="str">
        <f t="shared" si="60"/>
        <v/>
      </c>
      <c r="AI204" s="82" t="str">
        <f t="shared" si="61"/>
        <v/>
      </c>
      <c r="AJ204" s="90"/>
      <c r="AP204" s="88"/>
    </row>
    <row r="205" spans="1:42" x14ac:dyDescent="0.25">
      <c r="A205" s="2"/>
      <c r="C205" s="68" t="str" cm="1">
        <f t="array" ref="C205">IF(AF205&lt;&gt;"",
IFERROR(INDEX('LaunchPad Markbook'!A:A,MATCH(AH205,'LaunchPad Markbook'!D:D,0),0),"-"),"")</f>
        <v/>
      </c>
      <c r="D205" s="27"/>
      <c r="E205" s="27"/>
      <c r="F205" s="27"/>
      <c r="G205" s="14">
        <f>IF(OR(H205&gt;AB$2,I205&gt;AC$2,J205&gt;AD$2,
P205&gt;1,V205&gt;1,
L205&gt;'Group List A'!E$2,M205&gt;'Group List A'!F$2,N205&gt;'Group List A'!G$2,
R205&gt;'Group List B'!E$2,S205&gt;'Group List B'!F$2,T205&gt;'Group List B'!G$2),"Exceed",
IF(OR(H205=AB$2,I205=AC$2,J205=AD$2,
P205=1,V205=1,
L205='Group List A'!E$2,M205='Group List A'!F$2,N205='Group List A'!G$2,
R205='Group List B'!E$2,S205='Group List B'!F$2,T205='Group List B'!G$2),"Limit",0))</f>
        <v>0</v>
      </c>
      <c r="H205" s="29">
        <f t="shared" si="47"/>
        <v>0</v>
      </c>
      <c r="I205" s="29">
        <f t="shared" si="48"/>
        <v>0</v>
      </c>
      <c r="J205" s="29">
        <f t="shared" si="49"/>
        <v>0</v>
      </c>
      <c r="K205" s="32" t="str" cm="1">
        <f t="array" ref="K205">IF(AF205&lt;&gt;"",IFERROR(INDEX('Group List A'!B:B,MATCH(AI205,'Group List A'!A:A,0),0),"-"),"")</f>
        <v/>
      </c>
      <c r="L205" s="33">
        <f t="shared" si="50"/>
        <v>0</v>
      </c>
      <c r="M205" s="33">
        <f t="shared" si="51"/>
        <v>0</v>
      </c>
      <c r="N205" s="33">
        <f t="shared" si="52"/>
        <v>0</v>
      </c>
      <c r="O205" s="28"/>
      <c r="P205" s="33">
        <f t="shared" si="53"/>
        <v>0</v>
      </c>
      <c r="Q205" s="35" t="str" cm="1">
        <f t="array" ref="Q205">IF(AF205&lt;&gt;"",IFERROR(INDEX('Group List B'!B:B,MATCH(AI205,'Group List B'!A:A,0),0),"-"),"")</f>
        <v/>
      </c>
      <c r="R205" s="36">
        <f t="shared" si="54"/>
        <v>0</v>
      </c>
      <c r="S205" s="36">
        <f t="shared" si="55"/>
        <v>0</v>
      </c>
      <c r="T205" s="36">
        <f t="shared" si="56"/>
        <v>0</v>
      </c>
      <c r="U205" s="28"/>
      <c r="V205" s="37">
        <f t="shared" si="57"/>
        <v>0</v>
      </c>
      <c r="W205" s="41"/>
      <c r="X205" s="27"/>
      <c r="Y205" s="27"/>
      <c r="Z205" s="27"/>
      <c r="AA205" s="15"/>
      <c r="AB205" s="17"/>
      <c r="AC205" s="17"/>
      <c r="AD205" s="17"/>
      <c r="AE205" s="90"/>
      <c r="AF205" s="82" t="str">
        <f t="shared" si="58"/>
        <v/>
      </c>
      <c r="AG205" s="83" t="str">
        <f t="shared" si="59"/>
        <v/>
      </c>
      <c r="AH205" s="82" t="str">
        <f t="shared" si="60"/>
        <v/>
      </c>
      <c r="AI205" s="82" t="str">
        <f t="shared" si="61"/>
        <v/>
      </c>
      <c r="AJ205" s="90"/>
      <c r="AP205" s="88"/>
    </row>
    <row r="206" spans="1:42" x14ac:dyDescent="0.25">
      <c r="A206" s="2"/>
      <c r="C206" s="68" t="str" cm="1">
        <f t="array" ref="C206">IF(AF206&lt;&gt;"",
IFERROR(INDEX('LaunchPad Markbook'!A:A,MATCH(AH206,'LaunchPad Markbook'!D:D,0),0),"-"),"")</f>
        <v/>
      </c>
      <c r="D206" s="27"/>
      <c r="E206" s="27"/>
      <c r="F206" s="27"/>
      <c r="G206" s="14">
        <f>IF(OR(H206&gt;AB$2,I206&gt;AC$2,J206&gt;AD$2,
P206&gt;1,V206&gt;1,
L206&gt;'Group List A'!E$2,M206&gt;'Group List A'!F$2,N206&gt;'Group List A'!G$2,
R206&gt;'Group List B'!E$2,S206&gt;'Group List B'!F$2,T206&gt;'Group List B'!G$2),"Exceed",
IF(OR(H206=AB$2,I206=AC$2,J206=AD$2,
P206=1,V206=1,
L206='Group List A'!E$2,M206='Group List A'!F$2,N206='Group List A'!G$2,
R206='Group List B'!E$2,S206='Group List B'!F$2,T206='Group List B'!G$2),"Limit",0))</f>
        <v>0</v>
      </c>
      <c r="H206" s="29">
        <f t="shared" si="47"/>
        <v>0</v>
      </c>
      <c r="I206" s="29">
        <f t="shared" si="48"/>
        <v>0</v>
      </c>
      <c r="J206" s="29">
        <f t="shared" si="49"/>
        <v>0</v>
      </c>
      <c r="K206" s="32" t="str" cm="1">
        <f t="array" ref="K206">IF(AF206&lt;&gt;"",IFERROR(INDEX('Group List A'!B:B,MATCH(AI206,'Group List A'!A:A,0),0),"-"),"")</f>
        <v/>
      </c>
      <c r="L206" s="33">
        <f t="shared" si="50"/>
        <v>0</v>
      </c>
      <c r="M206" s="33">
        <f t="shared" si="51"/>
        <v>0</v>
      </c>
      <c r="N206" s="33">
        <f t="shared" si="52"/>
        <v>0</v>
      </c>
      <c r="O206" s="28"/>
      <c r="P206" s="33">
        <f t="shared" si="53"/>
        <v>0</v>
      </c>
      <c r="Q206" s="35" t="str" cm="1">
        <f t="array" ref="Q206">IF(AF206&lt;&gt;"",IFERROR(INDEX('Group List B'!B:B,MATCH(AI206,'Group List B'!A:A,0),0),"-"),"")</f>
        <v/>
      </c>
      <c r="R206" s="36">
        <f t="shared" si="54"/>
        <v>0</v>
      </c>
      <c r="S206" s="36">
        <f t="shared" si="55"/>
        <v>0</v>
      </c>
      <c r="T206" s="36">
        <f t="shared" si="56"/>
        <v>0</v>
      </c>
      <c r="U206" s="28"/>
      <c r="V206" s="37">
        <f t="shared" si="57"/>
        <v>0</v>
      </c>
      <c r="W206" s="41"/>
      <c r="X206" s="27"/>
      <c r="Y206" s="27"/>
      <c r="Z206" s="27"/>
      <c r="AA206" s="15"/>
      <c r="AB206" s="17"/>
      <c r="AC206" s="17"/>
      <c r="AD206" s="17"/>
      <c r="AE206" s="90"/>
      <c r="AF206" s="82" t="str">
        <f t="shared" si="58"/>
        <v/>
      </c>
      <c r="AG206" s="83" t="str">
        <f t="shared" si="59"/>
        <v/>
      </c>
      <c r="AH206" s="82" t="str">
        <f t="shared" si="60"/>
        <v/>
      </c>
      <c r="AI206" s="82" t="str">
        <f t="shared" si="61"/>
        <v/>
      </c>
      <c r="AJ206" s="90"/>
      <c r="AP206" s="88"/>
    </row>
    <row r="207" spans="1:42" x14ac:dyDescent="0.25">
      <c r="A207" s="2"/>
      <c r="C207" s="68" t="str" cm="1">
        <f t="array" ref="C207">IF(AF207&lt;&gt;"",
IFERROR(INDEX('LaunchPad Markbook'!A:A,MATCH(AH207,'LaunchPad Markbook'!D:D,0),0),"-"),"")</f>
        <v/>
      </c>
      <c r="D207" s="27"/>
      <c r="E207" s="27"/>
      <c r="F207" s="27"/>
      <c r="G207" s="14">
        <f>IF(OR(H207&gt;AB$2,I207&gt;AC$2,J207&gt;AD$2,
P207&gt;1,V207&gt;1,
L207&gt;'Group List A'!E$2,M207&gt;'Group List A'!F$2,N207&gt;'Group List A'!G$2,
R207&gt;'Group List B'!E$2,S207&gt;'Group List B'!F$2,T207&gt;'Group List B'!G$2),"Exceed",
IF(OR(H207=AB$2,I207=AC$2,J207=AD$2,
P207=1,V207=1,
L207='Group List A'!E$2,M207='Group List A'!F$2,N207='Group List A'!G$2,
R207='Group List B'!E$2,S207='Group List B'!F$2,T207='Group List B'!G$2),"Limit",0))</f>
        <v>0</v>
      </c>
      <c r="H207" s="29">
        <f t="shared" si="47"/>
        <v>0</v>
      </c>
      <c r="I207" s="29">
        <f t="shared" si="48"/>
        <v>0</v>
      </c>
      <c r="J207" s="29">
        <f t="shared" si="49"/>
        <v>0</v>
      </c>
      <c r="K207" s="32" t="str" cm="1">
        <f t="array" ref="K207">IF(AF207&lt;&gt;"",IFERROR(INDEX('Group List A'!B:B,MATCH(AI207,'Group List A'!A:A,0),0),"-"),"")</f>
        <v/>
      </c>
      <c r="L207" s="33">
        <f t="shared" si="50"/>
        <v>0</v>
      </c>
      <c r="M207" s="33">
        <f t="shared" si="51"/>
        <v>0</v>
      </c>
      <c r="N207" s="33">
        <f t="shared" si="52"/>
        <v>0</v>
      </c>
      <c r="O207" s="28"/>
      <c r="P207" s="33">
        <f t="shared" si="53"/>
        <v>0</v>
      </c>
      <c r="Q207" s="35" t="str" cm="1">
        <f t="array" ref="Q207">IF(AF207&lt;&gt;"",IFERROR(INDEX('Group List B'!B:B,MATCH(AI207,'Group List B'!A:A,0),0),"-"),"")</f>
        <v/>
      </c>
      <c r="R207" s="36">
        <f t="shared" si="54"/>
        <v>0</v>
      </c>
      <c r="S207" s="36">
        <f t="shared" si="55"/>
        <v>0</v>
      </c>
      <c r="T207" s="36">
        <f t="shared" si="56"/>
        <v>0</v>
      </c>
      <c r="U207" s="28"/>
      <c r="V207" s="37">
        <f t="shared" si="57"/>
        <v>0</v>
      </c>
      <c r="W207" s="41"/>
      <c r="X207" s="27"/>
      <c r="Y207" s="27"/>
      <c r="Z207" s="27"/>
      <c r="AA207" s="15"/>
      <c r="AB207" s="17"/>
      <c r="AC207" s="17"/>
      <c r="AD207" s="17"/>
      <c r="AE207" s="90"/>
      <c r="AF207" s="82" t="str">
        <f t="shared" si="58"/>
        <v/>
      </c>
      <c r="AG207" s="83" t="str">
        <f t="shared" si="59"/>
        <v/>
      </c>
      <c r="AH207" s="82" t="str">
        <f t="shared" si="60"/>
        <v/>
      </c>
      <c r="AI207" s="82" t="str">
        <f t="shared" si="61"/>
        <v/>
      </c>
      <c r="AJ207" s="90"/>
      <c r="AP207" s="88"/>
    </row>
    <row r="208" spans="1:42" x14ac:dyDescent="0.25">
      <c r="A208" s="2"/>
      <c r="C208" s="68" t="str" cm="1">
        <f t="array" ref="C208">IF(AF208&lt;&gt;"",
IFERROR(INDEX('LaunchPad Markbook'!A:A,MATCH(AH208,'LaunchPad Markbook'!D:D,0),0),"-"),"")</f>
        <v/>
      </c>
      <c r="D208" s="27"/>
      <c r="E208" s="27"/>
      <c r="F208" s="27"/>
      <c r="G208" s="14">
        <f>IF(OR(H208&gt;AB$2,I208&gt;AC$2,J208&gt;AD$2,
P208&gt;1,V208&gt;1,
L208&gt;'Group List A'!E$2,M208&gt;'Group List A'!F$2,N208&gt;'Group List A'!G$2,
R208&gt;'Group List B'!E$2,S208&gt;'Group List B'!F$2,T208&gt;'Group List B'!G$2),"Exceed",
IF(OR(H208=AB$2,I208=AC$2,J208=AD$2,
P208=1,V208=1,
L208='Group List A'!E$2,M208='Group List A'!F$2,N208='Group List A'!G$2,
R208='Group List B'!E$2,S208='Group List B'!F$2,T208='Group List B'!G$2),"Limit",0))</f>
        <v>0</v>
      </c>
      <c r="H208" s="29">
        <f t="shared" si="47"/>
        <v>0</v>
      </c>
      <c r="I208" s="29">
        <f t="shared" si="48"/>
        <v>0</v>
      </c>
      <c r="J208" s="29">
        <f t="shared" si="49"/>
        <v>0</v>
      </c>
      <c r="K208" s="32" t="str" cm="1">
        <f t="array" ref="K208">IF(AF208&lt;&gt;"",IFERROR(INDEX('Group List A'!B:B,MATCH(AI208,'Group List A'!A:A,0),0),"-"),"")</f>
        <v/>
      </c>
      <c r="L208" s="33">
        <f t="shared" si="50"/>
        <v>0</v>
      </c>
      <c r="M208" s="33">
        <f t="shared" si="51"/>
        <v>0</v>
      </c>
      <c r="N208" s="33">
        <f t="shared" si="52"/>
        <v>0</v>
      </c>
      <c r="O208" s="28"/>
      <c r="P208" s="33">
        <f t="shared" si="53"/>
        <v>0</v>
      </c>
      <c r="Q208" s="35" t="str" cm="1">
        <f t="array" ref="Q208">IF(AF208&lt;&gt;"",IFERROR(INDEX('Group List B'!B:B,MATCH(AI208,'Group List B'!A:A,0),0),"-"),"")</f>
        <v/>
      </c>
      <c r="R208" s="36">
        <f t="shared" si="54"/>
        <v>0</v>
      </c>
      <c r="S208" s="36">
        <f t="shared" si="55"/>
        <v>0</v>
      </c>
      <c r="T208" s="36">
        <f t="shared" si="56"/>
        <v>0</v>
      </c>
      <c r="U208" s="28"/>
      <c r="V208" s="37">
        <f t="shared" si="57"/>
        <v>0</v>
      </c>
      <c r="W208" s="41"/>
      <c r="X208" s="27"/>
      <c r="Y208" s="27"/>
      <c r="Z208" s="27"/>
      <c r="AA208" s="15"/>
      <c r="AB208" s="17"/>
      <c r="AC208" s="17"/>
      <c r="AD208" s="17"/>
      <c r="AE208" s="90"/>
      <c r="AF208" s="82" t="str">
        <f t="shared" si="58"/>
        <v/>
      </c>
      <c r="AG208" s="83" t="str">
        <f t="shared" si="59"/>
        <v/>
      </c>
      <c r="AH208" s="82" t="str">
        <f t="shared" si="60"/>
        <v/>
      </c>
      <c r="AI208" s="82" t="str">
        <f t="shared" si="61"/>
        <v/>
      </c>
      <c r="AJ208" s="90"/>
      <c r="AP208" s="88"/>
    </row>
    <row r="209" spans="1:42" x14ac:dyDescent="0.25">
      <c r="A209" s="2"/>
      <c r="C209" s="68" t="str" cm="1">
        <f t="array" ref="C209">IF(AF209&lt;&gt;"",
IFERROR(INDEX('LaunchPad Markbook'!A:A,MATCH(AH209,'LaunchPad Markbook'!D:D,0),0),"-"),"")</f>
        <v/>
      </c>
      <c r="D209" s="27"/>
      <c r="E209" s="27"/>
      <c r="F209" s="27"/>
      <c r="G209" s="14">
        <f>IF(OR(H209&gt;AB$2,I209&gt;AC$2,J209&gt;AD$2,
P209&gt;1,V209&gt;1,
L209&gt;'Group List A'!E$2,M209&gt;'Group List A'!F$2,N209&gt;'Group List A'!G$2,
R209&gt;'Group List B'!E$2,S209&gt;'Group List B'!F$2,T209&gt;'Group List B'!G$2),"Exceed",
IF(OR(H209=AB$2,I209=AC$2,J209=AD$2,
P209=1,V209=1,
L209='Group List A'!E$2,M209='Group List A'!F$2,N209='Group List A'!G$2,
R209='Group List B'!E$2,S209='Group List B'!F$2,T209='Group List B'!G$2),"Limit",0))</f>
        <v>0</v>
      </c>
      <c r="H209" s="29">
        <f t="shared" si="47"/>
        <v>0</v>
      </c>
      <c r="I209" s="29">
        <f t="shared" si="48"/>
        <v>0</v>
      </c>
      <c r="J209" s="29">
        <f t="shared" si="49"/>
        <v>0</v>
      </c>
      <c r="K209" s="32" t="str" cm="1">
        <f t="array" ref="K209">IF(AF209&lt;&gt;"",IFERROR(INDEX('Group List A'!B:B,MATCH(AI209,'Group List A'!A:A,0),0),"-"),"")</f>
        <v/>
      </c>
      <c r="L209" s="33">
        <f t="shared" si="50"/>
        <v>0</v>
      </c>
      <c r="M209" s="33">
        <f t="shared" si="51"/>
        <v>0</v>
      </c>
      <c r="N209" s="33">
        <f t="shared" si="52"/>
        <v>0</v>
      </c>
      <c r="O209" s="28"/>
      <c r="P209" s="33">
        <f t="shared" si="53"/>
        <v>0</v>
      </c>
      <c r="Q209" s="35" t="str" cm="1">
        <f t="array" ref="Q209">IF(AF209&lt;&gt;"",IFERROR(INDEX('Group List B'!B:B,MATCH(AI209,'Group List B'!A:A,0),0),"-"),"")</f>
        <v/>
      </c>
      <c r="R209" s="36">
        <f t="shared" si="54"/>
        <v>0</v>
      </c>
      <c r="S209" s="36">
        <f t="shared" si="55"/>
        <v>0</v>
      </c>
      <c r="T209" s="36">
        <f t="shared" si="56"/>
        <v>0</v>
      </c>
      <c r="U209" s="28"/>
      <c r="V209" s="37">
        <f t="shared" si="57"/>
        <v>0</v>
      </c>
      <c r="W209" s="41"/>
      <c r="X209" s="27"/>
      <c r="Y209" s="27"/>
      <c r="Z209" s="27"/>
      <c r="AA209" s="15"/>
      <c r="AB209" s="17"/>
      <c r="AC209" s="17"/>
      <c r="AD209" s="17"/>
      <c r="AE209" s="90"/>
      <c r="AF209" s="82" t="str">
        <f t="shared" si="58"/>
        <v/>
      </c>
      <c r="AG209" s="83" t="str">
        <f t="shared" si="59"/>
        <v/>
      </c>
      <c r="AH209" s="82" t="str">
        <f t="shared" si="60"/>
        <v/>
      </c>
      <c r="AI209" s="82" t="str">
        <f t="shared" si="61"/>
        <v/>
      </c>
      <c r="AJ209" s="90"/>
      <c r="AP209" s="88"/>
    </row>
    <row r="210" spans="1:42" x14ac:dyDescent="0.25">
      <c r="A210" s="2"/>
      <c r="C210" s="68" t="str" cm="1">
        <f t="array" ref="C210">IF(AF210&lt;&gt;"",
IFERROR(INDEX('LaunchPad Markbook'!A:A,MATCH(AH210,'LaunchPad Markbook'!D:D,0),0),"-"),"")</f>
        <v/>
      </c>
      <c r="D210" s="27"/>
      <c r="E210" s="27"/>
      <c r="F210" s="27"/>
      <c r="G210" s="14">
        <f>IF(OR(H210&gt;AB$2,I210&gt;AC$2,J210&gt;AD$2,
P210&gt;1,V210&gt;1,
L210&gt;'Group List A'!E$2,M210&gt;'Group List A'!F$2,N210&gt;'Group List A'!G$2,
R210&gt;'Group List B'!E$2,S210&gt;'Group List B'!F$2,T210&gt;'Group List B'!G$2),"Exceed",
IF(OR(H210=AB$2,I210=AC$2,J210=AD$2,
P210=1,V210=1,
L210='Group List A'!E$2,M210='Group List A'!F$2,N210='Group List A'!G$2,
R210='Group List B'!E$2,S210='Group List B'!F$2,T210='Group List B'!G$2),"Limit",0))</f>
        <v>0</v>
      </c>
      <c r="H210" s="29">
        <f t="shared" si="47"/>
        <v>0</v>
      </c>
      <c r="I210" s="29">
        <f t="shared" si="48"/>
        <v>0</v>
      </c>
      <c r="J210" s="29">
        <f t="shared" si="49"/>
        <v>0</v>
      </c>
      <c r="K210" s="32" t="str" cm="1">
        <f t="array" ref="K210">IF(AF210&lt;&gt;"",IFERROR(INDEX('Group List A'!B:B,MATCH(AI210,'Group List A'!A:A,0),0),"-"),"")</f>
        <v/>
      </c>
      <c r="L210" s="33">
        <f t="shared" si="50"/>
        <v>0</v>
      </c>
      <c r="M210" s="33">
        <f t="shared" si="51"/>
        <v>0</v>
      </c>
      <c r="N210" s="33">
        <f t="shared" si="52"/>
        <v>0</v>
      </c>
      <c r="O210" s="28"/>
      <c r="P210" s="33">
        <f t="shared" si="53"/>
        <v>0</v>
      </c>
      <c r="Q210" s="35" t="str" cm="1">
        <f t="array" ref="Q210">IF(AF210&lt;&gt;"",IFERROR(INDEX('Group List B'!B:B,MATCH(AI210,'Group List B'!A:A,0),0),"-"),"")</f>
        <v/>
      </c>
      <c r="R210" s="36">
        <f t="shared" si="54"/>
        <v>0</v>
      </c>
      <c r="S210" s="36">
        <f t="shared" si="55"/>
        <v>0</v>
      </c>
      <c r="T210" s="36">
        <f t="shared" si="56"/>
        <v>0</v>
      </c>
      <c r="U210" s="28"/>
      <c r="V210" s="37">
        <f t="shared" si="57"/>
        <v>0</v>
      </c>
      <c r="W210" s="41"/>
      <c r="X210" s="27"/>
      <c r="Y210" s="27"/>
      <c r="Z210" s="27"/>
      <c r="AA210" s="15"/>
      <c r="AB210" s="17"/>
      <c r="AC210" s="17"/>
      <c r="AD210" s="17"/>
      <c r="AE210" s="90"/>
      <c r="AF210" s="82" t="str">
        <f t="shared" si="58"/>
        <v/>
      </c>
      <c r="AG210" s="83" t="str">
        <f t="shared" si="59"/>
        <v/>
      </c>
      <c r="AH210" s="82" t="str">
        <f t="shared" si="60"/>
        <v/>
      </c>
      <c r="AI210" s="82" t="str">
        <f t="shared" si="61"/>
        <v/>
      </c>
      <c r="AJ210" s="90"/>
      <c r="AP210" s="88"/>
    </row>
    <row r="211" spans="1:42" x14ac:dyDescent="0.25">
      <c r="A211" s="2"/>
      <c r="C211" s="68" t="str" cm="1">
        <f t="array" ref="C211">IF(AF211&lt;&gt;"",
IFERROR(INDEX('LaunchPad Markbook'!A:A,MATCH(AH211,'LaunchPad Markbook'!D:D,0),0),"-"),"")</f>
        <v/>
      </c>
      <c r="D211" s="27"/>
      <c r="E211" s="27"/>
      <c r="F211" s="27"/>
      <c r="G211" s="14">
        <f>IF(OR(H211&gt;AB$2,I211&gt;AC$2,J211&gt;AD$2,
P211&gt;1,V211&gt;1,
L211&gt;'Group List A'!E$2,M211&gt;'Group List A'!F$2,N211&gt;'Group List A'!G$2,
R211&gt;'Group List B'!E$2,S211&gt;'Group List B'!F$2,T211&gt;'Group List B'!G$2),"Exceed",
IF(OR(H211=AB$2,I211=AC$2,J211=AD$2,
P211=1,V211=1,
L211='Group List A'!E$2,M211='Group List A'!F$2,N211='Group List A'!G$2,
R211='Group List B'!E$2,S211='Group List B'!F$2,T211='Group List B'!G$2),"Limit",0))</f>
        <v>0</v>
      </c>
      <c r="H211" s="29">
        <f t="shared" si="47"/>
        <v>0</v>
      </c>
      <c r="I211" s="29">
        <f t="shared" si="48"/>
        <v>0</v>
      </c>
      <c r="J211" s="29">
        <f t="shared" si="49"/>
        <v>0</v>
      </c>
      <c r="K211" s="32" t="str" cm="1">
        <f t="array" ref="K211">IF(AF211&lt;&gt;"",IFERROR(INDEX('Group List A'!B:B,MATCH(AI211,'Group List A'!A:A,0),0),"-"),"")</f>
        <v/>
      </c>
      <c r="L211" s="33">
        <f t="shared" si="50"/>
        <v>0</v>
      </c>
      <c r="M211" s="33">
        <f t="shared" si="51"/>
        <v>0</v>
      </c>
      <c r="N211" s="33">
        <f t="shared" si="52"/>
        <v>0</v>
      </c>
      <c r="O211" s="28"/>
      <c r="P211" s="33">
        <f t="shared" si="53"/>
        <v>0</v>
      </c>
      <c r="Q211" s="35" t="str" cm="1">
        <f t="array" ref="Q211">IF(AF211&lt;&gt;"",IFERROR(INDEX('Group List B'!B:B,MATCH(AI211,'Group List B'!A:A,0),0),"-"),"")</f>
        <v/>
      </c>
      <c r="R211" s="36">
        <f t="shared" si="54"/>
        <v>0</v>
      </c>
      <c r="S211" s="36">
        <f t="shared" si="55"/>
        <v>0</v>
      </c>
      <c r="T211" s="36">
        <f t="shared" si="56"/>
        <v>0</v>
      </c>
      <c r="U211" s="28"/>
      <c r="V211" s="37">
        <f t="shared" si="57"/>
        <v>0</v>
      </c>
      <c r="W211" s="41"/>
      <c r="X211" s="27"/>
      <c r="Y211" s="27"/>
      <c r="Z211" s="27"/>
      <c r="AA211" s="15"/>
      <c r="AB211" s="17"/>
      <c r="AC211" s="17"/>
      <c r="AD211" s="17"/>
      <c r="AE211" s="90"/>
      <c r="AF211" s="82" t="str">
        <f t="shared" si="58"/>
        <v/>
      </c>
      <c r="AG211" s="83" t="str">
        <f t="shared" si="59"/>
        <v/>
      </c>
      <c r="AH211" s="82" t="str">
        <f t="shared" si="60"/>
        <v/>
      </c>
      <c r="AI211" s="82" t="str">
        <f t="shared" si="61"/>
        <v/>
      </c>
      <c r="AJ211" s="90"/>
      <c r="AP211" s="88"/>
    </row>
    <row r="212" spans="1:42" x14ac:dyDescent="0.25">
      <c r="A212" s="2"/>
      <c r="C212" s="68" t="str" cm="1">
        <f t="array" ref="C212">IF(AF212&lt;&gt;"",
IFERROR(INDEX('LaunchPad Markbook'!A:A,MATCH(AH212,'LaunchPad Markbook'!D:D,0),0),"-"),"")</f>
        <v/>
      </c>
      <c r="D212" s="27"/>
      <c r="E212" s="27"/>
      <c r="F212" s="27"/>
      <c r="G212" s="14">
        <f>IF(OR(H212&gt;AB$2,I212&gt;AC$2,J212&gt;AD$2,
P212&gt;1,V212&gt;1,
L212&gt;'Group List A'!E$2,M212&gt;'Group List A'!F$2,N212&gt;'Group List A'!G$2,
R212&gt;'Group List B'!E$2,S212&gt;'Group List B'!F$2,T212&gt;'Group List B'!G$2),"Exceed",
IF(OR(H212=AB$2,I212=AC$2,J212=AD$2,
P212=1,V212=1,
L212='Group List A'!E$2,M212='Group List A'!F$2,N212='Group List A'!G$2,
R212='Group List B'!E$2,S212='Group List B'!F$2,T212='Group List B'!G$2),"Limit",0))</f>
        <v>0</v>
      </c>
      <c r="H212" s="29">
        <f t="shared" si="47"/>
        <v>0</v>
      </c>
      <c r="I212" s="29">
        <f t="shared" si="48"/>
        <v>0</v>
      </c>
      <c r="J212" s="29">
        <f t="shared" si="49"/>
        <v>0</v>
      </c>
      <c r="K212" s="32" t="str" cm="1">
        <f t="array" ref="K212">IF(AF212&lt;&gt;"",IFERROR(INDEX('Group List A'!B:B,MATCH(AI212,'Group List A'!A:A,0),0),"-"),"")</f>
        <v/>
      </c>
      <c r="L212" s="33">
        <f t="shared" si="50"/>
        <v>0</v>
      </c>
      <c r="M212" s="33">
        <f t="shared" si="51"/>
        <v>0</v>
      </c>
      <c r="N212" s="33">
        <f t="shared" si="52"/>
        <v>0</v>
      </c>
      <c r="O212" s="28"/>
      <c r="P212" s="33">
        <f t="shared" si="53"/>
        <v>0</v>
      </c>
      <c r="Q212" s="35" t="str" cm="1">
        <f t="array" ref="Q212">IF(AF212&lt;&gt;"",IFERROR(INDEX('Group List B'!B:B,MATCH(AI212,'Group List B'!A:A,0),0),"-"),"")</f>
        <v/>
      </c>
      <c r="R212" s="36">
        <f t="shared" si="54"/>
        <v>0</v>
      </c>
      <c r="S212" s="36">
        <f t="shared" si="55"/>
        <v>0</v>
      </c>
      <c r="T212" s="36">
        <f t="shared" si="56"/>
        <v>0</v>
      </c>
      <c r="U212" s="28"/>
      <c r="V212" s="37">
        <f t="shared" si="57"/>
        <v>0</v>
      </c>
      <c r="W212" s="41"/>
      <c r="X212" s="27"/>
      <c r="Y212" s="27"/>
      <c r="Z212" s="27"/>
      <c r="AA212" s="15"/>
      <c r="AB212" s="17"/>
      <c r="AC212" s="17"/>
      <c r="AD212" s="17"/>
      <c r="AE212" s="90"/>
      <c r="AF212" s="82" t="str">
        <f t="shared" si="58"/>
        <v/>
      </c>
      <c r="AG212" s="83" t="str">
        <f t="shared" si="59"/>
        <v/>
      </c>
      <c r="AH212" s="82" t="str">
        <f t="shared" si="60"/>
        <v/>
      </c>
      <c r="AI212" s="82" t="str">
        <f t="shared" si="61"/>
        <v/>
      </c>
      <c r="AJ212" s="90"/>
      <c r="AP212" s="88"/>
    </row>
    <row r="213" spans="1:42" x14ac:dyDescent="0.25">
      <c r="A213" s="2"/>
      <c r="C213" s="68" t="str" cm="1">
        <f t="array" ref="C213">IF(AF213&lt;&gt;"",
IFERROR(INDEX('LaunchPad Markbook'!A:A,MATCH(AH213,'LaunchPad Markbook'!D:D,0),0),"-"),"")</f>
        <v/>
      </c>
      <c r="D213" s="27"/>
      <c r="E213" s="27"/>
      <c r="F213" s="27"/>
      <c r="G213" s="14">
        <f>IF(OR(H213&gt;AB$2,I213&gt;AC$2,J213&gt;AD$2,
P213&gt;1,V213&gt;1,
L213&gt;'Group List A'!E$2,M213&gt;'Group List A'!F$2,N213&gt;'Group List A'!G$2,
R213&gt;'Group List B'!E$2,S213&gt;'Group List B'!F$2,T213&gt;'Group List B'!G$2),"Exceed",
IF(OR(H213=AB$2,I213=AC$2,J213=AD$2,
P213=1,V213=1,
L213='Group List A'!E$2,M213='Group List A'!F$2,N213='Group List A'!G$2,
R213='Group List B'!E$2,S213='Group List B'!F$2,T213='Group List B'!G$2),"Limit",0))</f>
        <v>0</v>
      </c>
      <c r="H213" s="29">
        <f t="shared" si="47"/>
        <v>0</v>
      </c>
      <c r="I213" s="29">
        <f t="shared" si="48"/>
        <v>0</v>
      </c>
      <c r="J213" s="29">
        <f t="shared" si="49"/>
        <v>0</v>
      </c>
      <c r="K213" s="32" t="str" cm="1">
        <f t="array" ref="K213">IF(AF213&lt;&gt;"",IFERROR(INDEX('Group List A'!B:B,MATCH(AI213,'Group List A'!A:A,0),0),"-"),"")</f>
        <v/>
      </c>
      <c r="L213" s="33">
        <f t="shared" si="50"/>
        <v>0</v>
      </c>
      <c r="M213" s="33">
        <f t="shared" si="51"/>
        <v>0</v>
      </c>
      <c r="N213" s="33">
        <f t="shared" si="52"/>
        <v>0</v>
      </c>
      <c r="O213" s="28"/>
      <c r="P213" s="33">
        <f t="shared" si="53"/>
        <v>0</v>
      </c>
      <c r="Q213" s="35" t="str" cm="1">
        <f t="array" ref="Q213">IF(AF213&lt;&gt;"",IFERROR(INDEX('Group List B'!B:B,MATCH(AI213,'Group List B'!A:A,0),0),"-"),"")</f>
        <v/>
      </c>
      <c r="R213" s="36">
        <f t="shared" si="54"/>
        <v>0</v>
      </c>
      <c r="S213" s="36">
        <f t="shared" si="55"/>
        <v>0</v>
      </c>
      <c r="T213" s="36">
        <f t="shared" si="56"/>
        <v>0</v>
      </c>
      <c r="U213" s="28"/>
      <c r="V213" s="37">
        <f t="shared" si="57"/>
        <v>0</v>
      </c>
      <c r="W213" s="41"/>
      <c r="X213" s="27"/>
      <c r="Y213" s="27"/>
      <c r="Z213" s="27"/>
      <c r="AA213" s="15"/>
      <c r="AB213" s="17"/>
      <c r="AC213" s="17"/>
      <c r="AD213" s="17"/>
      <c r="AE213" s="90"/>
      <c r="AF213" s="82" t="str">
        <f t="shared" si="58"/>
        <v/>
      </c>
      <c r="AG213" s="83" t="str">
        <f t="shared" si="59"/>
        <v/>
      </c>
      <c r="AH213" s="82" t="str">
        <f t="shared" si="60"/>
        <v/>
      </c>
      <c r="AI213" s="82" t="str">
        <f t="shared" si="61"/>
        <v/>
      </c>
      <c r="AJ213" s="90"/>
      <c r="AP213" s="88"/>
    </row>
    <row r="214" spans="1:42" x14ac:dyDescent="0.25">
      <c r="A214" s="2"/>
      <c r="C214" s="68" t="str" cm="1">
        <f t="array" ref="C214">IF(AF214&lt;&gt;"",
IFERROR(INDEX('LaunchPad Markbook'!A:A,MATCH(AH214,'LaunchPad Markbook'!D:D,0),0),"-"),"")</f>
        <v/>
      </c>
      <c r="D214" s="27"/>
      <c r="E214" s="27"/>
      <c r="F214" s="27"/>
      <c r="G214" s="14">
        <f>IF(OR(H214&gt;AB$2,I214&gt;AC$2,J214&gt;AD$2,
P214&gt;1,V214&gt;1,
L214&gt;'Group List A'!E$2,M214&gt;'Group List A'!F$2,N214&gt;'Group List A'!G$2,
R214&gt;'Group List B'!E$2,S214&gt;'Group List B'!F$2,T214&gt;'Group List B'!G$2),"Exceed",
IF(OR(H214=AB$2,I214=AC$2,J214=AD$2,
P214=1,V214=1,
L214='Group List A'!E$2,M214='Group List A'!F$2,N214='Group List A'!G$2,
R214='Group List B'!E$2,S214='Group List B'!F$2,T214='Group List B'!G$2),"Limit",0))</f>
        <v>0</v>
      </c>
      <c r="H214" s="29">
        <f t="shared" si="47"/>
        <v>0</v>
      </c>
      <c r="I214" s="29">
        <f t="shared" si="48"/>
        <v>0</v>
      </c>
      <c r="J214" s="29">
        <f t="shared" si="49"/>
        <v>0</v>
      </c>
      <c r="K214" s="32" t="str" cm="1">
        <f t="array" ref="K214">IF(AF214&lt;&gt;"",IFERROR(INDEX('Group List A'!B:B,MATCH(AI214,'Group List A'!A:A,0),0),"-"),"")</f>
        <v/>
      </c>
      <c r="L214" s="33">
        <f t="shared" si="50"/>
        <v>0</v>
      </c>
      <c r="M214" s="33">
        <f t="shared" si="51"/>
        <v>0</v>
      </c>
      <c r="N214" s="33">
        <f t="shared" si="52"/>
        <v>0</v>
      </c>
      <c r="O214" s="28"/>
      <c r="P214" s="33">
        <f t="shared" si="53"/>
        <v>0</v>
      </c>
      <c r="Q214" s="35" t="str" cm="1">
        <f t="array" ref="Q214">IF(AF214&lt;&gt;"",IFERROR(INDEX('Group List B'!B:B,MATCH(AI214,'Group List B'!A:A,0),0),"-"),"")</f>
        <v/>
      </c>
      <c r="R214" s="36">
        <f t="shared" si="54"/>
        <v>0</v>
      </c>
      <c r="S214" s="36">
        <f t="shared" si="55"/>
        <v>0</v>
      </c>
      <c r="T214" s="36">
        <f t="shared" si="56"/>
        <v>0</v>
      </c>
      <c r="U214" s="28"/>
      <c r="V214" s="37">
        <f t="shared" si="57"/>
        <v>0</v>
      </c>
      <c r="W214" s="41"/>
      <c r="X214" s="27"/>
      <c r="Y214" s="27"/>
      <c r="Z214" s="27"/>
      <c r="AA214" s="15"/>
      <c r="AB214" s="17"/>
      <c r="AC214" s="17"/>
      <c r="AD214" s="17"/>
      <c r="AE214" s="90"/>
      <c r="AF214" s="82" t="str">
        <f t="shared" si="58"/>
        <v/>
      </c>
      <c r="AG214" s="83" t="str">
        <f t="shared" si="59"/>
        <v/>
      </c>
      <c r="AH214" s="82" t="str">
        <f t="shared" si="60"/>
        <v/>
      </c>
      <c r="AI214" s="82" t="str">
        <f t="shared" si="61"/>
        <v/>
      </c>
      <c r="AJ214" s="90"/>
      <c r="AP214" s="88"/>
    </row>
    <row r="215" spans="1:42" x14ac:dyDescent="0.25">
      <c r="A215" s="2"/>
      <c r="C215" s="68" t="str" cm="1">
        <f t="array" ref="C215">IF(AF215&lt;&gt;"",
IFERROR(INDEX('LaunchPad Markbook'!A:A,MATCH(AH215,'LaunchPad Markbook'!D:D,0),0),"-"),"")</f>
        <v/>
      </c>
      <c r="D215" s="27"/>
      <c r="E215" s="27"/>
      <c r="F215" s="27"/>
      <c r="G215" s="14">
        <f>IF(OR(H215&gt;AB$2,I215&gt;AC$2,J215&gt;AD$2,
P215&gt;1,V215&gt;1,
L215&gt;'Group List A'!E$2,M215&gt;'Group List A'!F$2,N215&gt;'Group List A'!G$2,
R215&gt;'Group List B'!E$2,S215&gt;'Group List B'!F$2,T215&gt;'Group List B'!G$2),"Exceed",
IF(OR(H215=AB$2,I215=AC$2,J215=AD$2,
P215=1,V215=1,
L215='Group List A'!E$2,M215='Group List A'!F$2,N215='Group List A'!G$2,
R215='Group List B'!E$2,S215='Group List B'!F$2,T215='Group List B'!G$2),"Limit",0))</f>
        <v>0</v>
      </c>
      <c r="H215" s="29">
        <f t="shared" si="47"/>
        <v>0</v>
      </c>
      <c r="I215" s="29">
        <f t="shared" si="48"/>
        <v>0</v>
      </c>
      <c r="J215" s="29">
        <f t="shared" si="49"/>
        <v>0</v>
      </c>
      <c r="K215" s="32" t="str" cm="1">
        <f t="array" ref="K215">IF(AF215&lt;&gt;"",IFERROR(INDEX('Group List A'!B:B,MATCH(AI215,'Group List A'!A:A,0),0),"-"),"")</f>
        <v/>
      </c>
      <c r="L215" s="33">
        <f t="shared" si="50"/>
        <v>0</v>
      </c>
      <c r="M215" s="33">
        <f t="shared" si="51"/>
        <v>0</v>
      </c>
      <c r="N215" s="33">
        <f t="shared" si="52"/>
        <v>0</v>
      </c>
      <c r="O215" s="28"/>
      <c r="P215" s="33">
        <f t="shared" si="53"/>
        <v>0</v>
      </c>
      <c r="Q215" s="35" t="str" cm="1">
        <f t="array" ref="Q215">IF(AF215&lt;&gt;"",IFERROR(INDEX('Group List B'!B:B,MATCH(AI215,'Group List B'!A:A,0),0),"-"),"")</f>
        <v/>
      </c>
      <c r="R215" s="36">
        <f t="shared" si="54"/>
        <v>0</v>
      </c>
      <c r="S215" s="36">
        <f t="shared" si="55"/>
        <v>0</v>
      </c>
      <c r="T215" s="36">
        <f t="shared" si="56"/>
        <v>0</v>
      </c>
      <c r="U215" s="28"/>
      <c r="V215" s="37">
        <f t="shared" si="57"/>
        <v>0</v>
      </c>
      <c r="W215" s="41"/>
      <c r="X215" s="27"/>
      <c r="Y215" s="27"/>
      <c r="Z215" s="27"/>
      <c r="AA215" s="15"/>
      <c r="AB215" s="17"/>
      <c r="AC215" s="17"/>
      <c r="AD215" s="17"/>
      <c r="AE215" s="90"/>
      <c r="AF215" s="82" t="str">
        <f t="shared" si="58"/>
        <v/>
      </c>
      <c r="AG215" s="83" t="str">
        <f t="shared" si="59"/>
        <v/>
      </c>
      <c r="AH215" s="82" t="str">
        <f t="shared" si="60"/>
        <v/>
      </c>
      <c r="AI215" s="82" t="str">
        <f t="shared" si="61"/>
        <v/>
      </c>
      <c r="AJ215" s="90"/>
      <c r="AP215" s="88"/>
    </row>
    <row r="216" spans="1:42" x14ac:dyDescent="0.25">
      <c r="A216" s="2"/>
      <c r="C216" s="68" t="str" cm="1">
        <f t="array" ref="C216">IF(AF216&lt;&gt;"",
IFERROR(INDEX('LaunchPad Markbook'!A:A,MATCH(AH216,'LaunchPad Markbook'!D:D,0),0),"-"),"")</f>
        <v/>
      </c>
      <c r="D216" s="27"/>
      <c r="E216" s="27"/>
      <c r="F216" s="27"/>
      <c r="G216" s="14">
        <f>IF(OR(H216&gt;AB$2,I216&gt;AC$2,J216&gt;AD$2,
P216&gt;1,V216&gt;1,
L216&gt;'Group List A'!E$2,M216&gt;'Group List A'!F$2,N216&gt;'Group List A'!G$2,
R216&gt;'Group List B'!E$2,S216&gt;'Group List B'!F$2,T216&gt;'Group List B'!G$2),"Exceed",
IF(OR(H216=AB$2,I216=AC$2,J216=AD$2,
P216=1,V216=1,
L216='Group List A'!E$2,M216='Group List A'!F$2,N216='Group List A'!G$2,
R216='Group List B'!E$2,S216='Group List B'!F$2,T216='Group List B'!G$2),"Limit",0))</f>
        <v>0</v>
      </c>
      <c r="H216" s="29">
        <f t="shared" si="47"/>
        <v>0</v>
      </c>
      <c r="I216" s="29">
        <f t="shared" si="48"/>
        <v>0</v>
      </c>
      <c r="J216" s="29">
        <f t="shared" si="49"/>
        <v>0</v>
      </c>
      <c r="K216" s="32" t="str" cm="1">
        <f t="array" ref="K216">IF(AF216&lt;&gt;"",IFERROR(INDEX('Group List A'!B:B,MATCH(AI216,'Group List A'!A:A,0),0),"-"),"")</f>
        <v/>
      </c>
      <c r="L216" s="33">
        <f t="shared" si="50"/>
        <v>0</v>
      </c>
      <c r="M216" s="33">
        <f t="shared" si="51"/>
        <v>0</v>
      </c>
      <c r="N216" s="33">
        <f t="shared" si="52"/>
        <v>0</v>
      </c>
      <c r="O216" s="28"/>
      <c r="P216" s="33">
        <f t="shared" si="53"/>
        <v>0</v>
      </c>
      <c r="Q216" s="35" t="str" cm="1">
        <f t="array" ref="Q216">IF(AF216&lt;&gt;"",IFERROR(INDEX('Group List B'!B:B,MATCH(AI216,'Group List B'!A:A,0),0),"-"),"")</f>
        <v/>
      </c>
      <c r="R216" s="36">
        <f t="shared" si="54"/>
        <v>0</v>
      </c>
      <c r="S216" s="36">
        <f t="shared" si="55"/>
        <v>0</v>
      </c>
      <c r="T216" s="36">
        <f t="shared" si="56"/>
        <v>0</v>
      </c>
      <c r="U216" s="28"/>
      <c r="V216" s="37">
        <f t="shared" si="57"/>
        <v>0</v>
      </c>
      <c r="W216" s="41"/>
      <c r="X216" s="27"/>
      <c r="Y216" s="27"/>
      <c r="Z216" s="27"/>
      <c r="AA216" s="15"/>
      <c r="AB216" s="17"/>
      <c r="AC216" s="17"/>
      <c r="AD216" s="17"/>
      <c r="AE216" s="90"/>
      <c r="AF216" s="82" t="str">
        <f t="shared" si="58"/>
        <v/>
      </c>
      <c r="AG216" s="83" t="str">
        <f t="shared" si="59"/>
        <v/>
      </c>
      <c r="AH216" s="82" t="str">
        <f t="shared" si="60"/>
        <v/>
      </c>
      <c r="AI216" s="82" t="str">
        <f t="shared" si="61"/>
        <v/>
      </c>
      <c r="AJ216" s="90"/>
      <c r="AP216" s="88"/>
    </row>
    <row r="217" spans="1:42" x14ac:dyDescent="0.25">
      <c r="A217" s="2"/>
      <c r="C217" s="68" t="str" cm="1">
        <f t="array" ref="C217">IF(AF217&lt;&gt;"",
IFERROR(INDEX('LaunchPad Markbook'!A:A,MATCH(AH217,'LaunchPad Markbook'!D:D,0),0),"-"),"")</f>
        <v/>
      </c>
      <c r="D217" s="27"/>
      <c r="E217" s="27"/>
      <c r="F217" s="27"/>
      <c r="G217" s="14">
        <f>IF(OR(H217&gt;AB$2,I217&gt;AC$2,J217&gt;AD$2,
P217&gt;1,V217&gt;1,
L217&gt;'Group List A'!E$2,M217&gt;'Group List A'!F$2,N217&gt;'Group List A'!G$2,
R217&gt;'Group List B'!E$2,S217&gt;'Group List B'!F$2,T217&gt;'Group List B'!G$2),"Exceed",
IF(OR(H217=AB$2,I217=AC$2,J217=AD$2,
P217=1,V217=1,
L217='Group List A'!E$2,M217='Group List A'!F$2,N217='Group List A'!G$2,
R217='Group List B'!E$2,S217='Group List B'!F$2,T217='Group List B'!G$2),"Limit",0))</f>
        <v>0</v>
      </c>
      <c r="H217" s="29">
        <f t="shared" si="47"/>
        <v>0</v>
      </c>
      <c r="I217" s="29">
        <f t="shared" si="48"/>
        <v>0</v>
      </c>
      <c r="J217" s="29">
        <f t="shared" si="49"/>
        <v>0</v>
      </c>
      <c r="K217" s="32" t="str" cm="1">
        <f t="array" ref="K217">IF(AF217&lt;&gt;"",IFERROR(INDEX('Group List A'!B:B,MATCH(AI217,'Group List A'!A:A,0),0),"-"),"")</f>
        <v/>
      </c>
      <c r="L217" s="33">
        <f t="shared" si="50"/>
        <v>0</v>
      </c>
      <c r="M217" s="33">
        <f t="shared" si="51"/>
        <v>0</v>
      </c>
      <c r="N217" s="33">
        <f t="shared" si="52"/>
        <v>0</v>
      </c>
      <c r="O217" s="28"/>
      <c r="P217" s="33">
        <f t="shared" si="53"/>
        <v>0</v>
      </c>
      <c r="Q217" s="35" t="str" cm="1">
        <f t="array" ref="Q217">IF(AF217&lt;&gt;"",IFERROR(INDEX('Group List B'!B:B,MATCH(AI217,'Group List B'!A:A,0),0),"-"),"")</f>
        <v/>
      </c>
      <c r="R217" s="36">
        <f t="shared" si="54"/>
        <v>0</v>
      </c>
      <c r="S217" s="36">
        <f t="shared" si="55"/>
        <v>0</v>
      </c>
      <c r="T217" s="36">
        <f t="shared" si="56"/>
        <v>0</v>
      </c>
      <c r="U217" s="28"/>
      <c r="V217" s="37">
        <f t="shared" si="57"/>
        <v>0</v>
      </c>
      <c r="W217" s="41"/>
      <c r="X217" s="27"/>
      <c r="Y217" s="27"/>
      <c r="Z217" s="27"/>
      <c r="AA217" s="15"/>
      <c r="AB217" s="17"/>
      <c r="AC217" s="17"/>
      <c r="AD217" s="17"/>
      <c r="AE217" s="90"/>
      <c r="AF217" s="82" t="str">
        <f t="shared" si="58"/>
        <v/>
      </c>
      <c r="AG217" s="83" t="str">
        <f t="shared" si="59"/>
        <v/>
      </c>
      <c r="AH217" s="82" t="str">
        <f t="shared" si="60"/>
        <v/>
      </c>
      <c r="AI217" s="82" t="str">
        <f t="shared" si="61"/>
        <v/>
      </c>
      <c r="AJ217" s="90"/>
      <c r="AP217" s="88"/>
    </row>
    <row r="218" spans="1:42" x14ac:dyDescent="0.25">
      <c r="A218" s="2"/>
      <c r="C218" s="68" t="str" cm="1">
        <f t="array" ref="C218">IF(AF218&lt;&gt;"",
IFERROR(INDEX('LaunchPad Markbook'!A:A,MATCH(AH218,'LaunchPad Markbook'!D:D,0),0),"-"),"")</f>
        <v/>
      </c>
      <c r="D218" s="27"/>
      <c r="E218" s="27"/>
      <c r="F218" s="27"/>
      <c r="G218" s="14">
        <f>IF(OR(H218&gt;AB$2,I218&gt;AC$2,J218&gt;AD$2,
P218&gt;1,V218&gt;1,
L218&gt;'Group List A'!E$2,M218&gt;'Group List A'!F$2,N218&gt;'Group List A'!G$2,
R218&gt;'Group List B'!E$2,S218&gt;'Group List B'!F$2,T218&gt;'Group List B'!G$2),"Exceed",
IF(OR(H218=AB$2,I218=AC$2,J218=AD$2,
P218=1,V218=1,
L218='Group List A'!E$2,M218='Group List A'!F$2,N218='Group List A'!G$2,
R218='Group List B'!E$2,S218='Group List B'!F$2,T218='Group List B'!G$2),"Limit",0))</f>
        <v>0</v>
      </c>
      <c r="H218" s="29">
        <f t="shared" si="47"/>
        <v>0</v>
      </c>
      <c r="I218" s="29">
        <f t="shared" si="48"/>
        <v>0</v>
      </c>
      <c r="J218" s="29">
        <f t="shared" si="49"/>
        <v>0</v>
      </c>
      <c r="K218" s="32" t="str" cm="1">
        <f t="array" ref="K218">IF(AF218&lt;&gt;"",IFERROR(INDEX('Group List A'!B:B,MATCH(AI218,'Group List A'!A:A,0),0),"-"),"")</f>
        <v/>
      </c>
      <c r="L218" s="33">
        <f t="shared" si="50"/>
        <v>0</v>
      </c>
      <c r="M218" s="33">
        <f t="shared" si="51"/>
        <v>0</v>
      </c>
      <c r="N218" s="33">
        <f t="shared" si="52"/>
        <v>0</v>
      </c>
      <c r="O218" s="28"/>
      <c r="P218" s="33">
        <f t="shared" si="53"/>
        <v>0</v>
      </c>
      <c r="Q218" s="35" t="str" cm="1">
        <f t="array" ref="Q218">IF(AF218&lt;&gt;"",IFERROR(INDEX('Group List B'!B:B,MATCH(AI218,'Group List B'!A:A,0),0),"-"),"")</f>
        <v/>
      </c>
      <c r="R218" s="36">
        <f t="shared" si="54"/>
        <v>0</v>
      </c>
      <c r="S218" s="36">
        <f t="shared" si="55"/>
        <v>0</v>
      </c>
      <c r="T218" s="36">
        <f t="shared" si="56"/>
        <v>0</v>
      </c>
      <c r="U218" s="28"/>
      <c r="V218" s="37">
        <f t="shared" si="57"/>
        <v>0</v>
      </c>
      <c r="W218" s="41"/>
      <c r="X218" s="27"/>
      <c r="Y218" s="27"/>
      <c r="Z218" s="27"/>
      <c r="AA218" s="15"/>
      <c r="AB218" s="17"/>
      <c r="AC218" s="17"/>
      <c r="AD218" s="17"/>
      <c r="AE218" s="90"/>
      <c r="AF218" s="82" t="str">
        <f t="shared" si="58"/>
        <v/>
      </c>
      <c r="AG218" s="83" t="str">
        <f t="shared" si="59"/>
        <v/>
      </c>
      <c r="AH218" s="82" t="str">
        <f t="shared" si="60"/>
        <v/>
      </c>
      <c r="AI218" s="82" t="str">
        <f t="shared" si="61"/>
        <v/>
      </c>
      <c r="AJ218" s="90"/>
      <c r="AP218" s="88"/>
    </row>
    <row r="219" spans="1:42" x14ac:dyDescent="0.25">
      <c r="A219" s="2"/>
      <c r="C219" s="68" t="str" cm="1">
        <f t="array" ref="C219">IF(AF219&lt;&gt;"",
IFERROR(INDEX('LaunchPad Markbook'!A:A,MATCH(AH219,'LaunchPad Markbook'!D:D,0),0),"-"),"")</f>
        <v/>
      </c>
      <c r="D219" s="27"/>
      <c r="E219" s="27"/>
      <c r="F219" s="27"/>
      <c r="G219" s="14">
        <f>IF(OR(H219&gt;AB$2,I219&gt;AC$2,J219&gt;AD$2,
P219&gt;1,V219&gt;1,
L219&gt;'Group List A'!E$2,M219&gt;'Group List A'!F$2,N219&gt;'Group List A'!G$2,
R219&gt;'Group List B'!E$2,S219&gt;'Group List B'!F$2,T219&gt;'Group List B'!G$2),"Exceed",
IF(OR(H219=AB$2,I219=AC$2,J219=AD$2,
P219=1,V219=1,
L219='Group List A'!E$2,M219='Group List A'!F$2,N219='Group List A'!G$2,
R219='Group List B'!E$2,S219='Group List B'!F$2,T219='Group List B'!G$2),"Limit",0))</f>
        <v>0</v>
      </c>
      <c r="H219" s="29">
        <f t="shared" si="47"/>
        <v>0</v>
      </c>
      <c r="I219" s="29">
        <f t="shared" si="48"/>
        <v>0</v>
      </c>
      <c r="J219" s="29">
        <f t="shared" si="49"/>
        <v>0</v>
      </c>
      <c r="K219" s="32" t="str" cm="1">
        <f t="array" ref="K219">IF(AF219&lt;&gt;"",IFERROR(INDEX('Group List A'!B:B,MATCH(AI219,'Group List A'!A:A,0),0),"-"),"")</f>
        <v/>
      </c>
      <c r="L219" s="33">
        <f t="shared" si="50"/>
        <v>0</v>
      </c>
      <c r="M219" s="33">
        <f t="shared" si="51"/>
        <v>0</v>
      </c>
      <c r="N219" s="33">
        <f t="shared" si="52"/>
        <v>0</v>
      </c>
      <c r="O219" s="28"/>
      <c r="P219" s="33">
        <f t="shared" si="53"/>
        <v>0</v>
      </c>
      <c r="Q219" s="35" t="str" cm="1">
        <f t="array" ref="Q219">IF(AF219&lt;&gt;"",IFERROR(INDEX('Group List B'!B:B,MATCH(AI219,'Group List B'!A:A,0),0),"-"),"")</f>
        <v/>
      </c>
      <c r="R219" s="36">
        <f t="shared" si="54"/>
        <v>0</v>
      </c>
      <c r="S219" s="36">
        <f t="shared" si="55"/>
        <v>0</v>
      </c>
      <c r="T219" s="36">
        <f t="shared" si="56"/>
        <v>0</v>
      </c>
      <c r="U219" s="28"/>
      <c r="V219" s="37">
        <f t="shared" si="57"/>
        <v>0</v>
      </c>
      <c r="W219" s="41"/>
      <c r="X219" s="27"/>
      <c r="Y219" s="27"/>
      <c r="Z219" s="27"/>
      <c r="AA219" s="15"/>
      <c r="AB219" s="17"/>
      <c r="AC219" s="17"/>
      <c r="AD219" s="17"/>
      <c r="AE219" s="90"/>
      <c r="AF219" s="82" t="str">
        <f t="shared" si="58"/>
        <v/>
      </c>
      <c r="AG219" s="83" t="str">
        <f t="shared" si="59"/>
        <v/>
      </c>
      <c r="AH219" s="82" t="str">
        <f t="shared" si="60"/>
        <v/>
      </c>
      <c r="AI219" s="82" t="str">
        <f t="shared" si="61"/>
        <v/>
      </c>
      <c r="AJ219" s="90"/>
      <c r="AP219" s="88"/>
    </row>
    <row r="220" spans="1:42" x14ac:dyDescent="0.25">
      <c r="A220" s="2"/>
      <c r="C220" s="68" t="str" cm="1">
        <f t="array" ref="C220">IF(AF220&lt;&gt;"",
IFERROR(INDEX('LaunchPad Markbook'!A:A,MATCH(AH220,'LaunchPad Markbook'!D:D,0),0),"-"),"")</f>
        <v/>
      </c>
      <c r="D220" s="27"/>
      <c r="E220" s="27"/>
      <c r="F220" s="27"/>
      <c r="G220" s="14">
        <f>IF(OR(H220&gt;AB$2,I220&gt;AC$2,J220&gt;AD$2,
P220&gt;1,V220&gt;1,
L220&gt;'Group List A'!E$2,M220&gt;'Group List A'!F$2,N220&gt;'Group List A'!G$2,
R220&gt;'Group List B'!E$2,S220&gt;'Group List B'!F$2,T220&gt;'Group List B'!G$2),"Exceed",
IF(OR(H220=AB$2,I220=AC$2,J220=AD$2,
P220=1,V220=1,
L220='Group List A'!E$2,M220='Group List A'!F$2,N220='Group List A'!G$2,
R220='Group List B'!E$2,S220='Group List B'!F$2,T220='Group List B'!G$2),"Limit",0))</f>
        <v>0</v>
      </c>
      <c r="H220" s="29">
        <f t="shared" si="47"/>
        <v>0</v>
      </c>
      <c r="I220" s="29">
        <f t="shared" si="48"/>
        <v>0</v>
      </c>
      <c r="J220" s="29">
        <f t="shared" si="49"/>
        <v>0</v>
      </c>
      <c r="K220" s="32" t="str" cm="1">
        <f t="array" ref="K220">IF(AF220&lt;&gt;"",IFERROR(INDEX('Group List A'!B:B,MATCH(AI220,'Group List A'!A:A,0),0),"-"),"")</f>
        <v/>
      </c>
      <c r="L220" s="33">
        <f t="shared" si="50"/>
        <v>0</v>
      </c>
      <c r="M220" s="33">
        <f t="shared" si="51"/>
        <v>0</v>
      </c>
      <c r="N220" s="33">
        <f t="shared" si="52"/>
        <v>0</v>
      </c>
      <c r="O220" s="28"/>
      <c r="P220" s="33">
        <f t="shared" si="53"/>
        <v>0</v>
      </c>
      <c r="Q220" s="35" t="str" cm="1">
        <f t="array" ref="Q220">IF(AF220&lt;&gt;"",IFERROR(INDEX('Group List B'!B:B,MATCH(AI220,'Group List B'!A:A,0),0),"-"),"")</f>
        <v/>
      </c>
      <c r="R220" s="36">
        <f t="shared" si="54"/>
        <v>0</v>
      </c>
      <c r="S220" s="36">
        <f t="shared" si="55"/>
        <v>0</v>
      </c>
      <c r="T220" s="36">
        <f t="shared" si="56"/>
        <v>0</v>
      </c>
      <c r="U220" s="28"/>
      <c r="V220" s="37">
        <f t="shared" si="57"/>
        <v>0</v>
      </c>
      <c r="W220" s="41"/>
      <c r="X220" s="27"/>
      <c r="Y220" s="27"/>
      <c r="Z220" s="27"/>
      <c r="AA220" s="15"/>
      <c r="AB220" s="17"/>
      <c r="AC220" s="17"/>
      <c r="AD220" s="17"/>
      <c r="AE220" s="90"/>
      <c r="AF220" s="82" t="str">
        <f t="shared" si="58"/>
        <v/>
      </c>
      <c r="AG220" s="83" t="str">
        <f t="shared" si="59"/>
        <v/>
      </c>
      <c r="AH220" s="82" t="str">
        <f t="shared" si="60"/>
        <v/>
      </c>
      <c r="AI220" s="82" t="str">
        <f t="shared" si="61"/>
        <v/>
      </c>
      <c r="AJ220" s="90"/>
      <c r="AP220" s="88"/>
    </row>
    <row r="221" spans="1:42" x14ac:dyDescent="0.25">
      <c r="A221" s="2"/>
      <c r="C221" s="68" t="str" cm="1">
        <f t="array" ref="C221">IF(AF221&lt;&gt;"",
IFERROR(INDEX('LaunchPad Markbook'!A:A,MATCH(AH221,'LaunchPad Markbook'!D:D,0),0),"-"),"")</f>
        <v/>
      </c>
      <c r="D221" s="27"/>
      <c r="E221" s="27"/>
      <c r="F221" s="27"/>
      <c r="G221" s="14">
        <f>IF(OR(H221&gt;AB$2,I221&gt;AC$2,J221&gt;AD$2,
P221&gt;1,V221&gt;1,
L221&gt;'Group List A'!E$2,M221&gt;'Group List A'!F$2,N221&gt;'Group List A'!G$2,
R221&gt;'Group List B'!E$2,S221&gt;'Group List B'!F$2,T221&gt;'Group List B'!G$2),"Exceed",
IF(OR(H221=AB$2,I221=AC$2,J221=AD$2,
P221=1,V221=1,
L221='Group List A'!E$2,M221='Group List A'!F$2,N221='Group List A'!G$2,
R221='Group List B'!E$2,S221='Group List B'!F$2,T221='Group List B'!G$2),"Limit",0))</f>
        <v>0</v>
      </c>
      <c r="H221" s="29">
        <f t="shared" si="47"/>
        <v>0</v>
      </c>
      <c r="I221" s="29">
        <f t="shared" si="48"/>
        <v>0</v>
      </c>
      <c r="J221" s="29">
        <f t="shared" si="49"/>
        <v>0</v>
      </c>
      <c r="K221" s="32" t="str" cm="1">
        <f t="array" ref="K221">IF(AF221&lt;&gt;"",IFERROR(INDEX('Group List A'!B:B,MATCH(AI221,'Group List A'!A:A,0),0),"-"),"")</f>
        <v/>
      </c>
      <c r="L221" s="33">
        <f t="shared" si="50"/>
        <v>0</v>
      </c>
      <c r="M221" s="33">
        <f t="shared" si="51"/>
        <v>0</v>
      </c>
      <c r="N221" s="33">
        <f t="shared" si="52"/>
        <v>0</v>
      </c>
      <c r="O221" s="28"/>
      <c r="P221" s="33">
        <f t="shared" si="53"/>
        <v>0</v>
      </c>
      <c r="Q221" s="35" t="str" cm="1">
        <f t="array" ref="Q221">IF(AF221&lt;&gt;"",IFERROR(INDEX('Group List B'!B:B,MATCH(AI221,'Group List B'!A:A,0),0),"-"),"")</f>
        <v/>
      </c>
      <c r="R221" s="36">
        <f t="shared" si="54"/>
        <v>0</v>
      </c>
      <c r="S221" s="36">
        <f t="shared" si="55"/>
        <v>0</v>
      </c>
      <c r="T221" s="36">
        <f t="shared" si="56"/>
        <v>0</v>
      </c>
      <c r="U221" s="28"/>
      <c r="V221" s="37">
        <f t="shared" si="57"/>
        <v>0</v>
      </c>
      <c r="W221" s="41"/>
      <c r="X221" s="27"/>
      <c r="Y221" s="27"/>
      <c r="Z221" s="27"/>
      <c r="AA221" s="15"/>
      <c r="AB221" s="17"/>
      <c r="AC221" s="17"/>
      <c r="AD221" s="17"/>
      <c r="AE221" s="90"/>
      <c r="AF221" s="82" t="str">
        <f t="shared" si="58"/>
        <v/>
      </c>
      <c r="AG221" s="83" t="str">
        <f t="shared" si="59"/>
        <v/>
      </c>
      <c r="AH221" s="82" t="str">
        <f t="shared" si="60"/>
        <v/>
      </c>
      <c r="AI221" s="82" t="str">
        <f t="shared" si="61"/>
        <v/>
      </c>
      <c r="AJ221" s="90"/>
      <c r="AP221" s="88"/>
    </row>
    <row r="222" spans="1:42" x14ac:dyDescent="0.25">
      <c r="A222" s="2"/>
      <c r="C222" s="68" t="str" cm="1">
        <f t="array" ref="C222">IF(AF222&lt;&gt;"",
IFERROR(INDEX('LaunchPad Markbook'!A:A,MATCH(AH222,'LaunchPad Markbook'!D:D,0),0),"-"),"")</f>
        <v/>
      </c>
      <c r="D222" s="27"/>
      <c r="E222" s="27"/>
      <c r="F222" s="27"/>
      <c r="G222" s="14">
        <f>IF(OR(H222&gt;AB$2,I222&gt;AC$2,J222&gt;AD$2,
P222&gt;1,V222&gt;1,
L222&gt;'Group List A'!E$2,M222&gt;'Group List A'!F$2,N222&gt;'Group List A'!G$2,
R222&gt;'Group List B'!E$2,S222&gt;'Group List B'!F$2,T222&gt;'Group List B'!G$2),"Exceed",
IF(OR(H222=AB$2,I222=AC$2,J222=AD$2,
P222=1,V222=1,
L222='Group List A'!E$2,M222='Group List A'!F$2,N222='Group List A'!G$2,
R222='Group List B'!E$2,S222='Group List B'!F$2,T222='Group List B'!G$2),"Limit",0))</f>
        <v>0</v>
      </c>
      <c r="H222" s="29">
        <f t="shared" si="47"/>
        <v>0</v>
      </c>
      <c r="I222" s="29">
        <f t="shared" si="48"/>
        <v>0</v>
      </c>
      <c r="J222" s="29">
        <f t="shared" si="49"/>
        <v>0</v>
      </c>
      <c r="K222" s="32" t="str" cm="1">
        <f t="array" ref="K222">IF(AF222&lt;&gt;"",IFERROR(INDEX('Group List A'!B:B,MATCH(AI222,'Group List A'!A:A,0),0),"-"),"")</f>
        <v/>
      </c>
      <c r="L222" s="33">
        <f t="shared" si="50"/>
        <v>0</v>
      </c>
      <c r="M222" s="33">
        <f t="shared" si="51"/>
        <v>0</v>
      </c>
      <c r="N222" s="33">
        <f t="shared" si="52"/>
        <v>0</v>
      </c>
      <c r="O222" s="28"/>
      <c r="P222" s="33">
        <f t="shared" si="53"/>
        <v>0</v>
      </c>
      <c r="Q222" s="35" t="str" cm="1">
        <f t="array" ref="Q222">IF(AF222&lt;&gt;"",IFERROR(INDEX('Group List B'!B:B,MATCH(AI222,'Group List B'!A:A,0),0),"-"),"")</f>
        <v/>
      </c>
      <c r="R222" s="36">
        <f t="shared" si="54"/>
        <v>0</v>
      </c>
      <c r="S222" s="36">
        <f t="shared" si="55"/>
        <v>0</v>
      </c>
      <c r="T222" s="36">
        <f t="shared" si="56"/>
        <v>0</v>
      </c>
      <c r="U222" s="28"/>
      <c r="V222" s="37">
        <f t="shared" si="57"/>
        <v>0</v>
      </c>
      <c r="W222" s="41"/>
      <c r="X222" s="27"/>
      <c r="Y222" s="27"/>
      <c r="Z222" s="27"/>
      <c r="AA222" s="15"/>
      <c r="AB222" s="17"/>
      <c r="AC222" s="17"/>
      <c r="AD222" s="17"/>
      <c r="AE222" s="90"/>
      <c r="AF222" s="82" t="str">
        <f t="shared" si="58"/>
        <v/>
      </c>
      <c r="AG222" s="83" t="str">
        <f t="shared" si="59"/>
        <v/>
      </c>
      <c r="AH222" s="82" t="str">
        <f t="shared" si="60"/>
        <v/>
      </c>
      <c r="AI222" s="82" t="str">
        <f t="shared" si="61"/>
        <v/>
      </c>
      <c r="AJ222" s="90"/>
      <c r="AP222" s="88"/>
    </row>
    <row r="223" spans="1:42" x14ac:dyDescent="0.25">
      <c r="A223" s="2"/>
      <c r="C223" s="68" t="str" cm="1">
        <f t="array" ref="C223">IF(AF223&lt;&gt;"",
IFERROR(INDEX('LaunchPad Markbook'!A:A,MATCH(AH223,'LaunchPad Markbook'!D:D,0),0),"-"),"")</f>
        <v/>
      </c>
      <c r="D223" s="27"/>
      <c r="E223" s="27"/>
      <c r="F223" s="27"/>
      <c r="G223" s="14">
        <f>IF(OR(H223&gt;AB$2,I223&gt;AC$2,J223&gt;AD$2,
P223&gt;1,V223&gt;1,
L223&gt;'Group List A'!E$2,M223&gt;'Group List A'!F$2,N223&gt;'Group List A'!G$2,
R223&gt;'Group List B'!E$2,S223&gt;'Group List B'!F$2,T223&gt;'Group List B'!G$2),"Exceed",
IF(OR(H223=AB$2,I223=AC$2,J223=AD$2,
P223=1,V223=1,
L223='Group List A'!E$2,M223='Group List A'!F$2,N223='Group List A'!G$2,
R223='Group List B'!E$2,S223='Group List B'!F$2,T223='Group List B'!G$2),"Limit",0))</f>
        <v>0</v>
      </c>
      <c r="H223" s="29">
        <f t="shared" si="47"/>
        <v>0</v>
      </c>
      <c r="I223" s="29">
        <f t="shared" si="48"/>
        <v>0</v>
      </c>
      <c r="J223" s="29">
        <f t="shared" si="49"/>
        <v>0</v>
      </c>
      <c r="K223" s="32" t="str" cm="1">
        <f t="array" ref="K223">IF(AF223&lt;&gt;"",IFERROR(INDEX('Group List A'!B:B,MATCH(AI223,'Group List A'!A:A,0),0),"-"),"")</f>
        <v/>
      </c>
      <c r="L223" s="33">
        <f t="shared" si="50"/>
        <v>0</v>
      </c>
      <c r="M223" s="33">
        <f t="shared" si="51"/>
        <v>0</v>
      </c>
      <c r="N223" s="33">
        <f t="shared" si="52"/>
        <v>0</v>
      </c>
      <c r="O223" s="28"/>
      <c r="P223" s="33">
        <f t="shared" si="53"/>
        <v>0</v>
      </c>
      <c r="Q223" s="35" t="str" cm="1">
        <f t="array" ref="Q223">IF(AF223&lt;&gt;"",IFERROR(INDEX('Group List B'!B:B,MATCH(AI223,'Group List B'!A:A,0),0),"-"),"")</f>
        <v/>
      </c>
      <c r="R223" s="36">
        <f t="shared" si="54"/>
        <v>0</v>
      </c>
      <c r="S223" s="36">
        <f t="shared" si="55"/>
        <v>0</v>
      </c>
      <c r="T223" s="36">
        <f t="shared" si="56"/>
        <v>0</v>
      </c>
      <c r="U223" s="28"/>
      <c r="V223" s="37">
        <f t="shared" si="57"/>
        <v>0</v>
      </c>
      <c r="W223" s="41"/>
      <c r="X223" s="27"/>
      <c r="Y223" s="27"/>
      <c r="Z223" s="27"/>
      <c r="AA223" s="15"/>
      <c r="AB223" s="17"/>
      <c r="AC223" s="17"/>
      <c r="AD223" s="17"/>
      <c r="AE223" s="90"/>
      <c r="AF223" s="82" t="str">
        <f t="shared" si="58"/>
        <v/>
      </c>
      <c r="AG223" s="83" t="str">
        <f t="shared" si="59"/>
        <v/>
      </c>
      <c r="AH223" s="82" t="str">
        <f t="shared" si="60"/>
        <v/>
      </c>
      <c r="AI223" s="82" t="str">
        <f t="shared" si="61"/>
        <v/>
      </c>
      <c r="AJ223" s="90"/>
      <c r="AP223" s="88"/>
    </row>
    <row r="224" spans="1:42" x14ac:dyDescent="0.25">
      <c r="A224" s="2"/>
      <c r="C224" s="68" t="str" cm="1">
        <f t="array" ref="C224">IF(AF224&lt;&gt;"",
IFERROR(INDEX('LaunchPad Markbook'!A:A,MATCH(AH224,'LaunchPad Markbook'!D:D,0),0),"-"),"")</f>
        <v/>
      </c>
      <c r="D224" s="27"/>
      <c r="E224" s="27"/>
      <c r="F224" s="27"/>
      <c r="G224" s="14">
        <f>IF(OR(H224&gt;AB$2,I224&gt;AC$2,J224&gt;AD$2,
P224&gt;1,V224&gt;1,
L224&gt;'Group List A'!E$2,M224&gt;'Group List A'!F$2,N224&gt;'Group List A'!G$2,
R224&gt;'Group List B'!E$2,S224&gt;'Group List B'!F$2,T224&gt;'Group List B'!G$2),"Exceed",
IF(OR(H224=AB$2,I224=AC$2,J224=AD$2,
P224=1,V224=1,
L224='Group List A'!E$2,M224='Group List A'!F$2,N224='Group List A'!G$2,
R224='Group List B'!E$2,S224='Group List B'!F$2,T224='Group List B'!G$2),"Limit",0))</f>
        <v>0</v>
      </c>
      <c r="H224" s="29">
        <f t="shared" si="47"/>
        <v>0</v>
      </c>
      <c r="I224" s="29">
        <f t="shared" si="48"/>
        <v>0</v>
      </c>
      <c r="J224" s="29">
        <f t="shared" si="49"/>
        <v>0</v>
      </c>
      <c r="K224" s="32" t="str" cm="1">
        <f t="array" ref="K224">IF(AF224&lt;&gt;"",IFERROR(INDEX('Group List A'!B:B,MATCH(AI224,'Group List A'!A:A,0),0),"-"),"")</f>
        <v/>
      </c>
      <c r="L224" s="33">
        <f t="shared" si="50"/>
        <v>0</v>
      </c>
      <c r="M224" s="33">
        <f t="shared" si="51"/>
        <v>0</v>
      </c>
      <c r="N224" s="33">
        <f t="shared" si="52"/>
        <v>0</v>
      </c>
      <c r="O224" s="28"/>
      <c r="P224" s="33">
        <f t="shared" si="53"/>
        <v>0</v>
      </c>
      <c r="Q224" s="35" t="str" cm="1">
        <f t="array" ref="Q224">IF(AF224&lt;&gt;"",IFERROR(INDEX('Group List B'!B:B,MATCH(AI224,'Group List B'!A:A,0),0),"-"),"")</f>
        <v/>
      </c>
      <c r="R224" s="36">
        <f t="shared" si="54"/>
        <v>0</v>
      </c>
      <c r="S224" s="36">
        <f t="shared" si="55"/>
        <v>0</v>
      </c>
      <c r="T224" s="36">
        <f t="shared" si="56"/>
        <v>0</v>
      </c>
      <c r="U224" s="28"/>
      <c r="V224" s="37">
        <f t="shared" si="57"/>
        <v>0</v>
      </c>
      <c r="W224" s="41"/>
      <c r="X224" s="27"/>
      <c r="Y224" s="27"/>
      <c r="Z224" s="27"/>
      <c r="AA224" s="15"/>
      <c r="AB224" s="17"/>
      <c r="AC224" s="17"/>
      <c r="AD224" s="17"/>
      <c r="AE224" s="90"/>
      <c r="AF224" s="82" t="str">
        <f t="shared" si="58"/>
        <v/>
      </c>
      <c r="AG224" s="83" t="str">
        <f t="shared" si="59"/>
        <v/>
      </c>
      <c r="AH224" s="82" t="str">
        <f t="shared" si="60"/>
        <v/>
      </c>
      <c r="AI224" s="82" t="str">
        <f t="shared" si="61"/>
        <v/>
      </c>
      <c r="AJ224" s="90"/>
      <c r="AP224" s="88"/>
    </row>
    <row r="225" spans="1:42" x14ac:dyDescent="0.25">
      <c r="A225" s="2"/>
      <c r="C225" s="68" t="str" cm="1">
        <f t="array" ref="C225">IF(AF225&lt;&gt;"",
IFERROR(INDEX('LaunchPad Markbook'!A:A,MATCH(AH225,'LaunchPad Markbook'!D:D,0),0),"-"),"")</f>
        <v/>
      </c>
      <c r="D225" s="27"/>
      <c r="E225" s="27"/>
      <c r="F225" s="27"/>
      <c r="G225" s="14">
        <f>IF(OR(H225&gt;AB$2,I225&gt;AC$2,J225&gt;AD$2,
P225&gt;1,V225&gt;1,
L225&gt;'Group List A'!E$2,M225&gt;'Group List A'!F$2,N225&gt;'Group List A'!G$2,
R225&gt;'Group List B'!E$2,S225&gt;'Group List B'!F$2,T225&gt;'Group List B'!G$2),"Exceed",
IF(OR(H225=AB$2,I225=AC$2,J225=AD$2,
P225=1,V225=1,
L225='Group List A'!E$2,M225='Group List A'!F$2,N225='Group List A'!G$2,
R225='Group List B'!E$2,S225='Group List B'!F$2,T225='Group List B'!G$2),"Limit",0))</f>
        <v>0</v>
      </c>
      <c r="H225" s="29">
        <f t="shared" si="47"/>
        <v>0</v>
      </c>
      <c r="I225" s="29">
        <f t="shared" si="48"/>
        <v>0</v>
      </c>
      <c r="J225" s="29">
        <f t="shared" si="49"/>
        <v>0</v>
      </c>
      <c r="K225" s="32" t="str" cm="1">
        <f t="array" ref="K225">IF(AF225&lt;&gt;"",IFERROR(INDEX('Group List A'!B:B,MATCH(AI225,'Group List A'!A:A,0),0),"-"),"")</f>
        <v/>
      </c>
      <c r="L225" s="33">
        <f t="shared" si="50"/>
        <v>0</v>
      </c>
      <c r="M225" s="33">
        <f t="shared" si="51"/>
        <v>0</v>
      </c>
      <c r="N225" s="33">
        <f t="shared" si="52"/>
        <v>0</v>
      </c>
      <c r="O225" s="28"/>
      <c r="P225" s="33">
        <f t="shared" si="53"/>
        <v>0</v>
      </c>
      <c r="Q225" s="35" t="str" cm="1">
        <f t="array" ref="Q225">IF(AF225&lt;&gt;"",IFERROR(INDEX('Group List B'!B:B,MATCH(AI225,'Group List B'!A:A,0),0),"-"),"")</f>
        <v/>
      </c>
      <c r="R225" s="36">
        <f t="shared" si="54"/>
        <v>0</v>
      </c>
      <c r="S225" s="36">
        <f t="shared" si="55"/>
        <v>0</v>
      </c>
      <c r="T225" s="36">
        <f t="shared" si="56"/>
        <v>0</v>
      </c>
      <c r="U225" s="28"/>
      <c r="V225" s="37">
        <f t="shared" si="57"/>
        <v>0</v>
      </c>
      <c r="W225" s="41"/>
      <c r="X225" s="27"/>
      <c r="Y225" s="27"/>
      <c r="Z225" s="27"/>
      <c r="AA225" s="15"/>
      <c r="AB225" s="17"/>
      <c r="AC225" s="17"/>
      <c r="AD225" s="17"/>
      <c r="AE225" s="90"/>
      <c r="AF225" s="82" t="str">
        <f t="shared" si="58"/>
        <v/>
      </c>
      <c r="AG225" s="83" t="str">
        <f t="shared" si="59"/>
        <v/>
      </c>
      <c r="AH225" s="82" t="str">
        <f t="shared" si="60"/>
        <v/>
      </c>
      <c r="AI225" s="82" t="str">
        <f t="shared" si="61"/>
        <v/>
      </c>
      <c r="AJ225" s="90"/>
      <c r="AP225" s="88"/>
    </row>
    <row r="226" spans="1:42" x14ac:dyDescent="0.25">
      <c r="A226" s="2"/>
      <c r="C226" s="68" t="str" cm="1">
        <f t="array" ref="C226">IF(AF226&lt;&gt;"",
IFERROR(INDEX('LaunchPad Markbook'!A:A,MATCH(AH226,'LaunchPad Markbook'!D:D,0),0),"-"),"")</f>
        <v/>
      </c>
      <c r="D226" s="27"/>
      <c r="E226" s="27"/>
      <c r="F226" s="27"/>
      <c r="G226" s="14">
        <f>IF(OR(H226&gt;AB$2,I226&gt;AC$2,J226&gt;AD$2,
P226&gt;1,V226&gt;1,
L226&gt;'Group List A'!E$2,M226&gt;'Group List A'!F$2,N226&gt;'Group List A'!G$2,
R226&gt;'Group List B'!E$2,S226&gt;'Group List B'!F$2,T226&gt;'Group List B'!G$2),"Exceed",
IF(OR(H226=AB$2,I226=AC$2,J226=AD$2,
P226=1,V226=1,
L226='Group List A'!E$2,M226='Group List A'!F$2,N226='Group List A'!G$2,
R226='Group List B'!E$2,S226='Group List B'!F$2,T226='Group List B'!G$2),"Limit",0))</f>
        <v>0</v>
      </c>
      <c r="H226" s="29">
        <f t="shared" si="47"/>
        <v>0</v>
      </c>
      <c r="I226" s="29">
        <f t="shared" si="48"/>
        <v>0</v>
      </c>
      <c r="J226" s="29">
        <f t="shared" si="49"/>
        <v>0</v>
      </c>
      <c r="K226" s="32" t="str" cm="1">
        <f t="array" ref="K226">IF(AF226&lt;&gt;"",IFERROR(INDEX('Group List A'!B:B,MATCH(AI226,'Group List A'!A:A,0),0),"-"),"")</f>
        <v/>
      </c>
      <c r="L226" s="33">
        <f t="shared" si="50"/>
        <v>0</v>
      </c>
      <c r="M226" s="33">
        <f t="shared" si="51"/>
        <v>0</v>
      </c>
      <c r="N226" s="33">
        <f t="shared" si="52"/>
        <v>0</v>
      </c>
      <c r="O226" s="28"/>
      <c r="P226" s="33">
        <f t="shared" si="53"/>
        <v>0</v>
      </c>
      <c r="Q226" s="35" t="str" cm="1">
        <f t="array" ref="Q226">IF(AF226&lt;&gt;"",IFERROR(INDEX('Group List B'!B:B,MATCH(AI226,'Group List B'!A:A,0),0),"-"),"")</f>
        <v/>
      </c>
      <c r="R226" s="36">
        <f t="shared" si="54"/>
        <v>0</v>
      </c>
      <c r="S226" s="36">
        <f t="shared" si="55"/>
        <v>0</v>
      </c>
      <c r="T226" s="36">
        <f t="shared" si="56"/>
        <v>0</v>
      </c>
      <c r="U226" s="28"/>
      <c r="V226" s="37">
        <f t="shared" si="57"/>
        <v>0</v>
      </c>
      <c r="W226" s="41"/>
      <c r="X226" s="27"/>
      <c r="Y226" s="27"/>
      <c r="Z226" s="27"/>
      <c r="AA226" s="15"/>
      <c r="AB226" s="17"/>
      <c r="AC226" s="17"/>
      <c r="AD226" s="17"/>
      <c r="AE226" s="90"/>
      <c r="AF226" s="82" t="str">
        <f t="shared" si="58"/>
        <v/>
      </c>
      <c r="AG226" s="83" t="str">
        <f t="shared" si="59"/>
        <v/>
      </c>
      <c r="AH226" s="82" t="str">
        <f t="shared" si="60"/>
        <v/>
      </c>
      <c r="AI226" s="82" t="str">
        <f t="shared" si="61"/>
        <v/>
      </c>
      <c r="AJ226" s="90"/>
      <c r="AP226" s="88"/>
    </row>
    <row r="227" spans="1:42" x14ac:dyDescent="0.25">
      <c r="A227" s="2"/>
      <c r="C227" s="68" t="str" cm="1">
        <f t="array" ref="C227">IF(AF227&lt;&gt;"",
IFERROR(INDEX('LaunchPad Markbook'!A:A,MATCH(AH227,'LaunchPad Markbook'!D:D,0),0),"-"),"")</f>
        <v/>
      </c>
      <c r="D227" s="27"/>
      <c r="E227" s="27"/>
      <c r="F227" s="27"/>
      <c r="G227" s="14">
        <f>IF(OR(H227&gt;AB$2,I227&gt;AC$2,J227&gt;AD$2,
P227&gt;1,V227&gt;1,
L227&gt;'Group List A'!E$2,M227&gt;'Group List A'!F$2,N227&gt;'Group List A'!G$2,
R227&gt;'Group List B'!E$2,S227&gt;'Group List B'!F$2,T227&gt;'Group List B'!G$2),"Exceed",
IF(OR(H227=AB$2,I227=AC$2,J227=AD$2,
P227=1,V227=1,
L227='Group List A'!E$2,M227='Group List A'!F$2,N227='Group List A'!G$2,
R227='Group List B'!E$2,S227='Group List B'!F$2,T227='Group List B'!G$2),"Limit",0))</f>
        <v>0</v>
      </c>
      <c r="H227" s="29">
        <f t="shared" si="47"/>
        <v>0</v>
      </c>
      <c r="I227" s="29">
        <f t="shared" si="48"/>
        <v>0</v>
      </c>
      <c r="J227" s="29">
        <f t="shared" si="49"/>
        <v>0</v>
      </c>
      <c r="K227" s="32" t="str" cm="1">
        <f t="array" ref="K227">IF(AF227&lt;&gt;"",IFERROR(INDEX('Group List A'!B:B,MATCH(AI227,'Group List A'!A:A,0),0),"-"),"")</f>
        <v/>
      </c>
      <c r="L227" s="33">
        <f t="shared" si="50"/>
        <v>0</v>
      </c>
      <c r="M227" s="33">
        <f t="shared" si="51"/>
        <v>0</v>
      </c>
      <c r="N227" s="33">
        <f t="shared" si="52"/>
        <v>0</v>
      </c>
      <c r="O227" s="28"/>
      <c r="P227" s="33">
        <f t="shared" si="53"/>
        <v>0</v>
      </c>
      <c r="Q227" s="35" t="str" cm="1">
        <f t="array" ref="Q227">IF(AF227&lt;&gt;"",IFERROR(INDEX('Group List B'!B:B,MATCH(AI227,'Group List B'!A:A,0),0),"-"),"")</f>
        <v/>
      </c>
      <c r="R227" s="36">
        <f t="shared" si="54"/>
        <v>0</v>
      </c>
      <c r="S227" s="36">
        <f t="shared" si="55"/>
        <v>0</v>
      </c>
      <c r="T227" s="36">
        <f t="shared" si="56"/>
        <v>0</v>
      </c>
      <c r="U227" s="28"/>
      <c r="V227" s="37">
        <f t="shared" si="57"/>
        <v>0</v>
      </c>
      <c r="W227" s="41"/>
      <c r="X227" s="27"/>
      <c r="Y227" s="27"/>
      <c r="Z227" s="27"/>
      <c r="AA227" s="15"/>
      <c r="AB227" s="17"/>
      <c r="AC227" s="17"/>
      <c r="AD227" s="17"/>
      <c r="AE227" s="90"/>
      <c r="AF227" s="82" t="str">
        <f t="shared" si="58"/>
        <v/>
      </c>
      <c r="AG227" s="83" t="str">
        <f t="shared" si="59"/>
        <v/>
      </c>
      <c r="AH227" s="82" t="str">
        <f t="shared" si="60"/>
        <v/>
      </c>
      <c r="AI227" s="82" t="str">
        <f t="shared" si="61"/>
        <v/>
      </c>
      <c r="AJ227" s="90"/>
      <c r="AP227" s="88"/>
    </row>
    <row r="228" spans="1:42" x14ac:dyDescent="0.25">
      <c r="A228" s="2"/>
      <c r="C228" s="68" t="str" cm="1">
        <f t="array" ref="C228">IF(AF228&lt;&gt;"",
IFERROR(INDEX('LaunchPad Markbook'!A:A,MATCH(AH228,'LaunchPad Markbook'!D:D,0),0),"-"),"")</f>
        <v/>
      </c>
      <c r="D228" s="27"/>
      <c r="E228" s="27"/>
      <c r="F228" s="27"/>
      <c r="G228" s="14">
        <f>IF(OR(H228&gt;AB$2,I228&gt;AC$2,J228&gt;AD$2,
P228&gt;1,V228&gt;1,
L228&gt;'Group List A'!E$2,M228&gt;'Group List A'!F$2,N228&gt;'Group List A'!G$2,
R228&gt;'Group List B'!E$2,S228&gt;'Group List B'!F$2,T228&gt;'Group List B'!G$2),"Exceed",
IF(OR(H228=AB$2,I228=AC$2,J228=AD$2,
P228=1,V228=1,
L228='Group List A'!E$2,M228='Group List A'!F$2,N228='Group List A'!G$2,
R228='Group List B'!E$2,S228='Group List B'!F$2,T228='Group List B'!G$2),"Limit",0))</f>
        <v>0</v>
      </c>
      <c r="H228" s="29">
        <f t="shared" si="47"/>
        <v>0</v>
      </c>
      <c r="I228" s="29">
        <f t="shared" si="48"/>
        <v>0</v>
      </c>
      <c r="J228" s="29">
        <f t="shared" si="49"/>
        <v>0</v>
      </c>
      <c r="K228" s="32" t="str" cm="1">
        <f t="array" ref="K228">IF(AF228&lt;&gt;"",IFERROR(INDEX('Group List A'!B:B,MATCH(AI228,'Group List A'!A:A,0),0),"-"),"")</f>
        <v/>
      </c>
      <c r="L228" s="33">
        <f t="shared" si="50"/>
        <v>0</v>
      </c>
      <c r="M228" s="33">
        <f t="shared" si="51"/>
        <v>0</v>
      </c>
      <c r="N228" s="33">
        <f t="shared" si="52"/>
        <v>0</v>
      </c>
      <c r="O228" s="28"/>
      <c r="P228" s="33">
        <f t="shared" si="53"/>
        <v>0</v>
      </c>
      <c r="Q228" s="35" t="str" cm="1">
        <f t="array" ref="Q228">IF(AF228&lt;&gt;"",IFERROR(INDEX('Group List B'!B:B,MATCH(AI228,'Group List B'!A:A,0),0),"-"),"")</f>
        <v/>
      </c>
      <c r="R228" s="36">
        <f t="shared" si="54"/>
        <v>0</v>
      </c>
      <c r="S228" s="36">
        <f t="shared" si="55"/>
        <v>0</v>
      </c>
      <c r="T228" s="36">
        <f t="shared" si="56"/>
        <v>0</v>
      </c>
      <c r="U228" s="28"/>
      <c r="V228" s="37">
        <f t="shared" si="57"/>
        <v>0</v>
      </c>
      <c r="W228" s="41"/>
      <c r="X228" s="27"/>
      <c r="Y228" s="27"/>
      <c r="Z228" s="27"/>
      <c r="AA228" s="15"/>
      <c r="AB228" s="17"/>
      <c r="AC228" s="17"/>
      <c r="AD228" s="17"/>
      <c r="AE228" s="90"/>
      <c r="AF228" s="82" t="str">
        <f t="shared" si="58"/>
        <v/>
      </c>
      <c r="AG228" s="83" t="str">
        <f t="shared" si="59"/>
        <v/>
      </c>
      <c r="AH228" s="82" t="str">
        <f t="shared" si="60"/>
        <v/>
      </c>
      <c r="AI228" s="82" t="str">
        <f t="shared" si="61"/>
        <v/>
      </c>
      <c r="AJ228" s="90"/>
      <c r="AP228" s="88"/>
    </row>
    <row r="229" spans="1:42" x14ac:dyDescent="0.25">
      <c r="A229" s="2"/>
      <c r="C229" s="68" t="str" cm="1">
        <f t="array" ref="C229">IF(AF229&lt;&gt;"",
IFERROR(INDEX('LaunchPad Markbook'!A:A,MATCH(AH229,'LaunchPad Markbook'!D:D,0),0),"-"),"")</f>
        <v/>
      </c>
      <c r="D229" s="27"/>
      <c r="E229" s="27"/>
      <c r="F229" s="27"/>
      <c r="G229" s="14">
        <f>IF(OR(H229&gt;AB$2,I229&gt;AC$2,J229&gt;AD$2,
P229&gt;1,V229&gt;1,
L229&gt;'Group List A'!E$2,M229&gt;'Group List A'!F$2,N229&gt;'Group List A'!G$2,
R229&gt;'Group List B'!E$2,S229&gt;'Group List B'!F$2,T229&gt;'Group List B'!G$2),"Exceed",
IF(OR(H229=AB$2,I229=AC$2,J229=AD$2,
P229=1,V229=1,
L229='Group List A'!E$2,M229='Group List A'!F$2,N229='Group List A'!G$2,
R229='Group List B'!E$2,S229='Group List B'!F$2,T229='Group List B'!G$2),"Limit",0))</f>
        <v>0</v>
      </c>
      <c r="H229" s="29">
        <f t="shared" si="47"/>
        <v>0</v>
      </c>
      <c r="I229" s="29">
        <f t="shared" si="48"/>
        <v>0</v>
      </c>
      <c r="J229" s="29">
        <f t="shared" si="49"/>
        <v>0</v>
      </c>
      <c r="K229" s="32" t="str" cm="1">
        <f t="array" ref="K229">IF(AF229&lt;&gt;"",IFERROR(INDEX('Group List A'!B:B,MATCH(AI229,'Group List A'!A:A,0),0),"-"),"")</f>
        <v/>
      </c>
      <c r="L229" s="33">
        <f t="shared" si="50"/>
        <v>0</v>
      </c>
      <c r="M229" s="33">
        <f t="shared" si="51"/>
        <v>0</v>
      </c>
      <c r="N229" s="33">
        <f t="shared" si="52"/>
        <v>0</v>
      </c>
      <c r="O229" s="28"/>
      <c r="P229" s="33">
        <f t="shared" si="53"/>
        <v>0</v>
      </c>
      <c r="Q229" s="35" t="str" cm="1">
        <f t="array" ref="Q229">IF(AF229&lt;&gt;"",IFERROR(INDEX('Group List B'!B:B,MATCH(AI229,'Group List B'!A:A,0),0),"-"),"")</f>
        <v/>
      </c>
      <c r="R229" s="36">
        <f t="shared" si="54"/>
        <v>0</v>
      </c>
      <c r="S229" s="36">
        <f t="shared" si="55"/>
        <v>0</v>
      </c>
      <c r="T229" s="36">
        <f t="shared" si="56"/>
        <v>0</v>
      </c>
      <c r="U229" s="28"/>
      <c r="V229" s="37">
        <f t="shared" si="57"/>
        <v>0</v>
      </c>
      <c r="W229" s="41"/>
      <c r="X229" s="27"/>
      <c r="Y229" s="27"/>
      <c r="Z229" s="27"/>
      <c r="AA229" s="15"/>
      <c r="AB229" s="17"/>
      <c r="AC229" s="17"/>
      <c r="AD229" s="17"/>
      <c r="AE229" s="90"/>
      <c r="AF229" s="82" t="str">
        <f t="shared" si="58"/>
        <v/>
      </c>
      <c r="AG229" s="83" t="str">
        <f t="shared" si="59"/>
        <v/>
      </c>
      <c r="AH229" s="82" t="str">
        <f t="shared" si="60"/>
        <v/>
      </c>
      <c r="AI229" s="82" t="str">
        <f t="shared" si="61"/>
        <v/>
      </c>
      <c r="AJ229" s="90"/>
      <c r="AP229" s="88"/>
    </row>
    <row r="230" spans="1:42" x14ac:dyDescent="0.25">
      <c r="A230" s="2"/>
      <c r="C230" s="68" t="str" cm="1">
        <f t="array" ref="C230">IF(AF230&lt;&gt;"",
IFERROR(INDEX('LaunchPad Markbook'!A:A,MATCH(AH230,'LaunchPad Markbook'!D:D,0),0),"-"),"")</f>
        <v/>
      </c>
      <c r="D230" s="27"/>
      <c r="E230" s="27"/>
      <c r="F230" s="27"/>
      <c r="G230" s="14">
        <f>IF(OR(H230&gt;AB$2,I230&gt;AC$2,J230&gt;AD$2,
P230&gt;1,V230&gt;1,
L230&gt;'Group List A'!E$2,M230&gt;'Group List A'!F$2,N230&gt;'Group List A'!G$2,
R230&gt;'Group List B'!E$2,S230&gt;'Group List B'!F$2,T230&gt;'Group List B'!G$2),"Exceed",
IF(OR(H230=AB$2,I230=AC$2,J230=AD$2,
P230=1,V230=1,
L230='Group List A'!E$2,M230='Group List A'!F$2,N230='Group List A'!G$2,
R230='Group List B'!E$2,S230='Group List B'!F$2,T230='Group List B'!G$2),"Limit",0))</f>
        <v>0</v>
      </c>
      <c r="H230" s="29">
        <f t="shared" si="47"/>
        <v>0</v>
      </c>
      <c r="I230" s="29">
        <f t="shared" si="48"/>
        <v>0</v>
      </c>
      <c r="J230" s="29">
        <f t="shared" si="49"/>
        <v>0</v>
      </c>
      <c r="K230" s="32" t="str" cm="1">
        <f t="array" ref="K230">IF(AF230&lt;&gt;"",IFERROR(INDEX('Group List A'!B:B,MATCH(AI230,'Group List A'!A:A,0),0),"-"),"")</f>
        <v/>
      </c>
      <c r="L230" s="33">
        <f t="shared" si="50"/>
        <v>0</v>
      </c>
      <c r="M230" s="33">
        <f t="shared" si="51"/>
        <v>0</v>
      </c>
      <c r="N230" s="33">
        <f t="shared" si="52"/>
        <v>0</v>
      </c>
      <c r="O230" s="28"/>
      <c r="P230" s="33">
        <f t="shared" si="53"/>
        <v>0</v>
      </c>
      <c r="Q230" s="35" t="str" cm="1">
        <f t="array" ref="Q230">IF(AF230&lt;&gt;"",IFERROR(INDEX('Group List B'!B:B,MATCH(AI230,'Group List B'!A:A,0),0),"-"),"")</f>
        <v/>
      </c>
      <c r="R230" s="36">
        <f t="shared" si="54"/>
        <v>0</v>
      </c>
      <c r="S230" s="36">
        <f t="shared" si="55"/>
        <v>0</v>
      </c>
      <c r="T230" s="36">
        <f t="shared" si="56"/>
        <v>0</v>
      </c>
      <c r="U230" s="28"/>
      <c r="V230" s="37">
        <f t="shared" si="57"/>
        <v>0</v>
      </c>
      <c r="W230" s="41"/>
      <c r="X230" s="27"/>
      <c r="Y230" s="27"/>
      <c r="Z230" s="27"/>
      <c r="AA230" s="15"/>
      <c r="AB230" s="17"/>
      <c r="AC230" s="17"/>
      <c r="AD230" s="17"/>
      <c r="AE230" s="90"/>
      <c r="AF230" s="82" t="str">
        <f t="shared" si="58"/>
        <v/>
      </c>
      <c r="AG230" s="83" t="str">
        <f t="shared" si="59"/>
        <v/>
      </c>
      <c r="AH230" s="82" t="str">
        <f t="shared" si="60"/>
        <v/>
      </c>
      <c r="AI230" s="82" t="str">
        <f t="shared" si="61"/>
        <v/>
      </c>
      <c r="AJ230" s="90"/>
      <c r="AP230" s="88"/>
    </row>
    <row r="231" spans="1:42" x14ac:dyDescent="0.25">
      <c r="A231" s="2"/>
      <c r="C231" s="68" t="str" cm="1">
        <f t="array" ref="C231">IF(AF231&lt;&gt;"",
IFERROR(INDEX('LaunchPad Markbook'!A:A,MATCH(AH231,'LaunchPad Markbook'!D:D,0),0),"-"),"")</f>
        <v/>
      </c>
      <c r="D231" s="27"/>
      <c r="E231" s="27"/>
      <c r="F231" s="27"/>
      <c r="G231" s="14">
        <f>IF(OR(H231&gt;AB$2,I231&gt;AC$2,J231&gt;AD$2,
P231&gt;1,V231&gt;1,
L231&gt;'Group List A'!E$2,M231&gt;'Group List A'!F$2,N231&gt;'Group List A'!G$2,
R231&gt;'Group List B'!E$2,S231&gt;'Group List B'!F$2,T231&gt;'Group List B'!G$2),"Exceed",
IF(OR(H231=AB$2,I231=AC$2,J231=AD$2,
P231=1,V231=1,
L231='Group List A'!E$2,M231='Group List A'!F$2,N231='Group List A'!G$2,
R231='Group List B'!E$2,S231='Group List B'!F$2,T231='Group List B'!G$2),"Limit",0))</f>
        <v>0</v>
      </c>
      <c r="H231" s="29">
        <f t="shared" si="47"/>
        <v>0</v>
      </c>
      <c r="I231" s="29">
        <f t="shared" si="48"/>
        <v>0</v>
      </c>
      <c r="J231" s="29">
        <f t="shared" si="49"/>
        <v>0</v>
      </c>
      <c r="K231" s="32" t="str" cm="1">
        <f t="array" ref="K231">IF(AF231&lt;&gt;"",IFERROR(INDEX('Group List A'!B:B,MATCH(AI231,'Group List A'!A:A,0),0),"-"),"")</f>
        <v/>
      </c>
      <c r="L231" s="33">
        <f t="shared" si="50"/>
        <v>0</v>
      </c>
      <c r="M231" s="33">
        <f t="shared" si="51"/>
        <v>0</v>
      </c>
      <c r="N231" s="33">
        <f t="shared" si="52"/>
        <v>0</v>
      </c>
      <c r="O231" s="28"/>
      <c r="P231" s="33">
        <f t="shared" si="53"/>
        <v>0</v>
      </c>
      <c r="Q231" s="35" t="str" cm="1">
        <f t="array" ref="Q231">IF(AF231&lt;&gt;"",IFERROR(INDEX('Group List B'!B:B,MATCH(AI231,'Group List B'!A:A,0),0),"-"),"")</f>
        <v/>
      </c>
      <c r="R231" s="36">
        <f t="shared" si="54"/>
        <v>0</v>
      </c>
      <c r="S231" s="36">
        <f t="shared" si="55"/>
        <v>0</v>
      </c>
      <c r="T231" s="36">
        <f t="shared" si="56"/>
        <v>0</v>
      </c>
      <c r="U231" s="28"/>
      <c r="V231" s="37">
        <f t="shared" si="57"/>
        <v>0</v>
      </c>
      <c r="W231" s="41"/>
      <c r="X231" s="27"/>
      <c r="Y231" s="27"/>
      <c r="Z231" s="27"/>
      <c r="AA231" s="15"/>
      <c r="AB231" s="17"/>
      <c r="AC231" s="17"/>
      <c r="AD231" s="17"/>
      <c r="AE231" s="90"/>
      <c r="AF231" s="82" t="str">
        <f t="shared" si="58"/>
        <v/>
      </c>
      <c r="AG231" s="83" t="str">
        <f t="shared" si="59"/>
        <v/>
      </c>
      <c r="AH231" s="82" t="str">
        <f t="shared" si="60"/>
        <v/>
      </c>
      <c r="AI231" s="82" t="str">
        <f t="shared" si="61"/>
        <v/>
      </c>
      <c r="AJ231" s="90"/>
      <c r="AP231" s="88"/>
    </row>
    <row r="232" spans="1:42" x14ac:dyDescent="0.25">
      <c r="A232" s="2"/>
      <c r="C232" s="68" t="str" cm="1">
        <f t="array" ref="C232">IF(AF232&lt;&gt;"",
IFERROR(INDEX('LaunchPad Markbook'!A:A,MATCH(AH232,'LaunchPad Markbook'!D:D,0),0),"-"),"")</f>
        <v/>
      </c>
      <c r="D232" s="27"/>
      <c r="E232" s="27"/>
      <c r="F232" s="27"/>
      <c r="G232" s="14">
        <f>IF(OR(H232&gt;AB$2,I232&gt;AC$2,J232&gt;AD$2,
P232&gt;1,V232&gt;1,
L232&gt;'Group List A'!E$2,M232&gt;'Group List A'!F$2,N232&gt;'Group List A'!G$2,
R232&gt;'Group List B'!E$2,S232&gt;'Group List B'!F$2,T232&gt;'Group List B'!G$2),"Exceed",
IF(OR(H232=AB$2,I232=AC$2,J232=AD$2,
P232=1,V232=1,
L232='Group List A'!E$2,M232='Group List A'!F$2,N232='Group List A'!G$2,
R232='Group List B'!E$2,S232='Group List B'!F$2,T232='Group List B'!G$2),"Limit",0))</f>
        <v>0</v>
      </c>
      <c r="H232" s="29">
        <f t="shared" si="47"/>
        <v>0</v>
      </c>
      <c r="I232" s="29">
        <f t="shared" si="48"/>
        <v>0</v>
      </c>
      <c r="J232" s="29">
        <f t="shared" si="49"/>
        <v>0</v>
      </c>
      <c r="K232" s="32" t="str" cm="1">
        <f t="array" ref="K232">IF(AF232&lt;&gt;"",IFERROR(INDEX('Group List A'!B:B,MATCH(AI232,'Group List A'!A:A,0),0),"-"),"")</f>
        <v/>
      </c>
      <c r="L232" s="33">
        <f t="shared" si="50"/>
        <v>0</v>
      </c>
      <c r="M232" s="33">
        <f t="shared" si="51"/>
        <v>0</v>
      </c>
      <c r="N232" s="33">
        <f t="shared" si="52"/>
        <v>0</v>
      </c>
      <c r="O232" s="28"/>
      <c r="P232" s="33">
        <f t="shared" si="53"/>
        <v>0</v>
      </c>
      <c r="Q232" s="35" t="str" cm="1">
        <f t="array" ref="Q232">IF(AF232&lt;&gt;"",IFERROR(INDEX('Group List B'!B:B,MATCH(AI232,'Group List B'!A:A,0),0),"-"),"")</f>
        <v/>
      </c>
      <c r="R232" s="36">
        <f t="shared" si="54"/>
        <v>0</v>
      </c>
      <c r="S232" s="36">
        <f t="shared" si="55"/>
        <v>0</v>
      </c>
      <c r="T232" s="36">
        <f t="shared" si="56"/>
        <v>0</v>
      </c>
      <c r="U232" s="28"/>
      <c r="V232" s="37">
        <f t="shared" si="57"/>
        <v>0</v>
      </c>
      <c r="W232" s="41"/>
      <c r="X232" s="27"/>
      <c r="Y232" s="27"/>
      <c r="Z232" s="27"/>
      <c r="AA232" s="15"/>
      <c r="AB232" s="17"/>
      <c r="AC232" s="17"/>
      <c r="AD232" s="17"/>
      <c r="AE232" s="90"/>
      <c r="AF232" s="82" t="str">
        <f t="shared" si="58"/>
        <v/>
      </c>
      <c r="AG232" s="83" t="str">
        <f t="shared" si="59"/>
        <v/>
      </c>
      <c r="AH232" s="82" t="str">
        <f t="shared" si="60"/>
        <v/>
      </c>
      <c r="AI232" s="82" t="str">
        <f t="shared" si="61"/>
        <v/>
      </c>
      <c r="AJ232" s="90"/>
      <c r="AP232" s="88"/>
    </row>
    <row r="233" spans="1:42" x14ac:dyDescent="0.25">
      <c r="A233" s="2"/>
      <c r="C233" s="68" t="str" cm="1">
        <f t="array" ref="C233">IF(AF233&lt;&gt;"",
IFERROR(INDEX('LaunchPad Markbook'!A:A,MATCH(AH233,'LaunchPad Markbook'!D:D,0),0),"-"),"")</f>
        <v/>
      </c>
      <c r="D233" s="27"/>
      <c r="E233" s="27"/>
      <c r="F233" s="27"/>
      <c r="G233" s="14">
        <f>IF(OR(H233&gt;AB$2,I233&gt;AC$2,J233&gt;AD$2,
P233&gt;1,V233&gt;1,
L233&gt;'Group List A'!E$2,M233&gt;'Group List A'!F$2,N233&gt;'Group List A'!G$2,
R233&gt;'Group List B'!E$2,S233&gt;'Group List B'!F$2,T233&gt;'Group List B'!G$2),"Exceed",
IF(OR(H233=AB$2,I233=AC$2,J233=AD$2,
P233=1,V233=1,
L233='Group List A'!E$2,M233='Group List A'!F$2,N233='Group List A'!G$2,
R233='Group List B'!E$2,S233='Group List B'!F$2,T233='Group List B'!G$2),"Limit",0))</f>
        <v>0</v>
      </c>
      <c r="H233" s="29">
        <f t="shared" si="47"/>
        <v>0</v>
      </c>
      <c r="I233" s="29">
        <f t="shared" si="48"/>
        <v>0</v>
      </c>
      <c r="J233" s="29">
        <f t="shared" si="49"/>
        <v>0</v>
      </c>
      <c r="K233" s="32" t="str" cm="1">
        <f t="array" ref="K233">IF(AF233&lt;&gt;"",IFERROR(INDEX('Group List A'!B:B,MATCH(AI233,'Group List A'!A:A,0),0),"-"),"")</f>
        <v/>
      </c>
      <c r="L233" s="33">
        <f t="shared" si="50"/>
        <v>0</v>
      </c>
      <c r="M233" s="33">
        <f t="shared" si="51"/>
        <v>0</v>
      </c>
      <c r="N233" s="33">
        <f t="shared" si="52"/>
        <v>0</v>
      </c>
      <c r="O233" s="28"/>
      <c r="P233" s="33">
        <f t="shared" si="53"/>
        <v>0</v>
      </c>
      <c r="Q233" s="35" t="str" cm="1">
        <f t="array" ref="Q233">IF(AF233&lt;&gt;"",IFERROR(INDEX('Group List B'!B:B,MATCH(AI233,'Group List B'!A:A,0),0),"-"),"")</f>
        <v/>
      </c>
      <c r="R233" s="36">
        <f t="shared" si="54"/>
        <v>0</v>
      </c>
      <c r="S233" s="36">
        <f t="shared" si="55"/>
        <v>0</v>
      </c>
      <c r="T233" s="36">
        <f t="shared" si="56"/>
        <v>0</v>
      </c>
      <c r="U233" s="28"/>
      <c r="V233" s="37">
        <f t="shared" si="57"/>
        <v>0</v>
      </c>
      <c r="W233" s="41"/>
      <c r="X233" s="27"/>
      <c r="Y233" s="27"/>
      <c r="Z233" s="27"/>
      <c r="AA233" s="15"/>
      <c r="AB233" s="17"/>
      <c r="AC233" s="17"/>
      <c r="AD233" s="17"/>
      <c r="AE233" s="90"/>
      <c r="AF233" s="82" t="str">
        <f t="shared" si="58"/>
        <v/>
      </c>
      <c r="AG233" s="83" t="str">
        <f t="shared" si="59"/>
        <v/>
      </c>
      <c r="AH233" s="82" t="str">
        <f t="shared" si="60"/>
        <v/>
      </c>
      <c r="AI233" s="82" t="str">
        <f t="shared" si="61"/>
        <v/>
      </c>
      <c r="AJ233" s="90"/>
      <c r="AP233" s="88"/>
    </row>
    <row r="234" spans="1:42" x14ac:dyDescent="0.25">
      <c r="A234" s="2"/>
      <c r="C234" s="68" t="str" cm="1">
        <f t="array" ref="C234">IF(AF234&lt;&gt;"",
IFERROR(INDEX('LaunchPad Markbook'!A:A,MATCH(AH234,'LaunchPad Markbook'!D:D,0),0),"-"),"")</f>
        <v/>
      </c>
      <c r="D234" s="27"/>
      <c r="E234" s="27"/>
      <c r="F234" s="27"/>
      <c r="G234" s="14">
        <f>IF(OR(H234&gt;AB$2,I234&gt;AC$2,J234&gt;AD$2,
P234&gt;1,V234&gt;1,
L234&gt;'Group List A'!E$2,M234&gt;'Group List A'!F$2,N234&gt;'Group List A'!G$2,
R234&gt;'Group List B'!E$2,S234&gt;'Group List B'!F$2,T234&gt;'Group List B'!G$2),"Exceed",
IF(OR(H234=AB$2,I234=AC$2,J234=AD$2,
P234=1,V234=1,
L234='Group List A'!E$2,M234='Group List A'!F$2,N234='Group List A'!G$2,
R234='Group List B'!E$2,S234='Group List B'!F$2,T234='Group List B'!G$2),"Limit",0))</f>
        <v>0</v>
      </c>
      <c r="H234" s="29">
        <f t="shared" si="47"/>
        <v>0</v>
      </c>
      <c r="I234" s="29">
        <f t="shared" si="48"/>
        <v>0</v>
      </c>
      <c r="J234" s="29">
        <f t="shared" si="49"/>
        <v>0</v>
      </c>
      <c r="K234" s="32" t="str" cm="1">
        <f t="array" ref="K234">IF(AF234&lt;&gt;"",IFERROR(INDEX('Group List A'!B:B,MATCH(AI234,'Group List A'!A:A,0),0),"-"),"")</f>
        <v/>
      </c>
      <c r="L234" s="33">
        <f t="shared" si="50"/>
        <v>0</v>
      </c>
      <c r="M234" s="33">
        <f t="shared" si="51"/>
        <v>0</v>
      </c>
      <c r="N234" s="33">
        <f t="shared" si="52"/>
        <v>0</v>
      </c>
      <c r="O234" s="28"/>
      <c r="P234" s="33">
        <f t="shared" si="53"/>
        <v>0</v>
      </c>
      <c r="Q234" s="35" t="str" cm="1">
        <f t="array" ref="Q234">IF(AF234&lt;&gt;"",IFERROR(INDEX('Group List B'!B:B,MATCH(AI234,'Group List B'!A:A,0),0),"-"),"")</f>
        <v/>
      </c>
      <c r="R234" s="36">
        <f t="shared" si="54"/>
        <v>0</v>
      </c>
      <c r="S234" s="36">
        <f t="shared" si="55"/>
        <v>0</v>
      </c>
      <c r="T234" s="36">
        <f t="shared" si="56"/>
        <v>0</v>
      </c>
      <c r="U234" s="28"/>
      <c r="V234" s="37">
        <f t="shared" si="57"/>
        <v>0</v>
      </c>
      <c r="W234" s="41"/>
      <c r="X234" s="27"/>
      <c r="Y234" s="27"/>
      <c r="Z234" s="27"/>
      <c r="AA234" s="15"/>
      <c r="AB234" s="17"/>
      <c r="AC234" s="17"/>
      <c r="AD234" s="17"/>
      <c r="AE234" s="90"/>
      <c r="AF234" s="82" t="str">
        <f t="shared" si="58"/>
        <v/>
      </c>
      <c r="AG234" s="83" t="str">
        <f t="shared" si="59"/>
        <v/>
      </c>
      <c r="AH234" s="82" t="str">
        <f t="shared" si="60"/>
        <v/>
      </c>
      <c r="AI234" s="82" t="str">
        <f t="shared" si="61"/>
        <v/>
      </c>
      <c r="AJ234" s="90"/>
      <c r="AP234" s="88"/>
    </row>
    <row r="235" spans="1:42" x14ac:dyDescent="0.25">
      <c r="A235" s="2"/>
      <c r="C235" s="68" t="str" cm="1">
        <f t="array" ref="C235">IF(AF235&lt;&gt;"",
IFERROR(INDEX('LaunchPad Markbook'!A:A,MATCH(AH235,'LaunchPad Markbook'!D:D,0),0),"-"),"")</f>
        <v/>
      </c>
      <c r="D235" s="27"/>
      <c r="E235" s="27"/>
      <c r="F235" s="27"/>
      <c r="G235" s="14">
        <f>IF(OR(H235&gt;AB$2,I235&gt;AC$2,J235&gt;AD$2,
P235&gt;1,V235&gt;1,
L235&gt;'Group List A'!E$2,M235&gt;'Group List A'!F$2,N235&gt;'Group List A'!G$2,
R235&gt;'Group List B'!E$2,S235&gt;'Group List B'!F$2,T235&gt;'Group List B'!G$2),"Exceed",
IF(OR(H235=AB$2,I235=AC$2,J235=AD$2,
P235=1,V235=1,
L235='Group List A'!E$2,M235='Group List A'!F$2,N235='Group List A'!G$2,
R235='Group List B'!E$2,S235='Group List B'!F$2,T235='Group List B'!G$2),"Limit",0))</f>
        <v>0</v>
      </c>
      <c r="H235" s="29">
        <f t="shared" si="47"/>
        <v>0</v>
      </c>
      <c r="I235" s="29">
        <f t="shared" si="48"/>
        <v>0</v>
      </c>
      <c r="J235" s="29">
        <f t="shared" si="49"/>
        <v>0</v>
      </c>
      <c r="K235" s="32" t="str" cm="1">
        <f t="array" ref="K235">IF(AF235&lt;&gt;"",IFERROR(INDEX('Group List A'!B:B,MATCH(AI235,'Group List A'!A:A,0),0),"-"),"")</f>
        <v/>
      </c>
      <c r="L235" s="33">
        <f t="shared" si="50"/>
        <v>0</v>
      </c>
      <c r="M235" s="33">
        <f t="shared" si="51"/>
        <v>0</v>
      </c>
      <c r="N235" s="33">
        <f t="shared" si="52"/>
        <v>0</v>
      </c>
      <c r="O235" s="28"/>
      <c r="P235" s="33">
        <f t="shared" si="53"/>
        <v>0</v>
      </c>
      <c r="Q235" s="35" t="str" cm="1">
        <f t="array" ref="Q235">IF(AF235&lt;&gt;"",IFERROR(INDEX('Group List B'!B:B,MATCH(AI235,'Group List B'!A:A,0),0),"-"),"")</f>
        <v/>
      </c>
      <c r="R235" s="36">
        <f t="shared" si="54"/>
        <v>0</v>
      </c>
      <c r="S235" s="36">
        <f t="shared" si="55"/>
        <v>0</v>
      </c>
      <c r="T235" s="36">
        <f t="shared" si="56"/>
        <v>0</v>
      </c>
      <c r="U235" s="28"/>
      <c r="V235" s="37">
        <f t="shared" si="57"/>
        <v>0</v>
      </c>
      <c r="W235" s="41"/>
      <c r="X235" s="27"/>
      <c r="Y235" s="27"/>
      <c r="Z235" s="27"/>
      <c r="AA235" s="15"/>
      <c r="AB235" s="17"/>
      <c r="AC235" s="17"/>
      <c r="AD235" s="17"/>
      <c r="AE235" s="90"/>
      <c r="AF235" s="82" t="str">
        <f t="shared" si="58"/>
        <v/>
      </c>
      <c r="AG235" s="83" t="str">
        <f t="shared" si="59"/>
        <v/>
      </c>
      <c r="AH235" s="82" t="str">
        <f t="shared" si="60"/>
        <v/>
      </c>
      <c r="AI235" s="82" t="str">
        <f t="shared" si="61"/>
        <v/>
      </c>
      <c r="AJ235" s="90"/>
      <c r="AP235" s="88"/>
    </row>
    <row r="236" spans="1:42" x14ac:dyDescent="0.25">
      <c r="A236" s="2"/>
      <c r="C236" s="68" t="str" cm="1">
        <f t="array" ref="C236">IF(AF236&lt;&gt;"",
IFERROR(INDEX('LaunchPad Markbook'!A:A,MATCH(AH236,'LaunchPad Markbook'!D:D,0),0),"-"),"")</f>
        <v/>
      </c>
      <c r="D236" s="27"/>
      <c r="E236" s="27"/>
      <c r="F236" s="27"/>
      <c r="G236" s="14">
        <f>IF(OR(H236&gt;AB$2,I236&gt;AC$2,J236&gt;AD$2,
P236&gt;1,V236&gt;1,
L236&gt;'Group List A'!E$2,M236&gt;'Group List A'!F$2,N236&gt;'Group List A'!G$2,
R236&gt;'Group List B'!E$2,S236&gt;'Group List B'!F$2,T236&gt;'Group List B'!G$2),"Exceed",
IF(OR(H236=AB$2,I236=AC$2,J236=AD$2,
P236=1,V236=1,
L236='Group List A'!E$2,M236='Group List A'!F$2,N236='Group List A'!G$2,
R236='Group List B'!E$2,S236='Group List B'!F$2,T236='Group List B'!G$2),"Limit",0))</f>
        <v>0</v>
      </c>
      <c r="H236" s="29">
        <f t="shared" si="47"/>
        <v>0</v>
      </c>
      <c r="I236" s="29">
        <f t="shared" si="48"/>
        <v>0</v>
      </c>
      <c r="J236" s="29">
        <f t="shared" si="49"/>
        <v>0</v>
      </c>
      <c r="K236" s="32" t="str" cm="1">
        <f t="array" ref="K236">IF(AF236&lt;&gt;"",IFERROR(INDEX('Group List A'!B:B,MATCH(AI236,'Group List A'!A:A,0),0),"-"),"")</f>
        <v/>
      </c>
      <c r="L236" s="33">
        <f t="shared" si="50"/>
        <v>0</v>
      </c>
      <c r="M236" s="33">
        <f t="shared" si="51"/>
        <v>0</v>
      </c>
      <c r="N236" s="33">
        <f t="shared" si="52"/>
        <v>0</v>
      </c>
      <c r="O236" s="28"/>
      <c r="P236" s="33">
        <f t="shared" si="53"/>
        <v>0</v>
      </c>
      <c r="Q236" s="35" t="str" cm="1">
        <f t="array" ref="Q236">IF(AF236&lt;&gt;"",IFERROR(INDEX('Group List B'!B:B,MATCH(AI236,'Group List B'!A:A,0),0),"-"),"")</f>
        <v/>
      </c>
      <c r="R236" s="36">
        <f t="shared" si="54"/>
        <v>0</v>
      </c>
      <c r="S236" s="36">
        <f t="shared" si="55"/>
        <v>0</v>
      </c>
      <c r="T236" s="36">
        <f t="shared" si="56"/>
        <v>0</v>
      </c>
      <c r="U236" s="28"/>
      <c r="V236" s="37">
        <f t="shared" si="57"/>
        <v>0</v>
      </c>
      <c r="W236" s="41"/>
      <c r="X236" s="27"/>
      <c r="Y236" s="27"/>
      <c r="Z236" s="27"/>
      <c r="AA236" s="15"/>
      <c r="AB236" s="17"/>
      <c r="AC236" s="17"/>
      <c r="AD236" s="17"/>
      <c r="AE236" s="90"/>
      <c r="AF236" s="82" t="str">
        <f t="shared" si="58"/>
        <v/>
      </c>
      <c r="AG236" s="83" t="str">
        <f t="shared" si="59"/>
        <v/>
      </c>
      <c r="AH236" s="82" t="str">
        <f t="shared" si="60"/>
        <v/>
      </c>
      <c r="AI236" s="82" t="str">
        <f t="shared" si="61"/>
        <v/>
      </c>
      <c r="AJ236" s="90"/>
      <c r="AP236" s="88"/>
    </row>
    <row r="237" spans="1:42" x14ac:dyDescent="0.25">
      <c r="A237" s="2"/>
      <c r="C237" s="68" t="str" cm="1">
        <f t="array" ref="C237">IF(AF237&lt;&gt;"",
IFERROR(INDEX('LaunchPad Markbook'!A:A,MATCH(AH237,'LaunchPad Markbook'!D:D,0),0),"-"),"")</f>
        <v/>
      </c>
      <c r="D237" s="27"/>
      <c r="E237" s="27"/>
      <c r="F237" s="27"/>
      <c r="G237" s="14">
        <f>IF(OR(H237&gt;AB$2,I237&gt;AC$2,J237&gt;AD$2,
P237&gt;1,V237&gt;1,
L237&gt;'Group List A'!E$2,M237&gt;'Group List A'!F$2,N237&gt;'Group List A'!G$2,
R237&gt;'Group List B'!E$2,S237&gt;'Group List B'!F$2,T237&gt;'Group List B'!G$2),"Exceed",
IF(OR(H237=AB$2,I237=AC$2,J237=AD$2,
P237=1,V237=1,
L237='Group List A'!E$2,M237='Group List A'!F$2,N237='Group List A'!G$2,
R237='Group List B'!E$2,S237='Group List B'!F$2,T237='Group List B'!G$2),"Limit",0))</f>
        <v>0</v>
      </c>
      <c r="H237" s="29">
        <f t="shared" si="47"/>
        <v>0</v>
      </c>
      <c r="I237" s="29">
        <f t="shared" si="48"/>
        <v>0</v>
      </c>
      <c r="J237" s="29">
        <f t="shared" si="49"/>
        <v>0</v>
      </c>
      <c r="K237" s="32" t="str" cm="1">
        <f t="array" ref="K237">IF(AF237&lt;&gt;"",IFERROR(INDEX('Group List A'!B:B,MATCH(AI237,'Group List A'!A:A,0),0),"-"),"")</f>
        <v/>
      </c>
      <c r="L237" s="33">
        <f t="shared" si="50"/>
        <v>0</v>
      </c>
      <c r="M237" s="33">
        <f t="shared" si="51"/>
        <v>0</v>
      </c>
      <c r="N237" s="33">
        <f t="shared" si="52"/>
        <v>0</v>
      </c>
      <c r="O237" s="28"/>
      <c r="P237" s="33">
        <f t="shared" si="53"/>
        <v>0</v>
      </c>
      <c r="Q237" s="35" t="str" cm="1">
        <f t="array" ref="Q237">IF(AF237&lt;&gt;"",IFERROR(INDEX('Group List B'!B:B,MATCH(AI237,'Group List B'!A:A,0),0),"-"),"")</f>
        <v/>
      </c>
      <c r="R237" s="36">
        <f t="shared" si="54"/>
        <v>0</v>
      </c>
      <c r="S237" s="36">
        <f t="shared" si="55"/>
        <v>0</v>
      </c>
      <c r="T237" s="36">
        <f t="shared" si="56"/>
        <v>0</v>
      </c>
      <c r="U237" s="28"/>
      <c r="V237" s="37">
        <f t="shared" si="57"/>
        <v>0</v>
      </c>
      <c r="W237" s="41"/>
      <c r="X237" s="27"/>
      <c r="Y237" s="27"/>
      <c r="Z237" s="27"/>
      <c r="AA237" s="15"/>
      <c r="AB237" s="17"/>
      <c r="AC237" s="17"/>
      <c r="AD237" s="17"/>
      <c r="AE237" s="90"/>
      <c r="AF237" s="82" t="str">
        <f t="shared" si="58"/>
        <v/>
      </c>
      <c r="AG237" s="83" t="str">
        <f t="shared" si="59"/>
        <v/>
      </c>
      <c r="AH237" s="82" t="str">
        <f t="shared" si="60"/>
        <v/>
      </c>
      <c r="AI237" s="82" t="str">
        <f t="shared" si="61"/>
        <v/>
      </c>
      <c r="AJ237" s="90"/>
      <c r="AP237" s="88"/>
    </row>
    <row r="238" spans="1:42" x14ac:dyDescent="0.25">
      <c r="A238" s="2"/>
      <c r="C238" s="68" t="str" cm="1">
        <f t="array" ref="C238">IF(AF238&lt;&gt;"",
IFERROR(INDEX('LaunchPad Markbook'!A:A,MATCH(AH238,'LaunchPad Markbook'!D:D,0),0),"-"),"")</f>
        <v/>
      </c>
      <c r="D238" s="27"/>
      <c r="E238" s="27"/>
      <c r="F238" s="27"/>
      <c r="G238" s="14">
        <f>IF(OR(H238&gt;AB$2,I238&gt;AC$2,J238&gt;AD$2,
P238&gt;1,V238&gt;1,
L238&gt;'Group List A'!E$2,M238&gt;'Group List A'!F$2,N238&gt;'Group List A'!G$2,
R238&gt;'Group List B'!E$2,S238&gt;'Group List B'!F$2,T238&gt;'Group List B'!G$2),"Exceed",
IF(OR(H238=AB$2,I238=AC$2,J238=AD$2,
P238=1,V238=1,
L238='Group List A'!E$2,M238='Group List A'!F$2,N238='Group List A'!G$2,
R238='Group List B'!E$2,S238='Group List B'!F$2,T238='Group List B'!G$2),"Limit",0))</f>
        <v>0</v>
      </c>
      <c r="H238" s="29">
        <f t="shared" si="47"/>
        <v>0</v>
      </c>
      <c r="I238" s="29">
        <f t="shared" si="48"/>
        <v>0</v>
      </c>
      <c r="J238" s="29">
        <f t="shared" si="49"/>
        <v>0</v>
      </c>
      <c r="K238" s="32" t="str" cm="1">
        <f t="array" ref="K238">IF(AF238&lt;&gt;"",IFERROR(INDEX('Group List A'!B:B,MATCH(AI238,'Group List A'!A:A,0),0),"-"),"")</f>
        <v/>
      </c>
      <c r="L238" s="33">
        <f t="shared" si="50"/>
        <v>0</v>
      </c>
      <c r="M238" s="33">
        <f t="shared" si="51"/>
        <v>0</v>
      </c>
      <c r="N238" s="33">
        <f t="shared" si="52"/>
        <v>0</v>
      </c>
      <c r="O238" s="28"/>
      <c r="P238" s="33">
        <f t="shared" si="53"/>
        <v>0</v>
      </c>
      <c r="Q238" s="35" t="str" cm="1">
        <f t="array" ref="Q238">IF(AF238&lt;&gt;"",IFERROR(INDEX('Group List B'!B:B,MATCH(AI238,'Group List B'!A:A,0),0),"-"),"")</f>
        <v/>
      </c>
      <c r="R238" s="36">
        <f t="shared" si="54"/>
        <v>0</v>
      </c>
      <c r="S238" s="36">
        <f t="shared" si="55"/>
        <v>0</v>
      </c>
      <c r="T238" s="36">
        <f t="shared" si="56"/>
        <v>0</v>
      </c>
      <c r="U238" s="28"/>
      <c r="V238" s="37">
        <f t="shared" si="57"/>
        <v>0</v>
      </c>
      <c r="W238" s="41"/>
      <c r="X238" s="27"/>
      <c r="Y238" s="27"/>
      <c r="Z238" s="27"/>
      <c r="AA238" s="15"/>
      <c r="AB238" s="17"/>
      <c r="AC238" s="17"/>
      <c r="AD238" s="17"/>
      <c r="AE238" s="90"/>
      <c r="AF238" s="82" t="str">
        <f t="shared" si="58"/>
        <v/>
      </c>
      <c r="AG238" s="83" t="str">
        <f t="shared" si="59"/>
        <v/>
      </c>
      <c r="AH238" s="82" t="str">
        <f t="shared" si="60"/>
        <v/>
      </c>
      <c r="AI238" s="82" t="str">
        <f t="shared" si="61"/>
        <v/>
      </c>
      <c r="AJ238" s="90"/>
      <c r="AP238" s="88"/>
    </row>
    <row r="239" spans="1:42" x14ac:dyDescent="0.25">
      <c r="A239" s="2"/>
      <c r="C239" s="68" t="str" cm="1">
        <f t="array" ref="C239">IF(AF239&lt;&gt;"",
IFERROR(INDEX('LaunchPad Markbook'!A:A,MATCH(AH239,'LaunchPad Markbook'!D:D,0),0),"-"),"")</f>
        <v/>
      </c>
      <c r="D239" s="27"/>
      <c r="E239" s="27"/>
      <c r="F239" s="27"/>
      <c r="G239" s="14">
        <f>IF(OR(H239&gt;AB$2,I239&gt;AC$2,J239&gt;AD$2,
P239&gt;1,V239&gt;1,
L239&gt;'Group List A'!E$2,M239&gt;'Group List A'!F$2,N239&gt;'Group List A'!G$2,
R239&gt;'Group List B'!E$2,S239&gt;'Group List B'!F$2,T239&gt;'Group List B'!G$2),"Exceed",
IF(OR(H239=AB$2,I239=AC$2,J239=AD$2,
P239=1,V239=1,
L239='Group List A'!E$2,M239='Group List A'!F$2,N239='Group List A'!G$2,
R239='Group List B'!E$2,S239='Group List B'!F$2,T239='Group List B'!G$2),"Limit",0))</f>
        <v>0</v>
      </c>
      <c r="H239" s="29">
        <f t="shared" si="47"/>
        <v>0</v>
      </c>
      <c r="I239" s="29">
        <f t="shared" si="48"/>
        <v>0</v>
      </c>
      <c r="J239" s="29">
        <f t="shared" si="49"/>
        <v>0</v>
      </c>
      <c r="K239" s="32" t="str" cm="1">
        <f t="array" ref="K239">IF(AF239&lt;&gt;"",IFERROR(INDEX('Group List A'!B:B,MATCH(AI239,'Group List A'!A:A,0),0),"-"),"")</f>
        <v/>
      </c>
      <c r="L239" s="33">
        <f t="shared" si="50"/>
        <v>0</v>
      </c>
      <c r="M239" s="33">
        <f t="shared" si="51"/>
        <v>0</v>
      </c>
      <c r="N239" s="33">
        <f t="shared" si="52"/>
        <v>0</v>
      </c>
      <c r="O239" s="28"/>
      <c r="P239" s="33">
        <f t="shared" si="53"/>
        <v>0</v>
      </c>
      <c r="Q239" s="35" t="str" cm="1">
        <f t="array" ref="Q239">IF(AF239&lt;&gt;"",IFERROR(INDEX('Group List B'!B:B,MATCH(AI239,'Group List B'!A:A,0),0),"-"),"")</f>
        <v/>
      </c>
      <c r="R239" s="36">
        <f t="shared" si="54"/>
        <v>0</v>
      </c>
      <c r="S239" s="36">
        <f t="shared" si="55"/>
        <v>0</v>
      </c>
      <c r="T239" s="36">
        <f t="shared" si="56"/>
        <v>0</v>
      </c>
      <c r="U239" s="28"/>
      <c r="V239" s="37">
        <f t="shared" si="57"/>
        <v>0</v>
      </c>
      <c r="W239" s="41"/>
      <c r="X239" s="27"/>
      <c r="Y239" s="27"/>
      <c r="Z239" s="27"/>
      <c r="AA239" s="15"/>
      <c r="AB239" s="17"/>
      <c r="AC239" s="17"/>
      <c r="AD239" s="17"/>
      <c r="AE239" s="90"/>
      <c r="AF239" s="82" t="str">
        <f t="shared" si="58"/>
        <v/>
      </c>
      <c r="AG239" s="83" t="str">
        <f t="shared" si="59"/>
        <v/>
      </c>
      <c r="AH239" s="82" t="str">
        <f t="shared" si="60"/>
        <v/>
      </c>
      <c r="AI239" s="82" t="str">
        <f t="shared" si="61"/>
        <v/>
      </c>
      <c r="AJ239" s="90"/>
      <c r="AP239" s="88"/>
    </row>
    <row r="240" spans="1:42" x14ac:dyDescent="0.25">
      <c r="A240" s="2"/>
      <c r="C240" s="68" t="str" cm="1">
        <f t="array" ref="C240">IF(AF240&lt;&gt;"",
IFERROR(INDEX('LaunchPad Markbook'!A:A,MATCH(AH240,'LaunchPad Markbook'!D:D,0),0),"-"),"")</f>
        <v/>
      </c>
      <c r="D240" s="27"/>
      <c r="E240" s="27"/>
      <c r="F240" s="27"/>
      <c r="G240" s="14">
        <f>IF(OR(H240&gt;AB$2,I240&gt;AC$2,J240&gt;AD$2,
P240&gt;1,V240&gt;1,
L240&gt;'Group List A'!E$2,M240&gt;'Group List A'!F$2,N240&gt;'Group List A'!G$2,
R240&gt;'Group List B'!E$2,S240&gt;'Group List B'!F$2,T240&gt;'Group List B'!G$2),"Exceed",
IF(OR(H240=AB$2,I240=AC$2,J240=AD$2,
P240=1,V240=1,
L240='Group List A'!E$2,M240='Group List A'!F$2,N240='Group List A'!G$2,
R240='Group List B'!E$2,S240='Group List B'!F$2,T240='Group List B'!G$2),"Limit",0))</f>
        <v>0</v>
      </c>
      <c r="H240" s="29">
        <f t="shared" si="47"/>
        <v>0</v>
      </c>
      <c r="I240" s="29">
        <f t="shared" si="48"/>
        <v>0</v>
      </c>
      <c r="J240" s="29">
        <f t="shared" si="49"/>
        <v>0</v>
      </c>
      <c r="K240" s="32" t="str" cm="1">
        <f t="array" ref="K240">IF(AF240&lt;&gt;"",IFERROR(INDEX('Group List A'!B:B,MATCH(AI240,'Group List A'!A:A,0),0),"-"),"")</f>
        <v/>
      </c>
      <c r="L240" s="33">
        <f t="shared" si="50"/>
        <v>0</v>
      </c>
      <c r="M240" s="33">
        <f t="shared" si="51"/>
        <v>0</v>
      </c>
      <c r="N240" s="33">
        <f t="shared" si="52"/>
        <v>0</v>
      </c>
      <c r="O240" s="28"/>
      <c r="P240" s="33">
        <f t="shared" si="53"/>
        <v>0</v>
      </c>
      <c r="Q240" s="35" t="str" cm="1">
        <f t="array" ref="Q240">IF(AF240&lt;&gt;"",IFERROR(INDEX('Group List B'!B:B,MATCH(AI240,'Group List B'!A:A,0),0),"-"),"")</f>
        <v/>
      </c>
      <c r="R240" s="36">
        <f t="shared" si="54"/>
        <v>0</v>
      </c>
      <c r="S240" s="36">
        <f t="shared" si="55"/>
        <v>0</v>
      </c>
      <c r="T240" s="36">
        <f t="shared" si="56"/>
        <v>0</v>
      </c>
      <c r="U240" s="28"/>
      <c r="V240" s="37">
        <f t="shared" si="57"/>
        <v>0</v>
      </c>
      <c r="W240" s="41"/>
      <c r="X240" s="27"/>
      <c r="Y240" s="27"/>
      <c r="Z240" s="27"/>
      <c r="AA240" s="15"/>
      <c r="AB240" s="17"/>
      <c r="AC240" s="17"/>
      <c r="AD240" s="17"/>
      <c r="AE240" s="90"/>
      <c r="AF240" s="82" t="str">
        <f t="shared" si="58"/>
        <v/>
      </c>
      <c r="AG240" s="83" t="str">
        <f t="shared" si="59"/>
        <v/>
      </c>
      <c r="AH240" s="82" t="str">
        <f t="shared" si="60"/>
        <v/>
      </c>
      <c r="AI240" s="82" t="str">
        <f t="shared" si="61"/>
        <v/>
      </c>
      <c r="AJ240" s="90"/>
      <c r="AP240" s="88"/>
    </row>
    <row r="241" spans="1:42" x14ac:dyDescent="0.25">
      <c r="A241" s="2"/>
      <c r="C241" s="68" t="str" cm="1">
        <f t="array" ref="C241">IF(AF241&lt;&gt;"",
IFERROR(INDEX('LaunchPad Markbook'!A:A,MATCH(AH241,'LaunchPad Markbook'!D:D,0),0),"-"),"")</f>
        <v/>
      </c>
      <c r="D241" s="27"/>
      <c r="E241" s="27"/>
      <c r="F241" s="27"/>
      <c r="G241" s="14">
        <f>IF(OR(H241&gt;AB$2,I241&gt;AC$2,J241&gt;AD$2,
P241&gt;1,V241&gt;1,
L241&gt;'Group List A'!E$2,M241&gt;'Group List A'!F$2,N241&gt;'Group List A'!G$2,
R241&gt;'Group List B'!E$2,S241&gt;'Group List B'!F$2,T241&gt;'Group List B'!G$2),"Exceed",
IF(OR(H241=AB$2,I241=AC$2,J241=AD$2,
P241=1,V241=1,
L241='Group List A'!E$2,M241='Group List A'!F$2,N241='Group List A'!G$2,
R241='Group List B'!E$2,S241='Group List B'!F$2,T241='Group List B'!G$2),"Limit",0))</f>
        <v>0</v>
      </c>
      <c r="H241" s="29">
        <f t="shared" si="47"/>
        <v>0</v>
      </c>
      <c r="I241" s="29">
        <f t="shared" si="48"/>
        <v>0</v>
      </c>
      <c r="J241" s="29">
        <f t="shared" si="49"/>
        <v>0</v>
      </c>
      <c r="K241" s="32" t="str" cm="1">
        <f t="array" ref="K241">IF(AF241&lt;&gt;"",IFERROR(INDEX('Group List A'!B:B,MATCH(AI241,'Group List A'!A:A,0),0),"-"),"")</f>
        <v/>
      </c>
      <c r="L241" s="33">
        <f t="shared" si="50"/>
        <v>0</v>
      </c>
      <c r="M241" s="33">
        <f t="shared" si="51"/>
        <v>0</v>
      </c>
      <c r="N241" s="33">
        <f t="shared" si="52"/>
        <v>0</v>
      </c>
      <c r="O241" s="28"/>
      <c r="P241" s="33">
        <f t="shared" si="53"/>
        <v>0</v>
      </c>
      <c r="Q241" s="35" t="str" cm="1">
        <f t="array" ref="Q241">IF(AF241&lt;&gt;"",IFERROR(INDEX('Group List B'!B:B,MATCH(AI241,'Group List B'!A:A,0),0),"-"),"")</f>
        <v/>
      </c>
      <c r="R241" s="36">
        <f t="shared" si="54"/>
        <v>0</v>
      </c>
      <c r="S241" s="36">
        <f t="shared" si="55"/>
        <v>0</v>
      </c>
      <c r="T241" s="36">
        <f t="shared" si="56"/>
        <v>0</v>
      </c>
      <c r="U241" s="28"/>
      <c r="V241" s="37">
        <f t="shared" si="57"/>
        <v>0</v>
      </c>
      <c r="W241" s="41"/>
      <c r="X241" s="27"/>
      <c r="Y241" s="27"/>
      <c r="Z241" s="27"/>
      <c r="AA241" s="15"/>
      <c r="AB241" s="17"/>
      <c r="AC241" s="17"/>
      <c r="AD241" s="17"/>
      <c r="AE241" s="90"/>
      <c r="AF241" s="82" t="str">
        <f t="shared" si="58"/>
        <v/>
      </c>
      <c r="AG241" s="83" t="str">
        <f t="shared" si="59"/>
        <v/>
      </c>
      <c r="AH241" s="82" t="str">
        <f t="shared" si="60"/>
        <v/>
      </c>
      <c r="AI241" s="82" t="str">
        <f t="shared" si="61"/>
        <v/>
      </c>
      <c r="AJ241" s="90"/>
      <c r="AP241" s="88"/>
    </row>
    <row r="242" spans="1:42" x14ac:dyDescent="0.25">
      <c r="A242" s="2"/>
      <c r="C242" s="68" t="str" cm="1">
        <f t="array" ref="C242">IF(AF242&lt;&gt;"",
IFERROR(INDEX('LaunchPad Markbook'!A:A,MATCH(AH242,'LaunchPad Markbook'!D:D,0),0),"-"),"")</f>
        <v/>
      </c>
      <c r="D242" s="27"/>
      <c r="E242" s="27"/>
      <c r="F242" s="27"/>
      <c r="G242" s="14">
        <f>IF(OR(H242&gt;AB$2,I242&gt;AC$2,J242&gt;AD$2,
P242&gt;1,V242&gt;1,
L242&gt;'Group List A'!E$2,M242&gt;'Group List A'!F$2,N242&gt;'Group List A'!G$2,
R242&gt;'Group List B'!E$2,S242&gt;'Group List B'!F$2,T242&gt;'Group List B'!G$2),"Exceed",
IF(OR(H242=AB$2,I242=AC$2,J242=AD$2,
P242=1,V242=1,
L242='Group List A'!E$2,M242='Group List A'!F$2,N242='Group List A'!G$2,
R242='Group List B'!E$2,S242='Group List B'!F$2,T242='Group List B'!G$2),"Limit",0))</f>
        <v>0</v>
      </c>
      <c r="H242" s="29">
        <f t="shared" si="47"/>
        <v>0</v>
      </c>
      <c r="I242" s="29">
        <f t="shared" si="48"/>
        <v>0</v>
      </c>
      <c r="J242" s="29">
        <f t="shared" si="49"/>
        <v>0</v>
      </c>
      <c r="K242" s="32" t="str" cm="1">
        <f t="array" ref="K242">IF(AF242&lt;&gt;"",IFERROR(INDEX('Group List A'!B:B,MATCH(AI242,'Group List A'!A:A,0),0),"-"),"")</f>
        <v/>
      </c>
      <c r="L242" s="33">
        <f t="shared" si="50"/>
        <v>0</v>
      </c>
      <c r="M242" s="33">
        <f t="shared" si="51"/>
        <v>0</v>
      </c>
      <c r="N242" s="33">
        <f t="shared" si="52"/>
        <v>0</v>
      </c>
      <c r="O242" s="28"/>
      <c r="P242" s="33">
        <f t="shared" si="53"/>
        <v>0</v>
      </c>
      <c r="Q242" s="35" t="str" cm="1">
        <f t="array" ref="Q242">IF(AF242&lt;&gt;"",IFERROR(INDEX('Group List B'!B:B,MATCH(AI242,'Group List B'!A:A,0),0),"-"),"")</f>
        <v/>
      </c>
      <c r="R242" s="36">
        <f t="shared" si="54"/>
        <v>0</v>
      </c>
      <c r="S242" s="36">
        <f t="shared" si="55"/>
        <v>0</v>
      </c>
      <c r="T242" s="36">
        <f t="shared" si="56"/>
        <v>0</v>
      </c>
      <c r="U242" s="28"/>
      <c r="V242" s="37">
        <f t="shared" si="57"/>
        <v>0</v>
      </c>
      <c r="W242" s="41"/>
      <c r="X242" s="27"/>
      <c r="Y242" s="27"/>
      <c r="Z242" s="27"/>
      <c r="AA242" s="15"/>
      <c r="AB242" s="17"/>
      <c r="AC242" s="17"/>
      <c r="AD242" s="17"/>
      <c r="AE242" s="90"/>
      <c r="AF242" s="82" t="str">
        <f t="shared" si="58"/>
        <v/>
      </c>
      <c r="AG242" s="83" t="str">
        <f t="shared" si="59"/>
        <v/>
      </c>
      <c r="AH242" s="82" t="str">
        <f t="shared" si="60"/>
        <v/>
      </c>
      <c r="AI242" s="82" t="str">
        <f t="shared" si="61"/>
        <v/>
      </c>
      <c r="AJ242" s="90"/>
      <c r="AP242" s="88"/>
    </row>
    <row r="243" spans="1:42" x14ac:dyDescent="0.25">
      <c r="A243" s="2"/>
      <c r="C243" s="68" t="str" cm="1">
        <f t="array" ref="C243">IF(AF243&lt;&gt;"",
IFERROR(INDEX('LaunchPad Markbook'!A:A,MATCH(AH243,'LaunchPad Markbook'!D:D,0),0),"-"),"")</f>
        <v/>
      </c>
      <c r="D243" s="27"/>
      <c r="E243" s="27"/>
      <c r="F243" s="27"/>
      <c r="G243" s="14">
        <f>IF(OR(H243&gt;AB$2,I243&gt;AC$2,J243&gt;AD$2,
P243&gt;1,V243&gt;1,
L243&gt;'Group List A'!E$2,M243&gt;'Group List A'!F$2,N243&gt;'Group List A'!G$2,
R243&gt;'Group List B'!E$2,S243&gt;'Group List B'!F$2,T243&gt;'Group List B'!G$2),"Exceed",
IF(OR(H243=AB$2,I243=AC$2,J243=AD$2,
P243=1,V243=1,
L243='Group List A'!E$2,M243='Group List A'!F$2,N243='Group List A'!G$2,
R243='Group List B'!E$2,S243='Group List B'!F$2,T243='Group List B'!G$2),"Limit",0))</f>
        <v>0</v>
      </c>
      <c r="H243" s="29">
        <f t="shared" si="47"/>
        <v>0</v>
      </c>
      <c r="I243" s="29">
        <f t="shared" si="48"/>
        <v>0</v>
      </c>
      <c r="J243" s="29">
        <f t="shared" si="49"/>
        <v>0</v>
      </c>
      <c r="K243" s="32" t="str" cm="1">
        <f t="array" ref="K243">IF(AF243&lt;&gt;"",IFERROR(INDEX('Group List A'!B:B,MATCH(AI243,'Group List A'!A:A,0),0),"-"),"")</f>
        <v/>
      </c>
      <c r="L243" s="33">
        <f t="shared" si="50"/>
        <v>0</v>
      </c>
      <c r="M243" s="33">
        <f t="shared" si="51"/>
        <v>0</v>
      </c>
      <c r="N243" s="33">
        <f t="shared" si="52"/>
        <v>0</v>
      </c>
      <c r="O243" s="28"/>
      <c r="P243" s="33">
        <f t="shared" si="53"/>
        <v>0</v>
      </c>
      <c r="Q243" s="35" t="str" cm="1">
        <f t="array" ref="Q243">IF(AF243&lt;&gt;"",IFERROR(INDEX('Group List B'!B:B,MATCH(AI243,'Group List B'!A:A,0),0),"-"),"")</f>
        <v/>
      </c>
      <c r="R243" s="36">
        <f t="shared" si="54"/>
        <v>0</v>
      </c>
      <c r="S243" s="36">
        <f t="shared" si="55"/>
        <v>0</v>
      </c>
      <c r="T243" s="36">
        <f t="shared" si="56"/>
        <v>0</v>
      </c>
      <c r="U243" s="28"/>
      <c r="V243" s="37">
        <f t="shared" si="57"/>
        <v>0</v>
      </c>
      <c r="W243" s="41"/>
      <c r="X243" s="27"/>
      <c r="Y243" s="27"/>
      <c r="Z243" s="27"/>
      <c r="AA243" s="15"/>
      <c r="AB243" s="17"/>
      <c r="AC243" s="17"/>
      <c r="AD243" s="17"/>
      <c r="AE243" s="90"/>
      <c r="AF243" s="82" t="str">
        <f t="shared" si="58"/>
        <v/>
      </c>
      <c r="AG243" s="83" t="str">
        <f t="shared" si="59"/>
        <v/>
      </c>
      <c r="AH243" s="82" t="str">
        <f t="shared" si="60"/>
        <v/>
      </c>
      <c r="AI243" s="82" t="str">
        <f t="shared" si="61"/>
        <v/>
      </c>
      <c r="AJ243" s="90"/>
      <c r="AP243" s="88"/>
    </row>
    <row r="244" spans="1:42" x14ac:dyDescent="0.25">
      <c r="A244" s="2"/>
      <c r="C244" s="68" t="str" cm="1">
        <f t="array" ref="C244">IF(AF244&lt;&gt;"",
IFERROR(INDEX('LaunchPad Markbook'!A:A,MATCH(AH244,'LaunchPad Markbook'!D:D,0),0),"-"),"")</f>
        <v/>
      </c>
      <c r="D244" s="27"/>
      <c r="E244" s="27"/>
      <c r="F244" s="27"/>
      <c r="G244" s="14">
        <f>IF(OR(H244&gt;AB$2,I244&gt;AC$2,J244&gt;AD$2,
P244&gt;1,V244&gt;1,
L244&gt;'Group List A'!E$2,M244&gt;'Group List A'!F$2,N244&gt;'Group List A'!G$2,
R244&gt;'Group List B'!E$2,S244&gt;'Group List B'!F$2,T244&gt;'Group List B'!G$2),"Exceed",
IF(OR(H244=AB$2,I244=AC$2,J244=AD$2,
P244=1,V244=1,
L244='Group List A'!E$2,M244='Group List A'!F$2,N244='Group List A'!G$2,
R244='Group List B'!E$2,S244='Group List B'!F$2,T244='Group List B'!G$2),"Limit",0))</f>
        <v>0</v>
      </c>
      <c r="H244" s="29">
        <f t="shared" si="47"/>
        <v>0</v>
      </c>
      <c r="I244" s="29">
        <f t="shared" si="48"/>
        <v>0</v>
      </c>
      <c r="J244" s="29">
        <f t="shared" si="49"/>
        <v>0</v>
      </c>
      <c r="K244" s="32" t="str" cm="1">
        <f t="array" ref="K244">IF(AF244&lt;&gt;"",IFERROR(INDEX('Group List A'!B:B,MATCH(AI244,'Group List A'!A:A,0),0),"-"),"")</f>
        <v/>
      </c>
      <c r="L244" s="33">
        <f t="shared" si="50"/>
        <v>0</v>
      </c>
      <c r="M244" s="33">
        <f t="shared" si="51"/>
        <v>0</v>
      </c>
      <c r="N244" s="33">
        <f t="shared" si="52"/>
        <v>0</v>
      </c>
      <c r="O244" s="28"/>
      <c r="P244" s="33">
        <f t="shared" si="53"/>
        <v>0</v>
      </c>
      <c r="Q244" s="35" t="str" cm="1">
        <f t="array" ref="Q244">IF(AF244&lt;&gt;"",IFERROR(INDEX('Group List B'!B:B,MATCH(AI244,'Group List B'!A:A,0),0),"-"),"")</f>
        <v/>
      </c>
      <c r="R244" s="36">
        <f t="shared" si="54"/>
        <v>0</v>
      </c>
      <c r="S244" s="36">
        <f t="shared" si="55"/>
        <v>0</v>
      </c>
      <c r="T244" s="36">
        <f t="shared" si="56"/>
        <v>0</v>
      </c>
      <c r="U244" s="28"/>
      <c r="V244" s="37">
        <f t="shared" si="57"/>
        <v>0</v>
      </c>
      <c r="W244" s="41"/>
      <c r="X244" s="27"/>
      <c r="Y244" s="27"/>
      <c r="Z244" s="27"/>
      <c r="AA244" s="15"/>
      <c r="AB244" s="17"/>
      <c r="AC244" s="17"/>
      <c r="AD244" s="17"/>
      <c r="AE244" s="90"/>
      <c r="AF244" s="82" t="str">
        <f t="shared" si="58"/>
        <v/>
      </c>
      <c r="AG244" s="83" t="str">
        <f t="shared" si="59"/>
        <v/>
      </c>
      <c r="AH244" s="82" t="str">
        <f t="shared" si="60"/>
        <v/>
      </c>
      <c r="AI244" s="82" t="str">
        <f t="shared" si="61"/>
        <v/>
      </c>
      <c r="AJ244" s="90"/>
      <c r="AP244" s="88"/>
    </row>
    <row r="245" spans="1:42" x14ac:dyDescent="0.25">
      <c r="A245" s="2"/>
      <c r="C245" s="68" t="str" cm="1">
        <f t="array" ref="C245">IF(AF245&lt;&gt;"",
IFERROR(INDEX('LaunchPad Markbook'!A:A,MATCH(AH245,'LaunchPad Markbook'!D:D,0),0),"-"),"")</f>
        <v/>
      </c>
      <c r="D245" s="27"/>
      <c r="E245" s="27"/>
      <c r="F245" s="27"/>
      <c r="G245" s="14">
        <f>IF(OR(H245&gt;AB$2,I245&gt;AC$2,J245&gt;AD$2,
P245&gt;1,V245&gt;1,
L245&gt;'Group List A'!E$2,M245&gt;'Group List A'!F$2,N245&gt;'Group List A'!G$2,
R245&gt;'Group List B'!E$2,S245&gt;'Group List B'!F$2,T245&gt;'Group List B'!G$2),"Exceed",
IF(OR(H245=AB$2,I245=AC$2,J245=AD$2,
P245=1,V245=1,
L245='Group List A'!E$2,M245='Group List A'!F$2,N245='Group List A'!G$2,
R245='Group List B'!E$2,S245='Group List B'!F$2,T245='Group List B'!G$2),"Limit",0))</f>
        <v>0</v>
      </c>
      <c r="H245" s="29">
        <f t="shared" si="47"/>
        <v>0</v>
      </c>
      <c r="I245" s="29">
        <f t="shared" si="48"/>
        <v>0</v>
      </c>
      <c r="J245" s="29">
        <f t="shared" si="49"/>
        <v>0</v>
      </c>
      <c r="K245" s="32" t="str" cm="1">
        <f t="array" ref="K245">IF(AF245&lt;&gt;"",IFERROR(INDEX('Group List A'!B:B,MATCH(AI245,'Group List A'!A:A,0),0),"-"),"")</f>
        <v/>
      </c>
      <c r="L245" s="33">
        <f t="shared" si="50"/>
        <v>0</v>
      </c>
      <c r="M245" s="33">
        <f t="shared" si="51"/>
        <v>0</v>
      </c>
      <c r="N245" s="33">
        <f t="shared" si="52"/>
        <v>0</v>
      </c>
      <c r="O245" s="28"/>
      <c r="P245" s="33">
        <f t="shared" si="53"/>
        <v>0</v>
      </c>
      <c r="Q245" s="35" t="str" cm="1">
        <f t="array" ref="Q245">IF(AF245&lt;&gt;"",IFERROR(INDEX('Group List B'!B:B,MATCH(AI245,'Group List B'!A:A,0),0),"-"),"")</f>
        <v/>
      </c>
      <c r="R245" s="36">
        <f t="shared" si="54"/>
        <v>0</v>
      </c>
      <c r="S245" s="36">
        <f t="shared" si="55"/>
        <v>0</v>
      </c>
      <c r="T245" s="36">
        <f t="shared" si="56"/>
        <v>0</v>
      </c>
      <c r="U245" s="28"/>
      <c r="V245" s="37">
        <f t="shared" si="57"/>
        <v>0</v>
      </c>
      <c r="W245" s="41"/>
      <c r="X245" s="27"/>
      <c r="Y245" s="27"/>
      <c r="Z245" s="27"/>
      <c r="AA245" s="15"/>
      <c r="AB245" s="17"/>
      <c r="AC245" s="17"/>
      <c r="AD245" s="17"/>
      <c r="AE245" s="90"/>
      <c r="AF245" s="82" t="str">
        <f t="shared" si="58"/>
        <v/>
      </c>
      <c r="AG245" s="83" t="str">
        <f t="shared" si="59"/>
        <v/>
      </c>
      <c r="AH245" s="82" t="str">
        <f t="shared" si="60"/>
        <v/>
      </c>
      <c r="AI245" s="82" t="str">
        <f t="shared" si="61"/>
        <v/>
      </c>
      <c r="AJ245" s="90"/>
      <c r="AP245" s="88"/>
    </row>
    <row r="246" spans="1:42" x14ac:dyDescent="0.25">
      <c r="A246" s="2"/>
      <c r="C246" s="68" t="str" cm="1">
        <f t="array" ref="C246">IF(AF246&lt;&gt;"",
IFERROR(INDEX('LaunchPad Markbook'!A:A,MATCH(AH246,'LaunchPad Markbook'!D:D,0),0),"-"),"")</f>
        <v/>
      </c>
      <c r="D246" s="27"/>
      <c r="E246" s="27"/>
      <c r="F246" s="27"/>
      <c r="G246" s="14">
        <f>IF(OR(H246&gt;AB$2,I246&gt;AC$2,J246&gt;AD$2,
P246&gt;1,V246&gt;1,
L246&gt;'Group List A'!E$2,M246&gt;'Group List A'!F$2,N246&gt;'Group List A'!G$2,
R246&gt;'Group List B'!E$2,S246&gt;'Group List B'!F$2,T246&gt;'Group List B'!G$2),"Exceed",
IF(OR(H246=AB$2,I246=AC$2,J246=AD$2,
P246=1,V246=1,
L246='Group List A'!E$2,M246='Group List A'!F$2,N246='Group List A'!G$2,
R246='Group List B'!E$2,S246='Group List B'!F$2,T246='Group List B'!G$2),"Limit",0))</f>
        <v>0</v>
      </c>
      <c r="H246" s="29">
        <f t="shared" si="47"/>
        <v>0</v>
      </c>
      <c r="I246" s="29">
        <f t="shared" si="48"/>
        <v>0</v>
      </c>
      <c r="J246" s="29">
        <f t="shared" si="49"/>
        <v>0</v>
      </c>
      <c r="K246" s="32" t="str" cm="1">
        <f t="array" ref="K246">IF(AF246&lt;&gt;"",IFERROR(INDEX('Group List A'!B:B,MATCH(AI246,'Group List A'!A:A,0),0),"-"),"")</f>
        <v/>
      </c>
      <c r="L246" s="33">
        <f t="shared" si="50"/>
        <v>0</v>
      </c>
      <c r="M246" s="33">
        <f t="shared" si="51"/>
        <v>0</v>
      </c>
      <c r="N246" s="33">
        <f t="shared" si="52"/>
        <v>0</v>
      </c>
      <c r="O246" s="28"/>
      <c r="P246" s="33">
        <f t="shared" si="53"/>
        <v>0</v>
      </c>
      <c r="Q246" s="35" t="str" cm="1">
        <f t="array" ref="Q246">IF(AF246&lt;&gt;"",IFERROR(INDEX('Group List B'!B:B,MATCH(AI246,'Group List B'!A:A,0),0),"-"),"")</f>
        <v/>
      </c>
      <c r="R246" s="36">
        <f t="shared" si="54"/>
        <v>0</v>
      </c>
      <c r="S246" s="36">
        <f t="shared" si="55"/>
        <v>0</v>
      </c>
      <c r="T246" s="36">
        <f t="shared" si="56"/>
        <v>0</v>
      </c>
      <c r="U246" s="28"/>
      <c r="V246" s="37">
        <f t="shared" si="57"/>
        <v>0</v>
      </c>
      <c r="W246" s="41"/>
      <c r="X246" s="27"/>
      <c r="Y246" s="27"/>
      <c r="Z246" s="27"/>
      <c r="AA246" s="15"/>
      <c r="AB246" s="17"/>
      <c r="AC246" s="17"/>
      <c r="AD246" s="17"/>
      <c r="AE246" s="90"/>
      <c r="AF246" s="82" t="str">
        <f t="shared" si="58"/>
        <v/>
      </c>
      <c r="AG246" s="83" t="str">
        <f t="shared" si="59"/>
        <v/>
      </c>
      <c r="AH246" s="82" t="str">
        <f t="shared" si="60"/>
        <v/>
      </c>
      <c r="AI246" s="82" t="str">
        <f t="shared" si="61"/>
        <v/>
      </c>
      <c r="AJ246" s="90"/>
      <c r="AP246" s="88"/>
    </row>
    <row r="247" spans="1:42" x14ac:dyDescent="0.25">
      <c r="A247" s="2"/>
      <c r="C247" s="68" t="str" cm="1">
        <f t="array" ref="C247">IF(AF247&lt;&gt;"",
IFERROR(INDEX('LaunchPad Markbook'!A:A,MATCH(AH247,'LaunchPad Markbook'!D:D,0),0),"-"),"")</f>
        <v/>
      </c>
      <c r="D247" s="27"/>
      <c r="E247" s="27"/>
      <c r="F247" s="27"/>
      <c r="G247" s="14">
        <f>IF(OR(H247&gt;AB$2,I247&gt;AC$2,J247&gt;AD$2,
P247&gt;1,V247&gt;1,
L247&gt;'Group List A'!E$2,M247&gt;'Group List A'!F$2,N247&gt;'Group List A'!G$2,
R247&gt;'Group List B'!E$2,S247&gt;'Group List B'!F$2,T247&gt;'Group List B'!G$2),"Exceed",
IF(OR(H247=AB$2,I247=AC$2,J247=AD$2,
P247=1,V247=1,
L247='Group List A'!E$2,M247='Group List A'!F$2,N247='Group List A'!G$2,
R247='Group List B'!E$2,S247='Group List B'!F$2,T247='Group List B'!G$2),"Limit",0))</f>
        <v>0</v>
      </c>
      <c r="H247" s="29">
        <f t="shared" si="47"/>
        <v>0</v>
      </c>
      <c r="I247" s="29">
        <f t="shared" si="48"/>
        <v>0</v>
      </c>
      <c r="J247" s="29">
        <f t="shared" si="49"/>
        <v>0</v>
      </c>
      <c r="K247" s="32" t="str" cm="1">
        <f t="array" ref="K247">IF(AF247&lt;&gt;"",IFERROR(INDEX('Group List A'!B:B,MATCH(AI247,'Group List A'!A:A,0),0),"-"),"")</f>
        <v/>
      </c>
      <c r="L247" s="33">
        <f t="shared" si="50"/>
        <v>0</v>
      </c>
      <c r="M247" s="33">
        <f t="shared" si="51"/>
        <v>0</v>
      </c>
      <c r="N247" s="33">
        <f t="shared" si="52"/>
        <v>0</v>
      </c>
      <c r="O247" s="28"/>
      <c r="P247" s="33">
        <f t="shared" si="53"/>
        <v>0</v>
      </c>
      <c r="Q247" s="35" t="str" cm="1">
        <f t="array" ref="Q247">IF(AF247&lt;&gt;"",IFERROR(INDEX('Group List B'!B:B,MATCH(AI247,'Group List B'!A:A,0),0),"-"),"")</f>
        <v/>
      </c>
      <c r="R247" s="36">
        <f t="shared" si="54"/>
        <v>0</v>
      </c>
      <c r="S247" s="36">
        <f t="shared" si="55"/>
        <v>0</v>
      </c>
      <c r="T247" s="36">
        <f t="shared" si="56"/>
        <v>0</v>
      </c>
      <c r="U247" s="28"/>
      <c r="V247" s="37">
        <f t="shared" si="57"/>
        <v>0</v>
      </c>
      <c r="W247" s="41"/>
      <c r="X247" s="27"/>
      <c r="Y247" s="27"/>
      <c r="Z247" s="27"/>
      <c r="AA247" s="15"/>
      <c r="AB247" s="17"/>
      <c r="AC247" s="17"/>
      <c r="AD247" s="17"/>
      <c r="AE247" s="90"/>
      <c r="AF247" s="82" t="str">
        <f t="shared" si="58"/>
        <v/>
      </c>
      <c r="AG247" s="83" t="str">
        <f t="shared" si="59"/>
        <v/>
      </c>
      <c r="AH247" s="82" t="str">
        <f t="shared" si="60"/>
        <v/>
      </c>
      <c r="AI247" s="82" t="str">
        <f t="shared" si="61"/>
        <v/>
      </c>
      <c r="AJ247" s="90"/>
      <c r="AP247" s="88"/>
    </row>
    <row r="248" spans="1:42" x14ac:dyDescent="0.25">
      <c r="A248" s="2"/>
      <c r="C248" s="68" t="str" cm="1">
        <f t="array" ref="C248">IF(AF248&lt;&gt;"",
IFERROR(INDEX('LaunchPad Markbook'!A:A,MATCH(AH248,'LaunchPad Markbook'!D:D,0),0),"-"),"")</f>
        <v/>
      </c>
      <c r="D248" s="27"/>
      <c r="E248" s="27"/>
      <c r="F248" s="27"/>
      <c r="G248" s="14">
        <f>IF(OR(H248&gt;AB$2,I248&gt;AC$2,J248&gt;AD$2,
P248&gt;1,V248&gt;1,
L248&gt;'Group List A'!E$2,M248&gt;'Group List A'!F$2,N248&gt;'Group List A'!G$2,
R248&gt;'Group List B'!E$2,S248&gt;'Group List B'!F$2,T248&gt;'Group List B'!G$2),"Exceed",
IF(OR(H248=AB$2,I248=AC$2,J248=AD$2,
P248=1,V248=1,
L248='Group List A'!E$2,M248='Group List A'!F$2,N248='Group List A'!G$2,
R248='Group List B'!E$2,S248='Group List B'!F$2,T248='Group List B'!G$2),"Limit",0))</f>
        <v>0</v>
      </c>
      <c r="H248" s="29">
        <f t="shared" si="47"/>
        <v>0</v>
      </c>
      <c r="I248" s="29">
        <f t="shared" si="48"/>
        <v>0</v>
      </c>
      <c r="J248" s="29">
        <f t="shared" si="49"/>
        <v>0</v>
      </c>
      <c r="K248" s="32" t="str" cm="1">
        <f t="array" ref="K248">IF(AF248&lt;&gt;"",IFERROR(INDEX('Group List A'!B:B,MATCH(AI248,'Group List A'!A:A,0),0),"-"),"")</f>
        <v/>
      </c>
      <c r="L248" s="33">
        <f t="shared" si="50"/>
        <v>0</v>
      </c>
      <c r="M248" s="33">
        <f t="shared" si="51"/>
        <v>0</v>
      </c>
      <c r="N248" s="33">
        <f t="shared" si="52"/>
        <v>0</v>
      </c>
      <c r="O248" s="28"/>
      <c r="P248" s="33">
        <f t="shared" si="53"/>
        <v>0</v>
      </c>
      <c r="Q248" s="35" t="str" cm="1">
        <f t="array" ref="Q248">IF(AF248&lt;&gt;"",IFERROR(INDEX('Group List B'!B:B,MATCH(AI248,'Group List B'!A:A,0),0),"-"),"")</f>
        <v/>
      </c>
      <c r="R248" s="36">
        <f t="shared" si="54"/>
        <v>0</v>
      </c>
      <c r="S248" s="36">
        <f t="shared" si="55"/>
        <v>0</v>
      </c>
      <c r="T248" s="36">
        <f t="shared" si="56"/>
        <v>0</v>
      </c>
      <c r="U248" s="28"/>
      <c r="V248" s="37">
        <f t="shared" si="57"/>
        <v>0</v>
      </c>
      <c r="W248" s="41"/>
      <c r="X248" s="27"/>
      <c r="Y248" s="27"/>
      <c r="Z248" s="27"/>
      <c r="AA248" s="15"/>
      <c r="AB248" s="17"/>
      <c r="AC248" s="17"/>
      <c r="AD248" s="17"/>
      <c r="AE248" s="90"/>
      <c r="AF248" s="82" t="str">
        <f t="shared" si="58"/>
        <v/>
      </c>
      <c r="AG248" s="83" t="str">
        <f t="shared" si="59"/>
        <v/>
      </c>
      <c r="AH248" s="82" t="str">
        <f t="shared" si="60"/>
        <v/>
      </c>
      <c r="AI248" s="82" t="str">
        <f t="shared" si="61"/>
        <v/>
      </c>
      <c r="AJ248" s="90"/>
      <c r="AP248" s="88"/>
    </row>
    <row r="249" spans="1:42" x14ac:dyDescent="0.25">
      <c r="A249" s="2"/>
      <c r="C249" s="68" t="str" cm="1">
        <f t="array" ref="C249">IF(AF249&lt;&gt;"",
IFERROR(INDEX('LaunchPad Markbook'!A:A,MATCH(AH249,'LaunchPad Markbook'!D:D,0),0),"-"),"")</f>
        <v/>
      </c>
      <c r="D249" s="27"/>
      <c r="E249" s="27"/>
      <c r="F249" s="27"/>
      <c r="G249" s="14">
        <f>IF(OR(H249&gt;AB$2,I249&gt;AC$2,J249&gt;AD$2,
P249&gt;1,V249&gt;1,
L249&gt;'Group List A'!E$2,M249&gt;'Group List A'!F$2,N249&gt;'Group List A'!G$2,
R249&gt;'Group List B'!E$2,S249&gt;'Group List B'!F$2,T249&gt;'Group List B'!G$2),"Exceed",
IF(OR(H249=AB$2,I249=AC$2,J249=AD$2,
P249=1,V249=1,
L249='Group List A'!E$2,M249='Group List A'!F$2,N249='Group List A'!G$2,
R249='Group List B'!E$2,S249='Group List B'!F$2,T249='Group List B'!G$2),"Limit",0))</f>
        <v>0</v>
      </c>
      <c r="H249" s="29">
        <f t="shared" si="47"/>
        <v>0</v>
      </c>
      <c r="I249" s="29">
        <f t="shared" si="48"/>
        <v>0</v>
      </c>
      <c r="J249" s="29">
        <f t="shared" si="49"/>
        <v>0</v>
      </c>
      <c r="K249" s="32" t="str" cm="1">
        <f t="array" ref="K249">IF(AF249&lt;&gt;"",IFERROR(INDEX('Group List A'!B:B,MATCH(AI249,'Group List A'!A:A,0),0),"-"),"")</f>
        <v/>
      </c>
      <c r="L249" s="33">
        <f t="shared" si="50"/>
        <v>0</v>
      </c>
      <c r="M249" s="33">
        <f t="shared" si="51"/>
        <v>0</v>
      </c>
      <c r="N249" s="33">
        <f t="shared" si="52"/>
        <v>0</v>
      </c>
      <c r="O249" s="28"/>
      <c r="P249" s="33">
        <f t="shared" si="53"/>
        <v>0</v>
      </c>
      <c r="Q249" s="35" t="str" cm="1">
        <f t="array" ref="Q249">IF(AF249&lt;&gt;"",IFERROR(INDEX('Group List B'!B:B,MATCH(AI249,'Group List B'!A:A,0),0),"-"),"")</f>
        <v/>
      </c>
      <c r="R249" s="36">
        <f t="shared" si="54"/>
        <v>0</v>
      </c>
      <c r="S249" s="36">
        <f t="shared" si="55"/>
        <v>0</v>
      </c>
      <c r="T249" s="36">
        <f t="shared" si="56"/>
        <v>0</v>
      </c>
      <c r="U249" s="28"/>
      <c r="V249" s="37">
        <f t="shared" si="57"/>
        <v>0</v>
      </c>
      <c r="W249" s="41"/>
      <c r="X249" s="27"/>
      <c r="Y249" s="27"/>
      <c r="Z249" s="27"/>
      <c r="AA249" s="15"/>
      <c r="AB249" s="17"/>
      <c r="AC249" s="17"/>
      <c r="AD249" s="17"/>
      <c r="AE249" s="90"/>
      <c r="AF249" s="82" t="str">
        <f t="shared" si="58"/>
        <v/>
      </c>
      <c r="AG249" s="83" t="str">
        <f t="shared" si="59"/>
        <v/>
      </c>
      <c r="AH249" s="82" t="str">
        <f t="shared" si="60"/>
        <v/>
      </c>
      <c r="AI249" s="82" t="str">
        <f t="shared" si="61"/>
        <v/>
      </c>
      <c r="AJ249" s="90"/>
      <c r="AP249" s="88"/>
    </row>
    <row r="250" spans="1:42" x14ac:dyDescent="0.25">
      <c r="A250" s="2"/>
      <c r="C250" s="68" t="str" cm="1">
        <f t="array" ref="C250">IF(AF250&lt;&gt;"",
IFERROR(INDEX('LaunchPad Markbook'!A:A,MATCH(AH250,'LaunchPad Markbook'!D:D,0),0),"-"),"")</f>
        <v/>
      </c>
      <c r="D250" s="27"/>
      <c r="E250" s="27"/>
      <c r="F250" s="27"/>
      <c r="G250" s="14">
        <f>IF(OR(H250&gt;AB$2,I250&gt;AC$2,J250&gt;AD$2,
P250&gt;1,V250&gt;1,
L250&gt;'Group List A'!E$2,M250&gt;'Group List A'!F$2,N250&gt;'Group List A'!G$2,
R250&gt;'Group List B'!E$2,S250&gt;'Group List B'!F$2,T250&gt;'Group List B'!G$2),"Exceed",
IF(OR(H250=AB$2,I250=AC$2,J250=AD$2,
P250=1,V250=1,
L250='Group List A'!E$2,M250='Group List A'!F$2,N250='Group List A'!G$2,
R250='Group List B'!E$2,S250='Group List B'!F$2,T250='Group List B'!G$2),"Limit",0))</f>
        <v>0</v>
      </c>
      <c r="H250" s="29">
        <f t="shared" si="47"/>
        <v>0</v>
      </c>
      <c r="I250" s="29">
        <f t="shared" si="48"/>
        <v>0</v>
      </c>
      <c r="J250" s="29">
        <f t="shared" si="49"/>
        <v>0</v>
      </c>
      <c r="K250" s="32" t="str" cm="1">
        <f t="array" ref="K250">IF(AF250&lt;&gt;"",IFERROR(INDEX('Group List A'!B:B,MATCH(AI250,'Group List A'!A:A,0),0),"-"),"")</f>
        <v/>
      </c>
      <c r="L250" s="33">
        <f t="shared" si="50"/>
        <v>0</v>
      </c>
      <c r="M250" s="33">
        <f t="shared" si="51"/>
        <v>0</v>
      </c>
      <c r="N250" s="33">
        <f t="shared" si="52"/>
        <v>0</v>
      </c>
      <c r="O250" s="28"/>
      <c r="P250" s="33">
        <f t="shared" si="53"/>
        <v>0</v>
      </c>
      <c r="Q250" s="35" t="str" cm="1">
        <f t="array" ref="Q250">IF(AF250&lt;&gt;"",IFERROR(INDEX('Group List B'!B:B,MATCH(AI250,'Group List B'!A:A,0),0),"-"),"")</f>
        <v/>
      </c>
      <c r="R250" s="36">
        <f t="shared" si="54"/>
        <v>0</v>
      </c>
      <c r="S250" s="36">
        <f t="shared" si="55"/>
        <v>0</v>
      </c>
      <c r="T250" s="36">
        <f t="shared" si="56"/>
        <v>0</v>
      </c>
      <c r="U250" s="28"/>
      <c r="V250" s="37">
        <f t="shared" si="57"/>
        <v>0</v>
      </c>
      <c r="W250" s="41"/>
      <c r="X250" s="27"/>
      <c r="Y250" s="27"/>
      <c r="Z250" s="27"/>
      <c r="AA250" s="15"/>
      <c r="AB250" s="17"/>
      <c r="AC250" s="17"/>
      <c r="AD250" s="17"/>
      <c r="AE250" s="90"/>
      <c r="AF250" s="82" t="str">
        <f t="shared" si="58"/>
        <v/>
      </c>
      <c r="AG250" s="83" t="str">
        <f t="shared" si="59"/>
        <v/>
      </c>
      <c r="AH250" s="82" t="str">
        <f t="shared" si="60"/>
        <v/>
      </c>
      <c r="AI250" s="82" t="str">
        <f t="shared" si="61"/>
        <v/>
      </c>
      <c r="AJ250" s="90"/>
      <c r="AP250" s="88"/>
    </row>
    <row r="251" spans="1:42" x14ac:dyDescent="0.25">
      <c r="A251" s="2"/>
      <c r="C251" s="68" t="str" cm="1">
        <f t="array" ref="C251">IF(AF251&lt;&gt;"",
IFERROR(INDEX('LaunchPad Markbook'!A:A,MATCH(AH251,'LaunchPad Markbook'!D:D,0),0),"-"),"")</f>
        <v/>
      </c>
      <c r="D251" s="27"/>
      <c r="E251" s="27"/>
      <c r="F251" s="27"/>
      <c r="G251" s="14">
        <f>IF(OR(H251&gt;AB$2,I251&gt;AC$2,J251&gt;AD$2,
P251&gt;1,V251&gt;1,
L251&gt;'Group List A'!E$2,M251&gt;'Group List A'!F$2,N251&gt;'Group List A'!G$2,
R251&gt;'Group List B'!E$2,S251&gt;'Group List B'!F$2,T251&gt;'Group List B'!G$2),"Exceed",
IF(OR(H251=AB$2,I251=AC$2,J251=AD$2,
P251=1,V251=1,
L251='Group List A'!E$2,M251='Group List A'!F$2,N251='Group List A'!G$2,
R251='Group List B'!E$2,S251='Group List B'!F$2,T251='Group List B'!G$2),"Limit",0))</f>
        <v>0</v>
      </c>
      <c r="H251" s="29">
        <f t="shared" si="47"/>
        <v>0</v>
      </c>
      <c r="I251" s="29">
        <f t="shared" si="48"/>
        <v>0</v>
      </c>
      <c r="J251" s="29">
        <f t="shared" si="49"/>
        <v>0</v>
      </c>
      <c r="K251" s="32" t="str" cm="1">
        <f t="array" ref="K251">IF(AF251&lt;&gt;"",IFERROR(INDEX('Group List A'!B:B,MATCH(AI251,'Group List A'!A:A,0),0),"-"),"")</f>
        <v/>
      </c>
      <c r="L251" s="33">
        <f t="shared" si="50"/>
        <v>0</v>
      </c>
      <c r="M251" s="33">
        <f t="shared" si="51"/>
        <v>0</v>
      </c>
      <c r="N251" s="33">
        <f t="shared" si="52"/>
        <v>0</v>
      </c>
      <c r="O251" s="28"/>
      <c r="P251" s="33">
        <f t="shared" si="53"/>
        <v>0</v>
      </c>
      <c r="Q251" s="35" t="str" cm="1">
        <f t="array" ref="Q251">IF(AF251&lt;&gt;"",IFERROR(INDEX('Group List B'!B:B,MATCH(AI251,'Group List B'!A:A,0),0),"-"),"")</f>
        <v/>
      </c>
      <c r="R251" s="36">
        <f t="shared" si="54"/>
        <v>0</v>
      </c>
      <c r="S251" s="36">
        <f t="shared" si="55"/>
        <v>0</v>
      </c>
      <c r="T251" s="36">
        <f t="shared" si="56"/>
        <v>0</v>
      </c>
      <c r="U251" s="28"/>
      <c r="V251" s="37">
        <f t="shared" si="57"/>
        <v>0</v>
      </c>
      <c r="W251" s="41"/>
      <c r="X251" s="27"/>
      <c r="Y251" s="27"/>
      <c r="Z251" s="27"/>
      <c r="AA251" s="15"/>
      <c r="AB251" s="17"/>
      <c r="AC251" s="17"/>
      <c r="AD251" s="17"/>
      <c r="AE251" s="90"/>
      <c r="AF251" s="82" t="str">
        <f t="shared" si="58"/>
        <v/>
      </c>
      <c r="AG251" s="83" t="str">
        <f t="shared" si="59"/>
        <v/>
      </c>
      <c r="AH251" s="82" t="str">
        <f t="shared" si="60"/>
        <v/>
      </c>
      <c r="AI251" s="82" t="str">
        <f t="shared" si="61"/>
        <v/>
      </c>
      <c r="AJ251" s="90"/>
      <c r="AP251" s="88"/>
    </row>
    <row r="252" spans="1:42" x14ac:dyDescent="0.25">
      <c r="A252" s="2"/>
      <c r="C252" s="68" t="str" cm="1">
        <f t="array" ref="C252">IF(AF252&lt;&gt;"",
IFERROR(INDEX('LaunchPad Markbook'!A:A,MATCH(AH252,'LaunchPad Markbook'!D:D,0),0),"-"),"")</f>
        <v/>
      </c>
      <c r="D252" s="27"/>
      <c r="E252" s="27"/>
      <c r="F252" s="27"/>
      <c r="G252" s="14">
        <f>IF(OR(H252&gt;AB$2,I252&gt;AC$2,J252&gt;AD$2,
P252&gt;1,V252&gt;1,
L252&gt;'Group List A'!E$2,M252&gt;'Group List A'!F$2,N252&gt;'Group List A'!G$2,
R252&gt;'Group List B'!E$2,S252&gt;'Group List B'!F$2,T252&gt;'Group List B'!G$2),"Exceed",
IF(OR(H252=AB$2,I252=AC$2,J252=AD$2,
P252=1,V252=1,
L252='Group List A'!E$2,M252='Group List A'!F$2,N252='Group List A'!G$2,
R252='Group List B'!E$2,S252='Group List B'!F$2,T252='Group List B'!G$2),"Limit",0))</f>
        <v>0</v>
      </c>
      <c r="H252" s="29">
        <f t="shared" si="47"/>
        <v>0</v>
      </c>
      <c r="I252" s="29">
        <f t="shared" si="48"/>
        <v>0</v>
      </c>
      <c r="J252" s="29">
        <f t="shared" si="49"/>
        <v>0</v>
      </c>
      <c r="K252" s="32" t="str" cm="1">
        <f t="array" ref="K252">IF(AF252&lt;&gt;"",IFERROR(INDEX('Group List A'!B:B,MATCH(AI252,'Group List A'!A:A,0),0),"-"),"")</f>
        <v/>
      </c>
      <c r="L252" s="33">
        <f t="shared" si="50"/>
        <v>0</v>
      </c>
      <c r="M252" s="33">
        <f t="shared" si="51"/>
        <v>0</v>
      </c>
      <c r="N252" s="33">
        <f t="shared" si="52"/>
        <v>0</v>
      </c>
      <c r="O252" s="28"/>
      <c r="P252" s="33">
        <f t="shared" si="53"/>
        <v>0</v>
      </c>
      <c r="Q252" s="35" t="str" cm="1">
        <f t="array" ref="Q252">IF(AF252&lt;&gt;"",IFERROR(INDEX('Group List B'!B:B,MATCH(AI252,'Group List B'!A:A,0),0),"-"),"")</f>
        <v/>
      </c>
      <c r="R252" s="36">
        <f t="shared" si="54"/>
        <v>0</v>
      </c>
      <c r="S252" s="36">
        <f t="shared" si="55"/>
        <v>0</v>
      </c>
      <c r="T252" s="36">
        <f t="shared" si="56"/>
        <v>0</v>
      </c>
      <c r="U252" s="28"/>
      <c r="V252" s="37">
        <f t="shared" si="57"/>
        <v>0</v>
      </c>
      <c r="W252" s="41"/>
      <c r="X252" s="27"/>
      <c r="Y252" s="27"/>
      <c r="Z252" s="27"/>
      <c r="AA252" s="15"/>
      <c r="AB252" s="17"/>
      <c r="AC252" s="17"/>
      <c r="AD252" s="17"/>
      <c r="AE252" s="90"/>
      <c r="AF252" s="82" t="str">
        <f t="shared" si="58"/>
        <v/>
      </c>
      <c r="AG252" s="83" t="str">
        <f t="shared" si="59"/>
        <v/>
      </c>
      <c r="AH252" s="82" t="str">
        <f t="shared" si="60"/>
        <v/>
      </c>
      <c r="AI252" s="82" t="str">
        <f t="shared" si="61"/>
        <v/>
      </c>
      <c r="AJ252" s="90"/>
      <c r="AP252" s="88"/>
    </row>
    <row r="253" spans="1:42" x14ac:dyDescent="0.25">
      <c r="A253" s="2"/>
      <c r="C253" s="68" t="str" cm="1">
        <f t="array" ref="C253">IF(AF253&lt;&gt;"",
IFERROR(INDEX('LaunchPad Markbook'!A:A,MATCH(AH253,'LaunchPad Markbook'!D:D,0),0),"-"),"")</f>
        <v/>
      </c>
      <c r="D253" s="27"/>
      <c r="E253" s="27"/>
      <c r="F253" s="27"/>
      <c r="G253" s="14">
        <f>IF(OR(H253&gt;AB$2,I253&gt;AC$2,J253&gt;AD$2,
P253&gt;1,V253&gt;1,
L253&gt;'Group List A'!E$2,M253&gt;'Group List A'!F$2,N253&gt;'Group List A'!G$2,
R253&gt;'Group List B'!E$2,S253&gt;'Group List B'!F$2,T253&gt;'Group List B'!G$2),"Exceed",
IF(OR(H253=AB$2,I253=AC$2,J253=AD$2,
P253=1,V253=1,
L253='Group List A'!E$2,M253='Group List A'!F$2,N253='Group List A'!G$2,
R253='Group List B'!E$2,S253='Group List B'!F$2,T253='Group List B'!G$2),"Limit",0))</f>
        <v>0</v>
      </c>
      <c r="H253" s="29">
        <f t="shared" si="47"/>
        <v>0</v>
      </c>
      <c r="I253" s="29">
        <f t="shared" si="48"/>
        <v>0</v>
      </c>
      <c r="J253" s="29">
        <f t="shared" si="49"/>
        <v>0</v>
      </c>
      <c r="K253" s="32" t="str" cm="1">
        <f t="array" ref="K253">IF(AF253&lt;&gt;"",IFERROR(INDEX('Group List A'!B:B,MATCH(AI253,'Group List A'!A:A,0),0),"-"),"")</f>
        <v/>
      </c>
      <c r="L253" s="33">
        <f t="shared" si="50"/>
        <v>0</v>
      </c>
      <c r="M253" s="33">
        <f t="shared" si="51"/>
        <v>0</v>
      </c>
      <c r="N253" s="33">
        <f t="shared" si="52"/>
        <v>0</v>
      </c>
      <c r="O253" s="28"/>
      <c r="P253" s="33">
        <f t="shared" si="53"/>
        <v>0</v>
      </c>
      <c r="Q253" s="35" t="str" cm="1">
        <f t="array" ref="Q253">IF(AF253&lt;&gt;"",IFERROR(INDEX('Group List B'!B:B,MATCH(AI253,'Group List B'!A:A,0),0),"-"),"")</f>
        <v/>
      </c>
      <c r="R253" s="36">
        <f t="shared" si="54"/>
        <v>0</v>
      </c>
      <c r="S253" s="36">
        <f t="shared" si="55"/>
        <v>0</v>
      </c>
      <c r="T253" s="36">
        <f t="shared" si="56"/>
        <v>0</v>
      </c>
      <c r="U253" s="28"/>
      <c r="V253" s="37">
        <f t="shared" si="57"/>
        <v>0</v>
      </c>
      <c r="W253" s="41"/>
      <c r="X253" s="27"/>
      <c r="Y253" s="27"/>
      <c r="Z253" s="27"/>
      <c r="AA253" s="15"/>
      <c r="AB253" s="17"/>
      <c r="AC253" s="17"/>
      <c r="AD253" s="17"/>
      <c r="AE253" s="90"/>
      <c r="AF253" s="82" t="str">
        <f t="shared" si="58"/>
        <v/>
      </c>
      <c r="AG253" s="83" t="str">
        <f t="shared" si="59"/>
        <v/>
      </c>
      <c r="AH253" s="82" t="str">
        <f t="shared" si="60"/>
        <v/>
      </c>
      <c r="AI253" s="82" t="str">
        <f t="shared" si="61"/>
        <v/>
      </c>
      <c r="AJ253" s="90"/>
      <c r="AP253" s="88"/>
    </row>
    <row r="254" spans="1:42" x14ac:dyDescent="0.25">
      <c r="A254" s="2"/>
      <c r="C254" s="68" t="str" cm="1">
        <f t="array" ref="C254">IF(AF254&lt;&gt;"",
IFERROR(INDEX('LaunchPad Markbook'!A:A,MATCH(AH254,'LaunchPad Markbook'!D:D,0),0),"-"),"")</f>
        <v/>
      </c>
      <c r="D254" s="27"/>
      <c r="E254" s="27"/>
      <c r="F254" s="27"/>
      <c r="G254" s="14">
        <f>IF(OR(H254&gt;AB$2,I254&gt;AC$2,J254&gt;AD$2,
P254&gt;1,V254&gt;1,
L254&gt;'Group List A'!E$2,M254&gt;'Group List A'!F$2,N254&gt;'Group List A'!G$2,
R254&gt;'Group List B'!E$2,S254&gt;'Group List B'!F$2,T254&gt;'Group List B'!G$2),"Exceed",
IF(OR(H254=AB$2,I254=AC$2,J254=AD$2,
P254=1,V254=1,
L254='Group List A'!E$2,M254='Group List A'!F$2,N254='Group List A'!G$2,
R254='Group List B'!E$2,S254='Group List B'!F$2,T254='Group List B'!G$2),"Limit",0))</f>
        <v>0</v>
      </c>
      <c r="H254" s="29">
        <f t="shared" si="47"/>
        <v>0</v>
      </c>
      <c r="I254" s="29">
        <f t="shared" si="48"/>
        <v>0</v>
      </c>
      <c r="J254" s="29">
        <f t="shared" si="49"/>
        <v>0</v>
      </c>
      <c r="K254" s="32" t="str" cm="1">
        <f t="array" ref="K254">IF(AF254&lt;&gt;"",IFERROR(INDEX('Group List A'!B:B,MATCH(AI254,'Group List A'!A:A,0),0),"-"),"")</f>
        <v/>
      </c>
      <c r="L254" s="33">
        <f t="shared" si="50"/>
        <v>0</v>
      </c>
      <c r="M254" s="33">
        <f t="shared" si="51"/>
        <v>0</v>
      </c>
      <c r="N254" s="33">
        <f t="shared" si="52"/>
        <v>0</v>
      </c>
      <c r="O254" s="28"/>
      <c r="P254" s="33">
        <f t="shared" si="53"/>
        <v>0</v>
      </c>
      <c r="Q254" s="35" t="str" cm="1">
        <f t="array" ref="Q254">IF(AF254&lt;&gt;"",IFERROR(INDEX('Group List B'!B:B,MATCH(AI254,'Group List B'!A:A,0),0),"-"),"")</f>
        <v/>
      </c>
      <c r="R254" s="36">
        <f t="shared" si="54"/>
        <v>0</v>
      </c>
      <c r="S254" s="36">
        <f t="shared" si="55"/>
        <v>0</v>
      </c>
      <c r="T254" s="36">
        <f t="shared" si="56"/>
        <v>0</v>
      </c>
      <c r="U254" s="28"/>
      <c r="V254" s="37">
        <f t="shared" si="57"/>
        <v>0</v>
      </c>
      <c r="W254" s="41"/>
      <c r="X254" s="27"/>
      <c r="Y254" s="27"/>
      <c r="Z254" s="27"/>
      <c r="AA254" s="15"/>
      <c r="AB254" s="17"/>
      <c r="AC254" s="17"/>
      <c r="AD254" s="17"/>
      <c r="AE254" s="90"/>
      <c r="AF254" s="82" t="str">
        <f t="shared" si="58"/>
        <v/>
      </c>
      <c r="AG254" s="83" t="str">
        <f t="shared" si="59"/>
        <v/>
      </c>
      <c r="AH254" s="82" t="str">
        <f t="shared" si="60"/>
        <v/>
      </c>
      <c r="AI254" s="82" t="str">
        <f t="shared" si="61"/>
        <v/>
      </c>
      <c r="AJ254" s="90"/>
      <c r="AP254" s="88"/>
    </row>
    <row r="255" spans="1:42" x14ac:dyDescent="0.25">
      <c r="A255" s="2"/>
      <c r="C255" s="68" t="str" cm="1">
        <f t="array" ref="C255">IF(AF255&lt;&gt;"",
IFERROR(INDEX('LaunchPad Markbook'!A:A,MATCH(AH255,'LaunchPad Markbook'!D:D,0),0),"-"),"")</f>
        <v/>
      </c>
      <c r="D255" s="27"/>
      <c r="E255" s="27"/>
      <c r="F255" s="27"/>
      <c r="G255" s="14">
        <f>IF(OR(H255&gt;AB$2,I255&gt;AC$2,J255&gt;AD$2,
P255&gt;1,V255&gt;1,
L255&gt;'Group List A'!E$2,M255&gt;'Group List A'!F$2,N255&gt;'Group List A'!G$2,
R255&gt;'Group List B'!E$2,S255&gt;'Group List B'!F$2,T255&gt;'Group List B'!G$2),"Exceed",
IF(OR(H255=AB$2,I255=AC$2,J255=AD$2,
P255=1,V255=1,
L255='Group List A'!E$2,M255='Group List A'!F$2,N255='Group List A'!G$2,
R255='Group List B'!E$2,S255='Group List B'!F$2,T255='Group List B'!G$2),"Limit",0))</f>
        <v>0</v>
      </c>
      <c r="H255" s="29">
        <f t="shared" si="47"/>
        <v>0</v>
      </c>
      <c r="I255" s="29">
        <f t="shared" si="48"/>
        <v>0</v>
      </c>
      <c r="J255" s="29">
        <f t="shared" si="49"/>
        <v>0</v>
      </c>
      <c r="K255" s="32" t="str" cm="1">
        <f t="array" ref="K255">IF(AF255&lt;&gt;"",IFERROR(INDEX('Group List A'!B:B,MATCH(AI255,'Group List A'!A:A,0),0),"-"),"")</f>
        <v/>
      </c>
      <c r="L255" s="33">
        <f t="shared" si="50"/>
        <v>0</v>
      </c>
      <c r="M255" s="33">
        <f t="shared" si="51"/>
        <v>0</v>
      </c>
      <c r="N255" s="33">
        <f t="shared" si="52"/>
        <v>0</v>
      </c>
      <c r="O255" s="28"/>
      <c r="P255" s="33">
        <f t="shared" si="53"/>
        <v>0</v>
      </c>
      <c r="Q255" s="35" t="str" cm="1">
        <f t="array" ref="Q255">IF(AF255&lt;&gt;"",IFERROR(INDEX('Group List B'!B:B,MATCH(AI255,'Group List B'!A:A,0),0),"-"),"")</f>
        <v/>
      </c>
      <c r="R255" s="36">
        <f t="shared" si="54"/>
        <v>0</v>
      </c>
      <c r="S255" s="36">
        <f t="shared" si="55"/>
        <v>0</v>
      </c>
      <c r="T255" s="36">
        <f t="shared" si="56"/>
        <v>0</v>
      </c>
      <c r="U255" s="28"/>
      <c r="V255" s="37">
        <f t="shared" si="57"/>
        <v>0</v>
      </c>
      <c r="W255" s="41"/>
      <c r="X255" s="27"/>
      <c r="Y255" s="27"/>
      <c r="Z255" s="27"/>
      <c r="AA255" s="15"/>
      <c r="AB255" s="17"/>
      <c r="AC255" s="17"/>
      <c r="AD255" s="17"/>
      <c r="AE255" s="90"/>
      <c r="AF255" s="82" t="str">
        <f t="shared" si="58"/>
        <v/>
      </c>
      <c r="AG255" s="83" t="str">
        <f t="shared" si="59"/>
        <v/>
      </c>
      <c r="AH255" s="82" t="str">
        <f t="shared" si="60"/>
        <v/>
      </c>
      <c r="AI255" s="82" t="str">
        <f t="shared" si="61"/>
        <v/>
      </c>
      <c r="AJ255" s="90"/>
      <c r="AP255" s="88"/>
    </row>
    <row r="256" spans="1:42" x14ac:dyDescent="0.25">
      <c r="A256" s="2"/>
      <c r="C256" s="68" t="str" cm="1">
        <f t="array" ref="C256">IF(AF256&lt;&gt;"",
IFERROR(INDEX('LaunchPad Markbook'!A:A,MATCH(AH256,'LaunchPad Markbook'!D:D,0),0),"-"),"")</f>
        <v/>
      </c>
      <c r="D256" s="27"/>
      <c r="E256" s="27"/>
      <c r="F256" s="27"/>
      <c r="G256" s="14">
        <f>IF(OR(H256&gt;AB$2,I256&gt;AC$2,J256&gt;AD$2,
P256&gt;1,V256&gt;1,
L256&gt;'Group List A'!E$2,M256&gt;'Group List A'!F$2,N256&gt;'Group List A'!G$2,
R256&gt;'Group List B'!E$2,S256&gt;'Group List B'!F$2,T256&gt;'Group List B'!G$2),"Exceed",
IF(OR(H256=AB$2,I256=AC$2,J256=AD$2,
P256=1,V256=1,
L256='Group List A'!E$2,M256='Group List A'!F$2,N256='Group List A'!G$2,
R256='Group List B'!E$2,S256='Group List B'!F$2,T256='Group List B'!G$2),"Limit",0))</f>
        <v>0</v>
      </c>
      <c r="H256" s="29">
        <f t="shared" si="47"/>
        <v>0</v>
      </c>
      <c r="I256" s="29">
        <f t="shared" si="48"/>
        <v>0</v>
      </c>
      <c r="J256" s="29">
        <f t="shared" si="49"/>
        <v>0</v>
      </c>
      <c r="K256" s="32" t="str" cm="1">
        <f t="array" ref="K256">IF(AF256&lt;&gt;"",IFERROR(INDEX('Group List A'!B:B,MATCH(AI256,'Group List A'!A:A,0),0),"-"),"")</f>
        <v/>
      </c>
      <c r="L256" s="33">
        <f t="shared" si="50"/>
        <v>0</v>
      </c>
      <c r="M256" s="33">
        <f t="shared" si="51"/>
        <v>0</v>
      </c>
      <c r="N256" s="33">
        <f t="shared" si="52"/>
        <v>0</v>
      </c>
      <c r="O256" s="28"/>
      <c r="P256" s="33">
        <f t="shared" si="53"/>
        <v>0</v>
      </c>
      <c r="Q256" s="35" t="str" cm="1">
        <f t="array" ref="Q256">IF(AF256&lt;&gt;"",IFERROR(INDEX('Group List B'!B:B,MATCH(AI256,'Group List B'!A:A,0),0),"-"),"")</f>
        <v/>
      </c>
      <c r="R256" s="36">
        <f t="shared" si="54"/>
        <v>0</v>
      </c>
      <c r="S256" s="36">
        <f t="shared" si="55"/>
        <v>0</v>
      </c>
      <c r="T256" s="36">
        <f t="shared" si="56"/>
        <v>0</v>
      </c>
      <c r="U256" s="28"/>
      <c r="V256" s="37">
        <f t="shared" si="57"/>
        <v>0</v>
      </c>
      <c r="W256" s="41"/>
      <c r="X256" s="27"/>
      <c r="Y256" s="27"/>
      <c r="Z256" s="27"/>
      <c r="AA256" s="15"/>
      <c r="AB256" s="17"/>
      <c r="AC256" s="17"/>
      <c r="AD256" s="17"/>
      <c r="AE256" s="90"/>
      <c r="AF256" s="82" t="str">
        <f t="shared" si="58"/>
        <v/>
      </c>
      <c r="AG256" s="83" t="str">
        <f t="shared" si="59"/>
        <v/>
      </c>
      <c r="AH256" s="82" t="str">
        <f t="shared" si="60"/>
        <v/>
      </c>
      <c r="AI256" s="82" t="str">
        <f t="shared" si="61"/>
        <v/>
      </c>
      <c r="AJ256" s="90"/>
      <c r="AP256" s="88"/>
    </row>
    <row r="257" spans="1:42" x14ac:dyDescent="0.25">
      <c r="A257" s="2"/>
      <c r="C257" s="68" t="str" cm="1">
        <f t="array" ref="C257">IF(AF257&lt;&gt;"",
IFERROR(INDEX('LaunchPad Markbook'!A:A,MATCH(AH257,'LaunchPad Markbook'!D:D,0),0),"-"),"")</f>
        <v/>
      </c>
      <c r="D257" s="27"/>
      <c r="E257" s="27"/>
      <c r="F257" s="27"/>
      <c r="G257" s="14">
        <f>IF(OR(H257&gt;AB$2,I257&gt;AC$2,J257&gt;AD$2,
P257&gt;1,V257&gt;1,
L257&gt;'Group List A'!E$2,M257&gt;'Group List A'!F$2,N257&gt;'Group List A'!G$2,
R257&gt;'Group List B'!E$2,S257&gt;'Group List B'!F$2,T257&gt;'Group List B'!G$2),"Exceed",
IF(OR(H257=AB$2,I257=AC$2,J257=AD$2,
P257=1,V257=1,
L257='Group List A'!E$2,M257='Group List A'!F$2,N257='Group List A'!G$2,
R257='Group List B'!E$2,S257='Group List B'!F$2,T257='Group List B'!G$2),"Limit",0))</f>
        <v>0</v>
      </c>
      <c r="H257" s="29">
        <f t="shared" si="47"/>
        <v>0</v>
      </c>
      <c r="I257" s="29">
        <f t="shared" si="48"/>
        <v>0</v>
      </c>
      <c r="J257" s="29">
        <f t="shared" si="49"/>
        <v>0</v>
      </c>
      <c r="K257" s="32" t="str" cm="1">
        <f t="array" ref="K257">IF(AF257&lt;&gt;"",IFERROR(INDEX('Group List A'!B:B,MATCH(AI257,'Group List A'!A:A,0),0),"-"),"")</f>
        <v/>
      </c>
      <c r="L257" s="33">
        <f t="shared" si="50"/>
        <v>0</v>
      </c>
      <c r="M257" s="33">
        <f t="shared" si="51"/>
        <v>0</v>
      </c>
      <c r="N257" s="33">
        <f t="shared" si="52"/>
        <v>0</v>
      </c>
      <c r="O257" s="28"/>
      <c r="P257" s="33">
        <f t="shared" si="53"/>
        <v>0</v>
      </c>
      <c r="Q257" s="35" t="str" cm="1">
        <f t="array" ref="Q257">IF(AF257&lt;&gt;"",IFERROR(INDEX('Group List B'!B:B,MATCH(AI257,'Group List B'!A:A,0),0),"-"),"")</f>
        <v/>
      </c>
      <c r="R257" s="36">
        <f t="shared" si="54"/>
        <v>0</v>
      </c>
      <c r="S257" s="36">
        <f t="shared" si="55"/>
        <v>0</v>
      </c>
      <c r="T257" s="36">
        <f t="shared" si="56"/>
        <v>0</v>
      </c>
      <c r="U257" s="28"/>
      <c r="V257" s="37">
        <f t="shared" si="57"/>
        <v>0</v>
      </c>
      <c r="W257" s="41"/>
      <c r="X257" s="27"/>
      <c r="Y257" s="27"/>
      <c r="Z257" s="27"/>
      <c r="AA257" s="15"/>
      <c r="AB257" s="17"/>
      <c r="AC257" s="17"/>
      <c r="AD257" s="17"/>
      <c r="AE257" s="90"/>
      <c r="AF257" s="82" t="str">
        <f t="shared" si="58"/>
        <v/>
      </c>
      <c r="AG257" s="83" t="str">
        <f t="shared" si="59"/>
        <v/>
      </c>
      <c r="AH257" s="82" t="str">
        <f t="shared" si="60"/>
        <v/>
      </c>
      <c r="AI257" s="82" t="str">
        <f t="shared" si="61"/>
        <v/>
      </c>
      <c r="AJ257" s="90"/>
      <c r="AP257" s="88"/>
    </row>
    <row r="258" spans="1:42" x14ac:dyDescent="0.25">
      <c r="A258" s="2"/>
      <c r="C258" s="68" t="str" cm="1">
        <f t="array" ref="C258">IF(AF258&lt;&gt;"",
IFERROR(INDEX('LaunchPad Markbook'!A:A,MATCH(AH258,'LaunchPad Markbook'!D:D,0),0),"-"),"")</f>
        <v/>
      </c>
      <c r="D258" s="27"/>
      <c r="E258" s="27"/>
      <c r="F258" s="27"/>
      <c r="G258" s="14">
        <f>IF(OR(H258&gt;AB$2,I258&gt;AC$2,J258&gt;AD$2,
P258&gt;1,V258&gt;1,
L258&gt;'Group List A'!E$2,M258&gt;'Group List A'!F$2,N258&gt;'Group List A'!G$2,
R258&gt;'Group List B'!E$2,S258&gt;'Group List B'!F$2,T258&gt;'Group List B'!G$2),"Exceed",
IF(OR(H258=AB$2,I258=AC$2,J258=AD$2,
P258=1,V258=1,
L258='Group List A'!E$2,M258='Group List A'!F$2,N258='Group List A'!G$2,
R258='Group List B'!E$2,S258='Group List B'!F$2,T258='Group List B'!G$2),"Limit",0))</f>
        <v>0</v>
      </c>
      <c r="H258" s="29">
        <f t="shared" si="47"/>
        <v>0</v>
      </c>
      <c r="I258" s="29">
        <f t="shared" si="48"/>
        <v>0</v>
      </c>
      <c r="J258" s="29">
        <f t="shared" si="49"/>
        <v>0</v>
      </c>
      <c r="K258" s="32" t="str" cm="1">
        <f t="array" ref="K258">IF(AF258&lt;&gt;"",IFERROR(INDEX('Group List A'!B:B,MATCH(AI258,'Group List A'!A:A,0),0),"-"),"")</f>
        <v/>
      </c>
      <c r="L258" s="33">
        <f t="shared" si="50"/>
        <v>0</v>
      </c>
      <c r="M258" s="33">
        <f t="shared" si="51"/>
        <v>0</v>
      </c>
      <c r="N258" s="33">
        <f t="shared" si="52"/>
        <v>0</v>
      </c>
      <c r="O258" s="28"/>
      <c r="P258" s="33">
        <f t="shared" si="53"/>
        <v>0</v>
      </c>
      <c r="Q258" s="35" t="str" cm="1">
        <f t="array" ref="Q258">IF(AF258&lt;&gt;"",IFERROR(INDEX('Group List B'!B:B,MATCH(AI258,'Group List B'!A:A,0),0),"-"),"")</f>
        <v/>
      </c>
      <c r="R258" s="36">
        <f t="shared" si="54"/>
        <v>0</v>
      </c>
      <c r="S258" s="36">
        <f t="shared" si="55"/>
        <v>0</v>
      </c>
      <c r="T258" s="36">
        <f t="shared" si="56"/>
        <v>0</v>
      </c>
      <c r="U258" s="28"/>
      <c r="V258" s="37">
        <f t="shared" si="57"/>
        <v>0</v>
      </c>
      <c r="W258" s="41"/>
      <c r="X258" s="27"/>
      <c r="Y258" s="27"/>
      <c r="Z258" s="27"/>
      <c r="AA258" s="15"/>
      <c r="AB258" s="17"/>
      <c r="AC258" s="17"/>
      <c r="AD258" s="17"/>
      <c r="AE258" s="90"/>
      <c r="AF258" s="82" t="str">
        <f t="shared" si="58"/>
        <v/>
      </c>
      <c r="AG258" s="83" t="str">
        <f t="shared" si="59"/>
        <v/>
      </c>
      <c r="AH258" s="82" t="str">
        <f t="shared" si="60"/>
        <v/>
      </c>
      <c r="AI258" s="82" t="str">
        <f t="shared" si="61"/>
        <v/>
      </c>
      <c r="AJ258" s="90"/>
      <c r="AP258" s="88"/>
    </row>
    <row r="259" spans="1:42" x14ac:dyDescent="0.25">
      <c r="A259" s="2"/>
      <c r="C259" s="68" t="str" cm="1">
        <f t="array" ref="C259">IF(AF259&lt;&gt;"",
IFERROR(INDEX('LaunchPad Markbook'!A:A,MATCH(AH259,'LaunchPad Markbook'!D:D,0),0),"-"),"")</f>
        <v/>
      </c>
      <c r="D259" s="27"/>
      <c r="E259" s="27"/>
      <c r="F259" s="27"/>
      <c r="G259" s="14">
        <f>IF(OR(H259&gt;AB$2,I259&gt;AC$2,J259&gt;AD$2,
P259&gt;1,V259&gt;1,
L259&gt;'Group List A'!E$2,M259&gt;'Group List A'!F$2,N259&gt;'Group List A'!G$2,
R259&gt;'Group List B'!E$2,S259&gt;'Group List B'!F$2,T259&gt;'Group List B'!G$2),"Exceed",
IF(OR(H259=AB$2,I259=AC$2,J259=AD$2,
P259=1,V259=1,
L259='Group List A'!E$2,M259='Group List A'!F$2,N259='Group List A'!G$2,
R259='Group List B'!E$2,S259='Group List B'!F$2,T259='Group List B'!G$2),"Limit",0))</f>
        <v>0</v>
      </c>
      <c r="H259" s="29">
        <f t="shared" ref="H259:H322" si="62">IF(AND(K259="-",Q259="-"),
SUMIFS(D$2:D$2000,$AH$2:$AH$2000,$AH259),0)</f>
        <v>0</v>
      </c>
      <c r="I259" s="29">
        <f t="shared" ref="I259:I322" si="63">IF(AND(K259="-",Q259="-"),
SUMIFS(E$2:E$2000,$AH$2:$AH$2000,$AH259),0)</f>
        <v>0</v>
      </c>
      <c r="J259" s="29">
        <f t="shared" ref="J259:J322" si="64">IF(AND(K259="-",Q259="-"),
SUMIFS(F$2:F$2000,$AH$2:$AH$2000,$AH259),0)</f>
        <v>0</v>
      </c>
      <c r="K259" s="32" t="str" cm="1">
        <f t="array" ref="K259">IF(AF259&lt;&gt;"",IFERROR(INDEX('Group List A'!B:B,MATCH(AI259,'Group List A'!A:A,0),0),"-"),"")</f>
        <v/>
      </c>
      <c r="L259" s="33">
        <f t="shared" ref="L259:L322" si="65">IF($K259&lt;&gt;"-",SUMIFS(D$2:D$2000,$K$2:$K$2000,$K259),0)</f>
        <v>0</v>
      </c>
      <c r="M259" s="33">
        <f t="shared" ref="M259:M322" si="66">IF($K259&lt;&gt;"-",SUMIFS(E$2:E$2000,$K$2:$K$2000,$K259),0)</f>
        <v>0</v>
      </c>
      <c r="N259" s="33">
        <f t="shared" ref="N259:N322" si="67">IF($K259&lt;&gt;"-",SUMIFS(F$2:F$2000,$K$2:$K$2000,$K259),0)</f>
        <v>0</v>
      </c>
      <c r="O259" s="28"/>
      <c r="P259" s="33">
        <f t="shared" ref="P259:P322" si="68">SUMIFS(O$2:O$2000,$AH$2:$AH$2000,$AH259)</f>
        <v>0</v>
      </c>
      <c r="Q259" s="35" t="str" cm="1">
        <f t="array" ref="Q259">IF(AF259&lt;&gt;"",IFERROR(INDEX('Group List B'!B:B,MATCH(AI259,'Group List B'!A:A,0),0),"-"),"")</f>
        <v/>
      </c>
      <c r="R259" s="36">
        <f t="shared" ref="R259:R322" si="69">IF($Q259&lt;&gt;"-",SUMIFS(D$2:D$2000,$Q$2:$Q$2000,$Q259),0)</f>
        <v>0</v>
      </c>
      <c r="S259" s="36">
        <f t="shared" ref="S259:S322" si="70">IF($Q259&lt;&gt;"-",SUMIFS(E$2:E$2000,$Q$2:$Q$2000,$Q259),0)</f>
        <v>0</v>
      </c>
      <c r="T259" s="36">
        <f t="shared" ref="T259:T322" si="71">IF($Q259&lt;&gt;"-",SUMIFS(F$2:F$2000,$Q$2:$Q$2000,$Q259),0)</f>
        <v>0</v>
      </c>
      <c r="U259" s="28"/>
      <c r="V259" s="37">
        <f t="shared" ref="V259:V322" si="72">SUMIFS(U$2:U$2000,$AH$2:$AH$2000,$AH259)</f>
        <v>0</v>
      </c>
      <c r="W259" s="41"/>
      <c r="X259" s="27"/>
      <c r="Y259" s="27"/>
      <c r="Z259" s="27"/>
      <c r="AA259" s="15"/>
      <c r="AB259" s="17"/>
      <c r="AC259" s="17"/>
      <c r="AD259" s="17"/>
      <c r="AE259" s="90"/>
      <c r="AF259" s="82" t="str">
        <f t="shared" ref="AF259:AF322" si="73">IF(A259&lt;&gt;"",A259,"")</f>
        <v/>
      </c>
      <c r="AG259" s="83" t="str">
        <f t="shared" ref="AG259:AG322" si="74">IF(MID(AF259,1,1)="N","STUDENT",
IF(MID(AF259,1,1)="S","STAFF",
IF(MID(AF259,1,1)="V","VISITOR",
IF(AF259&lt;&gt;"","ERROR",""))))</f>
        <v/>
      </c>
      <c r="AH259" s="82" t="str">
        <f t="shared" ref="AH259:AH322" si="75">IF(AG259="STUDENT","N"&amp;(MID(AF259,2,8)-0),
IF(AG259="STAFF","S"&amp;MID(AF259,2,8),""))</f>
        <v/>
      </c>
      <c r="AI259" s="82" t="str">
        <f t="shared" ref="AI259:AI322" si="76">IF(AG259="STUDENT",(MID(AF259,2,8)-0),
IF(AG259="STAFF","STAFF",""))</f>
        <v/>
      </c>
      <c r="AJ259" s="90"/>
      <c r="AP259" s="88"/>
    </row>
    <row r="260" spans="1:42" x14ac:dyDescent="0.25">
      <c r="A260" s="2"/>
      <c r="C260" s="68" t="str" cm="1">
        <f t="array" ref="C260">IF(AF260&lt;&gt;"",
IFERROR(INDEX('LaunchPad Markbook'!A:A,MATCH(AH260,'LaunchPad Markbook'!D:D,0),0),"-"),"")</f>
        <v/>
      </c>
      <c r="D260" s="27"/>
      <c r="E260" s="27"/>
      <c r="F260" s="27"/>
      <c r="G260" s="14">
        <f>IF(OR(H260&gt;AB$2,I260&gt;AC$2,J260&gt;AD$2,
P260&gt;1,V260&gt;1,
L260&gt;'Group List A'!E$2,M260&gt;'Group List A'!F$2,N260&gt;'Group List A'!G$2,
R260&gt;'Group List B'!E$2,S260&gt;'Group List B'!F$2,T260&gt;'Group List B'!G$2),"Exceed",
IF(OR(H260=AB$2,I260=AC$2,J260=AD$2,
P260=1,V260=1,
L260='Group List A'!E$2,M260='Group List A'!F$2,N260='Group List A'!G$2,
R260='Group List B'!E$2,S260='Group List B'!F$2,T260='Group List B'!G$2),"Limit",0))</f>
        <v>0</v>
      </c>
      <c r="H260" s="29">
        <f t="shared" si="62"/>
        <v>0</v>
      </c>
      <c r="I260" s="29">
        <f t="shared" si="63"/>
        <v>0</v>
      </c>
      <c r="J260" s="29">
        <f t="shared" si="64"/>
        <v>0</v>
      </c>
      <c r="K260" s="32" t="str" cm="1">
        <f t="array" ref="K260">IF(AF260&lt;&gt;"",IFERROR(INDEX('Group List A'!B:B,MATCH(AI260,'Group List A'!A:A,0),0),"-"),"")</f>
        <v/>
      </c>
      <c r="L260" s="33">
        <f t="shared" si="65"/>
        <v>0</v>
      </c>
      <c r="M260" s="33">
        <f t="shared" si="66"/>
        <v>0</v>
      </c>
      <c r="N260" s="33">
        <f t="shared" si="67"/>
        <v>0</v>
      </c>
      <c r="O260" s="28"/>
      <c r="P260" s="33">
        <f t="shared" si="68"/>
        <v>0</v>
      </c>
      <c r="Q260" s="35" t="str" cm="1">
        <f t="array" ref="Q260">IF(AF260&lt;&gt;"",IFERROR(INDEX('Group List B'!B:B,MATCH(AI260,'Group List B'!A:A,0),0),"-"),"")</f>
        <v/>
      </c>
      <c r="R260" s="36">
        <f t="shared" si="69"/>
        <v>0</v>
      </c>
      <c r="S260" s="36">
        <f t="shared" si="70"/>
        <v>0</v>
      </c>
      <c r="T260" s="36">
        <f t="shared" si="71"/>
        <v>0</v>
      </c>
      <c r="U260" s="28"/>
      <c r="V260" s="37">
        <f t="shared" si="72"/>
        <v>0</v>
      </c>
      <c r="W260" s="41"/>
      <c r="X260" s="27"/>
      <c r="Y260" s="27"/>
      <c r="Z260" s="27"/>
      <c r="AA260" s="15"/>
      <c r="AB260" s="17"/>
      <c r="AC260" s="17"/>
      <c r="AD260" s="17"/>
      <c r="AE260" s="90"/>
      <c r="AF260" s="82" t="str">
        <f t="shared" si="73"/>
        <v/>
      </c>
      <c r="AG260" s="83" t="str">
        <f t="shared" si="74"/>
        <v/>
      </c>
      <c r="AH260" s="82" t="str">
        <f t="shared" si="75"/>
        <v/>
      </c>
      <c r="AI260" s="82" t="str">
        <f t="shared" si="76"/>
        <v/>
      </c>
      <c r="AJ260" s="90"/>
      <c r="AP260" s="88"/>
    </row>
    <row r="261" spans="1:42" x14ac:dyDescent="0.25">
      <c r="A261" s="2"/>
      <c r="C261" s="68" t="str" cm="1">
        <f t="array" ref="C261">IF(AF261&lt;&gt;"",
IFERROR(INDEX('LaunchPad Markbook'!A:A,MATCH(AH261,'LaunchPad Markbook'!D:D,0),0),"-"),"")</f>
        <v/>
      </c>
      <c r="D261" s="27"/>
      <c r="E261" s="27"/>
      <c r="F261" s="27"/>
      <c r="G261" s="14">
        <f>IF(OR(H261&gt;AB$2,I261&gt;AC$2,J261&gt;AD$2,
P261&gt;1,V261&gt;1,
L261&gt;'Group List A'!E$2,M261&gt;'Group List A'!F$2,N261&gt;'Group List A'!G$2,
R261&gt;'Group List B'!E$2,S261&gt;'Group List B'!F$2,T261&gt;'Group List B'!G$2),"Exceed",
IF(OR(H261=AB$2,I261=AC$2,J261=AD$2,
P261=1,V261=1,
L261='Group List A'!E$2,M261='Group List A'!F$2,N261='Group List A'!G$2,
R261='Group List B'!E$2,S261='Group List B'!F$2,T261='Group List B'!G$2),"Limit",0))</f>
        <v>0</v>
      </c>
      <c r="H261" s="29">
        <f t="shared" si="62"/>
        <v>0</v>
      </c>
      <c r="I261" s="29">
        <f t="shared" si="63"/>
        <v>0</v>
      </c>
      <c r="J261" s="29">
        <f t="shared" si="64"/>
        <v>0</v>
      </c>
      <c r="K261" s="32" t="str" cm="1">
        <f t="array" ref="K261">IF(AF261&lt;&gt;"",IFERROR(INDEX('Group List A'!B:B,MATCH(AI261,'Group List A'!A:A,0),0),"-"),"")</f>
        <v/>
      </c>
      <c r="L261" s="33">
        <f t="shared" si="65"/>
        <v>0</v>
      </c>
      <c r="M261" s="33">
        <f t="shared" si="66"/>
        <v>0</v>
      </c>
      <c r="N261" s="33">
        <f t="shared" si="67"/>
        <v>0</v>
      </c>
      <c r="O261" s="28"/>
      <c r="P261" s="33">
        <f t="shared" si="68"/>
        <v>0</v>
      </c>
      <c r="Q261" s="35" t="str" cm="1">
        <f t="array" ref="Q261">IF(AF261&lt;&gt;"",IFERROR(INDEX('Group List B'!B:B,MATCH(AI261,'Group List B'!A:A,0),0),"-"),"")</f>
        <v/>
      </c>
      <c r="R261" s="36">
        <f t="shared" si="69"/>
        <v>0</v>
      </c>
      <c r="S261" s="36">
        <f t="shared" si="70"/>
        <v>0</v>
      </c>
      <c r="T261" s="36">
        <f t="shared" si="71"/>
        <v>0</v>
      </c>
      <c r="U261" s="28"/>
      <c r="V261" s="37">
        <f t="shared" si="72"/>
        <v>0</v>
      </c>
      <c r="W261" s="41"/>
      <c r="X261" s="27"/>
      <c r="Y261" s="27"/>
      <c r="Z261" s="27"/>
      <c r="AA261" s="15"/>
      <c r="AB261" s="17"/>
      <c r="AC261" s="17"/>
      <c r="AD261" s="17"/>
      <c r="AE261" s="90"/>
      <c r="AF261" s="82" t="str">
        <f t="shared" si="73"/>
        <v/>
      </c>
      <c r="AG261" s="83" t="str">
        <f t="shared" si="74"/>
        <v/>
      </c>
      <c r="AH261" s="82" t="str">
        <f t="shared" si="75"/>
        <v/>
      </c>
      <c r="AI261" s="82" t="str">
        <f t="shared" si="76"/>
        <v/>
      </c>
      <c r="AJ261" s="90"/>
      <c r="AP261" s="88"/>
    </row>
    <row r="262" spans="1:42" x14ac:dyDescent="0.25">
      <c r="A262" s="2"/>
      <c r="C262" s="68" t="str" cm="1">
        <f t="array" ref="C262">IF(AF262&lt;&gt;"",
IFERROR(INDEX('LaunchPad Markbook'!A:A,MATCH(AH262,'LaunchPad Markbook'!D:D,0),0),"-"),"")</f>
        <v/>
      </c>
      <c r="D262" s="27"/>
      <c r="E262" s="27"/>
      <c r="F262" s="27"/>
      <c r="G262" s="14">
        <f>IF(OR(H262&gt;AB$2,I262&gt;AC$2,J262&gt;AD$2,
P262&gt;1,V262&gt;1,
L262&gt;'Group List A'!E$2,M262&gt;'Group List A'!F$2,N262&gt;'Group List A'!G$2,
R262&gt;'Group List B'!E$2,S262&gt;'Group List B'!F$2,T262&gt;'Group List B'!G$2),"Exceed",
IF(OR(H262=AB$2,I262=AC$2,J262=AD$2,
P262=1,V262=1,
L262='Group List A'!E$2,M262='Group List A'!F$2,N262='Group List A'!G$2,
R262='Group List B'!E$2,S262='Group List B'!F$2,T262='Group List B'!G$2),"Limit",0))</f>
        <v>0</v>
      </c>
      <c r="H262" s="29">
        <f t="shared" si="62"/>
        <v>0</v>
      </c>
      <c r="I262" s="29">
        <f t="shared" si="63"/>
        <v>0</v>
      </c>
      <c r="J262" s="29">
        <f t="shared" si="64"/>
        <v>0</v>
      </c>
      <c r="K262" s="32" t="str" cm="1">
        <f t="array" ref="K262">IF(AF262&lt;&gt;"",IFERROR(INDEX('Group List A'!B:B,MATCH(AI262,'Group List A'!A:A,0),0),"-"),"")</f>
        <v/>
      </c>
      <c r="L262" s="33">
        <f t="shared" si="65"/>
        <v>0</v>
      </c>
      <c r="M262" s="33">
        <f t="shared" si="66"/>
        <v>0</v>
      </c>
      <c r="N262" s="33">
        <f t="shared" si="67"/>
        <v>0</v>
      </c>
      <c r="O262" s="28"/>
      <c r="P262" s="33">
        <f t="shared" si="68"/>
        <v>0</v>
      </c>
      <c r="Q262" s="35" t="str" cm="1">
        <f t="array" ref="Q262">IF(AF262&lt;&gt;"",IFERROR(INDEX('Group List B'!B:B,MATCH(AI262,'Group List B'!A:A,0),0),"-"),"")</f>
        <v/>
      </c>
      <c r="R262" s="36">
        <f t="shared" si="69"/>
        <v>0</v>
      </c>
      <c r="S262" s="36">
        <f t="shared" si="70"/>
        <v>0</v>
      </c>
      <c r="T262" s="36">
        <f t="shared" si="71"/>
        <v>0</v>
      </c>
      <c r="U262" s="28"/>
      <c r="V262" s="37">
        <f t="shared" si="72"/>
        <v>0</v>
      </c>
      <c r="W262" s="41"/>
      <c r="X262" s="27"/>
      <c r="Y262" s="27"/>
      <c r="Z262" s="27"/>
      <c r="AA262" s="15"/>
      <c r="AB262" s="17"/>
      <c r="AC262" s="17"/>
      <c r="AD262" s="17"/>
      <c r="AE262" s="90"/>
      <c r="AF262" s="82" t="str">
        <f t="shared" si="73"/>
        <v/>
      </c>
      <c r="AG262" s="83" t="str">
        <f t="shared" si="74"/>
        <v/>
      </c>
      <c r="AH262" s="82" t="str">
        <f t="shared" si="75"/>
        <v/>
      </c>
      <c r="AI262" s="82" t="str">
        <f t="shared" si="76"/>
        <v/>
      </c>
      <c r="AJ262" s="90"/>
      <c r="AP262" s="88"/>
    </row>
    <row r="263" spans="1:42" x14ac:dyDescent="0.25">
      <c r="A263" s="2"/>
      <c r="C263" s="68" t="str" cm="1">
        <f t="array" ref="C263">IF(AF263&lt;&gt;"",
IFERROR(INDEX('LaunchPad Markbook'!A:A,MATCH(AH263,'LaunchPad Markbook'!D:D,0),0),"-"),"")</f>
        <v/>
      </c>
      <c r="D263" s="27"/>
      <c r="E263" s="27"/>
      <c r="F263" s="27"/>
      <c r="G263" s="14">
        <f>IF(OR(H263&gt;AB$2,I263&gt;AC$2,J263&gt;AD$2,
P263&gt;1,V263&gt;1,
L263&gt;'Group List A'!E$2,M263&gt;'Group List A'!F$2,N263&gt;'Group List A'!G$2,
R263&gt;'Group List B'!E$2,S263&gt;'Group List B'!F$2,T263&gt;'Group List B'!G$2),"Exceed",
IF(OR(H263=AB$2,I263=AC$2,J263=AD$2,
P263=1,V263=1,
L263='Group List A'!E$2,M263='Group List A'!F$2,N263='Group List A'!G$2,
R263='Group List B'!E$2,S263='Group List B'!F$2,T263='Group List B'!G$2),"Limit",0))</f>
        <v>0</v>
      </c>
      <c r="H263" s="29">
        <f t="shared" si="62"/>
        <v>0</v>
      </c>
      <c r="I263" s="29">
        <f t="shared" si="63"/>
        <v>0</v>
      </c>
      <c r="J263" s="29">
        <f t="shared" si="64"/>
        <v>0</v>
      </c>
      <c r="K263" s="32" t="str" cm="1">
        <f t="array" ref="K263">IF(AF263&lt;&gt;"",IFERROR(INDEX('Group List A'!B:B,MATCH(AI263,'Group List A'!A:A,0),0),"-"),"")</f>
        <v/>
      </c>
      <c r="L263" s="33">
        <f t="shared" si="65"/>
        <v>0</v>
      </c>
      <c r="M263" s="33">
        <f t="shared" si="66"/>
        <v>0</v>
      </c>
      <c r="N263" s="33">
        <f t="shared" si="67"/>
        <v>0</v>
      </c>
      <c r="O263" s="28"/>
      <c r="P263" s="33">
        <f t="shared" si="68"/>
        <v>0</v>
      </c>
      <c r="Q263" s="35" t="str" cm="1">
        <f t="array" ref="Q263">IF(AF263&lt;&gt;"",IFERROR(INDEX('Group List B'!B:B,MATCH(AI263,'Group List B'!A:A,0),0),"-"),"")</f>
        <v/>
      </c>
      <c r="R263" s="36">
        <f t="shared" si="69"/>
        <v>0</v>
      </c>
      <c r="S263" s="36">
        <f t="shared" si="70"/>
        <v>0</v>
      </c>
      <c r="T263" s="36">
        <f t="shared" si="71"/>
        <v>0</v>
      </c>
      <c r="U263" s="28"/>
      <c r="V263" s="37">
        <f t="shared" si="72"/>
        <v>0</v>
      </c>
      <c r="W263" s="41"/>
      <c r="X263" s="27"/>
      <c r="Y263" s="27"/>
      <c r="Z263" s="27"/>
      <c r="AA263" s="15"/>
      <c r="AB263" s="17"/>
      <c r="AC263" s="17"/>
      <c r="AD263" s="17"/>
      <c r="AE263" s="90"/>
      <c r="AF263" s="82" t="str">
        <f t="shared" si="73"/>
        <v/>
      </c>
      <c r="AG263" s="83" t="str">
        <f t="shared" si="74"/>
        <v/>
      </c>
      <c r="AH263" s="82" t="str">
        <f t="shared" si="75"/>
        <v/>
      </c>
      <c r="AI263" s="82" t="str">
        <f t="shared" si="76"/>
        <v/>
      </c>
      <c r="AJ263" s="90"/>
      <c r="AP263" s="88"/>
    </row>
    <row r="264" spans="1:42" x14ac:dyDescent="0.25">
      <c r="A264" s="2"/>
      <c r="C264" s="68" t="str" cm="1">
        <f t="array" ref="C264">IF(AF264&lt;&gt;"",
IFERROR(INDEX('LaunchPad Markbook'!A:A,MATCH(AH264,'LaunchPad Markbook'!D:D,0),0),"-"),"")</f>
        <v/>
      </c>
      <c r="D264" s="27"/>
      <c r="E264" s="27"/>
      <c r="F264" s="27"/>
      <c r="G264" s="14">
        <f>IF(OR(H264&gt;AB$2,I264&gt;AC$2,J264&gt;AD$2,
P264&gt;1,V264&gt;1,
L264&gt;'Group List A'!E$2,M264&gt;'Group List A'!F$2,N264&gt;'Group List A'!G$2,
R264&gt;'Group List B'!E$2,S264&gt;'Group List B'!F$2,T264&gt;'Group List B'!G$2),"Exceed",
IF(OR(H264=AB$2,I264=AC$2,J264=AD$2,
P264=1,V264=1,
L264='Group List A'!E$2,M264='Group List A'!F$2,N264='Group List A'!G$2,
R264='Group List B'!E$2,S264='Group List B'!F$2,T264='Group List B'!G$2),"Limit",0))</f>
        <v>0</v>
      </c>
      <c r="H264" s="29">
        <f t="shared" si="62"/>
        <v>0</v>
      </c>
      <c r="I264" s="29">
        <f t="shared" si="63"/>
        <v>0</v>
      </c>
      <c r="J264" s="29">
        <f t="shared" si="64"/>
        <v>0</v>
      </c>
      <c r="K264" s="32" t="str" cm="1">
        <f t="array" ref="K264">IF(AF264&lt;&gt;"",IFERROR(INDEX('Group List A'!B:B,MATCH(AI264,'Group List A'!A:A,0),0),"-"),"")</f>
        <v/>
      </c>
      <c r="L264" s="33">
        <f t="shared" si="65"/>
        <v>0</v>
      </c>
      <c r="M264" s="33">
        <f t="shared" si="66"/>
        <v>0</v>
      </c>
      <c r="N264" s="33">
        <f t="shared" si="67"/>
        <v>0</v>
      </c>
      <c r="O264" s="28"/>
      <c r="P264" s="33">
        <f t="shared" si="68"/>
        <v>0</v>
      </c>
      <c r="Q264" s="35" t="str" cm="1">
        <f t="array" ref="Q264">IF(AF264&lt;&gt;"",IFERROR(INDEX('Group List B'!B:B,MATCH(AI264,'Group List B'!A:A,0),0),"-"),"")</f>
        <v/>
      </c>
      <c r="R264" s="36">
        <f t="shared" si="69"/>
        <v>0</v>
      </c>
      <c r="S264" s="36">
        <f t="shared" si="70"/>
        <v>0</v>
      </c>
      <c r="T264" s="36">
        <f t="shared" si="71"/>
        <v>0</v>
      </c>
      <c r="U264" s="28"/>
      <c r="V264" s="37">
        <f t="shared" si="72"/>
        <v>0</v>
      </c>
      <c r="W264" s="41"/>
      <c r="X264" s="27"/>
      <c r="Y264" s="27"/>
      <c r="Z264" s="27"/>
      <c r="AA264" s="15"/>
      <c r="AB264" s="17"/>
      <c r="AC264" s="17"/>
      <c r="AD264" s="17"/>
      <c r="AE264" s="90"/>
      <c r="AF264" s="82" t="str">
        <f t="shared" si="73"/>
        <v/>
      </c>
      <c r="AG264" s="83" t="str">
        <f t="shared" si="74"/>
        <v/>
      </c>
      <c r="AH264" s="82" t="str">
        <f t="shared" si="75"/>
        <v/>
      </c>
      <c r="AI264" s="82" t="str">
        <f t="shared" si="76"/>
        <v/>
      </c>
      <c r="AJ264" s="90"/>
      <c r="AP264" s="88"/>
    </row>
    <row r="265" spans="1:42" x14ac:dyDescent="0.25">
      <c r="A265" s="2"/>
      <c r="C265" s="68" t="str" cm="1">
        <f t="array" ref="C265">IF(AF265&lt;&gt;"",
IFERROR(INDEX('LaunchPad Markbook'!A:A,MATCH(AH265,'LaunchPad Markbook'!D:D,0),0),"-"),"")</f>
        <v/>
      </c>
      <c r="D265" s="27"/>
      <c r="E265" s="27"/>
      <c r="F265" s="27"/>
      <c r="G265" s="14">
        <f>IF(OR(H265&gt;AB$2,I265&gt;AC$2,J265&gt;AD$2,
P265&gt;1,V265&gt;1,
L265&gt;'Group List A'!E$2,M265&gt;'Group List A'!F$2,N265&gt;'Group List A'!G$2,
R265&gt;'Group List B'!E$2,S265&gt;'Group List B'!F$2,T265&gt;'Group List B'!G$2),"Exceed",
IF(OR(H265=AB$2,I265=AC$2,J265=AD$2,
P265=1,V265=1,
L265='Group List A'!E$2,M265='Group List A'!F$2,N265='Group List A'!G$2,
R265='Group List B'!E$2,S265='Group List B'!F$2,T265='Group List B'!G$2),"Limit",0))</f>
        <v>0</v>
      </c>
      <c r="H265" s="29">
        <f t="shared" si="62"/>
        <v>0</v>
      </c>
      <c r="I265" s="29">
        <f t="shared" si="63"/>
        <v>0</v>
      </c>
      <c r="J265" s="29">
        <f t="shared" si="64"/>
        <v>0</v>
      </c>
      <c r="K265" s="32" t="str" cm="1">
        <f t="array" ref="K265">IF(AF265&lt;&gt;"",IFERROR(INDEX('Group List A'!B:B,MATCH(AI265,'Group List A'!A:A,0),0),"-"),"")</f>
        <v/>
      </c>
      <c r="L265" s="33">
        <f t="shared" si="65"/>
        <v>0</v>
      </c>
      <c r="M265" s="33">
        <f t="shared" si="66"/>
        <v>0</v>
      </c>
      <c r="N265" s="33">
        <f t="shared" si="67"/>
        <v>0</v>
      </c>
      <c r="O265" s="28"/>
      <c r="P265" s="33">
        <f t="shared" si="68"/>
        <v>0</v>
      </c>
      <c r="Q265" s="35" t="str" cm="1">
        <f t="array" ref="Q265">IF(AF265&lt;&gt;"",IFERROR(INDEX('Group List B'!B:B,MATCH(AI265,'Group List B'!A:A,0),0),"-"),"")</f>
        <v/>
      </c>
      <c r="R265" s="36">
        <f t="shared" si="69"/>
        <v>0</v>
      </c>
      <c r="S265" s="36">
        <f t="shared" si="70"/>
        <v>0</v>
      </c>
      <c r="T265" s="36">
        <f t="shared" si="71"/>
        <v>0</v>
      </c>
      <c r="U265" s="28"/>
      <c r="V265" s="37">
        <f t="shared" si="72"/>
        <v>0</v>
      </c>
      <c r="W265" s="41"/>
      <c r="X265" s="27"/>
      <c r="Y265" s="27"/>
      <c r="Z265" s="27"/>
      <c r="AA265" s="15"/>
      <c r="AB265" s="17"/>
      <c r="AC265" s="17"/>
      <c r="AD265" s="17"/>
      <c r="AE265" s="90"/>
      <c r="AF265" s="82" t="str">
        <f t="shared" si="73"/>
        <v/>
      </c>
      <c r="AG265" s="83" t="str">
        <f t="shared" si="74"/>
        <v/>
      </c>
      <c r="AH265" s="82" t="str">
        <f t="shared" si="75"/>
        <v/>
      </c>
      <c r="AI265" s="82" t="str">
        <f t="shared" si="76"/>
        <v/>
      </c>
      <c r="AJ265" s="90"/>
      <c r="AP265" s="88"/>
    </row>
    <row r="266" spans="1:42" x14ac:dyDescent="0.25">
      <c r="A266" s="2"/>
      <c r="C266" s="68" t="str" cm="1">
        <f t="array" ref="C266">IF(AF266&lt;&gt;"",
IFERROR(INDEX('LaunchPad Markbook'!A:A,MATCH(AH266,'LaunchPad Markbook'!D:D,0),0),"-"),"")</f>
        <v/>
      </c>
      <c r="D266" s="27"/>
      <c r="E266" s="27"/>
      <c r="F266" s="27"/>
      <c r="G266" s="14">
        <f>IF(OR(H266&gt;AB$2,I266&gt;AC$2,J266&gt;AD$2,
P266&gt;1,V266&gt;1,
L266&gt;'Group List A'!E$2,M266&gt;'Group List A'!F$2,N266&gt;'Group List A'!G$2,
R266&gt;'Group List B'!E$2,S266&gt;'Group List B'!F$2,T266&gt;'Group List B'!G$2),"Exceed",
IF(OR(H266=AB$2,I266=AC$2,J266=AD$2,
P266=1,V266=1,
L266='Group List A'!E$2,M266='Group List A'!F$2,N266='Group List A'!G$2,
R266='Group List B'!E$2,S266='Group List B'!F$2,T266='Group List B'!G$2),"Limit",0))</f>
        <v>0</v>
      </c>
      <c r="H266" s="29">
        <f t="shared" si="62"/>
        <v>0</v>
      </c>
      <c r="I266" s="29">
        <f t="shared" si="63"/>
        <v>0</v>
      </c>
      <c r="J266" s="29">
        <f t="shared" si="64"/>
        <v>0</v>
      </c>
      <c r="K266" s="32" t="str" cm="1">
        <f t="array" ref="K266">IF(AF266&lt;&gt;"",IFERROR(INDEX('Group List A'!B:B,MATCH(AI266,'Group List A'!A:A,0),0),"-"),"")</f>
        <v/>
      </c>
      <c r="L266" s="33">
        <f t="shared" si="65"/>
        <v>0</v>
      </c>
      <c r="M266" s="33">
        <f t="shared" si="66"/>
        <v>0</v>
      </c>
      <c r="N266" s="33">
        <f t="shared" si="67"/>
        <v>0</v>
      </c>
      <c r="O266" s="28"/>
      <c r="P266" s="33">
        <f t="shared" si="68"/>
        <v>0</v>
      </c>
      <c r="Q266" s="35" t="str" cm="1">
        <f t="array" ref="Q266">IF(AF266&lt;&gt;"",IFERROR(INDEX('Group List B'!B:B,MATCH(AI266,'Group List B'!A:A,0),0),"-"),"")</f>
        <v/>
      </c>
      <c r="R266" s="36">
        <f t="shared" si="69"/>
        <v>0</v>
      </c>
      <c r="S266" s="36">
        <f t="shared" si="70"/>
        <v>0</v>
      </c>
      <c r="T266" s="36">
        <f t="shared" si="71"/>
        <v>0</v>
      </c>
      <c r="U266" s="28"/>
      <c r="V266" s="37">
        <f t="shared" si="72"/>
        <v>0</v>
      </c>
      <c r="W266" s="41"/>
      <c r="X266" s="27"/>
      <c r="Y266" s="27"/>
      <c r="Z266" s="27"/>
      <c r="AA266" s="15"/>
      <c r="AB266" s="17"/>
      <c r="AC266" s="17"/>
      <c r="AD266" s="17"/>
      <c r="AE266" s="90"/>
      <c r="AF266" s="82" t="str">
        <f t="shared" si="73"/>
        <v/>
      </c>
      <c r="AG266" s="83" t="str">
        <f t="shared" si="74"/>
        <v/>
      </c>
      <c r="AH266" s="82" t="str">
        <f t="shared" si="75"/>
        <v/>
      </c>
      <c r="AI266" s="82" t="str">
        <f t="shared" si="76"/>
        <v/>
      </c>
      <c r="AJ266" s="90"/>
      <c r="AP266" s="88"/>
    </row>
    <row r="267" spans="1:42" x14ac:dyDescent="0.25">
      <c r="A267" s="2"/>
      <c r="C267" s="68" t="str" cm="1">
        <f t="array" ref="C267">IF(AF267&lt;&gt;"",
IFERROR(INDEX('LaunchPad Markbook'!A:A,MATCH(AH267,'LaunchPad Markbook'!D:D,0),0),"-"),"")</f>
        <v/>
      </c>
      <c r="D267" s="27"/>
      <c r="E267" s="27"/>
      <c r="F267" s="27"/>
      <c r="G267" s="14">
        <f>IF(OR(H267&gt;AB$2,I267&gt;AC$2,J267&gt;AD$2,
P267&gt;1,V267&gt;1,
L267&gt;'Group List A'!E$2,M267&gt;'Group List A'!F$2,N267&gt;'Group List A'!G$2,
R267&gt;'Group List B'!E$2,S267&gt;'Group List B'!F$2,T267&gt;'Group List B'!G$2),"Exceed",
IF(OR(H267=AB$2,I267=AC$2,J267=AD$2,
P267=1,V267=1,
L267='Group List A'!E$2,M267='Group List A'!F$2,N267='Group List A'!G$2,
R267='Group List B'!E$2,S267='Group List B'!F$2,T267='Group List B'!G$2),"Limit",0))</f>
        <v>0</v>
      </c>
      <c r="H267" s="29">
        <f t="shared" si="62"/>
        <v>0</v>
      </c>
      <c r="I267" s="29">
        <f t="shared" si="63"/>
        <v>0</v>
      </c>
      <c r="J267" s="29">
        <f t="shared" si="64"/>
        <v>0</v>
      </c>
      <c r="K267" s="32" t="str" cm="1">
        <f t="array" ref="K267">IF(AF267&lt;&gt;"",IFERROR(INDEX('Group List A'!B:B,MATCH(AI267,'Group List A'!A:A,0),0),"-"),"")</f>
        <v/>
      </c>
      <c r="L267" s="33">
        <f t="shared" si="65"/>
        <v>0</v>
      </c>
      <c r="M267" s="33">
        <f t="shared" si="66"/>
        <v>0</v>
      </c>
      <c r="N267" s="33">
        <f t="shared" si="67"/>
        <v>0</v>
      </c>
      <c r="O267" s="28"/>
      <c r="P267" s="33">
        <f t="shared" si="68"/>
        <v>0</v>
      </c>
      <c r="Q267" s="35" t="str" cm="1">
        <f t="array" ref="Q267">IF(AF267&lt;&gt;"",IFERROR(INDEX('Group List B'!B:B,MATCH(AI267,'Group List B'!A:A,0),0),"-"),"")</f>
        <v/>
      </c>
      <c r="R267" s="36">
        <f t="shared" si="69"/>
        <v>0</v>
      </c>
      <c r="S267" s="36">
        <f t="shared" si="70"/>
        <v>0</v>
      </c>
      <c r="T267" s="36">
        <f t="shared" si="71"/>
        <v>0</v>
      </c>
      <c r="U267" s="28"/>
      <c r="V267" s="37">
        <f t="shared" si="72"/>
        <v>0</v>
      </c>
      <c r="W267" s="41"/>
      <c r="X267" s="27"/>
      <c r="Y267" s="27"/>
      <c r="Z267" s="27"/>
      <c r="AA267" s="15"/>
      <c r="AB267" s="17"/>
      <c r="AC267" s="17"/>
      <c r="AD267" s="17"/>
      <c r="AE267" s="90"/>
      <c r="AF267" s="82" t="str">
        <f t="shared" si="73"/>
        <v/>
      </c>
      <c r="AG267" s="83" t="str">
        <f t="shared" si="74"/>
        <v/>
      </c>
      <c r="AH267" s="82" t="str">
        <f t="shared" si="75"/>
        <v/>
      </c>
      <c r="AI267" s="82" t="str">
        <f t="shared" si="76"/>
        <v/>
      </c>
      <c r="AJ267" s="90"/>
      <c r="AP267" s="88"/>
    </row>
    <row r="268" spans="1:42" x14ac:dyDescent="0.25">
      <c r="A268" s="2"/>
      <c r="C268" s="68" t="str" cm="1">
        <f t="array" ref="C268">IF(AF268&lt;&gt;"",
IFERROR(INDEX('LaunchPad Markbook'!A:A,MATCH(AH268,'LaunchPad Markbook'!D:D,0),0),"-"),"")</f>
        <v/>
      </c>
      <c r="D268" s="27"/>
      <c r="E268" s="27"/>
      <c r="F268" s="27"/>
      <c r="G268" s="14">
        <f>IF(OR(H268&gt;AB$2,I268&gt;AC$2,J268&gt;AD$2,
P268&gt;1,V268&gt;1,
L268&gt;'Group List A'!E$2,M268&gt;'Group List A'!F$2,N268&gt;'Group List A'!G$2,
R268&gt;'Group List B'!E$2,S268&gt;'Group List B'!F$2,T268&gt;'Group List B'!G$2),"Exceed",
IF(OR(H268=AB$2,I268=AC$2,J268=AD$2,
P268=1,V268=1,
L268='Group List A'!E$2,M268='Group List A'!F$2,N268='Group List A'!G$2,
R268='Group List B'!E$2,S268='Group List B'!F$2,T268='Group List B'!G$2),"Limit",0))</f>
        <v>0</v>
      </c>
      <c r="H268" s="29">
        <f t="shared" si="62"/>
        <v>0</v>
      </c>
      <c r="I268" s="29">
        <f t="shared" si="63"/>
        <v>0</v>
      </c>
      <c r="J268" s="29">
        <f t="shared" si="64"/>
        <v>0</v>
      </c>
      <c r="K268" s="32" t="str" cm="1">
        <f t="array" ref="K268">IF(AF268&lt;&gt;"",IFERROR(INDEX('Group List A'!B:B,MATCH(AI268,'Group List A'!A:A,0),0),"-"),"")</f>
        <v/>
      </c>
      <c r="L268" s="33">
        <f t="shared" si="65"/>
        <v>0</v>
      </c>
      <c r="M268" s="33">
        <f t="shared" si="66"/>
        <v>0</v>
      </c>
      <c r="N268" s="33">
        <f t="shared" si="67"/>
        <v>0</v>
      </c>
      <c r="O268" s="28"/>
      <c r="P268" s="33">
        <f t="shared" si="68"/>
        <v>0</v>
      </c>
      <c r="Q268" s="35" t="str" cm="1">
        <f t="array" ref="Q268">IF(AF268&lt;&gt;"",IFERROR(INDEX('Group List B'!B:B,MATCH(AI268,'Group List B'!A:A,0),0),"-"),"")</f>
        <v/>
      </c>
      <c r="R268" s="36">
        <f t="shared" si="69"/>
        <v>0</v>
      </c>
      <c r="S268" s="36">
        <f t="shared" si="70"/>
        <v>0</v>
      </c>
      <c r="T268" s="36">
        <f t="shared" si="71"/>
        <v>0</v>
      </c>
      <c r="U268" s="28"/>
      <c r="V268" s="37">
        <f t="shared" si="72"/>
        <v>0</v>
      </c>
      <c r="W268" s="41"/>
      <c r="X268" s="27"/>
      <c r="Y268" s="27"/>
      <c r="Z268" s="27"/>
      <c r="AA268" s="15"/>
      <c r="AB268" s="17"/>
      <c r="AC268" s="17"/>
      <c r="AD268" s="17"/>
      <c r="AE268" s="90"/>
      <c r="AF268" s="82" t="str">
        <f t="shared" si="73"/>
        <v/>
      </c>
      <c r="AG268" s="83" t="str">
        <f t="shared" si="74"/>
        <v/>
      </c>
      <c r="AH268" s="82" t="str">
        <f t="shared" si="75"/>
        <v/>
      </c>
      <c r="AI268" s="82" t="str">
        <f t="shared" si="76"/>
        <v/>
      </c>
      <c r="AJ268" s="90"/>
      <c r="AP268" s="88"/>
    </row>
    <row r="269" spans="1:42" x14ac:dyDescent="0.25">
      <c r="A269" s="2"/>
      <c r="C269" s="68" t="str" cm="1">
        <f t="array" ref="C269">IF(AF269&lt;&gt;"",
IFERROR(INDEX('LaunchPad Markbook'!A:A,MATCH(AH269,'LaunchPad Markbook'!D:D,0),0),"-"),"")</f>
        <v/>
      </c>
      <c r="D269" s="27"/>
      <c r="E269" s="27"/>
      <c r="F269" s="27"/>
      <c r="G269" s="14">
        <f>IF(OR(H269&gt;AB$2,I269&gt;AC$2,J269&gt;AD$2,
P269&gt;1,V269&gt;1,
L269&gt;'Group List A'!E$2,M269&gt;'Group List A'!F$2,N269&gt;'Group List A'!G$2,
R269&gt;'Group List B'!E$2,S269&gt;'Group List B'!F$2,T269&gt;'Group List B'!G$2),"Exceed",
IF(OR(H269=AB$2,I269=AC$2,J269=AD$2,
P269=1,V269=1,
L269='Group List A'!E$2,M269='Group List A'!F$2,N269='Group List A'!G$2,
R269='Group List B'!E$2,S269='Group List B'!F$2,T269='Group List B'!G$2),"Limit",0))</f>
        <v>0</v>
      </c>
      <c r="H269" s="29">
        <f t="shared" si="62"/>
        <v>0</v>
      </c>
      <c r="I269" s="29">
        <f t="shared" si="63"/>
        <v>0</v>
      </c>
      <c r="J269" s="29">
        <f t="shared" si="64"/>
        <v>0</v>
      </c>
      <c r="K269" s="32" t="str" cm="1">
        <f t="array" ref="K269">IF(AF269&lt;&gt;"",IFERROR(INDEX('Group List A'!B:B,MATCH(AI269,'Group List A'!A:A,0),0),"-"),"")</f>
        <v/>
      </c>
      <c r="L269" s="33">
        <f t="shared" si="65"/>
        <v>0</v>
      </c>
      <c r="M269" s="33">
        <f t="shared" si="66"/>
        <v>0</v>
      </c>
      <c r="N269" s="33">
        <f t="shared" si="67"/>
        <v>0</v>
      </c>
      <c r="O269" s="28"/>
      <c r="P269" s="33">
        <f t="shared" si="68"/>
        <v>0</v>
      </c>
      <c r="Q269" s="35" t="str" cm="1">
        <f t="array" ref="Q269">IF(AF269&lt;&gt;"",IFERROR(INDEX('Group List B'!B:B,MATCH(AI269,'Group List B'!A:A,0),0),"-"),"")</f>
        <v/>
      </c>
      <c r="R269" s="36">
        <f t="shared" si="69"/>
        <v>0</v>
      </c>
      <c r="S269" s="36">
        <f t="shared" si="70"/>
        <v>0</v>
      </c>
      <c r="T269" s="36">
        <f t="shared" si="71"/>
        <v>0</v>
      </c>
      <c r="U269" s="28"/>
      <c r="V269" s="37">
        <f t="shared" si="72"/>
        <v>0</v>
      </c>
      <c r="W269" s="41"/>
      <c r="X269" s="27"/>
      <c r="Y269" s="27"/>
      <c r="Z269" s="27"/>
      <c r="AA269" s="15"/>
      <c r="AB269" s="17"/>
      <c r="AC269" s="17"/>
      <c r="AD269" s="17"/>
      <c r="AE269" s="90"/>
      <c r="AF269" s="82" t="str">
        <f t="shared" si="73"/>
        <v/>
      </c>
      <c r="AG269" s="83" t="str">
        <f t="shared" si="74"/>
        <v/>
      </c>
      <c r="AH269" s="82" t="str">
        <f t="shared" si="75"/>
        <v/>
      </c>
      <c r="AI269" s="82" t="str">
        <f t="shared" si="76"/>
        <v/>
      </c>
      <c r="AJ269" s="90"/>
      <c r="AP269" s="88"/>
    </row>
    <row r="270" spans="1:42" x14ac:dyDescent="0.25">
      <c r="A270" s="2"/>
      <c r="C270" s="68" t="str" cm="1">
        <f t="array" ref="C270">IF(AF270&lt;&gt;"",
IFERROR(INDEX('LaunchPad Markbook'!A:A,MATCH(AH270,'LaunchPad Markbook'!D:D,0),0),"-"),"")</f>
        <v/>
      </c>
      <c r="D270" s="27"/>
      <c r="E270" s="27"/>
      <c r="F270" s="27"/>
      <c r="G270" s="14">
        <f>IF(OR(H270&gt;AB$2,I270&gt;AC$2,J270&gt;AD$2,
P270&gt;1,V270&gt;1,
L270&gt;'Group List A'!E$2,M270&gt;'Group List A'!F$2,N270&gt;'Group List A'!G$2,
R270&gt;'Group List B'!E$2,S270&gt;'Group List B'!F$2,T270&gt;'Group List B'!G$2),"Exceed",
IF(OR(H270=AB$2,I270=AC$2,J270=AD$2,
P270=1,V270=1,
L270='Group List A'!E$2,M270='Group List A'!F$2,N270='Group List A'!G$2,
R270='Group List B'!E$2,S270='Group List B'!F$2,T270='Group List B'!G$2),"Limit",0))</f>
        <v>0</v>
      </c>
      <c r="H270" s="29">
        <f t="shared" si="62"/>
        <v>0</v>
      </c>
      <c r="I270" s="29">
        <f t="shared" si="63"/>
        <v>0</v>
      </c>
      <c r="J270" s="29">
        <f t="shared" si="64"/>
        <v>0</v>
      </c>
      <c r="K270" s="32" t="str" cm="1">
        <f t="array" ref="K270">IF(AF270&lt;&gt;"",IFERROR(INDEX('Group List A'!B:B,MATCH(AI270,'Group List A'!A:A,0),0),"-"),"")</f>
        <v/>
      </c>
      <c r="L270" s="33">
        <f t="shared" si="65"/>
        <v>0</v>
      </c>
      <c r="M270" s="33">
        <f t="shared" si="66"/>
        <v>0</v>
      </c>
      <c r="N270" s="33">
        <f t="shared" si="67"/>
        <v>0</v>
      </c>
      <c r="O270" s="28"/>
      <c r="P270" s="33">
        <f t="shared" si="68"/>
        <v>0</v>
      </c>
      <c r="Q270" s="35" t="str" cm="1">
        <f t="array" ref="Q270">IF(AF270&lt;&gt;"",IFERROR(INDEX('Group List B'!B:B,MATCH(AI270,'Group List B'!A:A,0),0),"-"),"")</f>
        <v/>
      </c>
      <c r="R270" s="36">
        <f t="shared" si="69"/>
        <v>0</v>
      </c>
      <c r="S270" s="36">
        <f t="shared" si="70"/>
        <v>0</v>
      </c>
      <c r="T270" s="36">
        <f t="shared" si="71"/>
        <v>0</v>
      </c>
      <c r="U270" s="28"/>
      <c r="V270" s="37">
        <f t="shared" si="72"/>
        <v>0</v>
      </c>
      <c r="W270" s="41"/>
      <c r="X270" s="27"/>
      <c r="Y270" s="27"/>
      <c r="Z270" s="27"/>
      <c r="AA270" s="15"/>
      <c r="AB270" s="17"/>
      <c r="AC270" s="17"/>
      <c r="AD270" s="17"/>
      <c r="AE270" s="90"/>
      <c r="AF270" s="82" t="str">
        <f t="shared" si="73"/>
        <v/>
      </c>
      <c r="AG270" s="83" t="str">
        <f t="shared" si="74"/>
        <v/>
      </c>
      <c r="AH270" s="82" t="str">
        <f t="shared" si="75"/>
        <v/>
      </c>
      <c r="AI270" s="82" t="str">
        <f t="shared" si="76"/>
        <v/>
      </c>
      <c r="AJ270" s="90"/>
      <c r="AP270" s="88"/>
    </row>
    <row r="271" spans="1:42" x14ac:dyDescent="0.25">
      <c r="A271" s="2"/>
      <c r="C271" s="68" t="str" cm="1">
        <f t="array" ref="C271">IF(AF271&lt;&gt;"",
IFERROR(INDEX('LaunchPad Markbook'!A:A,MATCH(AH271,'LaunchPad Markbook'!D:D,0),0),"-"),"")</f>
        <v/>
      </c>
      <c r="D271" s="27"/>
      <c r="E271" s="27"/>
      <c r="F271" s="27"/>
      <c r="G271" s="14">
        <f>IF(OR(H271&gt;AB$2,I271&gt;AC$2,J271&gt;AD$2,
P271&gt;1,V271&gt;1,
L271&gt;'Group List A'!E$2,M271&gt;'Group List A'!F$2,N271&gt;'Group List A'!G$2,
R271&gt;'Group List B'!E$2,S271&gt;'Group List B'!F$2,T271&gt;'Group List B'!G$2),"Exceed",
IF(OR(H271=AB$2,I271=AC$2,J271=AD$2,
P271=1,V271=1,
L271='Group List A'!E$2,M271='Group List A'!F$2,N271='Group List A'!G$2,
R271='Group List B'!E$2,S271='Group List B'!F$2,T271='Group List B'!G$2),"Limit",0))</f>
        <v>0</v>
      </c>
      <c r="H271" s="29">
        <f t="shared" si="62"/>
        <v>0</v>
      </c>
      <c r="I271" s="29">
        <f t="shared" si="63"/>
        <v>0</v>
      </c>
      <c r="J271" s="29">
        <f t="shared" si="64"/>
        <v>0</v>
      </c>
      <c r="K271" s="32" t="str" cm="1">
        <f t="array" ref="K271">IF(AF271&lt;&gt;"",IFERROR(INDEX('Group List A'!B:B,MATCH(AI271,'Group List A'!A:A,0),0),"-"),"")</f>
        <v/>
      </c>
      <c r="L271" s="33">
        <f t="shared" si="65"/>
        <v>0</v>
      </c>
      <c r="M271" s="33">
        <f t="shared" si="66"/>
        <v>0</v>
      </c>
      <c r="N271" s="33">
        <f t="shared" si="67"/>
        <v>0</v>
      </c>
      <c r="O271" s="28"/>
      <c r="P271" s="33">
        <f t="shared" si="68"/>
        <v>0</v>
      </c>
      <c r="Q271" s="35" t="str" cm="1">
        <f t="array" ref="Q271">IF(AF271&lt;&gt;"",IFERROR(INDEX('Group List B'!B:B,MATCH(AI271,'Group List B'!A:A,0),0),"-"),"")</f>
        <v/>
      </c>
      <c r="R271" s="36">
        <f t="shared" si="69"/>
        <v>0</v>
      </c>
      <c r="S271" s="36">
        <f t="shared" si="70"/>
        <v>0</v>
      </c>
      <c r="T271" s="36">
        <f t="shared" si="71"/>
        <v>0</v>
      </c>
      <c r="U271" s="28"/>
      <c r="V271" s="37">
        <f t="shared" si="72"/>
        <v>0</v>
      </c>
      <c r="W271" s="41"/>
      <c r="X271" s="27"/>
      <c r="Y271" s="27"/>
      <c r="Z271" s="27"/>
      <c r="AA271" s="15"/>
      <c r="AB271" s="17"/>
      <c r="AC271" s="17"/>
      <c r="AD271" s="17"/>
      <c r="AE271" s="90"/>
      <c r="AF271" s="82" t="str">
        <f t="shared" si="73"/>
        <v/>
      </c>
      <c r="AG271" s="83" t="str">
        <f t="shared" si="74"/>
        <v/>
      </c>
      <c r="AH271" s="82" t="str">
        <f t="shared" si="75"/>
        <v/>
      </c>
      <c r="AI271" s="82" t="str">
        <f t="shared" si="76"/>
        <v/>
      </c>
      <c r="AJ271" s="90"/>
      <c r="AP271" s="88"/>
    </row>
    <row r="272" spans="1:42" x14ac:dyDescent="0.25">
      <c r="A272" s="2"/>
      <c r="C272" s="68" t="str" cm="1">
        <f t="array" ref="C272">IF(AF272&lt;&gt;"",
IFERROR(INDEX('LaunchPad Markbook'!A:A,MATCH(AH272,'LaunchPad Markbook'!D:D,0),0),"-"),"")</f>
        <v/>
      </c>
      <c r="D272" s="27"/>
      <c r="E272" s="27"/>
      <c r="F272" s="27"/>
      <c r="G272" s="14">
        <f>IF(OR(H272&gt;AB$2,I272&gt;AC$2,J272&gt;AD$2,
P272&gt;1,V272&gt;1,
L272&gt;'Group List A'!E$2,M272&gt;'Group List A'!F$2,N272&gt;'Group List A'!G$2,
R272&gt;'Group List B'!E$2,S272&gt;'Group List B'!F$2,T272&gt;'Group List B'!G$2),"Exceed",
IF(OR(H272=AB$2,I272=AC$2,J272=AD$2,
P272=1,V272=1,
L272='Group List A'!E$2,M272='Group List A'!F$2,N272='Group List A'!G$2,
R272='Group List B'!E$2,S272='Group List B'!F$2,T272='Group List B'!G$2),"Limit",0))</f>
        <v>0</v>
      </c>
      <c r="H272" s="29">
        <f t="shared" si="62"/>
        <v>0</v>
      </c>
      <c r="I272" s="29">
        <f t="shared" si="63"/>
        <v>0</v>
      </c>
      <c r="J272" s="29">
        <f t="shared" si="64"/>
        <v>0</v>
      </c>
      <c r="K272" s="32" t="str" cm="1">
        <f t="array" ref="K272">IF(AF272&lt;&gt;"",IFERROR(INDEX('Group List A'!B:B,MATCH(AI272,'Group List A'!A:A,0),0),"-"),"")</f>
        <v/>
      </c>
      <c r="L272" s="33">
        <f t="shared" si="65"/>
        <v>0</v>
      </c>
      <c r="M272" s="33">
        <f t="shared" si="66"/>
        <v>0</v>
      </c>
      <c r="N272" s="33">
        <f t="shared" si="67"/>
        <v>0</v>
      </c>
      <c r="O272" s="28"/>
      <c r="P272" s="33">
        <f t="shared" si="68"/>
        <v>0</v>
      </c>
      <c r="Q272" s="35" t="str" cm="1">
        <f t="array" ref="Q272">IF(AF272&lt;&gt;"",IFERROR(INDEX('Group List B'!B:B,MATCH(AI272,'Group List B'!A:A,0),0),"-"),"")</f>
        <v/>
      </c>
      <c r="R272" s="36">
        <f t="shared" si="69"/>
        <v>0</v>
      </c>
      <c r="S272" s="36">
        <f t="shared" si="70"/>
        <v>0</v>
      </c>
      <c r="T272" s="36">
        <f t="shared" si="71"/>
        <v>0</v>
      </c>
      <c r="U272" s="28"/>
      <c r="V272" s="37">
        <f t="shared" si="72"/>
        <v>0</v>
      </c>
      <c r="W272" s="41"/>
      <c r="X272" s="27"/>
      <c r="Y272" s="27"/>
      <c r="Z272" s="27"/>
      <c r="AA272" s="15"/>
      <c r="AB272" s="17"/>
      <c r="AC272" s="17"/>
      <c r="AD272" s="17"/>
      <c r="AE272" s="90"/>
      <c r="AF272" s="82" t="str">
        <f t="shared" si="73"/>
        <v/>
      </c>
      <c r="AG272" s="83" t="str">
        <f t="shared" si="74"/>
        <v/>
      </c>
      <c r="AH272" s="82" t="str">
        <f t="shared" si="75"/>
        <v/>
      </c>
      <c r="AI272" s="82" t="str">
        <f t="shared" si="76"/>
        <v/>
      </c>
      <c r="AJ272" s="90"/>
      <c r="AP272" s="88"/>
    </row>
    <row r="273" spans="1:42" x14ac:dyDescent="0.25">
      <c r="A273" s="2"/>
      <c r="C273" s="68" t="str" cm="1">
        <f t="array" ref="C273">IF(AF273&lt;&gt;"",
IFERROR(INDEX('LaunchPad Markbook'!A:A,MATCH(AH273,'LaunchPad Markbook'!D:D,0),0),"-"),"")</f>
        <v/>
      </c>
      <c r="D273" s="27"/>
      <c r="E273" s="27"/>
      <c r="F273" s="27"/>
      <c r="G273" s="14">
        <f>IF(OR(H273&gt;AB$2,I273&gt;AC$2,J273&gt;AD$2,
P273&gt;1,V273&gt;1,
L273&gt;'Group List A'!E$2,M273&gt;'Group List A'!F$2,N273&gt;'Group List A'!G$2,
R273&gt;'Group List B'!E$2,S273&gt;'Group List B'!F$2,T273&gt;'Group List B'!G$2),"Exceed",
IF(OR(H273=AB$2,I273=AC$2,J273=AD$2,
P273=1,V273=1,
L273='Group List A'!E$2,M273='Group List A'!F$2,N273='Group List A'!G$2,
R273='Group List B'!E$2,S273='Group List B'!F$2,T273='Group List B'!G$2),"Limit",0))</f>
        <v>0</v>
      </c>
      <c r="H273" s="29">
        <f t="shared" si="62"/>
        <v>0</v>
      </c>
      <c r="I273" s="29">
        <f t="shared" si="63"/>
        <v>0</v>
      </c>
      <c r="J273" s="29">
        <f t="shared" si="64"/>
        <v>0</v>
      </c>
      <c r="K273" s="32" t="str" cm="1">
        <f t="array" ref="K273">IF(AF273&lt;&gt;"",IFERROR(INDEX('Group List A'!B:B,MATCH(AI273,'Group List A'!A:A,0),0),"-"),"")</f>
        <v/>
      </c>
      <c r="L273" s="33">
        <f t="shared" si="65"/>
        <v>0</v>
      </c>
      <c r="M273" s="33">
        <f t="shared" si="66"/>
        <v>0</v>
      </c>
      <c r="N273" s="33">
        <f t="shared" si="67"/>
        <v>0</v>
      </c>
      <c r="O273" s="28"/>
      <c r="P273" s="33">
        <f t="shared" si="68"/>
        <v>0</v>
      </c>
      <c r="Q273" s="35" t="str" cm="1">
        <f t="array" ref="Q273">IF(AF273&lt;&gt;"",IFERROR(INDEX('Group List B'!B:B,MATCH(AI273,'Group List B'!A:A,0),0),"-"),"")</f>
        <v/>
      </c>
      <c r="R273" s="36">
        <f t="shared" si="69"/>
        <v>0</v>
      </c>
      <c r="S273" s="36">
        <f t="shared" si="70"/>
        <v>0</v>
      </c>
      <c r="T273" s="36">
        <f t="shared" si="71"/>
        <v>0</v>
      </c>
      <c r="U273" s="28"/>
      <c r="V273" s="37">
        <f t="shared" si="72"/>
        <v>0</v>
      </c>
      <c r="W273" s="41"/>
      <c r="X273" s="27"/>
      <c r="Y273" s="27"/>
      <c r="Z273" s="27"/>
      <c r="AA273" s="15"/>
      <c r="AB273" s="17"/>
      <c r="AC273" s="17"/>
      <c r="AD273" s="17"/>
      <c r="AE273" s="90"/>
      <c r="AF273" s="82" t="str">
        <f t="shared" si="73"/>
        <v/>
      </c>
      <c r="AG273" s="83" t="str">
        <f t="shared" si="74"/>
        <v/>
      </c>
      <c r="AH273" s="82" t="str">
        <f t="shared" si="75"/>
        <v/>
      </c>
      <c r="AI273" s="82" t="str">
        <f t="shared" si="76"/>
        <v/>
      </c>
      <c r="AJ273" s="90"/>
      <c r="AP273" s="88"/>
    </row>
    <row r="274" spans="1:42" x14ac:dyDescent="0.25">
      <c r="A274" s="2"/>
      <c r="C274" s="68" t="str" cm="1">
        <f t="array" ref="C274">IF(AF274&lt;&gt;"",
IFERROR(INDEX('LaunchPad Markbook'!A:A,MATCH(AH274,'LaunchPad Markbook'!D:D,0),0),"-"),"")</f>
        <v/>
      </c>
      <c r="D274" s="27"/>
      <c r="E274" s="27"/>
      <c r="F274" s="27"/>
      <c r="G274" s="14">
        <f>IF(OR(H274&gt;AB$2,I274&gt;AC$2,J274&gt;AD$2,
P274&gt;1,V274&gt;1,
L274&gt;'Group List A'!E$2,M274&gt;'Group List A'!F$2,N274&gt;'Group List A'!G$2,
R274&gt;'Group List B'!E$2,S274&gt;'Group List B'!F$2,T274&gt;'Group List B'!G$2),"Exceed",
IF(OR(H274=AB$2,I274=AC$2,J274=AD$2,
P274=1,V274=1,
L274='Group List A'!E$2,M274='Group List A'!F$2,N274='Group List A'!G$2,
R274='Group List B'!E$2,S274='Group List B'!F$2,T274='Group List B'!G$2),"Limit",0))</f>
        <v>0</v>
      </c>
      <c r="H274" s="29">
        <f t="shared" si="62"/>
        <v>0</v>
      </c>
      <c r="I274" s="29">
        <f t="shared" si="63"/>
        <v>0</v>
      </c>
      <c r="J274" s="29">
        <f t="shared" si="64"/>
        <v>0</v>
      </c>
      <c r="K274" s="32" t="str" cm="1">
        <f t="array" ref="K274">IF(AF274&lt;&gt;"",IFERROR(INDEX('Group List A'!B:B,MATCH(AI274,'Group List A'!A:A,0),0),"-"),"")</f>
        <v/>
      </c>
      <c r="L274" s="33">
        <f t="shared" si="65"/>
        <v>0</v>
      </c>
      <c r="M274" s="33">
        <f t="shared" si="66"/>
        <v>0</v>
      </c>
      <c r="N274" s="33">
        <f t="shared" si="67"/>
        <v>0</v>
      </c>
      <c r="O274" s="28"/>
      <c r="P274" s="33">
        <f t="shared" si="68"/>
        <v>0</v>
      </c>
      <c r="Q274" s="35" t="str" cm="1">
        <f t="array" ref="Q274">IF(AF274&lt;&gt;"",IFERROR(INDEX('Group List B'!B:B,MATCH(AI274,'Group List B'!A:A,0),0),"-"),"")</f>
        <v/>
      </c>
      <c r="R274" s="36">
        <f t="shared" si="69"/>
        <v>0</v>
      </c>
      <c r="S274" s="36">
        <f t="shared" si="70"/>
        <v>0</v>
      </c>
      <c r="T274" s="36">
        <f t="shared" si="71"/>
        <v>0</v>
      </c>
      <c r="U274" s="28"/>
      <c r="V274" s="37">
        <f t="shared" si="72"/>
        <v>0</v>
      </c>
      <c r="W274" s="41"/>
      <c r="X274" s="27"/>
      <c r="Y274" s="27"/>
      <c r="Z274" s="27"/>
      <c r="AA274" s="15"/>
      <c r="AB274" s="17"/>
      <c r="AC274" s="17"/>
      <c r="AD274" s="17"/>
      <c r="AE274" s="90"/>
      <c r="AF274" s="82" t="str">
        <f t="shared" si="73"/>
        <v/>
      </c>
      <c r="AG274" s="83" t="str">
        <f t="shared" si="74"/>
        <v/>
      </c>
      <c r="AH274" s="82" t="str">
        <f t="shared" si="75"/>
        <v/>
      </c>
      <c r="AI274" s="82" t="str">
        <f t="shared" si="76"/>
        <v/>
      </c>
      <c r="AJ274" s="90"/>
      <c r="AP274" s="88"/>
    </row>
    <row r="275" spans="1:42" x14ac:dyDescent="0.25">
      <c r="A275" s="2"/>
      <c r="C275" s="68" t="str" cm="1">
        <f t="array" ref="C275">IF(AF275&lt;&gt;"",
IFERROR(INDEX('LaunchPad Markbook'!A:A,MATCH(AH275,'LaunchPad Markbook'!D:D,0),0),"-"),"")</f>
        <v/>
      </c>
      <c r="D275" s="27"/>
      <c r="E275" s="27"/>
      <c r="F275" s="27"/>
      <c r="G275" s="14">
        <f>IF(OR(H275&gt;AB$2,I275&gt;AC$2,J275&gt;AD$2,
P275&gt;1,V275&gt;1,
L275&gt;'Group List A'!E$2,M275&gt;'Group List A'!F$2,N275&gt;'Group List A'!G$2,
R275&gt;'Group List B'!E$2,S275&gt;'Group List B'!F$2,T275&gt;'Group List B'!G$2),"Exceed",
IF(OR(H275=AB$2,I275=AC$2,J275=AD$2,
P275=1,V275=1,
L275='Group List A'!E$2,M275='Group List A'!F$2,N275='Group List A'!G$2,
R275='Group List B'!E$2,S275='Group List B'!F$2,T275='Group List B'!G$2),"Limit",0))</f>
        <v>0</v>
      </c>
      <c r="H275" s="29">
        <f t="shared" si="62"/>
        <v>0</v>
      </c>
      <c r="I275" s="29">
        <f t="shared" si="63"/>
        <v>0</v>
      </c>
      <c r="J275" s="29">
        <f t="shared" si="64"/>
        <v>0</v>
      </c>
      <c r="K275" s="32" t="str" cm="1">
        <f t="array" ref="K275">IF(AF275&lt;&gt;"",IFERROR(INDEX('Group List A'!B:B,MATCH(AI275,'Group List A'!A:A,0),0),"-"),"")</f>
        <v/>
      </c>
      <c r="L275" s="33">
        <f t="shared" si="65"/>
        <v>0</v>
      </c>
      <c r="M275" s="33">
        <f t="shared" si="66"/>
        <v>0</v>
      </c>
      <c r="N275" s="33">
        <f t="shared" si="67"/>
        <v>0</v>
      </c>
      <c r="O275" s="28"/>
      <c r="P275" s="33">
        <f t="shared" si="68"/>
        <v>0</v>
      </c>
      <c r="Q275" s="35" t="str" cm="1">
        <f t="array" ref="Q275">IF(AF275&lt;&gt;"",IFERROR(INDEX('Group List B'!B:B,MATCH(AI275,'Group List B'!A:A,0),0),"-"),"")</f>
        <v/>
      </c>
      <c r="R275" s="36">
        <f t="shared" si="69"/>
        <v>0</v>
      </c>
      <c r="S275" s="36">
        <f t="shared" si="70"/>
        <v>0</v>
      </c>
      <c r="T275" s="36">
        <f t="shared" si="71"/>
        <v>0</v>
      </c>
      <c r="U275" s="28"/>
      <c r="V275" s="37">
        <f t="shared" si="72"/>
        <v>0</v>
      </c>
      <c r="W275" s="41"/>
      <c r="X275" s="27"/>
      <c r="Y275" s="27"/>
      <c r="Z275" s="27"/>
      <c r="AA275" s="15"/>
      <c r="AB275" s="17"/>
      <c r="AC275" s="17"/>
      <c r="AD275" s="17"/>
      <c r="AE275" s="90"/>
      <c r="AF275" s="82" t="str">
        <f t="shared" si="73"/>
        <v/>
      </c>
      <c r="AG275" s="83" t="str">
        <f t="shared" si="74"/>
        <v/>
      </c>
      <c r="AH275" s="82" t="str">
        <f t="shared" si="75"/>
        <v/>
      </c>
      <c r="AI275" s="82" t="str">
        <f t="shared" si="76"/>
        <v/>
      </c>
      <c r="AJ275" s="90"/>
      <c r="AP275" s="88"/>
    </row>
    <row r="276" spans="1:42" x14ac:dyDescent="0.25">
      <c r="A276" s="2"/>
      <c r="C276" s="68" t="str" cm="1">
        <f t="array" ref="C276">IF(AF276&lt;&gt;"",
IFERROR(INDEX('LaunchPad Markbook'!A:A,MATCH(AH276,'LaunchPad Markbook'!D:D,0),0),"-"),"")</f>
        <v/>
      </c>
      <c r="D276" s="27"/>
      <c r="E276" s="27"/>
      <c r="F276" s="27"/>
      <c r="G276" s="14">
        <f>IF(OR(H276&gt;AB$2,I276&gt;AC$2,J276&gt;AD$2,
P276&gt;1,V276&gt;1,
L276&gt;'Group List A'!E$2,M276&gt;'Group List A'!F$2,N276&gt;'Group List A'!G$2,
R276&gt;'Group List B'!E$2,S276&gt;'Group List B'!F$2,T276&gt;'Group List B'!G$2),"Exceed",
IF(OR(H276=AB$2,I276=AC$2,J276=AD$2,
P276=1,V276=1,
L276='Group List A'!E$2,M276='Group List A'!F$2,N276='Group List A'!G$2,
R276='Group List B'!E$2,S276='Group List B'!F$2,T276='Group List B'!G$2),"Limit",0))</f>
        <v>0</v>
      </c>
      <c r="H276" s="29">
        <f t="shared" si="62"/>
        <v>0</v>
      </c>
      <c r="I276" s="29">
        <f t="shared" si="63"/>
        <v>0</v>
      </c>
      <c r="J276" s="29">
        <f t="shared" si="64"/>
        <v>0</v>
      </c>
      <c r="K276" s="32" t="str" cm="1">
        <f t="array" ref="K276">IF(AF276&lt;&gt;"",IFERROR(INDEX('Group List A'!B:B,MATCH(AI276,'Group List A'!A:A,0),0),"-"),"")</f>
        <v/>
      </c>
      <c r="L276" s="33">
        <f t="shared" si="65"/>
        <v>0</v>
      </c>
      <c r="M276" s="33">
        <f t="shared" si="66"/>
        <v>0</v>
      </c>
      <c r="N276" s="33">
        <f t="shared" si="67"/>
        <v>0</v>
      </c>
      <c r="O276" s="28"/>
      <c r="P276" s="33">
        <f t="shared" si="68"/>
        <v>0</v>
      </c>
      <c r="Q276" s="35" t="str" cm="1">
        <f t="array" ref="Q276">IF(AF276&lt;&gt;"",IFERROR(INDEX('Group List B'!B:B,MATCH(AI276,'Group List B'!A:A,0),0),"-"),"")</f>
        <v/>
      </c>
      <c r="R276" s="36">
        <f t="shared" si="69"/>
        <v>0</v>
      </c>
      <c r="S276" s="36">
        <f t="shared" si="70"/>
        <v>0</v>
      </c>
      <c r="T276" s="36">
        <f t="shared" si="71"/>
        <v>0</v>
      </c>
      <c r="U276" s="28"/>
      <c r="V276" s="37">
        <f t="shared" si="72"/>
        <v>0</v>
      </c>
      <c r="W276" s="41"/>
      <c r="X276" s="27"/>
      <c r="Y276" s="27"/>
      <c r="Z276" s="27"/>
      <c r="AA276" s="15"/>
      <c r="AB276" s="17"/>
      <c r="AC276" s="17"/>
      <c r="AD276" s="17"/>
      <c r="AE276" s="90"/>
      <c r="AF276" s="82" t="str">
        <f t="shared" si="73"/>
        <v/>
      </c>
      <c r="AG276" s="83" t="str">
        <f t="shared" si="74"/>
        <v/>
      </c>
      <c r="AH276" s="82" t="str">
        <f t="shared" si="75"/>
        <v/>
      </c>
      <c r="AI276" s="82" t="str">
        <f t="shared" si="76"/>
        <v/>
      </c>
      <c r="AJ276" s="90"/>
      <c r="AP276" s="88"/>
    </row>
    <row r="277" spans="1:42" x14ac:dyDescent="0.25">
      <c r="A277" s="2"/>
      <c r="C277" s="68" t="str" cm="1">
        <f t="array" ref="C277">IF(AF277&lt;&gt;"",
IFERROR(INDEX('LaunchPad Markbook'!A:A,MATCH(AH277,'LaunchPad Markbook'!D:D,0),0),"-"),"")</f>
        <v/>
      </c>
      <c r="D277" s="27"/>
      <c r="E277" s="27"/>
      <c r="F277" s="27"/>
      <c r="G277" s="14">
        <f>IF(OR(H277&gt;AB$2,I277&gt;AC$2,J277&gt;AD$2,
P277&gt;1,V277&gt;1,
L277&gt;'Group List A'!E$2,M277&gt;'Group List A'!F$2,N277&gt;'Group List A'!G$2,
R277&gt;'Group List B'!E$2,S277&gt;'Group List B'!F$2,T277&gt;'Group List B'!G$2),"Exceed",
IF(OR(H277=AB$2,I277=AC$2,J277=AD$2,
P277=1,V277=1,
L277='Group List A'!E$2,M277='Group List A'!F$2,N277='Group List A'!G$2,
R277='Group List B'!E$2,S277='Group List B'!F$2,T277='Group List B'!G$2),"Limit",0))</f>
        <v>0</v>
      </c>
      <c r="H277" s="29">
        <f t="shared" si="62"/>
        <v>0</v>
      </c>
      <c r="I277" s="29">
        <f t="shared" si="63"/>
        <v>0</v>
      </c>
      <c r="J277" s="29">
        <f t="shared" si="64"/>
        <v>0</v>
      </c>
      <c r="K277" s="32" t="str" cm="1">
        <f t="array" ref="K277">IF(AF277&lt;&gt;"",IFERROR(INDEX('Group List A'!B:B,MATCH(AI277,'Group List A'!A:A,0),0),"-"),"")</f>
        <v/>
      </c>
      <c r="L277" s="33">
        <f t="shared" si="65"/>
        <v>0</v>
      </c>
      <c r="M277" s="33">
        <f t="shared" si="66"/>
        <v>0</v>
      </c>
      <c r="N277" s="33">
        <f t="shared" si="67"/>
        <v>0</v>
      </c>
      <c r="O277" s="28"/>
      <c r="P277" s="33">
        <f t="shared" si="68"/>
        <v>0</v>
      </c>
      <c r="Q277" s="35" t="str" cm="1">
        <f t="array" ref="Q277">IF(AF277&lt;&gt;"",IFERROR(INDEX('Group List B'!B:B,MATCH(AI277,'Group List B'!A:A,0),0),"-"),"")</f>
        <v/>
      </c>
      <c r="R277" s="36">
        <f t="shared" si="69"/>
        <v>0</v>
      </c>
      <c r="S277" s="36">
        <f t="shared" si="70"/>
        <v>0</v>
      </c>
      <c r="T277" s="36">
        <f t="shared" si="71"/>
        <v>0</v>
      </c>
      <c r="U277" s="28"/>
      <c r="V277" s="37">
        <f t="shared" si="72"/>
        <v>0</v>
      </c>
      <c r="W277" s="41"/>
      <c r="X277" s="27"/>
      <c r="Y277" s="27"/>
      <c r="Z277" s="27"/>
      <c r="AA277" s="15"/>
      <c r="AB277" s="17"/>
      <c r="AC277" s="17"/>
      <c r="AD277" s="17"/>
      <c r="AE277" s="90"/>
      <c r="AF277" s="82" t="str">
        <f t="shared" si="73"/>
        <v/>
      </c>
      <c r="AG277" s="83" t="str">
        <f t="shared" si="74"/>
        <v/>
      </c>
      <c r="AH277" s="82" t="str">
        <f t="shared" si="75"/>
        <v/>
      </c>
      <c r="AI277" s="82" t="str">
        <f t="shared" si="76"/>
        <v/>
      </c>
      <c r="AJ277" s="90"/>
      <c r="AP277" s="88"/>
    </row>
    <row r="278" spans="1:42" x14ac:dyDescent="0.25">
      <c r="A278" s="2"/>
      <c r="C278" s="68" t="str" cm="1">
        <f t="array" ref="C278">IF(AF278&lt;&gt;"",
IFERROR(INDEX('LaunchPad Markbook'!A:A,MATCH(AH278,'LaunchPad Markbook'!D:D,0),0),"-"),"")</f>
        <v/>
      </c>
      <c r="D278" s="27"/>
      <c r="E278" s="27"/>
      <c r="F278" s="27"/>
      <c r="G278" s="14">
        <f>IF(OR(H278&gt;AB$2,I278&gt;AC$2,J278&gt;AD$2,
P278&gt;1,V278&gt;1,
L278&gt;'Group List A'!E$2,M278&gt;'Group List A'!F$2,N278&gt;'Group List A'!G$2,
R278&gt;'Group List B'!E$2,S278&gt;'Group List B'!F$2,T278&gt;'Group List B'!G$2),"Exceed",
IF(OR(H278=AB$2,I278=AC$2,J278=AD$2,
P278=1,V278=1,
L278='Group List A'!E$2,M278='Group List A'!F$2,N278='Group List A'!G$2,
R278='Group List B'!E$2,S278='Group List B'!F$2,T278='Group List B'!G$2),"Limit",0))</f>
        <v>0</v>
      </c>
      <c r="H278" s="29">
        <f t="shared" si="62"/>
        <v>0</v>
      </c>
      <c r="I278" s="29">
        <f t="shared" si="63"/>
        <v>0</v>
      </c>
      <c r="J278" s="29">
        <f t="shared" si="64"/>
        <v>0</v>
      </c>
      <c r="K278" s="32" t="str" cm="1">
        <f t="array" ref="K278">IF(AF278&lt;&gt;"",IFERROR(INDEX('Group List A'!B:B,MATCH(AI278,'Group List A'!A:A,0),0),"-"),"")</f>
        <v/>
      </c>
      <c r="L278" s="33">
        <f t="shared" si="65"/>
        <v>0</v>
      </c>
      <c r="M278" s="33">
        <f t="shared" si="66"/>
        <v>0</v>
      </c>
      <c r="N278" s="33">
        <f t="shared" si="67"/>
        <v>0</v>
      </c>
      <c r="O278" s="28"/>
      <c r="P278" s="33">
        <f t="shared" si="68"/>
        <v>0</v>
      </c>
      <c r="Q278" s="35" t="str" cm="1">
        <f t="array" ref="Q278">IF(AF278&lt;&gt;"",IFERROR(INDEX('Group List B'!B:B,MATCH(AI278,'Group List B'!A:A,0),0),"-"),"")</f>
        <v/>
      </c>
      <c r="R278" s="36">
        <f t="shared" si="69"/>
        <v>0</v>
      </c>
      <c r="S278" s="36">
        <f t="shared" si="70"/>
        <v>0</v>
      </c>
      <c r="T278" s="36">
        <f t="shared" si="71"/>
        <v>0</v>
      </c>
      <c r="U278" s="28"/>
      <c r="V278" s="37">
        <f t="shared" si="72"/>
        <v>0</v>
      </c>
      <c r="W278" s="41"/>
      <c r="X278" s="27"/>
      <c r="Y278" s="27"/>
      <c r="Z278" s="27"/>
      <c r="AA278" s="15"/>
      <c r="AB278" s="17"/>
      <c r="AC278" s="17"/>
      <c r="AD278" s="17"/>
      <c r="AE278" s="90"/>
      <c r="AF278" s="82" t="str">
        <f t="shared" si="73"/>
        <v/>
      </c>
      <c r="AG278" s="83" t="str">
        <f t="shared" si="74"/>
        <v/>
      </c>
      <c r="AH278" s="82" t="str">
        <f t="shared" si="75"/>
        <v/>
      </c>
      <c r="AI278" s="82" t="str">
        <f t="shared" si="76"/>
        <v/>
      </c>
      <c r="AJ278" s="90"/>
      <c r="AP278" s="88"/>
    </row>
    <row r="279" spans="1:42" x14ac:dyDescent="0.25">
      <c r="A279" s="2"/>
      <c r="C279" s="68" t="str" cm="1">
        <f t="array" ref="C279">IF(AF279&lt;&gt;"",
IFERROR(INDEX('LaunchPad Markbook'!A:A,MATCH(AH279,'LaunchPad Markbook'!D:D,0),0),"-"),"")</f>
        <v/>
      </c>
      <c r="D279" s="27"/>
      <c r="E279" s="27"/>
      <c r="F279" s="27"/>
      <c r="G279" s="14">
        <f>IF(OR(H279&gt;AB$2,I279&gt;AC$2,J279&gt;AD$2,
P279&gt;1,V279&gt;1,
L279&gt;'Group List A'!E$2,M279&gt;'Group List A'!F$2,N279&gt;'Group List A'!G$2,
R279&gt;'Group List B'!E$2,S279&gt;'Group List B'!F$2,T279&gt;'Group List B'!G$2),"Exceed",
IF(OR(H279=AB$2,I279=AC$2,J279=AD$2,
P279=1,V279=1,
L279='Group List A'!E$2,M279='Group List A'!F$2,N279='Group List A'!G$2,
R279='Group List B'!E$2,S279='Group List B'!F$2,T279='Group List B'!G$2),"Limit",0))</f>
        <v>0</v>
      </c>
      <c r="H279" s="29">
        <f t="shared" si="62"/>
        <v>0</v>
      </c>
      <c r="I279" s="29">
        <f t="shared" si="63"/>
        <v>0</v>
      </c>
      <c r="J279" s="29">
        <f t="shared" si="64"/>
        <v>0</v>
      </c>
      <c r="K279" s="32" t="str" cm="1">
        <f t="array" ref="K279">IF(AF279&lt;&gt;"",IFERROR(INDEX('Group List A'!B:B,MATCH(AI279,'Group List A'!A:A,0),0),"-"),"")</f>
        <v/>
      </c>
      <c r="L279" s="33">
        <f t="shared" si="65"/>
        <v>0</v>
      </c>
      <c r="M279" s="33">
        <f t="shared" si="66"/>
        <v>0</v>
      </c>
      <c r="N279" s="33">
        <f t="shared" si="67"/>
        <v>0</v>
      </c>
      <c r="O279" s="28"/>
      <c r="P279" s="33">
        <f t="shared" si="68"/>
        <v>0</v>
      </c>
      <c r="Q279" s="35" t="str" cm="1">
        <f t="array" ref="Q279">IF(AF279&lt;&gt;"",IFERROR(INDEX('Group List B'!B:B,MATCH(AI279,'Group List B'!A:A,0),0),"-"),"")</f>
        <v/>
      </c>
      <c r="R279" s="36">
        <f t="shared" si="69"/>
        <v>0</v>
      </c>
      <c r="S279" s="36">
        <f t="shared" si="70"/>
        <v>0</v>
      </c>
      <c r="T279" s="36">
        <f t="shared" si="71"/>
        <v>0</v>
      </c>
      <c r="U279" s="28"/>
      <c r="V279" s="37">
        <f t="shared" si="72"/>
        <v>0</v>
      </c>
      <c r="W279" s="41"/>
      <c r="X279" s="27"/>
      <c r="Y279" s="27"/>
      <c r="Z279" s="27"/>
      <c r="AA279" s="15"/>
      <c r="AB279" s="17"/>
      <c r="AC279" s="17"/>
      <c r="AD279" s="17"/>
      <c r="AE279" s="90"/>
      <c r="AF279" s="82" t="str">
        <f t="shared" si="73"/>
        <v/>
      </c>
      <c r="AG279" s="83" t="str">
        <f t="shared" si="74"/>
        <v/>
      </c>
      <c r="AH279" s="82" t="str">
        <f t="shared" si="75"/>
        <v/>
      </c>
      <c r="AI279" s="82" t="str">
        <f t="shared" si="76"/>
        <v/>
      </c>
      <c r="AJ279" s="90"/>
      <c r="AP279" s="88"/>
    </row>
    <row r="280" spans="1:42" x14ac:dyDescent="0.25">
      <c r="A280" s="2"/>
      <c r="C280" s="68" t="str" cm="1">
        <f t="array" ref="C280">IF(AF280&lt;&gt;"",
IFERROR(INDEX('LaunchPad Markbook'!A:A,MATCH(AH280,'LaunchPad Markbook'!D:D,0),0),"-"),"")</f>
        <v/>
      </c>
      <c r="D280" s="27"/>
      <c r="E280" s="27"/>
      <c r="F280" s="27"/>
      <c r="G280" s="14">
        <f>IF(OR(H280&gt;AB$2,I280&gt;AC$2,J280&gt;AD$2,
P280&gt;1,V280&gt;1,
L280&gt;'Group List A'!E$2,M280&gt;'Group List A'!F$2,N280&gt;'Group List A'!G$2,
R280&gt;'Group List B'!E$2,S280&gt;'Group List B'!F$2,T280&gt;'Group List B'!G$2),"Exceed",
IF(OR(H280=AB$2,I280=AC$2,J280=AD$2,
P280=1,V280=1,
L280='Group List A'!E$2,M280='Group List A'!F$2,N280='Group List A'!G$2,
R280='Group List B'!E$2,S280='Group List B'!F$2,T280='Group List B'!G$2),"Limit",0))</f>
        <v>0</v>
      </c>
      <c r="H280" s="29">
        <f t="shared" si="62"/>
        <v>0</v>
      </c>
      <c r="I280" s="29">
        <f t="shared" si="63"/>
        <v>0</v>
      </c>
      <c r="J280" s="29">
        <f t="shared" si="64"/>
        <v>0</v>
      </c>
      <c r="K280" s="32" t="str" cm="1">
        <f t="array" ref="K280">IF(AF280&lt;&gt;"",IFERROR(INDEX('Group List A'!B:B,MATCH(AI280,'Group List A'!A:A,0),0),"-"),"")</f>
        <v/>
      </c>
      <c r="L280" s="33">
        <f t="shared" si="65"/>
        <v>0</v>
      </c>
      <c r="M280" s="33">
        <f t="shared" si="66"/>
        <v>0</v>
      </c>
      <c r="N280" s="33">
        <f t="shared" si="67"/>
        <v>0</v>
      </c>
      <c r="O280" s="28"/>
      <c r="P280" s="33">
        <f t="shared" si="68"/>
        <v>0</v>
      </c>
      <c r="Q280" s="35" t="str" cm="1">
        <f t="array" ref="Q280">IF(AF280&lt;&gt;"",IFERROR(INDEX('Group List B'!B:B,MATCH(AI280,'Group List B'!A:A,0),0),"-"),"")</f>
        <v/>
      </c>
      <c r="R280" s="36">
        <f t="shared" si="69"/>
        <v>0</v>
      </c>
      <c r="S280" s="36">
        <f t="shared" si="70"/>
        <v>0</v>
      </c>
      <c r="T280" s="36">
        <f t="shared" si="71"/>
        <v>0</v>
      </c>
      <c r="U280" s="28"/>
      <c r="V280" s="37">
        <f t="shared" si="72"/>
        <v>0</v>
      </c>
      <c r="W280" s="41"/>
      <c r="X280" s="27"/>
      <c r="Y280" s="27"/>
      <c r="Z280" s="27"/>
      <c r="AA280" s="15"/>
      <c r="AB280" s="17"/>
      <c r="AC280" s="17"/>
      <c r="AD280" s="17"/>
      <c r="AE280" s="90"/>
      <c r="AF280" s="82" t="str">
        <f t="shared" si="73"/>
        <v/>
      </c>
      <c r="AG280" s="83" t="str">
        <f t="shared" si="74"/>
        <v/>
      </c>
      <c r="AH280" s="82" t="str">
        <f t="shared" si="75"/>
        <v/>
      </c>
      <c r="AI280" s="82" t="str">
        <f t="shared" si="76"/>
        <v/>
      </c>
      <c r="AJ280" s="90"/>
      <c r="AP280" s="88"/>
    </row>
    <row r="281" spans="1:42" x14ac:dyDescent="0.25">
      <c r="A281" s="2"/>
      <c r="C281" s="68" t="str" cm="1">
        <f t="array" ref="C281">IF(AF281&lt;&gt;"",
IFERROR(INDEX('LaunchPad Markbook'!A:A,MATCH(AH281,'LaunchPad Markbook'!D:D,0),0),"-"),"")</f>
        <v/>
      </c>
      <c r="D281" s="27"/>
      <c r="E281" s="27"/>
      <c r="F281" s="27"/>
      <c r="G281" s="14">
        <f>IF(OR(H281&gt;AB$2,I281&gt;AC$2,J281&gt;AD$2,
P281&gt;1,V281&gt;1,
L281&gt;'Group List A'!E$2,M281&gt;'Group List A'!F$2,N281&gt;'Group List A'!G$2,
R281&gt;'Group List B'!E$2,S281&gt;'Group List B'!F$2,T281&gt;'Group List B'!G$2),"Exceed",
IF(OR(H281=AB$2,I281=AC$2,J281=AD$2,
P281=1,V281=1,
L281='Group List A'!E$2,M281='Group List A'!F$2,N281='Group List A'!G$2,
R281='Group List B'!E$2,S281='Group List B'!F$2,T281='Group List B'!G$2),"Limit",0))</f>
        <v>0</v>
      </c>
      <c r="H281" s="29">
        <f t="shared" si="62"/>
        <v>0</v>
      </c>
      <c r="I281" s="29">
        <f t="shared" si="63"/>
        <v>0</v>
      </c>
      <c r="J281" s="29">
        <f t="shared" si="64"/>
        <v>0</v>
      </c>
      <c r="K281" s="32" t="str" cm="1">
        <f t="array" ref="K281">IF(AF281&lt;&gt;"",IFERROR(INDEX('Group List A'!B:B,MATCH(AI281,'Group List A'!A:A,0),0),"-"),"")</f>
        <v/>
      </c>
      <c r="L281" s="33">
        <f t="shared" si="65"/>
        <v>0</v>
      </c>
      <c r="M281" s="33">
        <f t="shared" si="66"/>
        <v>0</v>
      </c>
      <c r="N281" s="33">
        <f t="shared" si="67"/>
        <v>0</v>
      </c>
      <c r="O281" s="28"/>
      <c r="P281" s="33">
        <f t="shared" si="68"/>
        <v>0</v>
      </c>
      <c r="Q281" s="35" t="str" cm="1">
        <f t="array" ref="Q281">IF(AF281&lt;&gt;"",IFERROR(INDEX('Group List B'!B:B,MATCH(AI281,'Group List B'!A:A,0),0),"-"),"")</f>
        <v/>
      </c>
      <c r="R281" s="36">
        <f t="shared" si="69"/>
        <v>0</v>
      </c>
      <c r="S281" s="36">
        <f t="shared" si="70"/>
        <v>0</v>
      </c>
      <c r="T281" s="36">
        <f t="shared" si="71"/>
        <v>0</v>
      </c>
      <c r="U281" s="28"/>
      <c r="V281" s="37">
        <f t="shared" si="72"/>
        <v>0</v>
      </c>
      <c r="W281" s="41"/>
      <c r="X281" s="27"/>
      <c r="Y281" s="27"/>
      <c r="Z281" s="27"/>
      <c r="AA281" s="15"/>
      <c r="AB281" s="17"/>
      <c r="AC281" s="17"/>
      <c r="AD281" s="17"/>
      <c r="AE281" s="90"/>
      <c r="AF281" s="82" t="str">
        <f t="shared" si="73"/>
        <v/>
      </c>
      <c r="AG281" s="83" t="str">
        <f t="shared" si="74"/>
        <v/>
      </c>
      <c r="AH281" s="82" t="str">
        <f t="shared" si="75"/>
        <v/>
      </c>
      <c r="AI281" s="82" t="str">
        <f t="shared" si="76"/>
        <v/>
      </c>
      <c r="AJ281" s="90"/>
      <c r="AP281" s="88"/>
    </row>
    <row r="282" spans="1:42" x14ac:dyDescent="0.25">
      <c r="A282" s="2"/>
      <c r="C282" s="68" t="str" cm="1">
        <f t="array" ref="C282">IF(AF282&lt;&gt;"",
IFERROR(INDEX('LaunchPad Markbook'!A:A,MATCH(AH282,'LaunchPad Markbook'!D:D,0),0),"-"),"")</f>
        <v/>
      </c>
      <c r="D282" s="27"/>
      <c r="E282" s="27"/>
      <c r="F282" s="27"/>
      <c r="G282" s="14">
        <f>IF(OR(H282&gt;AB$2,I282&gt;AC$2,J282&gt;AD$2,
P282&gt;1,V282&gt;1,
L282&gt;'Group List A'!E$2,M282&gt;'Group List A'!F$2,N282&gt;'Group List A'!G$2,
R282&gt;'Group List B'!E$2,S282&gt;'Group List B'!F$2,T282&gt;'Group List B'!G$2),"Exceed",
IF(OR(H282=AB$2,I282=AC$2,J282=AD$2,
P282=1,V282=1,
L282='Group List A'!E$2,M282='Group List A'!F$2,N282='Group List A'!G$2,
R282='Group List B'!E$2,S282='Group List B'!F$2,T282='Group List B'!G$2),"Limit",0))</f>
        <v>0</v>
      </c>
      <c r="H282" s="29">
        <f t="shared" si="62"/>
        <v>0</v>
      </c>
      <c r="I282" s="29">
        <f t="shared" si="63"/>
        <v>0</v>
      </c>
      <c r="J282" s="29">
        <f t="shared" si="64"/>
        <v>0</v>
      </c>
      <c r="K282" s="32" t="str" cm="1">
        <f t="array" ref="K282">IF(AF282&lt;&gt;"",IFERROR(INDEX('Group List A'!B:B,MATCH(AI282,'Group List A'!A:A,0),0),"-"),"")</f>
        <v/>
      </c>
      <c r="L282" s="33">
        <f t="shared" si="65"/>
        <v>0</v>
      </c>
      <c r="M282" s="33">
        <f t="shared" si="66"/>
        <v>0</v>
      </c>
      <c r="N282" s="33">
        <f t="shared" si="67"/>
        <v>0</v>
      </c>
      <c r="O282" s="28"/>
      <c r="P282" s="33">
        <f t="shared" si="68"/>
        <v>0</v>
      </c>
      <c r="Q282" s="35" t="str" cm="1">
        <f t="array" ref="Q282">IF(AF282&lt;&gt;"",IFERROR(INDEX('Group List B'!B:B,MATCH(AI282,'Group List B'!A:A,0),0),"-"),"")</f>
        <v/>
      </c>
      <c r="R282" s="36">
        <f t="shared" si="69"/>
        <v>0</v>
      </c>
      <c r="S282" s="36">
        <f t="shared" si="70"/>
        <v>0</v>
      </c>
      <c r="T282" s="36">
        <f t="shared" si="71"/>
        <v>0</v>
      </c>
      <c r="U282" s="28"/>
      <c r="V282" s="37">
        <f t="shared" si="72"/>
        <v>0</v>
      </c>
      <c r="W282" s="41"/>
      <c r="X282" s="27"/>
      <c r="Y282" s="27"/>
      <c r="Z282" s="27"/>
      <c r="AA282" s="15"/>
      <c r="AB282" s="17"/>
      <c r="AC282" s="17"/>
      <c r="AD282" s="17"/>
      <c r="AE282" s="90"/>
      <c r="AF282" s="82" t="str">
        <f t="shared" si="73"/>
        <v/>
      </c>
      <c r="AG282" s="83" t="str">
        <f t="shared" si="74"/>
        <v/>
      </c>
      <c r="AH282" s="82" t="str">
        <f t="shared" si="75"/>
        <v/>
      </c>
      <c r="AI282" s="82" t="str">
        <f t="shared" si="76"/>
        <v/>
      </c>
      <c r="AJ282" s="90"/>
      <c r="AP282" s="88"/>
    </row>
    <row r="283" spans="1:42" x14ac:dyDescent="0.25">
      <c r="A283" s="2"/>
      <c r="C283" s="68" t="str" cm="1">
        <f t="array" ref="C283">IF(AF283&lt;&gt;"",
IFERROR(INDEX('LaunchPad Markbook'!A:A,MATCH(AH283,'LaunchPad Markbook'!D:D,0),0),"-"),"")</f>
        <v/>
      </c>
      <c r="D283" s="27"/>
      <c r="E283" s="27"/>
      <c r="F283" s="27"/>
      <c r="G283" s="14">
        <f>IF(OR(H283&gt;AB$2,I283&gt;AC$2,J283&gt;AD$2,
P283&gt;1,V283&gt;1,
L283&gt;'Group List A'!E$2,M283&gt;'Group List A'!F$2,N283&gt;'Group List A'!G$2,
R283&gt;'Group List B'!E$2,S283&gt;'Group List B'!F$2,T283&gt;'Group List B'!G$2),"Exceed",
IF(OR(H283=AB$2,I283=AC$2,J283=AD$2,
P283=1,V283=1,
L283='Group List A'!E$2,M283='Group List A'!F$2,N283='Group List A'!G$2,
R283='Group List B'!E$2,S283='Group List B'!F$2,T283='Group List B'!G$2),"Limit",0))</f>
        <v>0</v>
      </c>
      <c r="H283" s="29">
        <f t="shared" si="62"/>
        <v>0</v>
      </c>
      <c r="I283" s="29">
        <f t="shared" si="63"/>
        <v>0</v>
      </c>
      <c r="J283" s="29">
        <f t="shared" si="64"/>
        <v>0</v>
      </c>
      <c r="K283" s="32" t="str" cm="1">
        <f t="array" ref="K283">IF(AF283&lt;&gt;"",IFERROR(INDEX('Group List A'!B:B,MATCH(AI283,'Group List A'!A:A,0),0),"-"),"")</f>
        <v/>
      </c>
      <c r="L283" s="33">
        <f t="shared" si="65"/>
        <v>0</v>
      </c>
      <c r="M283" s="33">
        <f t="shared" si="66"/>
        <v>0</v>
      </c>
      <c r="N283" s="33">
        <f t="shared" si="67"/>
        <v>0</v>
      </c>
      <c r="O283" s="28"/>
      <c r="P283" s="33">
        <f t="shared" si="68"/>
        <v>0</v>
      </c>
      <c r="Q283" s="35" t="str" cm="1">
        <f t="array" ref="Q283">IF(AF283&lt;&gt;"",IFERROR(INDEX('Group List B'!B:B,MATCH(AI283,'Group List B'!A:A,0),0),"-"),"")</f>
        <v/>
      </c>
      <c r="R283" s="36">
        <f t="shared" si="69"/>
        <v>0</v>
      </c>
      <c r="S283" s="36">
        <f t="shared" si="70"/>
        <v>0</v>
      </c>
      <c r="T283" s="36">
        <f t="shared" si="71"/>
        <v>0</v>
      </c>
      <c r="U283" s="28"/>
      <c r="V283" s="37">
        <f t="shared" si="72"/>
        <v>0</v>
      </c>
      <c r="W283" s="41"/>
      <c r="X283" s="27"/>
      <c r="Y283" s="27"/>
      <c r="Z283" s="27"/>
      <c r="AA283" s="15"/>
      <c r="AB283" s="17"/>
      <c r="AC283" s="17"/>
      <c r="AD283" s="17"/>
      <c r="AE283" s="90"/>
      <c r="AF283" s="82" t="str">
        <f t="shared" si="73"/>
        <v/>
      </c>
      <c r="AG283" s="83" t="str">
        <f t="shared" si="74"/>
        <v/>
      </c>
      <c r="AH283" s="82" t="str">
        <f t="shared" si="75"/>
        <v/>
      </c>
      <c r="AI283" s="82" t="str">
        <f t="shared" si="76"/>
        <v/>
      </c>
      <c r="AJ283" s="90"/>
      <c r="AP283" s="88"/>
    </row>
    <row r="284" spans="1:42" x14ac:dyDescent="0.25">
      <c r="A284" s="2"/>
      <c r="C284" s="68" t="str" cm="1">
        <f t="array" ref="C284">IF(AF284&lt;&gt;"",
IFERROR(INDEX('LaunchPad Markbook'!A:A,MATCH(AH284,'LaunchPad Markbook'!D:D,0),0),"-"),"")</f>
        <v/>
      </c>
      <c r="D284" s="27"/>
      <c r="E284" s="27"/>
      <c r="F284" s="27"/>
      <c r="G284" s="14">
        <f>IF(OR(H284&gt;AB$2,I284&gt;AC$2,J284&gt;AD$2,
P284&gt;1,V284&gt;1,
L284&gt;'Group List A'!E$2,M284&gt;'Group List A'!F$2,N284&gt;'Group List A'!G$2,
R284&gt;'Group List B'!E$2,S284&gt;'Group List B'!F$2,T284&gt;'Group List B'!G$2),"Exceed",
IF(OR(H284=AB$2,I284=AC$2,J284=AD$2,
P284=1,V284=1,
L284='Group List A'!E$2,M284='Group List A'!F$2,N284='Group List A'!G$2,
R284='Group List B'!E$2,S284='Group List B'!F$2,T284='Group List B'!G$2),"Limit",0))</f>
        <v>0</v>
      </c>
      <c r="H284" s="29">
        <f t="shared" si="62"/>
        <v>0</v>
      </c>
      <c r="I284" s="29">
        <f t="shared" si="63"/>
        <v>0</v>
      </c>
      <c r="J284" s="29">
        <f t="shared" si="64"/>
        <v>0</v>
      </c>
      <c r="K284" s="32" t="str" cm="1">
        <f t="array" ref="K284">IF(AF284&lt;&gt;"",IFERROR(INDEX('Group List A'!B:B,MATCH(AI284,'Group List A'!A:A,0),0),"-"),"")</f>
        <v/>
      </c>
      <c r="L284" s="33">
        <f t="shared" si="65"/>
        <v>0</v>
      </c>
      <c r="M284" s="33">
        <f t="shared" si="66"/>
        <v>0</v>
      </c>
      <c r="N284" s="33">
        <f t="shared" si="67"/>
        <v>0</v>
      </c>
      <c r="O284" s="28"/>
      <c r="P284" s="33">
        <f t="shared" si="68"/>
        <v>0</v>
      </c>
      <c r="Q284" s="35" t="str" cm="1">
        <f t="array" ref="Q284">IF(AF284&lt;&gt;"",IFERROR(INDEX('Group List B'!B:B,MATCH(AI284,'Group List B'!A:A,0),0),"-"),"")</f>
        <v/>
      </c>
      <c r="R284" s="36">
        <f t="shared" si="69"/>
        <v>0</v>
      </c>
      <c r="S284" s="36">
        <f t="shared" si="70"/>
        <v>0</v>
      </c>
      <c r="T284" s="36">
        <f t="shared" si="71"/>
        <v>0</v>
      </c>
      <c r="U284" s="28"/>
      <c r="V284" s="37">
        <f t="shared" si="72"/>
        <v>0</v>
      </c>
      <c r="W284" s="41"/>
      <c r="X284" s="27"/>
      <c r="Y284" s="27"/>
      <c r="Z284" s="27"/>
      <c r="AA284" s="15"/>
      <c r="AB284" s="17"/>
      <c r="AC284" s="17"/>
      <c r="AD284" s="17"/>
      <c r="AE284" s="90"/>
      <c r="AF284" s="82" t="str">
        <f t="shared" si="73"/>
        <v/>
      </c>
      <c r="AG284" s="83" t="str">
        <f t="shared" si="74"/>
        <v/>
      </c>
      <c r="AH284" s="82" t="str">
        <f t="shared" si="75"/>
        <v/>
      </c>
      <c r="AI284" s="82" t="str">
        <f t="shared" si="76"/>
        <v/>
      </c>
      <c r="AJ284" s="90"/>
      <c r="AP284" s="88"/>
    </row>
    <row r="285" spans="1:42" x14ac:dyDescent="0.25">
      <c r="A285" s="2"/>
      <c r="C285" s="68" t="str" cm="1">
        <f t="array" ref="C285">IF(AF285&lt;&gt;"",
IFERROR(INDEX('LaunchPad Markbook'!A:A,MATCH(AH285,'LaunchPad Markbook'!D:D,0),0),"-"),"")</f>
        <v/>
      </c>
      <c r="D285" s="27"/>
      <c r="E285" s="27"/>
      <c r="F285" s="27"/>
      <c r="G285" s="14">
        <f>IF(OR(H285&gt;AB$2,I285&gt;AC$2,J285&gt;AD$2,
P285&gt;1,V285&gt;1,
L285&gt;'Group List A'!E$2,M285&gt;'Group List A'!F$2,N285&gt;'Group List A'!G$2,
R285&gt;'Group List B'!E$2,S285&gt;'Group List B'!F$2,T285&gt;'Group List B'!G$2),"Exceed",
IF(OR(H285=AB$2,I285=AC$2,J285=AD$2,
P285=1,V285=1,
L285='Group List A'!E$2,M285='Group List A'!F$2,N285='Group List A'!G$2,
R285='Group List B'!E$2,S285='Group List B'!F$2,T285='Group List B'!G$2),"Limit",0))</f>
        <v>0</v>
      </c>
      <c r="H285" s="29">
        <f t="shared" si="62"/>
        <v>0</v>
      </c>
      <c r="I285" s="29">
        <f t="shared" si="63"/>
        <v>0</v>
      </c>
      <c r="J285" s="29">
        <f t="shared" si="64"/>
        <v>0</v>
      </c>
      <c r="K285" s="32" t="str" cm="1">
        <f t="array" ref="K285">IF(AF285&lt;&gt;"",IFERROR(INDEX('Group List A'!B:B,MATCH(AI285,'Group List A'!A:A,0),0),"-"),"")</f>
        <v/>
      </c>
      <c r="L285" s="33">
        <f t="shared" si="65"/>
        <v>0</v>
      </c>
      <c r="M285" s="33">
        <f t="shared" si="66"/>
        <v>0</v>
      </c>
      <c r="N285" s="33">
        <f t="shared" si="67"/>
        <v>0</v>
      </c>
      <c r="O285" s="28"/>
      <c r="P285" s="33">
        <f t="shared" si="68"/>
        <v>0</v>
      </c>
      <c r="Q285" s="35" t="str" cm="1">
        <f t="array" ref="Q285">IF(AF285&lt;&gt;"",IFERROR(INDEX('Group List B'!B:B,MATCH(AI285,'Group List B'!A:A,0),0),"-"),"")</f>
        <v/>
      </c>
      <c r="R285" s="36">
        <f t="shared" si="69"/>
        <v>0</v>
      </c>
      <c r="S285" s="36">
        <f t="shared" si="70"/>
        <v>0</v>
      </c>
      <c r="T285" s="36">
        <f t="shared" si="71"/>
        <v>0</v>
      </c>
      <c r="U285" s="28"/>
      <c r="V285" s="37">
        <f t="shared" si="72"/>
        <v>0</v>
      </c>
      <c r="W285" s="41"/>
      <c r="X285" s="27"/>
      <c r="Y285" s="27"/>
      <c r="Z285" s="27"/>
      <c r="AA285" s="15"/>
      <c r="AB285" s="17"/>
      <c r="AC285" s="17"/>
      <c r="AD285" s="17"/>
      <c r="AE285" s="90"/>
      <c r="AF285" s="82" t="str">
        <f t="shared" si="73"/>
        <v/>
      </c>
      <c r="AG285" s="83" t="str">
        <f t="shared" si="74"/>
        <v/>
      </c>
      <c r="AH285" s="82" t="str">
        <f t="shared" si="75"/>
        <v/>
      </c>
      <c r="AI285" s="82" t="str">
        <f t="shared" si="76"/>
        <v/>
      </c>
      <c r="AJ285" s="90"/>
      <c r="AP285" s="88"/>
    </row>
    <row r="286" spans="1:42" x14ac:dyDescent="0.25">
      <c r="A286" s="2"/>
      <c r="C286" s="68" t="str" cm="1">
        <f t="array" ref="C286">IF(AF286&lt;&gt;"",
IFERROR(INDEX('LaunchPad Markbook'!A:A,MATCH(AH286,'LaunchPad Markbook'!D:D,0),0),"-"),"")</f>
        <v/>
      </c>
      <c r="D286" s="27"/>
      <c r="E286" s="27"/>
      <c r="F286" s="27"/>
      <c r="G286" s="14">
        <f>IF(OR(H286&gt;AB$2,I286&gt;AC$2,J286&gt;AD$2,
P286&gt;1,V286&gt;1,
L286&gt;'Group List A'!E$2,M286&gt;'Group List A'!F$2,N286&gt;'Group List A'!G$2,
R286&gt;'Group List B'!E$2,S286&gt;'Group List B'!F$2,T286&gt;'Group List B'!G$2),"Exceed",
IF(OR(H286=AB$2,I286=AC$2,J286=AD$2,
P286=1,V286=1,
L286='Group List A'!E$2,M286='Group List A'!F$2,N286='Group List A'!G$2,
R286='Group List B'!E$2,S286='Group List B'!F$2,T286='Group List B'!G$2),"Limit",0))</f>
        <v>0</v>
      </c>
      <c r="H286" s="29">
        <f t="shared" si="62"/>
        <v>0</v>
      </c>
      <c r="I286" s="29">
        <f t="shared" si="63"/>
        <v>0</v>
      </c>
      <c r="J286" s="29">
        <f t="shared" si="64"/>
        <v>0</v>
      </c>
      <c r="K286" s="32" t="str" cm="1">
        <f t="array" ref="K286">IF(AF286&lt;&gt;"",IFERROR(INDEX('Group List A'!B:B,MATCH(AI286,'Group List A'!A:A,0),0),"-"),"")</f>
        <v/>
      </c>
      <c r="L286" s="33">
        <f t="shared" si="65"/>
        <v>0</v>
      </c>
      <c r="M286" s="33">
        <f t="shared" si="66"/>
        <v>0</v>
      </c>
      <c r="N286" s="33">
        <f t="shared" si="67"/>
        <v>0</v>
      </c>
      <c r="O286" s="28"/>
      <c r="P286" s="33">
        <f t="shared" si="68"/>
        <v>0</v>
      </c>
      <c r="Q286" s="35" t="str" cm="1">
        <f t="array" ref="Q286">IF(AF286&lt;&gt;"",IFERROR(INDEX('Group List B'!B:B,MATCH(AI286,'Group List B'!A:A,0),0),"-"),"")</f>
        <v/>
      </c>
      <c r="R286" s="36">
        <f t="shared" si="69"/>
        <v>0</v>
      </c>
      <c r="S286" s="36">
        <f t="shared" si="70"/>
        <v>0</v>
      </c>
      <c r="T286" s="36">
        <f t="shared" si="71"/>
        <v>0</v>
      </c>
      <c r="U286" s="28"/>
      <c r="V286" s="37">
        <f t="shared" si="72"/>
        <v>0</v>
      </c>
      <c r="W286" s="41"/>
      <c r="X286" s="27"/>
      <c r="Y286" s="27"/>
      <c r="Z286" s="27"/>
      <c r="AA286" s="15"/>
      <c r="AB286" s="17"/>
      <c r="AC286" s="17"/>
      <c r="AD286" s="17"/>
      <c r="AE286" s="90"/>
      <c r="AF286" s="82" t="str">
        <f t="shared" si="73"/>
        <v/>
      </c>
      <c r="AG286" s="83" t="str">
        <f t="shared" si="74"/>
        <v/>
      </c>
      <c r="AH286" s="82" t="str">
        <f t="shared" si="75"/>
        <v/>
      </c>
      <c r="AI286" s="82" t="str">
        <f t="shared" si="76"/>
        <v/>
      </c>
      <c r="AJ286" s="90"/>
      <c r="AP286" s="88"/>
    </row>
    <row r="287" spans="1:42" x14ac:dyDescent="0.25">
      <c r="A287" s="2"/>
      <c r="C287" s="68" t="str" cm="1">
        <f t="array" ref="C287">IF(AF287&lt;&gt;"",
IFERROR(INDEX('LaunchPad Markbook'!A:A,MATCH(AH287,'LaunchPad Markbook'!D:D,0),0),"-"),"")</f>
        <v/>
      </c>
      <c r="D287" s="27"/>
      <c r="E287" s="27"/>
      <c r="F287" s="27"/>
      <c r="G287" s="14">
        <f>IF(OR(H287&gt;AB$2,I287&gt;AC$2,J287&gt;AD$2,
P287&gt;1,V287&gt;1,
L287&gt;'Group List A'!E$2,M287&gt;'Group List A'!F$2,N287&gt;'Group List A'!G$2,
R287&gt;'Group List B'!E$2,S287&gt;'Group List B'!F$2,T287&gt;'Group List B'!G$2),"Exceed",
IF(OR(H287=AB$2,I287=AC$2,J287=AD$2,
P287=1,V287=1,
L287='Group List A'!E$2,M287='Group List A'!F$2,N287='Group List A'!G$2,
R287='Group List B'!E$2,S287='Group List B'!F$2,T287='Group List B'!G$2),"Limit",0))</f>
        <v>0</v>
      </c>
      <c r="H287" s="29">
        <f t="shared" si="62"/>
        <v>0</v>
      </c>
      <c r="I287" s="29">
        <f t="shared" si="63"/>
        <v>0</v>
      </c>
      <c r="J287" s="29">
        <f t="shared" si="64"/>
        <v>0</v>
      </c>
      <c r="K287" s="32" t="str" cm="1">
        <f t="array" ref="K287">IF(AF287&lt;&gt;"",IFERROR(INDEX('Group List A'!B:B,MATCH(AI287,'Group List A'!A:A,0),0),"-"),"")</f>
        <v/>
      </c>
      <c r="L287" s="33">
        <f t="shared" si="65"/>
        <v>0</v>
      </c>
      <c r="M287" s="33">
        <f t="shared" si="66"/>
        <v>0</v>
      </c>
      <c r="N287" s="33">
        <f t="shared" si="67"/>
        <v>0</v>
      </c>
      <c r="O287" s="28"/>
      <c r="P287" s="33">
        <f t="shared" si="68"/>
        <v>0</v>
      </c>
      <c r="Q287" s="35" t="str" cm="1">
        <f t="array" ref="Q287">IF(AF287&lt;&gt;"",IFERROR(INDEX('Group List B'!B:B,MATCH(AI287,'Group List B'!A:A,0),0),"-"),"")</f>
        <v/>
      </c>
      <c r="R287" s="36">
        <f t="shared" si="69"/>
        <v>0</v>
      </c>
      <c r="S287" s="36">
        <f t="shared" si="70"/>
        <v>0</v>
      </c>
      <c r="T287" s="36">
        <f t="shared" si="71"/>
        <v>0</v>
      </c>
      <c r="U287" s="28"/>
      <c r="V287" s="37">
        <f t="shared" si="72"/>
        <v>0</v>
      </c>
      <c r="W287" s="41"/>
      <c r="X287" s="27"/>
      <c r="Y287" s="27"/>
      <c r="Z287" s="27"/>
      <c r="AA287" s="15"/>
      <c r="AB287" s="17"/>
      <c r="AC287" s="17"/>
      <c r="AD287" s="17"/>
      <c r="AE287" s="90"/>
      <c r="AF287" s="82" t="str">
        <f t="shared" si="73"/>
        <v/>
      </c>
      <c r="AG287" s="83" t="str">
        <f t="shared" si="74"/>
        <v/>
      </c>
      <c r="AH287" s="82" t="str">
        <f t="shared" si="75"/>
        <v/>
      </c>
      <c r="AI287" s="82" t="str">
        <f t="shared" si="76"/>
        <v/>
      </c>
      <c r="AJ287" s="90"/>
      <c r="AP287" s="88"/>
    </row>
    <row r="288" spans="1:42" x14ac:dyDescent="0.25">
      <c r="A288" s="2"/>
      <c r="C288" s="68" t="str" cm="1">
        <f t="array" ref="C288">IF(AF288&lt;&gt;"",
IFERROR(INDEX('LaunchPad Markbook'!A:A,MATCH(AH288,'LaunchPad Markbook'!D:D,0),0),"-"),"")</f>
        <v/>
      </c>
      <c r="D288" s="27"/>
      <c r="E288" s="27"/>
      <c r="F288" s="27"/>
      <c r="G288" s="14">
        <f>IF(OR(H288&gt;AB$2,I288&gt;AC$2,J288&gt;AD$2,
P288&gt;1,V288&gt;1,
L288&gt;'Group List A'!E$2,M288&gt;'Group List A'!F$2,N288&gt;'Group List A'!G$2,
R288&gt;'Group List B'!E$2,S288&gt;'Group List B'!F$2,T288&gt;'Group List B'!G$2),"Exceed",
IF(OR(H288=AB$2,I288=AC$2,J288=AD$2,
P288=1,V288=1,
L288='Group List A'!E$2,M288='Group List A'!F$2,N288='Group List A'!G$2,
R288='Group List B'!E$2,S288='Group List B'!F$2,T288='Group List B'!G$2),"Limit",0))</f>
        <v>0</v>
      </c>
      <c r="H288" s="29">
        <f t="shared" si="62"/>
        <v>0</v>
      </c>
      <c r="I288" s="29">
        <f t="shared" si="63"/>
        <v>0</v>
      </c>
      <c r="J288" s="29">
        <f t="shared" si="64"/>
        <v>0</v>
      </c>
      <c r="K288" s="32" t="str" cm="1">
        <f t="array" ref="K288">IF(AF288&lt;&gt;"",IFERROR(INDEX('Group List A'!B:B,MATCH(AI288,'Group List A'!A:A,0),0),"-"),"")</f>
        <v/>
      </c>
      <c r="L288" s="33">
        <f t="shared" si="65"/>
        <v>0</v>
      </c>
      <c r="M288" s="33">
        <f t="shared" si="66"/>
        <v>0</v>
      </c>
      <c r="N288" s="33">
        <f t="shared" si="67"/>
        <v>0</v>
      </c>
      <c r="O288" s="28"/>
      <c r="P288" s="33">
        <f t="shared" si="68"/>
        <v>0</v>
      </c>
      <c r="Q288" s="35" t="str" cm="1">
        <f t="array" ref="Q288">IF(AF288&lt;&gt;"",IFERROR(INDEX('Group List B'!B:B,MATCH(AI288,'Group List B'!A:A,0),0),"-"),"")</f>
        <v/>
      </c>
      <c r="R288" s="36">
        <f t="shared" si="69"/>
        <v>0</v>
      </c>
      <c r="S288" s="36">
        <f t="shared" si="70"/>
        <v>0</v>
      </c>
      <c r="T288" s="36">
        <f t="shared" si="71"/>
        <v>0</v>
      </c>
      <c r="U288" s="28"/>
      <c r="V288" s="37">
        <f t="shared" si="72"/>
        <v>0</v>
      </c>
      <c r="W288" s="41"/>
      <c r="X288" s="27"/>
      <c r="Y288" s="27"/>
      <c r="Z288" s="27"/>
      <c r="AA288" s="15"/>
      <c r="AB288" s="17"/>
      <c r="AC288" s="17"/>
      <c r="AD288" s="17"/>
      <c r="AE288" s="90"/>
      <c r="AF288" s="82" t="str">
        <f t="shared" si="73"/>
        <v/>
      </c>
      <c r="AG288" s="83" t="str">
        <f t="shared" si="74"/>
        <v/>
      </c>
      <c r="AH288" s="82" t="str">
        <f t="shared" si="75"/>
        <v/>
      </c>
      <c r="AI288" s="82" t="str">
        <f t="shared" si="76"/>
        <v/>
      </c>
      <c r="AJ288" s="90"/>
      <c r="AP288" s="88"/>
    </row>
    <row r="289" spans="1:42" x14ac:dyDescent="0.25">
      <c r="A289" s="2"/>
      <c r="C289" s="68" t="str" cm="1">
        <f t="array" ref="C289">IF(AF289&lt;&gt;"",
IFERROR(INDEX('LaunchPad Markbook'!A:A,MATCH(AH289,'LaunchPad Markbook'!D:D,0),0),"-"),"")</f>
        <v/>
      </c>
      <c r="D289" s="27"/>
      <c r="E289" s="27"/>
      <c r="F289" s="27"/>
      <c r="G289" s="14">
        <f>IF(OR(H289&gt;AB$2,I289&gt;AC$2,J289&gt;AD$2,
P289&gt;1,V289&gt;1,
L289&gt;'Group List A'!E$2,M289&gt;'Group List A'!F$2,N289&gt;'Group List A'!G$2,
R289&gt;'Group List B'!E$2,S289&gt;'Group List B'!F$2,T289&gt;'Group List B'!G$2),"Exceed",
IF(OR(H289=AB$2,I289=AC$2,J289=AD$2,
P289=1,V289=1,
L289='Group List A'!E$2,M289='Group List A'!F$2,N289='Group List A'!G$2,
R289='Group List B'!E$2,S289='Group List B'!F$2,T289='Group List B'!G$2),"Limit",0))</f>
        <v>0</v>
      </c>
      <c r="H289" s="29">
        <f t="shared" si="62"/>
        <v>0</v>
      </c>
      <c r="I289" s="29">
        <f t="shared" si="63"/>
        <v>0</v>
      </c>
      <c r="J289" s="29">
        <f t="shared" si="64"/>
        <v>0</v>
      </c>
      <c r="K289" s="32" t="str" cm="1">
        <f t="array" ref="K289">IF(AF289&lt;&gt;"",IFERROR(INDEX('Group List A'!B:B,MATCH(AI289,'Group List A'!A:A,0),0),"-"),"")</f>
        <v/>
      </c>
      <c r="L289" s="33">
        <f t="shared" si="65"/>
        <v>0</v>
      </c>
      <c r="M289" s="33">
        <f t="shared" si="66"/>
        <v>0</v>
      </c>
      <c r="N289" s="33">
        <f t="shared" si="67"/>
        <v>0</v>
      </c>
      <c r="O289" s="28"/>
      <c r="P289" s="33">
        <f t="shared" si="68"/>
        <v>0</v>
      </c>
      <c r="Q289" s="35" t="str" cm="1">
        <f t="array" ref="Q289">IF(AF289&lt;&gt;"",IFERROR(INDEX('Group List B'!B:B,MATCH(AI289,'Group List B'!A:A,0),0),"-"),"")</f>
        <v/>
      </c>
      <c r="R289" s="36">
        <f t="shared" si="69"/>
        <v>0</v>
      </c>
      <c r="S289" s="36">
        <f t="shared" si="70"/>
        <v>0</v>
      </c>
      <c r="T289" s="36">
        <f t="shared" si="71"/>
        <v>0</v>
      </c>
      <c r="U289" s="28"/>
      <c r="V289" s="37">
        <f t="shared" si="72"/>
        <v>0</v>
      </c>
      <c r="W289" s="41"/>
      <c r="X289" s="27"/>
      <c r="Y289" s="27"/>
      <c r="Z289" s="27"/>
      <c r="AA289" s="15"/>
      <c r="AB289" s="17"/>
      <c r="AC289" s="17"/>
      <c r="AD289" s="17"/>
      <c r="AE289" s="90"/>
      <c r="AF289" s="82" t="str">
        <f t="shared" si="73"/>
        <v/>
      </c>
      <c r="AG289" s="83" t="str">
        <f t="shared" si="74"/>
        <v/>
      </c>
      <c r="AH289" s="82" t="str">
        <f t="shared" si="75"/>
        <v/>
      </c>
      <c r="AI289" s="82" t="str">
        <f t="shared" si="76"/>
        <v/>
      </c>
      <c r="AJ289" s="90"/>
      <c r="AP289" s="88"/>
    </row>
    <row r="290" spans="1:42" x14ac:dyDescent="0.25">
      <c r="A290" s="2"/>
      <c r="C290" s="68" t="str" cm="1">
        <f t="array" ref="C290">IF(AF290&lt;&gt;"",
IFERROR(INDEX('LaunchPad Markbook'!A:A,MATCH(AH290,'LaunchPad Markbook'!D:D,0),0),"-"),"")</f>
        <v/>
      </c>
      <c r="D290" s="27"/>
      <c r="E290" s="27"/>
      <c r="F290" s="27"/>
      <c r="G290" s="14">
        <f>IF(OR(H290&gt;AB$2,I290&gt;AC$2,J290&gt;AD$2,
P290&gt;1,V290&gt;1,
L290&gt;'Group List A'!E$2,M290&gt;'Group List A'!F$2,N290&gt;'Group List A'!G$2,
R290&gt;'Group List B'!E$2,S290&gt;'Group List B'!F$2,T290&gt;'Group List B'!G$2),"Exceed",
IF(OR(H290=AB$2,I290=AC$2,J290=AD$2,
P290=1,V290=1,
L290='Group List A'!E$2,M290='Group List A'!F$2,N290='Group List A'!G$2,
R290='Group List B'!E$2,S290='Group List B'!F$2,T290='Group List B'!G$2),"Limit",0))</f>
        <v>0</v>
      </c>
      <c r="H290" s="29">
        <f t="shared" si="62"/>
        <v>0</v>
      </c>
      <c r="I290" s="29">
        <f t="shared" si="63"/>
        <v>0</v>
      </c>
      <c r="J290" s="29">
        <f t="shared" si="64"/>
        <v>0</v>
      </c>
      <c r="K290" s="32" t="str" cm="1">
        <f t="array" ref="K290">IF(AF290&lt;&gt;"",IFERROR(INDEX('Group List A'!B:B,MATCH(AI290,'Group List A'!A:A,0),0),"-"),"")</f>
        <v/>
      </c>
      <c r="L290" s="33">
        <f t="shared" si="65"/>
        <v>0</v>
      </c>
      <c r="M290" s="33">
        <f t="shared" si="66"/>
        <v>0</v>
      </c>
      <c r="N290" s="33">
        <f t="shared" si="67"/>
        <v>0</v>
      </c>
      <c r="O290" s="28"/>
      <c r="P290" s="33">
        <f t="shared" si="68"/>
        <v>0</v>
      </c>
      <c r="Q290" s="35" t="str" cm="1">
        <f t="array" ref="Q290">IF(AF290&lt;&gt;"",IFERROR(INDEX('Group List B'!B:B,MATCH(AI290,'Group List B'!A:A,0),0),"-"),"")</f>
        <v/>
      </c>
      <c r="R290" s="36">
        <f t="shared" si="69"/>
        <v>0</v>
      </c>
      <c r="S290" s="36">
        <f t="shared" si="70"/>
        <v>0</v>
      </c>
      <c r="T290" s="36">
        <f t="shared" si="71"/>
        <v>0</v>
      </c>
      <c r="U290" s="28"/>
      <c r="V290" s="37">
        <f t="shared" si="72"/>
        <v>0</v>
      </c>
      <c r="W290" s="41"/>
      <c r="X290" s="27"/>
      <c r="Y290" s="27"/>
      <c r="Z290" s="27"/>
      <c r="AA290" s="15"/>
      <c r="AB290" s="17"/>
      <c r="AC290" s="17"/>
      <c r="AD290" s="17"/>
      <c r="AE290" s="90"/>
      <c r="AF290" s="82" t="str">
        <f t="shared" si="73"/>
        <v/>
      </c>
      <c r="AG290" s="83" t="str">
        <f t="shared" si="74"/>
        <v/>
      </c>
      <c r="AH290" s="82" t="str">
        <f t="shared" si="75"/>
        <v/>
      </c>
      <c r="AI290" s="82" t="str">
        <f t="shared" si="76"/>
        <v/>
      </c>
      <c r="AJ290" s="90"/>
      <c r="AP290" s="88"/>
    </row>
    <row r="291" spans="1:42" x14ac:dyDescent="0.25">
      <c r="A291" s="2"/>
      <c r="C291" s="68" t="str" cm="1">
        <f t="array" ref="C291">IF(AF291&lt;&gt;"",
IFERROR(INDEX('LaunchPad Markbook'!A:A,MATCH(AH291,'LaunchPad Markbook'!D:D,0),0),"-"),"")</f>
        <v/>
      </c>
      <c r="D291" s="27"/>
      <c r="E291" s="27"/>
      <c r="F291" s="27"/>
      <c r="G291" s="14">
        <f>IF(OR(H291&gt;AB$2,I291&gt;AC$2,J291&gt;AD$2,
P291&gt;1,V291&gt;1,
L291&gt;'Group List A'!E$2,M291&gt;'Group List A'!F$2,N291&gt;'Group List A'!G$2,
R291&gt;'Group List B'!E$2,S291&gt;'Group List B'!F$2,T291&gt;'Group List B'!G$2),"Exceed",
IF(OR(H291=AB$2,I291=AC$2,J291=AD$2,
P291=1,V291=1,
L291='Group List A'!E$2,M291='Group List A'!F$2,N291='Group List A'!G$2,
R291='Group List B'!E$2,S291='Group List B'!F$2,T291='Group List B'!G$2),"Limit",0))</f>
        <v>0</v>
      </c>
      <c r="H291" s="29">
        <f t="shared" si="62"/>
        <v>0</v>
      </c>
      <c r="I291" s="29">
        <f t="shared" si="63"/>
        <v>0</v>
      </c>
      <c r="J291" s="29">
        <f t="shared" si="64"/>
        <v>0</v>
      </c>
      <c r="K291" s="32" t="str" cm="1">
        <f t="array" ref="K291">IF(AF291&lt;&gt;"",IFERROR(INDEX('Group List A'!B:B,MATCH(AI291,'Group List A'!A:A,0),0),"-"),"")</f>
        <v/>
      </c>
      <c r="L291" s="33">
        <f t="shared" si="65"/>
        <v>0</v>
      </c>
      <c r="M291" s="33">
        <f t="shared" si="66"/>
        <v>0</v>
      </c>
      <c r="N291" s="33">
        <f t="shared" si="67"/>
        <v>0</v>
      </c>
      <c r="O291" s="28"/>
      <c r="P291" s="33">
        <f t="shared" si="68"/>
        <v>0</v>
      </c>
      <c r="Q291" s="35" t="str" cm="1">
        <f t="array" ref="Q291">IF(AF291&lt;&gt;"",IFERROR(INDEX('Group List B'!B:B,MATCH(AI291,'Group List B'!A:A,0),0),"-"),"")</f>
        <v/>
      </c>
      <c r="R291" s="36">
        <f t="shared" si="69"/>
        <v>0</v>
      </c>
      <c r="S291" s="36">
        <f t="shared" si="70"/>
        <v>0</v>
      </c>
      <c r="T291" s="36">
        <f t="shared" si="71"/>
        <v>0</v>
      </c>
      <c r="U291" s="28"/>
      <c r="V291" s="37">
        <f t="shared" si="72"/>
        <v>0</v>
      </c>
      <c r="W291" s="41"/>
      <c r="X291" s="27"/>
      <c r="Y291" s="27"/>
      <c r="Z291" s="27"/>
      <c r="AA291" s="15"/>
      <c r="AB291" s="17"/>
      <c r="AC291" s="17"/>
      <c r="AD291" s="17"/>
      <c r="AE291" s="90"/>
      <c r="AF291" s="82" t="str">
        <f t="shared" si="73"/>
        <v/>
      </c>
      <c r="AG291" s="83" t="str">
        <f t="shared" si="74"/>
        <v/>
      </c>
      <c r="AH291" s="82" t="str">
        <f t="shared" si="75"/>
        <v/>
      </c>
      <c r="AI291" s="82" t="str">
        <f t="shared" si="76"/>
        <v/>
      </c>
      <c r="AJ291" s="90"/>
      <c r="AP291" s="88"/>
    </row>
    <row r="292" spans="1:42" x14ac:dyDescent="0.25">
      <c r="A292" s="2"/>
      <c r="C292" s="68" t="str" cm="1">
        <f t="array" ref="C292">IF(AF292&lt;&gt;"",
IFERROR(INDEX('LaunchPad Markbook'!A:A,MATCH(AH292,'LaunchPad Markbook'!D:D,0),0),"-"),"")</f>
        <v/>
      </c>
      <c r="D292" s="27"/>
      <c r="E292" s="27"/>
      <c r="F292" s="27"/>
      <c r="G292" s="14">
        <f>IF(OR(H292&gt;AB$2,I292&gt;AC$2,J292&gt;AD$2,
P292&gt;1,V292&gt;1,
L292&gt;'Group List A'!E$2,M292&gt;'Group List A'!F$2,N292&gt;'Group List A'!G$2,
R292&gt;'Group List B'!E$2,S292&gt;'Group List B'!F$2,T292&gt;'Group List B'!G$2),"Exceed",
IF(OR(H292=AB$2,I292=AC$2,J292=AD$2,
P292=1,V292=1,
L292='Group List A'!E$2,M292='Group List A'!F$2,N292='Group List A'!G$2,
R292='Group List B'!E$2,S292='Group List B'!F$2,T292='Group List B'!G$2),"Limit",0))</f>
        <v>0</v>
      </c>
      <c r="H292" s="29">
        <f t="shared" si="62"/>
        <v>0</v>
      </c>
      <c r="I292" s="29">
        <f t="shared" si="63"/>
        <v>0</v>
      </c>
      <c r="J292" s="29">
        <f t="shared" si="64"/>
        <v>0</v>
      </c>
      <c r="K292" s="32" t="str" cm="1">
        <f t="array" ref="K292">IF(AF292&lt;&gt;"",IFERROR(INDEX('Group List A'!B:B,MATCH(AI292,'Group List A'!A:A,0),0),"-"),"")</f>
        <v/>
      </c>
      <c r="L292" s="33">
        <f t="shared" si="65"/>
        <v>0</v>
      </c>
      <c r="M292" s="33">
        <f t="shared" si="66"/>
        <v>0</v>
      </c>
      <c r="N292" s="33">
        <f t="shared" si="67"/>
        <v>0</v>
      </c>
      <c r="O292" s="28"/>
      <c r="P292" s="33">
        <f t="shared" si="68"/>
        <v>0</v>
      </c>
      <c r="Q292" s="35" t="str" cm="1">
        <f t="array" ref="Q292">IF(AF292&lt;&gt;"",IFERROR(INDEX('Group List B'!B:B,MATCH(AI292,'Group List B'!A:A,0),0),"-"),"")</f>
        <v/>
      </c>
      <c r="R292" s="36">
        <f t="shared" si="69"/>
        <v>0</v>
      </c>
      <c r="S292" s="36">
        <f t="shared" si="70"/>
        <v>0</v>
      </c>
      <c r="T292" s="36">
        <f t="shared" si="71"/>
        <v>0</v>
      </c>
      <c r="U292" s="28"/>
      <c r="V292" s="37">
        <f t="shared" si="72"/>
        <v>0</v>
      </c>
      <c r="W292" s="41"/>
      <c r="X292" s="27"/>
      <c r="Y292" s="27"/>
      <c r="Z292" s="27"/>
      <c r="AA292" s="15"/>
      <c r="AB292" s="17"/>
      <c r="AC292" s="17"/>
      <c r="AD292" s="17"/>
      <c r="AE292" s="90"/>
      <c r="AF292" s="82" t="str">
        <f t="shared" si="73"/>
        <v/>
      </c>
      <c r="AG292" s="83" t="str">
        <f t="shared" si="74"/>
        <v/>
      </c>
      <c r="AH292" s="82" t="str">
        <f t="shared" si="75"/>
        <v/>
      </c>
      <c r="AI292" s="82" t="str">
        <f t="shared" si="76"/>
        <v/>
      </c>
      <c r="AJ292" s="90"/>
      <c r="AP292" s="88"/>
    </row>
    <row r="293" spans="1:42" x14ac:dyDescent="0.25">
      <c r="A293" s="2"/>
      <c r="C293" s="68" t="str" cm="1">
        <f t="array" ref="C293">IF(AF293&lt;&gt;"",
IFERROR(INDEX('LaunchPad Markbook'!A:A,MATCH(AH293,'LaunchPad Markbook'!D:D,0),0),"-"),"")</f>
        <v/>
      </c>
      <c r="D293" s="27"/>
      <c r="E293" s="27"/>
      <c r="F293" s="27"/>
      <c r="G293" s="14">
        <f>IF(OR(H293&gt;AB$2,I293&gt;AC$2,J293&gt;AD$2,
P293&gt;1,V293&gt;1,
L293&gt;'Group List A'!E$2,M293&gt;'Group List A'!F$2,N293&gt;'Group List A'!G$2,
R293&gt;'Group List B'!E$2,S293&gt;'Group List B'!F$2,T293&gt;'Group List B'!G$2),"Exceed",
IF(OR(H293=AB$2,I293=AC$2,J293=AD$2,
P293=1,V293=1,
L293='Group List A'!E$2,M293='Group List A'!F$2,N293='Group List A'!G$2,
R293='Group List B'!E$2,S293='Group List B'!F$2,T293='Group List B'!G$2),"Limit",0))</f>
        <v>0</v>
      </c>
      <c r="H293" s="29">
        <f t="shared" si="62"/>
        <v>0</v>
      </c>
      <c r="I293" s="29">
        <f t="shared" si="63"/>
        <v>0</v>
      </c>
      <c r="J293" s="29">
        <f t="shared" si="64"/>
        <v>0</v>
      </c>
      <c r="K293" s="32" t="str" cm="1">
        <f t="array" ref="K293">IF(AF293&lt;&gt;"",IFERROR(INDEX('Group List A'!B:B,MATCH(AI293,'Group List A'!A:A,0),0),"-"),"")</f>
        <v/>
      </c>
      <c r="L293" s="33">
        <f t="shared" si="65"/>
        <v>0</v>
      </c>
      <c r="M293" s="33">
        <f t="shared" si="66"/>
        <v>0</v>
      </c>
      <c r="N293" s="33">
        <f t="shared" si="67"/>
        <v>0</v>
      </c>
      <c r="O293" s="28"/>
      <c r="P293" s="33">
        <f t="shared" si="68"/>
        <v>0</v>
      </c>
      <c r="Q293" s="35" t="str" cm="1">
        <f t="array" ref="Q293">IF(AF293&lt;&gt;"",IFERROR(INDEX('Group List B'!B:B,MATCH(AI293,'Group List B'!A:A,0),0),"-"),"")</f>
        <v/>
      </c>
      <c r="R293" s="36">
        <f t="shared" si="69"/>
        <v>0</v>
      </c>
      <c r="S293" s="36">
        <f t="shared" si="70"/>
        <v>0</v>
      </c>
      <c r="T293" s="36">
        <f t="shared" si="71"/>
        <v>0</v>
      </c>
      <c r="U293" s="28"/>
      <c r="V293" s="37">
        <f t="shared" si="72"/>
        <v>0</v>
      </c>
      <c r="W293" s="41"/>
      <c r="X293" s="27"/>
      <c r="Y293" s="27"/>
      <c r="Z293" s="27"/>
      <c r="AA293" s="15"/>
      <c r="AB293" s="17"/>
      <c r="AC293" s="17"/>
      <c r="AD293" s="17"/>
      <c r="AE293" s="90"/>
      <c r="AF293" s="82" t="str">
        <f t="shared" si="73"/>
        <v/>
      </c>
      <c r="AG293" s="83" t="str">
        <f t="shared" si="74"/>
        <v/>
      </c>
      <c r="AH293" s="82" t="str">
        <f t="shared" si="75"/>
        <v/>
      </c>
      <c r="AI293" s="82" t="str">
        <f t="shared" si="76"/>
        <v/>
      </c>
      <c r="AJ293" s="90"/>
      <c r="AP293" s="88"/>
    </row>
    <row r="294" spans="1:42" x14ac:dyDescent="0.25">
      <c r="A294" s="2"/>
      <c r="C294" s="68" t="str" cm="1">
        <f t="array" ref="C294">IF(AF294&lt;&gt;"",
IFERROR(INDEX('LaunchPad Markbook'!A:A,MATCH(AH294,'LaunchPad Markbook'!D:D,0),0),"-"),"")</f>
        <v/>
      </c>
      <c r="D294" s="27"/>
      <c r="E294" s="27"/>
      <c r="F294" s="27"/>
      <c r="G294" s="14">
        <f>IF(OR(H294&gt;AB$2,I294&gt;AC$2,J294&gt;AD$2,
P294&gt;1,V294&gt;1,
L294&gt;'Group List A'!E$2,M294&gt;'Group List A'!F$2,N294&gt;'Group List A'!G$2,
R294&gt;'Group List B'!E$2,S294&gt;'Group List B'!F$2,T294&gt;'Group List B'!G$2),"Exceed",
IF(OR(H294=AB$2,I294=AC$2,J294=AD$2,
P294=1,V294=1,
L294='Group List A'!E$2,M294='Group List A'!F$2,N294='Group List A'!G$2,
R294='Group List B'!E$2,S294='Group List B'!F$2,T294='Group List B'!G$2),"Limit",0))</f>
        <v>0</v>
      </c>
      <c r="H294" s="29">
        <f t="shared" si="62"/>
        <v>0</v>
      </c>
      <c r="I294" s="29">
        <f t="shared" si="63"/>
        <v>0</v>
      </c>
      <c r="J294" s="29">
        <f t="shared" si="64"/>
        <v>0</v>
      </c>
      <c r="K294" s="32" t="str" cm="1">
        <f t="array" ref="K294">IF(AF294&lt;&gt;"",IFERROR(INDEX('Group List A'!B:B,MATCH(AI294,'Group List A'!A:A,0),0),"-"),"")</f>
        <v/>
      </c>
      <c r="L294" s="33">
        <f t="shared" si="65"/>
        <v>0</v>
      </c>
      <c r="M294" s="33">
        <f t="shared" si="66"/>
        <v>0</v>
      </c>
      <c r="N294" s="33">
        <f t="shared" si="67"/>
        <v>0</v>
      </c>
      <c r="O294" s="28"/>
      <c r="P294" s="33">
        <f t="shared" si="68"/>
        <v>0</v>
      </c>
      <c r="Q294" s="35" t="str" cm="1">
        <f t="array" ref="Q294">IF(AF294&lt;&gt;"",IFERROR(INDEX('Group List B'!B:B,MATCH(AI294,'Group List B'!A:A,0),0),"-"),"")</f>
        <v/>
      </c>
      <c r="R294" s="36">
        <f t="shared" si="69"/>
        <v>0</v>
      </c>
      <c r="S294" s="36">
        <f t="shared" si="70"/>
        <v>0</v>
      </c>
      <c r="T294" s="36">
        <f t="shared" si="71"/>
        <v>0</v>
      </c>
      <c r="U294" s="28"/>
      <c r="V294" s="37">
        <f t="shared" si="72"/>
        <v>0</v>
      </c>
      <c r="W294" s="41"/>
      <c r="X294" s="27"/>
      <c r="Y294" s="27"/>
      <c r="Z294" s="27"/>
      <c r="AA294" s="15"/>
      <c r="AB294" s="17"/>
      <c r="AC294" s="17"/>
      <c r="AD294" s="17"/>
      <c r="AE294" s="90"/>
      <c r="AF294" s="82" t="str">
        <f t="shared" si="73"/>
        <v/>
      </c>
      <c r="AG294" s="83" t="str">
        <f t="shared" si="74"/>
        <v/>
      </c>
      <c r="AH294" s="82" t="str">
        <f t="shared" si="75"/>
        <v/>
      </c>
      <c r="AI294" s="82" t="str">
        <f t="shared" si="76"/>
        <v/>
      </c>
      <c r="AJ294" s="90"/>
      <c r="AP294" s="88"/>
    </row>
    <row r="295" spans="1:42" x14ac:dyDescent="0.25">
      <c r="A295" s="2"/>
      <c r="C295" s="68" t="str" cm="1">
        <f t="array" ref="C295">IF(AF295&lt;&gt;"",
IFERROR(INDEX('LaunchPad Markbook'!A:A,MATCH(AH295,'LaunchPad Markbook'!D:D,0),0),"-"),"")</f>
        <v/>
      </c>
      <c r="D295" s="27"/>
      <c r="E295" s="27"/>
      <c r="F295" s="27"/>
      <c r="G295" s="14">
        <f>IF(OR(H295&gt;AB$2,I295&gt;AC$2,J295&gt;AD$2,
P295&gt;1,V295&gt;1,
L295&gt;'Group List A'!E$2,M295&gt;'Group List A'!F$2,N295&gt;'Group List A'!G$2,
R295&gt;'Group List B'!E$2,S295&gt;'Group List B'!F$2,T295&gt;'Group List B'!G$2),"Exceed",
IF(OR(H295=AB$2,I295=AC$2,J295=AD$2,
P295=1,V295=1,
L295='Group List A'!E$2,M295='Group List A'!F$2,N295='Group List A'!G$2,
R295='Group List B'!E$2,S295='Group List B'!F$2,T295='Group List B'!G$2),"Limit",0))</f>
        <v>0</v>
      </c>
      <c r="H295" s="29">
        <f t="shared" si="62"/>
        <v>0</v>
      </c>
      <c r="I295" s="29">
        <f t="shared" si="63"/>
        <v>0</v>
      </c>
      <c r="J295" s="29">
        <f t="shared" si="64"/>
        <v>0</v>
      </c>
      <c r="K295" s="32" t="str" cm="1">
        <f t="array" ref="K295">IF(AF295&lt;&gt;"",IFERROR(INDEX('Group List A'!B:B,MATCH(AI295,'Group List A'!A:A,0),0),"-"),"")</f>
        <v/>
      </c>
      <c r="L295" s="33">
        <f t="shared" si="65"/>
        <v>0</v>
      </c>
      <c r="M295" s="33">
        <f t="shared" si="66"/>
        <v>0</v>
      </c>
      <c r="N295" s="33">
        <f t="shared" si="67"/>
        <v>0</v>
      </c>
      <c r="O295" s="28"/>
      <c r="P295" s="33">
        <f t="shared" si="68"/>
        <v>0</v>
      </c>
      <c r="Q295" s="35" t="str" cm="1">
        <f t="array" ref="Q295">IF(AF295&lt;&gt;"",IFERROR(INDEX('Group List B'!B:B,MATCH(AI295,'Group List B'!A:A,0),0),"-"),"")</f>
        <v/>
      </c>
      <c r="R295" s="36">
        <f t="shared" si="69"/>
        <v>0</v>
      </c>
      <c r="S295" s="36">
        <f t="shared" si="70"/>
        <v>0</v>
      </c>
      <c r="T295" s="36">
        <f t="shared" si="71"/>
        <v>0</v>
      </c>
      <c r="U295" s="28"/>
      <c r="V295" s="37">
        <f t="shared" si="72"/>
        <v>0</v>
      </c>
      <c r="W295" s="41"/>
      <c r="X295" s="27"/>
      <c r="Y295" s="27"/>
      <c r="Z295" s="27"/>
      <c r="AA295" s="15"/>
      <c r="AB295" s="17"/>
      <c r="AC295" s="17"/>
      <c r="AD295" s="17"/>
      <c r="AE295" s="90"/>
      <c r="AF295" s="82" t="str">
        <f t="shared" si="73"/>
        <v/>
      </c>
      <c r="AG295" s="83" t="str">
        <f t="shared" si="74"/>
        <v/>
      </c>
      <c r="AH295" s="82" t="str">
        <f t="shared" si="75"/>
        <v/>
      </c>
      <c r="AI295" s="82" t="str">
        <f t="shared" si="76"/>
        <v/>
      </c>
      <c r="AJ295" s="90"/>
      <c r="AP295" s="88"/>
    </row>
    <row r="296" spans="1:42" x14ac:dyDescent="0.25">
      <c r="A296" s="2"/>
      <c r="C296" s="68" t="str" cm="1">
        <f t="array" ref="C296">IF(AF296&lt;&gt;"",
IFERROR(INDEX('LaunchPad Markbook'!A:A,MATCH(AH296,'LaunchPad Markbook'!D:D,0),0),"-"),"")</f>
        <v/>
      </c>
      <c r="D296" s="27"/>
      <c r="E296" s="27"/>
      <c r="F296" s="27"/>
      <c r="G296" s="14">
        <f>IF(OR(H296&gt;AB$2,I296&gt;AC$2,J296&gt;AD$2,
P296&gt;1,V296&gt;1,
L296&gt;'Group List A'!E$2,M296&gt;'Group List A'!F$2,N296&gt;'Group List A'!G$2,
R296&gt;'Group List B'!E$2,S296&gt;'Group List B'!F$2,T296&gt;'Group List B'!G$2),"Exceed",
IF(OR(H296=AB$2,I296=AC$2,J296=AD$2,
P296=1,V296=1,
L296='Group List A'!E$2,M296='Group List A'!F$2,N296='Group List A'!G$2,
R296='Group List B'!E$2,S296='Group List B'!F$2,T296='Group List B'!G$2),"Limit",0))</f>
        <v>0</v>
      </c>
      <c r="H296" s="29">
        <f t="shared" si="62"/>
        <v>0</v>
      </c>
      <c r="I296" s="29">
        <f t="shared" si="63"/>
        <v>0</v>
      </c>
      <c r="J296" s="29">
        <f t="shared" si="64"/>
        <v>0</v>
      </c>
      <c r="K296" s="32" t="str" cm="1">
        <f t="array" ref="K296">IF(AF296&lt;&gt;"",IFERROR(INDEX('Group List A'!B:B,MATCH(AI296,'Group List A'!A:A,0),0),"-"),"")</f>
        <v/>
      </c>
      <c r="L296" s="33">
        <f t="shared" si="65"/>
        <v>0</v>
      </c>
      <c r="M296" s="33">
        <f t="shared" si="66"/>
        <v>0</v>
      </c>
      <c r="N296" s="33">
        <f t="shared" si="67"/>
        <v>0</v>
      </c>
      <c r="O296" s="28"/>
      <c r="P296" s="33">
        <f t="shared" si="68"/>
        <v>0</v>
      </c>
      <c r="Q296" s="35" t="str" cm="1">
        <f t="array" ref="Q296">IF(AF296&lt;&gt;"",IFERROR(INDEX('Group List B'!B:B,MATCH(AI296,'Group List B'!A:A,0),0),"-"),"")</f>
        <v/>
      </c>
      <c r="R296" s="36">
        <f t="shared" si="69"/>
        <v>0</v>
      </c>
      <c r="S296" s="36">
        <f t="shared" si="70"/>
        <v>0</v>
      </c>
      <c r="T296" s="36">
        <f t="shared" si="71"/>
        <v>0</v>
      </c>
      <c r="U296" s="28"/>
      <c r="V296" s="37">
        <f t="shared" si="72"/>
        <v>0</v>
      </c>
      <c r="W296" s="41"/>
      <c r="X296" s="27"/>
      <c r="Y296" s="27"/>
      <c r="Z296" s="27"/>
      <c r="AA296" s="15"/>
      <c r="AB296" s="17"/>
      <c r="AC296" s="17"/>
      <c r="AD296" s="17"/>
      <c r="AE296" s="90"/>
      <c r="AF296" s="82" t="str">
        <f t="shared" si="73"/>
        <v/>
      </c>
      <c r="AG296" s="83" t="str">
        <f t="shared" si="74"/>
        <v/>
      </c>
      <c r="AH296" s="82" t="str">
        <f t="shared" si="75"/>
        <v/>
      </c>
      <c r="AI296" s="82" t="str">
        <f t="shared" si="76"/>
        <v/>
      </c>
      <c r="AJ296" s="90"/>
      <c r="AP296" s="88"/>
    </row>
    <row r="297" spans="1:42" x14ac:dyDescent="0.25">
      <c r="A297" s="2"/>
      <c r="C297" s="68" t="str" cm="1">
        <f t="array" ref="C297">IF(AF297&lt;&gt;"",
IFERROR(INDEX('LaunchPad Markbook'!A:A,MATCH(AH297,'LaunchPad Markbook'!D:D,0),0),"-"),"")</f>
        <v/>
      </c>
      <c r="D297" s="27"/>
      <c r="E297" s="27"/>
      <c r="F297" s="27"/>
      <c r="G297" s="14">
        <f>IF(OR(H297&gt;AB$2,I297&gt;AC$2,J297&gt;AD$2,
P297&gt;1,V297&gt;1,
L297&gt;'Group List A'!E$2,M297&gt;'Group List A'!F$2,N297&gt;'Group List A'!G$2,
R297&gt;'Group List B'!E$2,S297&gt;'Group List B'!F$2,T297&gt;'Group List B'!G$2),"Exceed",
IF(OR(H297=AB$2,I297=AC$2,J297=AD$2,
P297=1,V297=1,
L297='Group List A'!E$2,M297='Group List A'!F$2,N297='Group List A'!G$2,
R297='Group List B'!E$2,S297='Group List B'!F$2,T297='Group List B'!G$2),"Limit",0))</f>
        <v>0</v>
      </c>
      <c r="H297" s="29">
        <f t="shared" si="62"/>
        <v>0</v>
      </c>
      <c r="I297" s="29">
        <f t="shared" si="63"/>
        <v>0</v>
      </c>
      <c r="J297" s="29">
        <f t="shared" si="64"/>
        <v>0</v>
      </c>
      <c r="K297" s="32" t="str" cm="1">
        <f t="array" ref="K297">IF(AF297&lt;&gt;"",IFERROR(INDEX('Group List A'!B:B,MATCH(AI297,'Group List A'!A:A,0),0),"-"),"")</f>
        <v/>
      </c>
      <c r="L297" s="33">
        <f t="shared" si="65"/>
        <v>0</v>
      </c>
      <c r="M297" s="33">
        <f t="shared" si="66"/>
        <v>0</v>
      </c>
      <c r="N297" s="33">
        <f t="shared" si="67"/>
        <v>0</v>
      </c>
      <c r="O297" s="28"/>
      <c r="P297" s="33">
        <f t="shared" si="68"/>
        <v>0</v>
      </c>
      <c r="Q297" s="35" t="str" cm="1">
        <f t="array" ref="Q297">IF(AF297&lt;&gt;"",IFERROR(INDEX('Group List B'!B:B,MATCH(AI297,'Group List B'!A:A,0),0),"-"),"")</f>
        <v/>
      </c>
      <c r="R297" s="36">
        <f t="shared" si="69"/>
        <v>0</v>
      </c>
      <c r="S297" s="36">
        <f t="shared" si="70"/>
        <v>0</v>
      </c>
      <c r="T297" s="36">
        <f t="shared" si="71"/>
        <v>0</v>
      </c>
      <c r="U297" s="28"/>
      <c r="V297" s="37">
        <f t="shared" si="72"/>
        <v>0</v>
      </c>
      <c r="W297" s="41"/>
      <c r="X297" s="27"/>
      <c r="Y297" s="27"/>
      <c r="Z297" s="27"/>
      <c r="AA297" s="15"/>
      <c r="AB297" s="17"/>
      <c r="AC297" s="17"/>
      <c r="AD297" s="17"/>
      <c r="AE297" s="90"/>
      <c r="AF297" s="82" t="str">
        <f t="shared" si="73"/>
        <v/>
      </c>
      <c r="AG297" s="83" t="str">
        <f t="shared" si="74"/>
        <v/>
      </c>
      <c r="AH297" s="82" t="str">
        <f t="shared" si="75"/>
        <v/>
      </c>
      <c r="AI297" s="82" t="str">
        <f t="shared" si="76"/>
        <v/>
      </c>
      <c r="AJ297" s="90"/>
      <c r="AP297" s="88"/>
    </row>
    <row r="298" spans="1:42" x14ac:dyDescent="0.25">
      <c r="A298" s="2"/>
      <c r="C298" s="68" t="str" cm="1">
        <f t="array" ref="C298">IF(AF298&lt;&gt;"",
IFERROR(INDEX('LaunchPad Markbook'!A:A,MATCH(AH298,'LaunchPad Markbook'!D:D,0),0),"-"),"")</f>
        <v/>
      </c>
      <c r="D298" s="27"/>
      <c r="E298" s="27"/>
      <c r="F298" s="27"/>
      <c r="G298" s="14">
        <f>IF(OR(H298&gt;AB$2,I298&gt;AC$2,J298&gt;AD$2,
P298&gt;1,V298&gt;1,
L298&gt;'Group List A'!E$2,M298&gt;'Group List A'!F$2,N298&gt;'Group List A'!G$2,
R298&gt;'Group List B'!E$2,S298&gt;'Group List B'!F$2,T298&gt;'Group List B'!G$2),"Exceed",
IF(OR(H298=AB$2,I298=AC$2,J298=AD$2,
P298=1,V298=1,
L298='Group List A'!E$2,M298='Group List A'!F$2,N298='Group List A'!G$2,
R298='Group List B'!E$2,S298='Group List B'!F$2,T298='Group List B'!G$2),"Limit",0))</f>
        <v>0</v>
      </c>
      <c r="H298" s="29">
        <f t="shared" si="62"/>
        <v>0</v>
      </c>
      <c r="I298" s="29">
        <f t="shared" si="63"/>
        <v>0</v>
      </c>
      <c r="J298" s="29">
        <f t="shared" si="64"/>
        <v>0</v>
      </c>
      <c r="K298" s="32" t="str" cm="1">
        <f t="array" ref="K298">IF(AF298&lt;&gt;"",IFERROR(INDEX('Group List A'!B:B,MATCH(AI298,'Group List A'!A:A,0),0),"-"),"")</f>
        <v/>
      </c>
      <c r="L298" s="33">
        <f t="shared" si="65"/>
        <v>0</v>
      </c>
      <c r="M298" s="33">
        <f t="shared" si="66"/>
        <v>0</v>
      </c>
      <c r="N298" s="33">
        <f t="shared" si="67"/>
        <v>0</v>
      </c>
      <c r="O298" s="28"/>
      <c r="P298" s="33">
        <f t="shared" si="68"/>
        <v>0</v>
      </c>
      <c r="Q298" s="35" t="str" cm="1">
        <f t="array" ref="Q298">IF(AF298&lt;&gt;"",IFERROR(INDEX('Group List B'!B:B,MATCH(AI298,'Group List B'!A:A,0),0),"-"),"")</f>
        <v/>
      </c>
      <c r="R298" s="36">
        <f t="shared" si="69"/>
        <v>0</v>
      </c>
      <c r="S298" s="36">
        <f t="shared" si="70"/>
        <v>0</v>
      </c>
      <c r="T298" s="36">
        <f t="shared" si="71"/>
        <v>0</v>
      </c>
      <c r="U298" s="28"/>
      <c r="V298" s="37">
        <f t="shared" si="72"/>
        <v>0</v>
      </c>
      <c r="W298" s="41"/>
      <c r="X298" s="27"/>
      <c r="Y298" s="27"/>
      <c r="Z298" s="27"/>
      <c r="AA298" s="15"/>
      <c r="AB298" s="17"/>
      <c r="AC298" s="17"/>
      <c r="AD298" s="17"/>
      <c r="AE298" s="90"/>
      <c r="AF298" s="82" t="str">
        <f t="shared" si="73"/>
        <v/>
      </c>
      <c r="AG298" s="83" t="str">
        <f t="shared" si="74"/>
        <v/>
      </c>
      <c r="AH298" s="82" t="str">
        <f t="shared" si="75"/>
        <v/>
      </c>
      <c r="AI298" s="82" t="str">
        <f t="shared" si="76"/>
        <v/>
      </c>
      <c r="AJ298" s="90"/>
      <c r="AP298" s="88"/>
    </row>
    <row r="299" spans="1:42" x14ac:dyDescent="0.25">
      <c r="A299" s="2"/>
      <c r="C299" s="68" t="str" cm="1">
        <f t="array" ref="C299">IF(AF299&lt;&gt;"",
IFERROR(INDEX('LaunchPad Markbook'!A:A,MATCH(AH299,'LaunchPad Markbook'!D:D,0),0),"-"),"")</f>
        <v/>
      </c>
      <c r="D299" s="27"/>
      <c r="E299" s="27"/>
      <c r="F299" s="27"/>
      <c r="G299" s="14">
        <f>IF(OR(H299&gt;AB$2,I299&gt;AC$2,J299&gt;AD$2,
P299&gt;1,V299&gt;1,
L299&gt;'Group List A'!E$2,M299&gt;'Group List A'!F$2,N299&gt;'Group List A'!G$2,
R299&gt;'Group List B'!E$2,S299&gt;'Group List B'!F$2,T299&gt;'Group List B'!G$2),"Exceed",
IF(OR(H299=AB$2,I299=AC$2,J299=AD$2,
P299=1,V299=1,
L299='Group List A'!E$2,M299='Group List A'!F$2,N299='Group List A'!G$2,
R299='Group List B'!E$2,S299='Group List B'!F$2,T299='Group List B'!G$2),"Limit",0))</f>
        <v>0</v>
      </c>
      <c r="H299" s="29">
        <f t="shared" si="62"/>
        <v>0</v>
      </c>
      <c r="I299" s="29">
        <f t="shared" si="63"/>
        <v>0</v>
      </c>
      <c r="J299" s="29">
        <f t="shared" si="64"/>
        <v>0</v>
      </c>
      <c r="K299" s="32" t="str" cm="1">
        <f t="array" ref="K299">IF(AF299&lt;&gt;"",IFERROR(INDEX('Group List A'!B:B,MATCH(AI299,'Group List A'!A:A,0),0),"-"),"")</f>
        <v/>
      </c>
      <c r="L299" s="33">
        <f t="shared" si="65"/>
        <v>0</v>
      </c>
      <c r="M299" s="33">
        <f t="shared" si="66"/>
        <v>0</v>
      </c>
      <c r="N299" s="33">
        <f t="shared" si="67"/>
        <v>0</v>
      </c>
      <c r="O299" s="28"/>
      <c r="P299" s="33">
        <f t="shared" si="68"/>
        <v>0</v>
      </c>
      <c r="Q299" s="35" t="str" cm="1">
        <f t="array" ref="Q299">IF(AF299&lt;&gt;"",IFERROR(INDEX('Group List B'!B:B,MATCH(AI299,'Group List B'!A:A,0),0),"-"),"")</f>
        <v/>
      </c>
      <c r="R299" s="36">
        <f t="shared" si="69"/>
        <v>0</v>
      </c>
      <c r="S299" s="36">
        <f t="shared" si="70"/>
        <v>0</v>
      </c>
      <c r="T299" s="36">
        <f t="shared" si="71"/>
        <v>0</v>
      </c>
      <c r="U299" s="28"/>
      <c r="V299" s="37">
        <f t="shared" si="72"/>
        <v>0</v>
      </c>
      <c r="W299" s="41"/>
      <c r="X299" s="27"/>
      <c r="Y299" s="27"/>
      <c r="Z299" s="27"/>
      <c r="AA299" s="15"/>
      <c r="AB299" s="17"/>
      <c r="AC299" s="17"/>
      <c r="AD299" s="17"/>
      <c r="AE299" s="90"/>
      <c r="AF299" s="82" t="str">
        <f t="shared" si="73"/>
        <v/>
      </c>
      <c r="AG299" s="83" t="str">
        <f t="shared" si="74"/>
        <v/>
      </c>
      <c r="AH299" s="82" t="str">
        <f t="shared" si="75"/>
        <v/>
      </c>
      <c r="AI299" s="82" t="str">
        <f t="shared" si="76"/>
        <v/>
      </c>
      <c r="AJ299" s="90"/>
      <c r="AP299" s="88"/>
    </row>
    <row r="300" spans="1:42" x14ac:dyDescent="0.25">
      <c r="A300" s="2"/>
      <c r="C300" s="68" t="str" cm="1">
        <f t="array" ref="C300">IF(AF300&lt;&gt;"",
IFERROR(INDEX('LaunchPad Markbook'!A:A,MATCH(AH300,'LaunchPad Markbook'!D:D,0),0),"-"),"")</f>
        <v/>
      </c>
      <c r="D300" s="27"/>
      <c r="E300" s="27"/>
      <c r="F300" s="27"/>
      <c r="G300" s="14">
        <f>IF(OR(H300&gt;AB$2,I300&gt;AC$2,J300&gt;AD$2,
P300&gt;1,V300&gt;1,
L300&gt;'Group List A'!E$2,M300&gt;'Group List A'!F$2,N300&gt;'Group List A'!G$2,
R300&gt;'Group List B'!E$2,S300&gt;'Group List B'!F$2,T300&gt;'Group List B'!G$2),"Exceed",
IF(OR(H300=AB$2,I300=AC$2,J300=AD$2,
P300=1,V300=1,
L300='Group List A'!E$2,M300='Group List A'!F$2,N300='Group List A'!G$2,
R300='Group List B'!E$2,S300='Group List B'!F$2,T300='Group List B'!G$2),"Limit",0))</f>
        <v>0</v>
      </c>
      <c r="H300" s="29">
        <f t="shared" si="62"/>
        <v>0</v>
      </c>
      <c r="I300" s="29">
        <f t="shared" si="63"/>
        <v>0</v>
      </c>
      <c r="J300" s="29">
        <f t="shared" si="64"/>
        <v>0</v>
      </c>
      <c r="K300" s="32" t="str" cm="1">
        <f t="array" ref="K300">IF(AF300&lt;&gt;"",IFERROR(INDEX('Group List A'!B:B,MATCH(AI300,'Group List A'!A:A,0),0),"-"),"")</f>
        <v/>
      </c>
      <c r="L300" s="33">
        <f t="shared" si="65"/>
        <v>0</v>
      </c>
      <c r="M300" s="33">
        <f t="shared" si="66"/>
        <v>0</v>
      </c>
      <c r="N300" s="33">
        <f t="shared" si="67"/>
        <v>0</v>
      </c>
      <c r="O300" s="28"/>
      <c r="P300" s="33">
        <f t="shared" si="68"/>
        <v>0</v>
      </c>
      <c r="Q300" s="35" t="str" cm="1">
        <f t="array" ref="Q300">IF(AF300&lt;&gt;"",IFERROR(INDEX('Group List B'!B:B,MATCH(AI300,'Group List B'!A:A,0),0),"-"),"")</f>
        <v/>
      </c>
      <c r="R300" s="36">
        <f t="shared" si="69"/>
        <v>0</v>
      </c>
      <c r="S300" s="36">
        <f t="shared" si="70"/>
        <v>0</v>
      </c>
      <c r="T300" s="36">
        <f t="shared" si="71"/>
        <v>0</v>
      </c>
      <c r="U300" s="28"/>
      <c r="V300" s="37">
        <f t="shared" si="72"/>
        <v>0</v>
      </c>
      <c r="W300" s="41"/>
      <c r="X300" s="27"/>
      <c r="Y300" s="27"/>
      <c r="Z300" s="27"/>
      <c r="AA300" s="15"/>
      <c r="AB300" s="17"/>
      <c r="AC300" s="17"/>
      <c r="AD300" s="17"/>
      <c r="AE300" s="90"/>
      <c r="AF300" s="82" t="str">
        <f t="shared" si="73"/>
        <v/>
      </c>
      <c r="AG300" s="83" t="str">
        <f t="shared" si="74"/>
        <v/>
      </c>
      <c r="AH300" s="82" t="str">
        <f t="shared" si="75"/>
        <v/>
      </c>
      <c r="AI300" s="82" t="str">
        <f t="shared" si="76"/>
        <v/>
      </c>
      <c r="AJ300" s="90"/>
      <c r="AP300" s="88"/>
    </row>
    <row r="301" spans="1:42" x14ac:dyDescent="0.25">
      <c r="A301" s="2"/>
      <c r="C301" s="68" t="str" cm="1">
        <f t="array" ref="C301">IF(AF301&lt;&gt;"",
IFERROR(INDEX('LaunchPad Markbook'!A:A,MATCH(AH301,'LaunchPad Markbook'!D:D,0),0),"-"),"")</f>
        <v/>
      </c>
      <c r="D301" s="27"/>
      <c r="E301" s="27"/>
      <c r="F301" s="27"/>
      <c r="G301" s="14">
        <f>IF(OR(H301&gt;AB$2,I301&gt;AC$2,J301&gt;AD$2,
P301&gt;1,V301&gt;1,
L301&gt;'Group List A'!E$2,M301&gt;'Group List A'!F$2,N301&gt;'Group List A'!G$2,
R301&gt;'Group List B'!E$2,S301&gt;'Group List B'!F$2,T301&gt;'Group List B'!G$2),"Exceed",
IF(OR(H301=AB$2,I301=AC$2,J301=AD$2,
P301=1,V301=1,
L301='Group List A'!E$2,M301='Group List A'!F$2,N301='Group List A'!G$2,
R301='Group List B'!E$2,S301='Group List B'!F$2,T301='Group List B'!G$2),"Limit",0))</f>
        <v>0</v>
      </c>
      <c r="H301" s="29">
        <f t="shared" si="62"/>
        <v>0</v>
      </c>
      <c r="I301" s="29">
        <f t="shared" si="63"/>
        <v>0</v>
      </c>
      <c r="J301" s="29">
        <f t="shared" si="64"/>
        <v>0</v>
      </c>
      <c r="K301" s="32" t="str" cm="1">
        <f t="array" ref="K301">IF(AF301&lt;&gt;"",IFERROR(INDEX('Group List A'!B:B,MATCH(AI301,'Group List A'!A:A,0),0),"-"),"")</f>
        <v/>
      </c>
      <c r="L301" s="33">
        <f t="shared" si="65"/>
        <v>0</v>
      </c>
      <c r="M301" s="33">
        <f t="shared" si="66"/>
        <v>0</v>
      </c>
      <c r="N301" s="33">
        <f t="shared" si="67"/>
        <v>0</v>
      </c>
      <c r="O301" s="28"/>
      <c r="P301" s="33">
        <f t="shared" si="68"/>
        <v>0</v>
      </c>
      <c r="Q301" s="35" t="str" cm="1">
        <f t="array" ref="Q301">IF(AF301&lt;&gt;"",IFERROR(INDEX('Group List B'!B:B,MATCH(AI301,'Group List B'!A:A,0),0),"-"),"")</f>
        <v/>
      </c>
      <c r="R301" s="36">
        <f t="shared" si="69"/>
        <v>0</v>
      </c>
      <c r="S301" s="36">
        <f t="shared" si="70"/>
        <v>0</v>
      </c>
      <c r="T301" s="36">
        <f t="shared" si="71"/>
        <v>0</v>
      </c>
      <c r="U301" s="28"/>
      <c r="V301" s="37">
        <f t="shared" si="72"/>
        <v>0</v>
      </c>
      <c r="W301" s="41"/>
      <c r="X301" s="27"/>
      <c r="Y301" s="27"/>
      <c r="Z301" s="27"/>
      <c r="AA301" s="15"/>
      <c r="AB301" s="17"/>
      <c r="AC301" s="17"/>
      <c r="AD301" s="17"/>
      <c r="AE301" s="90"/>
      <c r="AF301" s="82" t="str">
        <f t="shared" si="73"/>
        <v/>
      </c>
      <c r="AG301" s="83" t="str">
        <f t="shared" si="74"/>
        <v/>
      </c>
      <c r="AH301" s="82" t="str">
        <f t="shared" si="75"/>
        <v/>
      </c>
      <c r="AI301" s="82" t="str">
        <f t="shared" si="76"/>
        <v/>
      </c>
      <c r="AJ301" s="90"/>
      <c r="AP301" s="88"/>
    </row>
    <row r="302" spans="1:42" x14ac:dyDescent="0.25">
      <c r="A302" s="2"/>
      <c r="C302" s="68" t="str" cm="1">
        <f t="array" ref="C302">IF(AF302&lt;&gt;"",
IFERROR(INDEX('LaunchPad Markbook'!A:A,MATCH(AH302,'LaunchPad Markbook'!D:D,0),0),"-"),"")</f>
        <v/>
      </c>
      <c r="D302" s="27"/>
      <c r="E302" s="27"/>
      <c r="F302" s="27"/>
      <c r="G302" s="14">
        <f>IF(OR(H302&gt;AB$2,I302&gt;AC$2,J302&gt;AD$2,
P302&gt;1,V302&gt;1,
L302&gt;'Group List A'!E$2,M302&gt;'Group List A'!F$2,N302&gt;'Group List A'!G$2,
R302&gt;'Group List B'!E$2,S302&gt;'Group List B'!F$2,T302&gt;'Group List B'!G$2),"Exceed",
IF(OR(H302=AB$2,I302=AC$2,J302=AD$2,
P302=1,V302=1,
L302='Group List A'!E$2,M302='Group List A'!F$2,N302='Group List A'!G$2,
R302='Group List B'!E$2,S302='Group List B'!F$2,T302='Group List B'!G$2),"Limit",0))</f>
        <v>0</v>
      </c>
      <c r="H302" s="29">
        <f t="shared" si="62"/>
        <v>0</v>
      </c>
      <c r="I302" s="29">
        <f t="shared" si="63"/>
        <v>0</v>
      </c>
      <c r="J302" s="29">
        <f t="shared" si="64"/>
        <v>0</v>
      </c>
      <c r="K302" s="32" t="str" cm="1">
        <f t="array" ref="K302">IF(AF302&lt;&gt;"",IFERROR(INDEX('Group List A'!B:B,MATCH(AI302,'Group List A'!A:A,0),0),"-"),"")</f>
        <v/>
      </c>
      <c r="L302" s="33">
        <f t="shared" si="65"/>
        <v>0</v>
      </c>
      <c r="M302" s="33">
        <f t="shared" si="66"/>
        <v>0</v>
      </c>
      <c r="N302" s="33">
        <f t="shared" si="67"/>
        <v>0</v>
      </c>
      <c r="O302" s="28"/>
      <c r="P302" s="33">
        <f t="shared" si="68"/>
        <v>0</v>
      </c>
      <c r="Q302" s="35" t="str" cm="1">
        <f t="array" ref="Q302">IF(AF302&lt;&gt;"",IFERROR(INDEX('Group List B'!B:B,MATCH(AI302,'Group List B'!A:A,0),0),"-"),"")</f>
        <v/>
      </c>
      <c r="R302" s="36">
        <f t="shared" si="69"/>
        <v>0</v>
      </c>
      <c r="S302" s="36">
        <f t="shared" si="70"/>
        <v>0</v>
      </c>
      <c r="T302" s="36">
        <f t="shared" si="71"/>
        <v>0</v>
      </c>
      <c r="U302" s="28"/>
      <c r="V302" s="37">
        <f t="shared" si="72"/>
        <v>0</v>
      </c>
      <c r="W302" s="41"/>
      <c r="X302" s="27"/>
      <c r="Y302" s="27"/>
      <c r="Z302" s="27"/>
      <c r="AA302" s="15"/>
      <c r="AB302" s="17"/>
      <c r="AC302" s="17"/>
      <c r="AD302" s="17"/>
      <c r="AE302" s="90"/>
      <c r="AF302" s="82" t="str">
        <f t="shared" si="73"/>
        <v/>
      </c>
      <c r="AG302" s="83" t="str">
        <f t="shared" si="74"/>
        <v/>
      </c>
      <c r="AH302" s="82" t="str">
        <f t="shared" si="75"/>
        <v/>
      </c>
      <c r="AI302" s="82" t="str">
        <f t="shared" si="76"/>
        <v/>
      </c>
      <c r="AJ302" s="90"/>
      <c r="AP302" s="88"/>
    </row>
    <row r="303" spans="1:42" x14ac:dyDescent="0.25">
      <c r="A303" s="2"/>
      <c r="C303" s="68" t="str" cm="1">
        <f t="array" ref="C303">IF(AF303&lt;&gt;"",
IFERROR(INDEX('LaunchPad Markbook'!A:A,MATCH(AH303,'LaunchPad Markbook'!D:D,0),0),"-"),"")</f>
        <v/>
      </c>
      <c r="D303" s="27"/>
      <c r="E303" s="27"/>
      <c r="F303" s="27"/>
      <c r="G303" s="14">
        <f>IF(OR(H303&gt;AB$2,I303&gt;AC$2,J303&gt;AD$2,
P303&gt;1,V303&gt;1,
L303&gt;'Group List A'!E$2,M303&gt;'Group List A'!F$2,N303&gt;'Group List A'!G$2,
R303&gt;'Group List B'!E$2,S303&gt;'Group List B'!F$2,T303&gt;'Group List B'!G$2),"Exceed",
IF(OR(H303=AB$2,I303=AC$2,J303=AD$2,
P303=1,V303=1,
L303='Group List A'!E$2,M303='Group List A'!F$2,N303='Group List A'!G$2,
R303='Group List B'!E$2,S303='Group List B'!F$2,T303='Group List B'!G$2),"Limit",0))</f>
        <v>0</v>
      </c>
      <c r="H303" s="29">
        <f t="shared" si="62"/>
        <v>0</v>
      </c>
      <c r="I303" s="29">
        <f t="shared" si="63"/>
        <v>0</v>
      </c>
      <c r="J303" s="29">
        <f t="shared" si="64"/>
        <v>0</v>
      </c>
      <c r="K303" s="32" t="str" cm="1">
        <f t="array" ref="K303">IF(AF303&lt;&gt;"",IFERROR(INDEX('Group List A'!B:B,MATCH(AI303,'Group List A'!A:A,0),0),"-"),"")</f>
        <v/>
      </c>
      <c r="L303" s="33">
        <f t="shared" si="65"/>
        <v>0</v>
      </c>
      <c r="M303" s="33">
        <f t="shared" si="66"/>
        <v>0</v>
      </c>
      <c r="N303" s="33">
        <f t="shared" si="67"/>
        <v>0</v>
      </c>
      <c r="O303" s="28"/>
      <c r="P303" s="33">
        <f t="shared" si="68"/>
        <v>0</v>
      </c>
      <c r="Q303" s="35" t="str" cm="1">
        <f t="array" ref="Q303">IF(AF303&lt;&gt;"",IFERROR(INDEX('Group List B'!B:B,MATCH(AI303,'Group List B'!A:A,0),0),"-"),"")</f>
        <v/>
      </c>
      <c r="R303" s="36">
        <f t="shared" si="69"/>
        <v>0</v>
      </c>
      <c r="S303" s="36">
        <f t="shared" si="70"/>
        <v>0</v>
      </c>
      <c r="T303" s="36">
        <f t="shared" si="71"/>
        <v>0</v>
      </c>
      <c r="U303" s="28"/>
      <c r="V303" s="37">
        <f t="shared" si="72"/>
        <v>0</v>
      </c>
      <c r="W303" s="41"/>
      <c r="X303" s="27"/>
      <c r="Y303" s="27"/>
      <c r="Z303" s="27"/>
      <c r="AA303" s="15"/>
      <c r="AB303" s="17"/>
      <c r="AC303" s="17"/>
      <c r="AD303" s="17"/>
      <c r="AE303" s="90"/>
      <c r="AF303" s="82" t="str">
        <f t="shared" si="73"/>
        <v/>
      </c>
      <c r="AG303" s="83" t="str">
        <f t="shared" si="74"/>
        <v/>
      </c>
      <c r="AH303" s="82" t="str">
        <f t="shared" si="75"/>
        <v/>
      </c>
      <c r="AI303" s="82" t="str">
        <f t="shared" si="76"/>
        <v/>
      </c>
      <c r="AJ303" s="90"/>
      <c r="AP303" s="88"/>
    </row>
    <row r="304" spans="1:42" x14ac:dyDescent="0.25">
      <c r="A304" s="2"/>
      <c r="C304" s="68" t="str" cm="1">
        <f t="array" ref="C304">IF(AF304&lt;&gt;"",
IFERROR(INDEX('LaunchPad Markbook'!A:A,MATCH(AH304,'LaunchPad Markbook'!D:D,0),0),"-"),"")</f>
        <v/>
      </c>
      <c r="D304" s="27"/>
      <c r="E304" s="27"/>
      <c r="F304" s="27"/>
      <c r="G304" s="14">
        <f>IF(OR(H304&gt;AB$2,I304&gt;AC$2,J304&gt;AD$2,
P304&gt;1,V304&gt;1,
L304&gt;'Group List A'!E$2,M304&gt;'Group List A'!F$2,N304&gt;'Group List A'!G$2,
R304&gt;'Group List B'!E$2,S304&gt;'Group List B'!F$2,T304&gt;'Group List B'!G$2),"Exceed",
IF(OR(H304=AB$2,I304=AC$2,J304=AD$2,
P304=1,V304=1,
L304='Group List A'!E$2,M304='Group List A'!F$2,N304='Group List A'!G$2,
R304='Group List B'!E$2,S304='Group List B'!F$2,T304='Group List B'!G$2),"Limit",0))</f>
        <v>0</v>
      </c>
      <c r="H304" s="29">
        <f t="shared" si="62"/>
        <v>0</v>
      </c>
      <c r="I304" s="29">
        <f t="shared" si="63"/>
        <v>0</v>
      </c>
      <c r="J304" s="29">
        <f t="shared" si="64"/>
        <v>0</v>
      </c>
      <c r="K304" s="32" t="str" cm="1">
        <f t="array" ref="K304">IF(AF304&lt;&gt;"",IFERROR(INDEX('Group List A'!B:B,MATCH(AI304,'Group List A'!A:A,0),0),"-"),"")</f>
        <v/>
      </c>
      <c r="L304" s="33">
        <f t="shared" si="65"/>
        <v>0</v>
      </c>
      <c r="M304" s="33">
        <f t="shared" si="66"/>
        <v>0</v>
      </c>
      <c r="N304" s="33">
        <f t="shared" si="67"/>
        <v>0</v>
      </c>
      <c r="O304" s="28"/>
      <c r="P304" s="33">
        <f t="shared" si="68"/>
        <v>0</v>
      </c>
      <c r="Q304" s="35" t="str" cm="1">
        <f t="array" ref="Q304">IF(AF304&lt;&gt;"",IFERROR(INDEX('Group List B'!B:B,MATCH(AI304,'Group List B'!A:A,0),0),"-"),"")</f>
        <v/>
      </c>
      <c r="R304" s="36">
        <f t="shared" si="69"/>
        <v>0</v>
      </c>
      <c r="S304" s="36">
        <f t="shared" si="70"/>
        <v>0</v>
      </c>
      <c r="T304" s="36">
        <f t="shared" si="71"/>
        <v>0</v>
      </c>
      <c r="U304" s="28"/>
      <c r="V304" s="37">
        <f t="shared" si="72"/>
        <v>0</v>
      </c>
      <c r="W304" s="41"/>
      <c r="X304" s="27"/>
      <c r="Y304" s="27"/>
      <c r="Z304" s="27"/>
      <c r="AA304" s="15"/>
      <c r="AB304" s="17"/>
      <c r="AC304" s="17"/>
      <c r="AD304" s="17"/>
      <c r="AE304" s="90"/>
      <c r="AF304" s="82" t="str">
        <f t="shared" si="73"/>
        <v/>
      </c>
      <c r="AG304" s="83" t="str">
        <f t="shared" si="74"/>
        <v/>
      </c>
      <c r="AH304" s="82" t="str">
        <f t="shared" si="75"/>
        <v/>
      </c>
      <c r="AI304" s="82" t="str">
        <f t="shared" si="76"/>
        <v/>
      </c>
      <c r="AJ304" s="90"/>
      <c r="AP304" s="88"/>
    </row>
    <row r="305" spans="1:42" x14ac:dyDescent="0.25">
      <c r="A305" s="2"/>
      <c r="C305" s="68" t="str" cm="1">
        <f t="array" ref="C305">IF(AF305&lt;&gt;"",
IFERROR(INDEX('LaunchPad Markbook'!A:A,MATCH(AH305,'LaunchPad Markbook'!D:D,0),0),"-"),"")</f>
        <v/>
      </c>
      <c r="D305" s="27"/>
      <c r="E305" s="27"/>
      <c r="F305" s="27"/>
      <c r="G305" s="14">
        <f>IF(OR(H305&gt;AB$2,I305&gt;AC$2,J305&gt;AD$2,
P305&gt;1,V305&gt;1,
L305&gt;'Group List A'!E$2,M305&gt;'Group List A'!F$2,N305&gt;'Group List A'!G$2,
R305&gt;'Group List B'!E$2,S305&gt;'Group List B'!F$2,T305&gt;'Group List B'!G$2),"Exceed",
IF(OR(H305=AB$2,I305=AC$2,J305=AD$2,
P305=1,V305=1,
L305='Group List A'!E$2,M305='Group List A'!F$2,N305='Group List A'!G$2,
R305='Group List B'!E$2,S305='Group List B'!F$2,T305='Group List B'!G$2),"Limit",0))</f>
        <v>0</v>
      </c>
      <c r="H305" s="29">
        <f t="shared" si="62"/>
        <v>0</v>
      </c>
      <c r="I305" s="29">
        <f t="shared" si="63"/>
        <v>0</v>
      </c>
      <c r="J305" s="29">
        <f t="shared" si="64"/>
        <v>0</v>
      </c>
      <c r="K305" s="32" t="str" cm="1">
        <f t="array" ref="K305">IF(AF305&lt;&gt;"",IFERROR(INDEX('Group List A'!B:B,MATCH(AI305,'Group List A'!A:A,0),0),"-"),"")</f>
        <v/>
      </c>
      <c r="L305" s="33">
        <f t="shared" si="65"/>
        <v>0</v>
      </c>
      <c r="M305" s="33">
        <f t="shared" si="66"/>
        <v>0</v>
      </c>
      <c r="N305" s="33">
        <f t="shared" si="67"/>
        <v>0</v>
      </c>
      <c r="O305" s="28"/>
      <c r="P305" s="33">
        <f t="shared" si="68"/>
        <v>0</v>
      </c>
      <c r="Q305" s="35" t="str" cm="1">
        <f t="array" ref="Q305">IF(AF305&lt;&gt;"",IFERROR(INDEX('Group List B'!B:B,MATCH(AI305,'Group List B'!A:A,0),0),"-"),"")</f>
        <v/>
      </c>
      <c r="R305" s="36">
        <f t="shared" si="69"/>
        <v>0</v>
      </c>
      <c r="S305" s="36">
        <f t="shared" si="70"/>
        <v>0</v>
      </c>
      <c r="T305" s="36">
        <f t="shared" si="71"/>
        <v>0</v>
      </c>
      <c r="U305" s="28"/>
      <c r="V305" s="37">
        <f t="shared" si="72"/>
        <v>0</v>
      </c>
      <c r="W305" s="41"/>
      <c r="X305" s="27"/>
      <c r="Y305" s="27"/>
      <c r="Z305" s="27"/>
      <c r="AA305" s="15"/>
      <c r="AB305" s="17"/>
      <c r="AC305" s="17"/>
      <c r="AD305" s="17"/>
      <c r="AE305" s="90"/>
      <c r="AF305" s="82" t="str">
        <f t="shared" si="73"/>
        <v/>
      </c>
      <c r="AG305" s="83" t="str">
        <f t="shared" si="74"/>
        <v/>
      </c>
      <c r="AH305" s="82" t="str">
        <f t="shared" si="75"/>
        <v/>
      </c>
      <c r="AI305" s="82" t="str">
        <f t="shared" si="76"/>
        <v/>
      </c>
      <c r="AJ305" s="90"/>
      <c r="AP305" s="88"/>
    </row>
    <row r="306" spans="1:42" x14ac:dyDescent="0.25">
      <c r="A306" s="2"/>
      <c r="C306" s="68" t="str" cm="1">
        <f t="array" ref="C306">IF(AF306&lt;&gt;"",
IFERROR(INDEX('LaunchPad Markbook'!A:A,MATCH(AH306,'LaunchPad Markbook'!D:D,0),0),"-"),"")</f>
        <v/>
      </c>
      <c r="D306" s="27"/>
      <c r="E306" s="27"/>
      <c r="F306" s="27"/>
      <c r="G306" s="14">
        <f>IF(OR(H306&gt;AB$2,I306&gt;AC$2,J306&gt;AD$2,
P306&gt;1,V306&gt;1,
L306&gt;'Group List A'!E$2,M306&gt;'Group List A'!F$2,N306&gt;'Group List A'!G$2,
R306&gt;'Group List B'!E$2,S306&gt;'Group List B'!F$2,T306&gt;'Group List B'!G$2),"Exceed",
IF(OR(H306=AB$2,I306=AC$2,J306=AD$2,
P306=1,V306=1,
L306='Group List A'!E$2,M306='Group List A'!F$2,N306='Group List A'!G$2,
R306='Group List B'!E$2,S306='Group List B'!F$2,T306='Group List B'!G$2),"Limit",0))</f>
        <v>0</v>
      </c>
      <c r="H306" s="29">
        <f t="shared" si="62"/>
        <v>0</v>
      </c>
      <c r="I306" s="29">
        <f t="shared" si="63"/>
        <v>0</v>
      </c>
      <c r="J306" s="29">
        <f t="shared" si="64"/>
        <v>0</v>
      </c>
      <c r="K306" s="32" t="str" cm="1">
        <f t="array" ref="K306">IF(AF306&lt;&gt;"",IFERROR(INDEX('Group List A'!B:B,MATCH(AI306,'Group List A'!A:A,0),0),"-"),"")</f>
        <v/>
      </c>
      <c r="L306" s="33">
        <f t="shared" si="65"/>
        <v>0</v>
      </c>
      <c r="M306" s="33">
        <f t="shared" si="66"/>
        <v>0</v>
      </c>
      <c r="N306" s="33">
        <f t="shared" si="67"/>
        <v>0</v>
      </c>
      <c r="O306" s="28"/>
      <c r="P306" s="33">
        <f t="shared" si="68"/>
        <v>0</v>
      </c>
      <c r="Q306" s="35" t="str" cm="1">
        <f t="array" ref="Q306">IF(AF306&lt;&gt;"",IFERROR(INDEX('Group List B'!B:B,MATCH(AI306,'Group List B'!A:A,0),0),"-"),"")</f>
        <v/>
      </c>
      <c r="R306" s="36">
        <f t="shared" si="69"/>
        <v>0</v>
      </c>
      <c r="S306" s="36">
        <f t="shared" si="70"/>
        <v>0</v>
      </c>
      <c r="T306" s="36">
        <f t="shared" si="71"/>
        <v>0</v>
      </c>
      <c r="U306" s="28"/>
      <c r="V306" s="37">
        <f t="shared" si="72"/>
        <v>0</v>
      </c>
      <c r="W306" s="41"/>
      <c r="X306" s="27"/>
      <c r="Y306" s="27"/>
      <c r="Z306" s="27"/>
      <c r="AA306" s="15"/>
      <c r="AB306" s="17"/>
      <c r="AC306" s="17"/>
      <c r="AD306" s="17"/>
      <c r="AE306" s="90"/>
      <c r="AF306" s="82" t="str">
        <f t="shared" si="73"/>
        <v/>
      </c>
      <c r="AG306" s="83" t="str">
        <f t="shared" si="74"/>
        <v/>
      </c>
      <c r="AH306" s="82" t="str">
        <f t="shared" si="75"/>
        <v/>
      </c>
      <c r="AI306" s="82" t="str">
        <f t="shared" si="76"/>
        <v/>
      </c>
      <c r="AJ306" s="90"/>
      <c r="AP306" s="88"/>
    </row>
    <row r="307" spans="1:42" x14ac:dyDescent="0.25">
      <c r="A307" s="2"/>
      <c r="C307" s="68" t="str" cm="1">
        <f t="array" ref="C307">IF(AF307&lt;&gt;"",
IFERROR(INDEX('LaunchPad Markbook'!A:A,MATCH(AH307,'LaunchPad Markbook'!D:D,0),0),"-"),"")</f>
        <v/>
      </c>
      <c r="D307" s="27"/>
      <c r="E307" s="27"/>
      <c r="F307" s="27"/>
      <c r="G307" s="14">
        <f>IF(OR(H307&gt;AB$2,I307&gt;AC$2,J307&gt;AD$2,
P307&gt;1,V307&gt;1,
L307&gt;'Group List A'!E$2,M307&gt;'Group List A'!F$2,N307&gt;'Group List A'!G$2,
R307&gt;'Group List B'!E$2,S307&gt;'Group List B'!F$2,T307&gt;'Group List B'!G$2),"Exceed",
IF(OR(H307=AB$2,I307=AC$2,J307=AD$2,
P307=1,V307=1,
L307='Group List A'!E$2,M307='Group List A'!F$2,N307='Group List A'!G$2,
R307='Group List B'!E$2,S307='Group List B'!F$2,T307='Group List B'!G$2),"Limit",0))</f>
        <v>0</v>
      </c>
      <c r="H307" s="29">
        <f t="shared" si="62"/>
        <v>0</v>
      </c>
      <c r="I307" s="29">
        <f t="shared" si="63"/>
        <v>0</v>
      </c>
      <c r="J307" s="29">
        <f t="shared" si="64"/>
        <v>0</v>
      </c>
      <c r="K307" s="32" t="str" cm="1">
        <f t="array" ref="K307">IF(AF307&lt;&gt;"",IFERROR(INDEX('Group List A'!B:B,MATCH(AI307,'Group List A'!A:A,0),0),"-"),"")</f>
        <v/>
      </c>
      <c r="L307" s="33">
        <f t="shared" si="65"/>
        <v>0</v>
      </c>
      <c r="M307" s="33">
        <f t="shared" si="66"/>
        <v>0</v>
      </c>
      <c r="N307" s="33">
        <f t="shared" si="67"/>
        <v>0</v>
      </c>
      <c r="O307" s="28"/>
      <c r="P307" s="33">
        <f t="shared" si="68"/>
        <v>0</v>
      </c>
      <c r="Q307" s="35" t="str" cm="1">
        <f t="array" ref="Q307">IF(AF307&lt;&gt;"",IFERROR(INDEX('Group List B'!B:B,MATCH(AI307,'Group List B'!A:A,0),0),"-"),"")</f>
        <v/>
      </c>
      <c r="R307" s="36">
        <f t="shared" si="69"/>
        <v>0</v>
      </c>
      <c r="S307" s="36">
        <f t="shared" si="70"/>
        <v>0</v>
      </c>
      <c r="T307" s="36">
        <f t="shared" si="71"/>
        <v>0</v>
      </c>
      <c r="U307" s="28"/>
      <c r="V307" s="37">
        <f t="shared" si="72"/>
        <v>0</v>
      </c>
      <c r="W307" s="41"/>
      <c r="X307" s="27"/>
      <c r="Y307" s="27"/>
      <c r="Z307" s="27"/>
      <c r="AA307" s="15"/>
      <c r="AB307" s="17"/>
      <c r="AC307" s="17"/>
      <c r="AD307" s="17"/>
      <c r="AE307" s="90"/>
      <c r="AF307" s="82" t="str">
        <f t="shared" si="73"/>
        <v/>
      </c>
      <c r="AG307" s="83" t="str">
        <f t="shared" si="74"/>
        <v/>
      </c>
      <c r="AH307" s="82" t="str">
        <f t="shared" si="75"/>
        <v/>
      </c>
      <c r="AI307" s="82" t="str">
        <f t="shared" si="76"/>
        <v/>
      </c>
      <c r="AJ307" s="90"/>
      <c r="AP307" s="88"/>
    </row>
    <row r="308" spans="1:42" x14ac:dyDescent="0.25">
      <c r="A308" s="2"/>
      <c r="C308" s="68" t="str" cm="1">
        <f t="array" ref="C308">IF(AF308&lt;&gt;"",
IFERROR(INDEX('LaunchPad Markbook'!A:A,MATCH(AH308,'LaunchPad Markbook'!D:D,0),0),"-"),"")</f>
        <v/>
      </c>
      <c r="D308" s="27"/>
      <c r="E308" s="27"/>
      <c r="F308" s="27"/>
      <c r="G308" s="14">
        <f>IF(OR(H308&gt;AB$2,I308&gt;AC$2,J308&gt;AD$2,
P308&gt;1,V308&gt;1,
L308&gt;'Group List A'!E$2,M308&gt;'Group List A'!F$2,N308&gt;'Group List A'!G$2,
R308&gt;'Group List B'!E$2,S308&gt;'Group List B'!F$2,T308&gt;'Group List B'!G$2),"Exceed",
IF(OR(H308=AB$2,I308=AC$2,J308=AD$2,
P308=1,V308=1,
L308='Group List A'!E$2,M308='Group List A'!F$2,N308='Group List A'!G$2,
R308='Group List B'!E$2,S308='Group List B'!F$2,T308='Group List B'!G$2),"Limit",0))</f>
        <v>0</v>
      </c>
      <c r="H308" s="29">
        <f t="shared" si="62"/>
        <v>0</v>
      </c>
      <c r="I308" s="29">
        <f t="shared" si="63"/>
        <v>0</v>
      </c>
      <c r="J308" s="29">
        <f t="shared" si="64"/>
        <v>0</v>
      </c>
      <c r="K308" s="32" t="str" cm="1">
        <f t="array" ref="K308">IF(AF308&lt;&gt;"",IFERROR(INDEX('Group List A'!B:B,MATCH(AI308,'Group List A'!A:A,0),0),"-"),"")</f>
        <v/>
      </c>
      <c r="L308" s="33">
        <f t="shared" si="65"/>
        <v>0</v>
      </c>
      <c r="M308" s="33">
        <f t="shared" si="66"/>
        <v>0</v>
      </c>
      <c r="N308" s="33">
        <f t="shared" si="67"/>
        <v>0</v>
      </c>
      <c r="O308" s="28"/>
      <c r="P308" s="33">
        <f t="shared" si="68"/>
        <v>0</v>
      </c>
      <c r="Q308" s="35" t="str" cm="1">
        <f t="array" ref="Q308">IF(AF308&lt;&gt;"",IFERROR(INDEX('Group List B'!B:B,MATCH(AI308,'Group List B'!A:A,0),0),"-"),"")</f>
        <v/>
      </c>
      <c r="R308" s="36">
        <f t="shared" si="69"/>
        <v>0</v>
      </c>
      <c r="S308" s="36">
        <f t="shared" si="70"/>
        <v>0</v>
      </c>
      <c r="T308" s="36">
        <f t="shared" si="71"/>
        <v>0</v>
      </c>
      <c r="U308" s="28"/>
      <c r="V308" s="37">
        <f t="shared" si="72"/>
        <v>0</v>
      </c>
      <c r="W308" s="41"/>
      <c r="X308" s="27"/>
      <c r="Y308" s="27"/>
      <c r="Z308" s="27"/>
      <c r="AA308" s="15"/>
      <c r="AB308" s="17"/>
      <c r="AC308" s="17"/>
      <c r="AD308" s="17"/>
      <c r="AE308" s="90"/>
      <c r="AF308" s="82" t="str">
        <f t="shared" si="73"/>
        <v/>
      </c>
      <c r="AG308" s="83" t="str">
        <f t="shared" si="74"/>
        <v/>
      </c>
      <c r="AH308" s="82" t="str">
        <f t="shared" si="75"/>
        <v/>
      </c>
      <c r="AI308" s="82" t="str">
        <f t="shared" si="76"/>
        <v/>
      </c>
      <c r="AJ308" s="90"/>
      <c r="AP308" s="88"/>
    </row>
    <row r="309" spans="1:42" x14ac:dyDescent="0.25">
      <c r="A309" s="2"/>
      <c r="C309" s="68" t="str" cm="1">
        <f t="array" ref="C309">IF(AF309&lt;&gt;"",
IFERROR(INDEX('LaunchPad Markbook'!A:A,MATCH(AH309,'LaunchPad Markbook'!D:D,0),0),"-"),"")</f>
        <v/>
      </c>
      <c r="D309" s="27"/>
      <c r="E309" s="27"/>
      <c r="F309" s="27"/>
      <c r="G309" s="14">
        <f>IF(OR(H309&gt;AB$2,I309&gt;AC$2,J309&gt;AD$2,
P309&gt;1,V309&gt;1,
L309&gt;'Group List A'!E$2,M309&gt;'Group List A'!F$2,N309&gt;'Group List A'!G$2,
R309&gt;'Group List B'!E$2,S309&gt;'Group List B'!F$2,T309&gt;'Group List B'!G$2),"Exceed",
IF(OR(H309=AB$2,I309=AC$2,J309=AD$2,
P309=1,V309=1,
L309='Group List A'!E$2,M309='Group List A'!F$2,N309='Group List A'!G$2,
R309='Group List B'!E$2,S309='Group List B'!F$2,T309='Group List B'!G$2),"Limit",0))</f>
        <v>0</v>
      </c>
      <c r="H309" s="29">
        <f t="shared" si="62"/>
        <v>0</v>
      </c>
      <c r="I309" s="29">
        <f t="shared" si="63"/>
        <v>0</v>
      </c>
      <c r="J309" s="29">
        <f t="shared" si="64"/>
        <v>0</v>
      </c>
      <c r="K309" s="32" t="str" cm="1">
        <f t="array" ref="K309">IF(AF309&lt;&gt;"",IFERROR(INDEX('Group List A'!B:B,MATCH(AI309,'Group List A'!A:A,0),0),"-"),"")</f>
        <v/>
      </c>
      <c r="L309" s="33">
        <f t="shared" si="65"/>
        <v>0</v>
      </c>
      <c r="M309" s="33">
        <f t="shared" si="66"/>
        <v>0</v>
      </c>
      <c r="N309" s="33">
        <f t="shared" si="67"/>
        <v>0</v>
      </c>
      <c r="O309" s="28"/>
      <c r="P309" s="33">
        <f t="shared" si="68"/>
        <v>0</v>
      </c>
      <c r="Q309" s="35" t="str" cm="1">
        <f t="array" ref="Q309">IF(AF309&lt;&gt;"",IFERROR(INDEX('Group List B'!B:B,MATCH(AI309,'Group List B'!A:A,0),0),"-"),"")</f>
        <v/>
      </c>
      <c r="R309" s="36">
        <f t="shared" si="69"/>
        <v>0</v>
      </c>
      <c r="S309" s="36">
        <f t="shared" si="70"/>
        <v>0</v>
      </c>
      <c r="T309" s="36">
        <f t="shared" si="71"/>
        <v>0</v>
      </c>
      <c r="U309" s="28"/>
      <c r="V309" s="37">
        <f t="shared" si="72"/>
        <v>0</v>
      </c>
      <c r="W309" s="41"/>
      <c r="X309" s="27"/>
      <c r="Y309" s="27"/>
      <c r="Z309" s="27"/>
      <c r="AA309" s="15"/>
      <c r="AB309" s="17"/>
      <c r="AC309" s="17"/>
      <c r="AD309" s="17"/>
      <c r="AE309" s="90"/>
      <c r="AF309" s="82" t="str">
        <f t="shared" si="73"/>
        <v/>
      </c>
      <c r="AG309" s="83" t="str">
        <f t="shared" si="74"/>
        <v/>
      </c>
      <c r="AH309" s="82" t="str">
        <f t="shared" si="75"/>
        <v/>
      </c>
      <c r="AI309" s="82" t="str">
        <f t="shared" si="76"/>
        <v/>
      </c>
      <c r="AJ309" s="90"/>
      <c r="AP309" s="88"/>
    </row>
    <row r="310" spans="1:42" x14ac:dyDescent="0.25">
      <c r="A310" s="2"/>
      <c r="C310" s="68" t="str" cm="1">
        <f t="array" ref="C310">IF(AF310&lt;&gt;"",
IFERROR(INDEX('LaunchPad Markbook'!A:A,MATCH(AH310,'LaunchPad Markbook'!D:D,0),0),"-"),"")</f>
        <v/>
      </c>
      <c r="D310" s="27"/>
      <c r="E310" s="27"/>
      <c r="F310" s="27"/>
      <c r="G310" s="14">
        <f>IF(OR(H310&gt;AB$2,I310&gt;AC$2,J310&gt;AD$2,
P310&gt;1,V310&gt;1,
L310&gt;'Group List A'!E$2,M310&gt;'Group List A'!F$2,N310&gt;'Group List A'!G$2,
R310&gt;'Group List B'!E$2,S310&gt;'Group List B'!F$2,T310&gt;'Group List B'!G$2),"Exceed",
IF(OR(H310=AB$2,I310=AC$2,J310=AD$2,
P310=1,V310=1,
L310='Group List A'!E$2,M310='Group List A'!F$2,N310='Group List A'!G$2,
R310='Group List B'!E$2,S310='Group List B'!F$2,T310='Group List B'!G$2),"Limit",0))</f>
        <v>0</v>
      </c>
      <c r="H310" s="29">
        <f t="shared" si="62"/>
        <v>0</v>
      </c>
      <c r="I310" s="29">
        <f t="shared" si="63"/>
        <v>0</v>
      </c>
      <c r="J310" s="29">
        <f t="shared" si="64"/>
        <v>0</v>
      </c>
      <c r="K310" s="32" t="str" cm="1">
        <f t="array" ref="K310">IF(AF310&lt;&gt;"",IFERROR(INDEX('Group List A'!B:B,MATCH(AI310,'Group List A'!A:A,0),0),"-"),"")</f>
        <v/>
      </c>
      <c r="L310" s="33">
        <f t="shared" si="65"/>
        <v>0</v>
      </c>
      <c r="M310" s="33">
        <f t="shared" si="66"/>
        <v>0</v>
      </c>
      <c r="N310" s="33">
        <f t="shared" si="67"/>
        <v>0</v>
      </c>
      <c r="O310" s="28"/>
      <c r="P310" s="33">
        <f t="shared" si="68"/>
        <v>0</v>
      </c>
      <c r="Q310" s="35" t="str" cm="1">
        <f t="array" ref="Q310">IF(AF310&lt;&gt;"",IFERROR(INDEX('Group List B'!B:B,MATCH(AI310,'Group List B'!A:A,0),0),"-"),"")</f>
        <v/>
      </c>
      <c r="R310" s="36">
        <f t="shared" si="69"/>
        <v>0</v>
      </c>
      <c r="S310" s="36">
        <f t="shared" si="70"/>
        <v>0</v>
      </c>
      <c r="T310" s="36">
        <f t="shared" si="71"/>
        <v>0</v>
      </c>
      <c r="U310" s="28"/>
      <c r="V310" s="37">
        <f t="shared" si="72"/>
        <v>0</v>
      </c>
      <c r="W310" s="41"/>
      <c r="X310" s="27"/>
      <c r="Y310" s="27"/>
      <c r="Z310" s="27"/>
      <c r="AA310" s="15"/>
      <c r="AB310" s="17"/>
      <c r="AC310" s="17"/>
      <c r="AD310" s="17"/>
      <c r="AE310" s="90"/>
      <c r="AF310" s="82" t="str">
        <f t="shared" si="73"/>
        <v/>
      </c>
      <c r="AG310" s="83" t="str">
        <f t="shared" si="74"/>
        <v/>
      </c>
      <c r="AH310" s="82" t="str">
        <f t="shared" si="75"/>
        <v/>
      </c>
      <c r="AI310" s="82" t="str">
        <f t="shared" si="76"/>
        <v/>
      </c>
      <c r="AJ310" s="90"/>
      <c r="AP310" s="88"/>
    </row>
    <row r="311" spans="1:42" x14ac:dyDescent="0.25">
      <c r="A311" s="2"/>
      <c r="C311" s="68" t="str" cm="1">
        <f t="array" ref="C311">IF(AF311&lt;&gt;"",
IFERROR(INDEX('LaunchPad Markbook'!A:A,MATCH(AH311,'LaunchPad Markbook'!D:D,0),0),"-"),"")</f>
        <v/>
      </c>
      <c r="D311" s="27"/>
      <c r="E311" s="27"/>
      <c r="F311" s="27"/>
      <c r="G311" s="14">
        <f>IF(OR(H311&gt;AB$2,I311&gt;AC$2,J311&gt;AD$2,
P311&gt;1,V311&gt;1,
L311&gt;'Group List A'!E$2,M311&gt;'Group List A'!F$2,N311&gt;'Group List A'!G$2,
R311&gt;'Group List B'!E$2,S311&gt;'Group List B'!F$2,T311&gt;'Group List B'!G$2),"Exceed",
IF(OR(H311=AB$2,I311=AC$2,J311=AD$2,
P311=1,V311=1,
L311='Group List A'!E$2,M311='Group List A'!F$2,N311='Group List A'!G$2,
R311='Group List B'!E$2,S311='Group List B'!F$2,T311='Group List B'!G$2),"Limit",0))</f>
        <v>0</v>
      </c>
      <c r="H311" s="29">
        <f t="shared" si="62"/>
        <v>0</v>
      </c>
      <c r="I311" s="29">
        <f t="shared" si="63"/>
        <v>0</v>
      </c>
      <c r="J311" s="29">
        <f t="shared" si="64"/>
        <v>0</v>
      </c>
      <c r="K311" s="32" t="str" cm="1">
        <f t="array" ref="K311">IF(AF311&lt;&gt;"",IFERROR(INDEX('Group List A'!B:B,MATCH(AI311,'Group List A'!A:A,0),0),"-"),"")</f>
        <v/>
      </c>
      <c r="L311" s="33">
        <f t="shared" si="65"/>
        <v>0</v>
      </c>
      <c r="M311" s="33">
        <f t="shared" si="66"/>
        <v>0</v>
      </c>
      <c r="N311" s="33">
        <f t="shared" si="67"/>
        <v>0</v>
      </c>
      <c r="O311" s="28"/>
      <c r="P311" s="33">
        <f t="shared" si="68"/>
        <v>0</v>
      </c>
      <c r="Q311" s="35" t="str" cm="1">
        <f t="array" ref="Q311">IF(AF311&lt;&gt;"",IFERROR(INDEX('Group List B'!B:B,MATCH(AI311,'Group List B'!A:A,0),0),"-"),"")</f>
        <v/>
      </c>
      <c r="R311" s="36">
        <f t="shared" si="69"/>
        <v>0</v>
      </c>
      <c r="S311" s="36">
        <f t="shared" si="70"/>
        <v>0</v>
      </c>
      <c r="T311" s="36">
        <f t="shared" si="71"/>
        <v>0</v>
      </c>
      <c r="U311" s="28"/>
      <c r="V311" s="37">
        <f t="shared" si="72"/>
        <v>0</v>
      </c>
      <c r="W311" s="41"/>
      <c r="X311" s="27"/>
      <c r="Y311" s="27"/>
      <c r="Z311" s="27"/>
      <c r="AA311" s="15"/>
      <c r="AB311" s="17"/>
      <c r="AC311" s="17"/>
      <c r="AD311" s="17"/>
      <c r="AE311" s="90"/>
      <c r="AF311" s="82" t="str">
        <f t="shared" si="73"/>
        <v/>
      </c>
      <c r="AG311" s="83" t="str">
        <f t="shared" si="74"/>
        <v/>
      </c>
      <c r="AH311" s="82" t="str">
        <f t="shared" si="75"/>
        <v/>
      </c>
      <c r="AI311" s="82" t="str">
        <f t="shared" si="76"/>
        <v/>
      </c>
      <c r="AJ311" s="90"/>
      <c r="AP311" s="88"/>
    </row>
    <row r="312" spans="1:42" x14ac:dyDescent="0.25">
      <c r="A312" s="2"/>
      <c r="C312" s="68" t="str" cm="1">
        <f t="array" ref="C312">IF(AF312&lt;&gt;"",
IFERROR(INDEX('LaunchPad Markbook'!A:A,MATCH(AH312,'LaunchPad Markbook'!D:D,0),0),"-"),"")</f>
        <v/>
      </c>
      <c r="D312" s="27"/>
      <c r="E312" s="27"/>
      <c r="F312" s="27"/>
      <c r="G312" s="14">
        <f>IF(OR(H312&gt;AB$2,I312&gt;AC$2,J312&gt;AD$2,
P312&gt;1,V312&gt;1,
L312&gt;'Group List A'!E$2,M312&gt;'Group List A'!F$2,N312&gt;'Group List A'!G$2,
R312&gt;'Group List B'!E$2,S312&gt;'Group List B'!F$2,T312&gt;'Group List B'!G$2),"Exceed",
IF(OR(H312=AB$2,I312=AC$2,J312=AD$2,
P312=1,V312=1,
L312='Group List A'!E$2,M312='Group List A'!F$2,N312='Group List A'!G$2,
R312='Group List B'!E$2,S312='Group List B'!F$2,T312='Group List B'!G$2),"Limit",0))</f>
        <v>0</v>
      </c>
      <c r="H312" s="29">
        <f t="shared" si="62"/>
        <v>0</v>
      </c>
      <c r="I312" s="29">
        <f t="shared" si="63"/>
        <v>0</v>
      </c>
      <c r="J312" s="29">
        <f t="shared" si="64"/>
        <v>0</v>
      </c>
      <c r="K312" s="32" t="str" cm="1">
        <f t="array" ref="K312">IF(AF312&lt;&gt;"",IFERROR(INDEX('Group List A'!B:B,MATCH(AI312,'Group List A'!A:A,0),0),"-"),"")</f>
        <v/>
      </c>
      <c r="L312" s="33">
        <f t="shared" si="65"/>
        <v>0</v>
      </c>
      <c r="M312" s="33">
        <f t="shared" si="66"/>
        <v>0</v>
      </c>
      <c r="N312" s="33">
        <f t="shared" si="67"/>
        <v>0</v>
      </c>
      <c r="O312" s="28"/>
      <c r="P312" s="33">
        <f t="shared" si="68"/>
        <v>0</v>
      </c>
      <c r="Q312" s="35" t="str" cm="1">
        <f t="array" ref="Q312">IF(AF312&lt;&gt;"",IFERROR(INDEX('Group List B'!B:B,MATCH(AI312,'Group List B'!A:A,0),0),"-"),"")</f>
        <v/>
      </c>
      <c r="R312" s="36">
        <f t="shared" si="69"/>
        <v>0</v>
      </c>
      <c r="S312" s="36">
        <f t="shared" si="70"/>
        <v>0</v>
      </c>
      <c r="T312" s="36">
        <f t="shared" si="71"/>
        <v>0</v>
      </c>
      <c r="U312" s="28"/>
      <c r="V312" s="37">
        <f t="shared" si="72"/>
        <v>0</v>
      </c>
      <c r="W312" s="41"/>
      <c r="X312" s="27"/>
      <c r="Y312" s="27"/>
      <c r="Z312" s="27"/>
      <c r="AA312" s="15"/>
      <c r="AB312" s="17"/>
      <c r="AC312" s="17"/>
      <c r="AD312" s="17"/>
      <c r="AE312" s="90"/>
      <c r="AF312" s="82" t="str">
        <f t="shared" si="73"/>
        <v/>
      </c>
      <c r="AG312" s="83" t="str">
        <f t="shared" si="74"/>
        <v/>
      </c>
      <c r="AH312" s="82" t="str">
        <f t="shared" si="75"/>
        <v/>
      </c>
      <c r="AI312" s="82" t="str">
        <f t="shared" si="76"/>
        <v/>
      </c>
      <c r="AJ312" s="90"/>
      <c r="AP312" s="88"/>
    </row>
    <row r="313" spans="1:42" x14ac:dyDescent="0.25">
      <c r="A313" s="2"/>
      <c r="C313" s="68" t="str" cm="1">
        <f t="array" ref="C313">IF(AF313&lt;&gt;"",
IFERROR(INDEX('LaunchPad Markbook'!A:A,MATCH(AH313,'LaunchPad Markbook'!D:D,0),0),"-"),"")</f>
        <v/>
      </c>
      <c r="D313" s="27"/>
      <c r="E313" s="27"/>
      <c r="F313" s="27"/>
      <c r="G313" s="14">
        <f>IF(OR(H313&gt;AB$2,I313&gt;AC$2,J313&gt;AD$2,
P313&gt;1,V313&gt;1,
L313&gt;'Group List A'!E$2,M313&gt;'Group List A'!F$2,N313&gt;'Group List A'!G$2,
R313&gt;'Group List B'!E$2,S313&gt;'Group List B'!F$2,T313&gt;'Group List B'!G$2),"Exceed",
IF(OR(H313=AB$2,I313=AC$2,J313=AD$2,
P313=1,V313=1,
L313='Group List A'!E$2,M313='Group List A'!F$2,N313='Group List A'!G$2,
R313='Group List B'!E$2,S313='Group List B'!F$2,T313='Group List B'!G$2),"Limit",0))</f>
        <v>0</v>
      </c>
      <c r="H313" s="29">
        <f t="shared" si="62"/>
        <v>0</v>
      </c>
      <c r="I313" s="29">
        <f t="shared" si="63"/>
        <v>0</v>
      </c>
      <c r="J313" s="29">
        <f t="shared" si="64"/>
        <v>0</v>
      </c>
      <c r="K313" s="32" t="str" cm="1">
        <f t="array" ref="K313">IF(AF313&lt;&gt;"",IFERROR(INDEX('Group List A'!B:B,MATCH(AI313,'Group List A'!A:A,0),0),"-"),"")</f>
        <v/>
      </c>
      <c r="L313" s="33">
        <f t="shared" si="65"/>
        <v>0</v>
      </c>
      <c r="M313" s="33">
        <f t="shared" si="66"/>
        <v>0</v>
      </c>
      <c r="N313" s="33">
        <f t="shared" si="67"/>
        <v>0</v>
      </c>
      <c r="O313" s="28"/>
      <c r="P313" s="33">
        <f t="shared" si="68"/>
        <v>0</v>
      </c>
      <c r="Q313" s="35" t="str" cm="1">
        <f t="array" ref="Q313">IF(AF313&lt;&gt;"",IFERROR(INDEX('Group List B'!B:B,MATCH(AI313,'Group List B'!A:A,0),0),"-"),"")</f>
        <v/>
      </c>
      <c r="R313" s="36">
        <f t="shared" si="69"/>
        <v>0</v>
      </c>
      <c r="S313" s="36">
        <f t="shared" si="70"/>
        <v>0</v>
      </c>
      <c r="T313" s="36">
        <f t="shared" si="71"/>
        <v>0</v>
      </c>
      <c r="U313" s="28"/>
      <c r="V313" s="37">
        <f t="shared" si="72"/>
        <v>0</v>
      </c>
      <c r="W313" s="41"/>
      <c r="X313" s="27"/>
      <c r="Y313" s="27"/>
      <c r="Z313" s="27"/>
      <c r="AA313" s="15"/>
      <c r="AB313" s="17"/>
      <c r="AC313" s="17"/>
      <c r="AD313" s="17"/>
      <c r="AE313" s="90"/>
      <c r="AF313" s="82" t="str">
        <f t="shared" si="73"/>
        <v/>
      </c>
      <c r="AG313" s="83" t="str">
        <f t="shared" si="74"/>
        <v/>
      </c>
      <c r="AH313" s="82" t="str">
        <f t="shared" si="75"/>
        <v/>
      </c>
      <c r="AI313" s="82" t="str">
        <f t="shared" si="76"/>
        <v/>
      </c>
      <c r="AJ313" s="90"/>
      <c r="AP313" s="88"/>
    </row>
    <row r="314" spans="1:42" x14ac:dyDescent="0.25">
      <c r="A314" s="2"/>
      <c r="C314" s="68" t="str" cm="1">
        <f t="array" ref="C314">IF(AF314&lt;&gt;"",
IFERROR(INDEX('LaunchPad Markbook'!A:A,MATCH(AH314,'LaunchPad Markbook'!D:D,0),0),"-"),"")</f>
        <v/>
      </c>
      <c r="D314" s="27"/>
      <c r="E314" s="27"/>
      <c r="F314" s="27"/>
      <c r="G314" s="14">
        <f>IF(OR(H314&gt;AB$2,I314&gt;AC$2,J314&gt;AD$2,
P314&gt;1,V314&gt;1,
L314&gt;'Group List A'!E$2,M314&gt;'Group List A'!F$2,N314&gt;'Group List A'!G$2,
R314&gt;'Group List B'!E$2,S314&gt;'Group List B'!F$2,T314&gt;'Group List B'!G$2),"Exceed",
IF(OR(H314=AB$2,I314=AC$2,J314=AD$2,
P314=1,V314=1,
L314='Group List A'!E$2,M314='Group List A'!F$2,N314='Group List A'!G$2,
R314='Group List B'!E$2,S314='Group List B'!F$2,T314='Group List B'!G$2),"Limit",0))</f>
        <v>0</v>
      </c>
      <c r="H314" s="29">
        <f t="shared" si="62"/>
        <v>0</v>
      </c>
      <c r="I314" s="29">
        <f t="shared" si="63"/>
        <v>0</v>
      </c>
      <c r="J314" s="29">
        <f t="shared" si="64"/>
        <v>0</v>
      </c>
      <c r="K314" s="32" t="str" cm="1">
        <f t="array" ref="K314">IF(AF314&lt;&gt;"",IFERROR(INDEX('Group List A'!B:B,MATCH(AI314,'Group List A'!A:A,0),0),"-"),"")</f>
        <v/>
      </c>
      <c r="L314" s="33">
        <f t="shared" si="65"/>
        <v>0</v>
      </c>
      <c r="M314" s="33">
        <f t="shared" si="66"/>
        <v>0</v>
      </c>
      <c r="N314" s="33">
        <f t="shared" si="67"/>
        <v>0</v>
      </c>
      <c r="O314" s="28"/>
      <c r="P314" s="33">
        <f t="shared" si="68"/>
        <v>0</v>
      </c>
      <c r="Q314" s="35" t="str" cm="1">
        <f t="array" ref="Q314">IF(AF314&lt;&gt;"",IFERROR(INDEX('Group List B'!B:B,MATCH(AI314,'Group List B'!A:A,0),0),"-"),"")</f>
        <v/>
      </c>
      <c r="R314" s="36">
        <f t="shared" si="69"/>
        <v>0</v>
      </c>
      <c r="S314" s="36">
        <f t="shared" si="70"/>
        <v>0</v>
      </c>
      <c r="T314" s="36">
        <f t="shared" si="71"/>
        <v>0</v>
      </c>
      <c r="U314" s="28"/>
      <c r="V314" s="37">
        <f t="shared" si="72"/>
        <v>0</v>
      </c>
      <c r="W314" s="41"/>
      <c r="X314" s="27"/>
      <c r="Y314" s="27"/>
      <c r="Z314" s="27"/>
      <c r="AA314" s="15"/>
      <c r="AB314" s="17"/>
      <c r="AC314" s="17"/>
      <c r="AD314" s="17"/>
      <c r="AE314" s="90"/>
      <c r="AF314" s="82" t="str">
        <f t="shared" si="73"/>
        <v/>
      </c>
      <c r="AG314" s="83" t="str">
        <f t="shared" si="74"/>
        <v/>
      </c>
      <c r="AH314" s="82" t="str">
        <f t="shared" si="75"/>
        <v/>
      </c>
      <c r="AI314" s="82" t="str">
        <f t="shared" si="76"/>
        <v/>
      </c>
      <c r="AJ314" s="90"/>
      <c r="AP314" s="88"/>
    </row>
    <row r="315" spans="1:42" x14ac:dyDescent="0.25">
      <c r="A315" s="2"/>
      <c r="C315" s="68" t="str" cm="1">
        <f t="array" ref="C315">IF(AF315&lt;&gt;"",
IFERROR(INDEX('LaunchPad Markbook'!A:A,MATCH(AH315,'LaunchPad Markbook'!D:D,0),0),"-"),"")</f>
        <v/>
      </c>
      <c r="D315" s="27"/>
      <c r="E315" s="27"/>
      <c r="F315" s="27"/>
      <c r="G315" s="14">
        <f>IF(OR(H315&gt;AB$2,I315&gt;AC$2,J315&gt;AD$2,
P315&gt;1,V315&gt;1,
L315&gt;'Group List A'!E$2,M315&gt;'Group List A'!F$2,N315&gt;'Group List A'!G$2,
R315&gt;'Group List B'!E$2,S315&gt;'Group List B'!F$2,T315&gt;'Group List B'!G$2),"Exceed",
IF(OR(H315=AB$2,I315=AC$2,J315=AD$2,
P315=1,V315=1,
L315='Group List A'!E$2,M315='Group List A'!F$2,N315='Group List A'!G$2,
R315='Group List B'!E$2,S315='Group List B'!F$2,T315='Group List B'!G$2),"Limit",0))</f>
        <v>0</v>
      </c>
      <c r="H315" s="29">
        <f t="shared" si="62"/>
        <v>0</v>
      </c>
      <c r="I315" s="29">
        <f t="shared" si="63"/>
        <v>0</v>
      </c>
      <c r="J315" s="29">
        <f t="shared" si="64"/>
        <v>0</v>
      </c>
      <c r="K315" s="32" t="str" cm="1">
        <f t="array" ref="K315">IF(AF315&lt;&gt;"",IFERROR(INDEX('Group List A'!B:B,MATCH(AI315,'Group List A'!A:A,0),0),"-"),"")</f>
        <v/>
      </c>
      <c r="L315" s="33">
        <f t="shared" si="65"/>
        <v>0</v>
      </c>
      <c r="M315" s="33">
        <f t="shared" si="66"/>
        <v>0</v>
      </c>
      <c r="N315" s="33">
        <f t="shared" si="67"/>
        <v>0</v>
      </c>
      <c r="O315" s="28"/>
      <c r="P315" s="33">
        <f t="shared" si="68"/>
        <v>0</v>
      </c>
      <c r="Q315" s="35" t="str" cm="1">
        <f t="array" ref="Q315">IF(AF315&lt;&gt;"",IFERROR(INDEX('Group List B'!B:B,MATCH(AI315,'Group List B'!A:A,0),0),"-"),"")</f>
        <v/>
      </c>
      <c r="R315" s="36">
        <f t="shared" si="69"/>
        <v>0</v>
      </c>
      <c r="S315" s="36">
        <f t="shared" si="70"/>
        <v>0</v>
      </c>
      <c r="T315" s="36">
        <f t="shared" si="71"/>
        <v>0</v>
      </c>
      <c r="U315" s="28"/>
      <c r="V315" s="37">
        <f t="shared" si="72"/>
        <v>0</v>
      </c>
      <c r="W315" s="41"/>
      <c r="X315" s="27"/>
      <c r="Y315" s="27"/>
      <c r="Z315" s="27"/>
      <c r="AA315" s="15"/>
      <c r="AB315" s="17"/>
      <c r="AC315" s="17"/>
      <c r="AD315" s="17"/>
      <c r="AE315" s="90"/>
      <c r="AF315" s="82" t="str">
        <f t="shared" si="73"/>
        <v/>
      </c>
      <c r="AG315" s="83" t="str">
        <f t="shared" si="74"/>
        <v/>
      </c>
      <c r="AH315" s="82" t="str">
        <f t="shared" si="75"/>
        <v/>
      </c>
      <c r="AI315" s="82" t="str">
        <f t="shared" si="76"/>
        <v/>
      </c>
      <c r="AJ315" s="90"/>
      <c r="AP315" s="88"/>
    </row>
    <row r="316" spans="1:42" x14ac:dyDescent="0.25">
      <c r="A316" s="2"/>
      <c r="C316" s="68" t="str" cm="1">
        <f t="array" ref="C316">IF(AF316&lt;&gt;"",
IFERROR(INDEX('LaunchPad Markbook'!A:A,MATCH(AH316,'LaunchPad Markbook'!D:D,0),0),"-"),"")</f>
        <v/>
      </c>
      <c r="D316" s="27"/>
      <c r="E316" s="27"/>
      <c r="F316" s="27"/>
      <c r="G316" s="14">
        <f>IF(OR(H316&gt;AB$2,I316&gt;AC$2,J316&gt;AD$2,
P316&gt;1,V316&gt;1,
L316&gt;'Group List A'!E$2,M316&gt;'Group List A'!F$2,N316&gt;'Group List A'!G$2,
R316&gt;'Group List B'!E$2,S316&gt;'Group List B'!F$2,T316&gt;'Group List B'!G$2),"Exceed",
IF(OR(H316=AB$2,I316=AC$2,J316=AD$2,
P316=1,V316=1,
L316='Group List A'!E$2,M316='Group List A'!F$2,N316='Group List A'!G$2,
R316='Group List B'!E$2,S316='Group List B'!F$2,T316='Group List B'!G$2),"Limit",0))</f>
        <v>0</v>
      </c>
      <c r="H316" s="29">
        <f t="shared" si="62"/>
        <v>0</v>
      </c>
      <c r="I316" s="29">
        <f t="shared" si="63"/>
        <v>0</v>
      </c>
      <c r="J316" s="29">
        <f t="shared" si="64"/>
        <v>0</v>
      </c>
      <c r="K316" s="32" t="str" cm="1">
        <f t="array" ref="K316">IF(AF316&lt;&gt;"",IFERROR(INDEX('Group List A'!B:B,MATCH(AI316,'Group List A'!A:A,0),0),"-"),"")</f>
        <v/>
      </c>
      <c r="L316" s="33">
        <f t="shared" si="65"/>
        <v>0</v>
      </c>
      <c r="M316" s="33">
        <f t="shared" si="66"/>
        <v>0</v>
      </c>
      <c r="N316" s="33">
        <f t="shared" si="67"/>
        <v>0</v>
      </c>
      <c r="O316" s="28"/>
      <c r="P316" s="33">
        <f t="shared" si="68"/>
        <v>0</v>
      </c>
      <c r="Q316" s="35" t="str" cm="1">
        <f t="array" ref="Q316">IF(AF316&lt;&gt;"",IFERROR(INDEX('Group List B'!B:B,MATCH(AI316,'Group List B'!A:A,0),0),"-"),"")</f>
        <v/>
      </c>
      <c r="R316" s="36">
        <f t="shared" si="69"/>
        <v>0</v>
      </c>
      <c r="S316" s="36">
        <f t="shared" si="70"/>
        <v>0</v>
      </c>
      <c r="T316" s="36">
        <f t="shared" si="71"/>
        <v>0</v>
      </c>
      <c r="U316" s="28"/>
      <c r="V316" s="37">
        <f t="shared" si="72"/>
        <v>0</v>
      </c>
      <c r="W316" s="41"/>
      <c r="X316" s="27"/>
      <c r="Y316" s="27"/>
      <c r="Z316" s="27"/>
      <c r="AA316" s="15"/>
      <c r="AB316" s="17"/>
      <c r="AC316" s="17"/>
      <c r="AD316" s="17"/>
      <c r="AE316" s="90"/>
      <c r="AF316" s="82" t="str">
        <f t="shared" si="73"/>
        <v/>
      </c>
      <c r="AG316" s="83" t="str">
        <f t="shared" si="74"/>
        <v/>
      </c>
      <c r="AH316" s="82" t="str">
        <f t="shared" si="75"/>
        <v/>
      </c>
      <c r="AI316" s="82" t="str">
        <f t="shared" si="76"/>
        <v/>
      </c>
      <c r="AJ316" s="90"/>
      <c r="AP316" s="88"/>
    </row>
    <row r="317" spans="1:42" x14ac:dyDescent="0.25">
      <c r="A317" s="2"/>
      <c r="C317" s="68" t="str" cm="1">
        <f t="array" ref="C317">IF(AF317&lt;&gt;"",
IFERROR(INDEX('LaunchPad Markbook'!A:A,MATCH(AH317,'LaunchPad Markbook'!D:D,0),0),"-"),"")</f>
        <v/>
      </c>
      <c r="D317" s="27"/>
      <c r="E317" s="27"/>
      <c r="F317" s="27"/>
      <c r="G317" s="14">
        <f>IF(OR(H317&gt;AB$2,I317&gt;AC$2,J317&gt;AD$2,
P317&gt;1,V317&gt;1,
L317&gt;'Group List A'!E$2,M317&gt;'Group List A'!F$2,N317&gt;'Group List A'!G$2,
R317&gt;'Group List B'!E$2,S317&gt;'Group List B'!F$2,T317&gt;'Group List B'!G$2),"Exceed",
IF(OR(H317=AB$2,I317=AC$2,J317=AD$2,
P317=1,V317=1,
L317='Group List A'!E$2,M317='Group List A'!F$2,N317='Group List A'!G$2,
R317='Group List B'!E$2,S317='Group List B'!F$2,T317='Group List B'!G$2),"Limit",0))</f>
        <v>0</v>
      </c>
      <c r="H317" s="29">
        <f t="shared" si="62"/>
        <v>0</v>
      </c>
      <c r="I317" s="29">
        <f t="shared" si="63"/>
        <v>0</v>
      </c>
      <c r="J317" s="29">
        <f t="shared" si="64"/>
        <v>0</v>
      </c>
      <c r="K317" s="32" t="str" cm="1">
        <f t="array" ref="K317">IF(AF317&lt;&gt;"",IFERROR(INDEX('Group List A'!B:B,MATCH(AI317,'Group List A'!A:A,0),0),"-"),"")</f>
        <v/>
      </c>
      <c r="L317" s="33">
        <f t="shared" si="65"/>
        <v>0</v>
      </c>
      <c r="M317" s="33">
        <f t="shared" si="66"/>
        <v>0</v>
      </c>
      <c r="N317" s="33">
        <f t="shared" si="67"/>
        <v>0</v>
      </c>
      <c r="O317" s="28"/>
      <c r="P317" s="33">
        <f t="shared" si="68"/>
        <v>0</v>
      </c>
      <c r="Q317" s="35" t="str" cm="1">
        <f t="array" ref="Q317">IF(AF317&lt;&gt;"",IFERROR(INDEX('Group List B'!B:B,MATCH(AI317,'Group List B'!A:A,0),0),"-"),"")</f>
        <v/>
      </c>
      <c r="R317" s="36">
        <f t="shared" si="69"/>
        <v>0</v>
      </c>
      <c r="S317" s="36">
        <f t="shared" si="70"/>
        <v>0</v>
      </c>
      <c r="T317" s="36">
        <f t="shared" si="71"/>
        <v>0</v>
      </c>
      <c r="U317" s="28"/>
      <c r="V317" s="37">
        <f t="shared" si="72"/>
        <v>0</v>
      </c>
      <c r="W317" s="41"/>
      <c r="X317" s="27"/>
      <c r="Y317" s="27"/>
      <c r="Z317" s="27"/>
      <c r="AA317" s="15"/>
      <c r="AB317" s="17"/>
      <c r="AC317" s="17"/>
      <c r="AD317" s="17"/>
      <c r="AE317" s="90"/>
      <c r="AF317" s="82" t="str">
        <f t="shared" si="73"/>
        <v/>
      </c>
      <c r="AG317" s="83" t="str">
        <f t="shared" si="74"/>
        <v/>
      </c>
      <c r="AH317" s="82" t="str">
        <f t="shared" si="75"/>
        <v/>
      </c>
      <c r="AI317" s="82" t="str">
        <f t="shared" si="76"/>
        <v/>
      </c>
      <c r="AJ317" s="90"/>
      <c r="AP317" s="88"/>
    </row>
    <row r="318" spans="1:42" x14ac:dyDescent="0.25">
      <c r="A318" s="2"/>
      <c r="C318" s="68" t="str" cm="1">
        <f t="array" ref="C318">IF(AF318&lt;&gt;"",
IFERROR(INDEX('LaunchPad Markbook'!A:A,MATCH(AH318,'LaunchPad Markbook'!D:D,0),0),"-"),"")</f>
        <v/>
      </c>
      <c r="D318" s="27"/>
      <c r="E318" s="27"/>
      <c r="F318" s="27"/>
      <c r="G318" s="14">
        <f>IF(OR(H318&gt;AB$2,I318&gt;AC$2,J318&gt;AD$2,
P318&gt;1,V318&gt;1,
L318&gt;'Group List A'!E$2,M318&gt;'Group List A'!F$2,N318&gt;'Group List A'!G$2,
R318&gt;'Group List B'!E$2,S318&gt;'Group List B'!F$2,T318&gt;'Group List B'!G$2),"Exceed",
IF(OR(H318=AB$2,I318=AC$2,J318=AD$2,
P318=1,V318=1,
L318='Group List A'!E$2,M318='Group List A'!F$2,N318='Group List A'!G$2,
R318='Group List B'!E$2,S318='Group List B'!F$2,T318='Group List B'!G$2),"Limit",0))</f>
        <v>0</v>
      </c>
      <c r="H318" s="29">
        <f t="shared" si="62"/>
        <v>0</v>
      </c>
      <c r="I318" s="29">
        <f t="shared" si="63"/>
        <v>0</v>
      </c>
      <c r="J318" s="29">
        <f t="shared" si="64"/>
        <v>0</v>
      </c>
      <c r="K318" s="32" t="str" cm="1">
        <f t="array" ref="K318">IF(AF318&lt;&gt;"",IFERROR(INDEX('Group List A'!B:B,MATCH(AI318,'Group List A'!A:A,0),0),"-"),"")</f>
        <v/>
      </c>
      <c r="L318" s="33">
        <f t="shared" si="65"/>
        <v>0</v>
      </c>
      <c r="M318" s="33">
        <f t="shared" si="66"/>
        <v>0</v>
      </c>
      <c r="N318" s="33">
        <f t="shared" si="67"/>
        <v>0</v>
      </c>
      <c r="O318" s="28"/>
      <c r="P318" s="33">
        <f t="shared" si="68"/>
        <v>0</v>
      </c>
      <c r="Q318" s="35" t="str" cm="1">
        <f t="array" ref="Q318">IF(AF318&lt;&gt;"",IFERROR(INDEX('Group List B'!B:B,MATCH(AI318,'Group List B'!A:A,0),0),"-"),"")</f>
        <v/>
      </c>
      <c r="R318" s="36">
        <f t="shared" si="69"/>
        <v>0</v>
      </c>
      <c r="S318" s="36">
        <f t="shared" si="70"/>
        <v>0</v>
      </c>
      <c r="T318" s="36">
        <f t="shared" si="71"/>
        <v>0</v>
      </c>
      <c r="U318" s="28"/>
      <c r="V318" s="37">
        <f t="shared" si="72"/>
        <v>0</v>
      </c>
      <c r="W318" s="41"/>
      <c r="X318" s="27"/>
      <c r="Y318" s="27"/>
      <c r="Z318" s="27"/>
      <c r="AA318" s="15"/>
      <c r="AB318" s="17"/>
      <c r="AC318" s="17"/>
      <c r="AD318" s="17"/>
      <c r="AE318" s="90"/>
      <c r="AF318" s="82" t="str">
        <f t="shared" si="73"/>
        <v/>
      </c>
      <c r="AG318" s="83" t="str">
        <f t="shared" si="74"/>
        <v/>
      </c>
      <c r="AH318" s="82" t="str">
        <f t="shared" si="75"/>
        <v/>
      </c>
      <c r="AI318" s="82" t="str">
        <f t="shared" si="76"/>
        <v/>
      </c>
      <c r="AJ318" s="90"/>
      <c r="AP318" s="88"/>
    </row>
    <row r="319" spans="1:42" x14ac:dyDescent="0.25">
      <c r="A319" s="2"/>
      <c r="C319" s="68" t="str" cm="1">
        <f t="array" ref="C319">IF(AF319&lt;&gt;"",
IFERROR(INDEX('LaunchPad Markbook'!A:A,MATCH(AH319,'LaunchPad Markbook'!D:D,0),0),"-"),"")</f>
        <v/>
      </c>
      <c r="D319" s="27"/>
      <c r="E319" s="27"/>
      <c r="F319" s="27"/>
      <c r="G319" s="14">
        <f>IF(OR(H319&gt;AB$2,I319&gt;AC$2,J319&gt;AD$2,
P319&gt;1,V319&gt;1,
L319&gt;'Group List A'!E$2,M319&gt;'Group List A'!F$2,N319&gt;'Group List A'!G$2,
R319&gt;'Group List B'!E$2,S319&gt;'Group List B'!F$2,T319&gt;'Group List B'!G$2),"Exceed",
IF(OR(H319=AB$2,I319=AC$2,J319=AD$2,
P319=1,V319=1,
L319='Group List A'!E$2,M319='Group List A'!F$2,N319='Group List A'!G$2,
R319='Group List B'!E$2,S319='Group List B'!F$2,T319='Group List B'!G$2),"Limit",0))</f>
        <v>0</v>
      </c>
      <c r="H319" s="29">
        <f t="shared" si="62"/>
        <v>0</v>
      </c>
      <c r="I319" s="29">
        <f t="shared" si="63"/>
        <v>0</v>
      </c>
      <c r="J319" s="29">
        <f t="shared" si="64"/>
        <v>0</v>
      </c>
      <c r="K319" s="32" t="str" cm="1">
        <f t="array" ref="K319">IF(AF319&lt;&gt;"",IFERROR(INDEX('Group List A'!B:B,MATCH(AI319,'Group List A'!A:A,0),0),"-"),"")</f>
        <v/>
      </c>
      <c r="L319" s="33">
        <f t="shared" si="65"/>
        <v>0</v>
      </c>
      <c r="M319" s="33">
        <f t="shared" si="66"/>
        <v>0</v>
      </c>
      <c r="N319" s="33">
        <f t="shared" si="67"/>
        <v>0</v>
      </c>
      <c r="O319" s="28"/>
      <c r="P319" s="33">
        <f t="shared" si="68"/>
        <v>0</v>
      </c>
      <c r="Q319" s="35" t="str" cm="1">
        <f t="array" ref="Q319">IF(AF319&lt;&gt;"",IFERROR(INDEX('Group List B'!B:B,MATCH(AI319,'Group List B'!A:A,0),0),"-"),"")</f>
        <v/>
      </c>
      <c r="R319" s="36">
        <f t="shared" si="69"/>
        <v>0</v>
      </c>
      <c r="S319" s="36">
        <f t="shared" si="70"/>
        <v>0</v>
      </c>
      <c r="T319" s="36">
        <f t="shared" si="71"/>
        <v>0</v>
      </c>
      <c r="U319" s="28"/>
      <c r="V319" s="37">
        <f t="shared" si="72"/>
        <v>0</v>
      </c>
      <c r="W319" s="41"/>
      <c r="X319" s="27"/>
      <c r="Y319" s="27"/>
      <c r="Z319" s="27"/>
      <c r="AA319" s="15"/>
      <c r="AB319" s="17"/>
      <c r="AC319" s="17"/>
      <c r="AD319" s="17"/>
      <c r="AE319" s="90"/>
      <c r="AF319" s="82" t="str">
        <f t="shared" si="73"/>
        <v/>
      </c>
      <c r="AG319" s="83" t="str">
        <f t="shared" si="74"/>
        <v/>
      </c>
      <c r="AH319" s="82" t="str">
        <f t="shared" si="75"/>
        <v/>
      </c>
      <c r="AI319" s="82" t="str">
        <f t="shared" si="76"/>
        <v/>
      </c>
      <c r="AJ319" s="90"/>
      <c r="AP319" s="88"/>
    </row>
    <row r="320" spans="1:42" x14ac:dyDescent="0.25">
      <c r="A320" s="2"/>
      <c r="C320" s="68" t="str" cm="1">
        <f t="array" ref="C320">IF(AF320&lt;&gt;"",
IFERROR(INDEX('LaunchPad Markbook'!A:A,MATCH(AH320,'LaunchPad Markbook'!D:D,0),0),"-"),"")</f>
        <v/>
      </c>
      <c r="D320" s="27"/>
      <c r="E320" s="27"/>
      <c r="F320" s="27"/>
      <c r="G320" s="14">
        <f>IF(OR(H320&gt;AB$2,I320&gt;AC$2,J320&gt;AD$2,
P320&gt;1,V320&gt;1,
L320&gt;'Group List A'!E$2,M320&gt;'Group List A'!F$2,N320&gt;'Group List A'!G$2,
R320&gt;'Group List B'!E$2,S320&gt;'Group List B'!F$2,T320&gt;'Group List B'!G$2),"Exceed",
IF(OR(H320=AB$2,I320=AC$2,J320=AD$2,
P320=1,V320=1,
L320='Group List A'!E$2,M320='Group List A'!F$2,N320='Group List A'!G$2,
R320='Group List B'!E$2,S320='Group List B'!F$2,T320='Group List B'!G$2),"Limit",0))</f>
        <v>0</v>
      </c>
      <c r="H320" s="29">
        <f t="shared" si="62"/>
        <v>0</v>
      </c>
      <c r="I320" s="29">
        <f t="shared" si="63"/>
        <v>0</v>
      </c>
      <c r="J320" s="29">
        <f t="shared" si="64"/>
        <v>0</v>
      </c>
      <c r="K320" s="32" t="str" cm="1">
        <f t="array" ref="K320">IF(AF320&lt;&gt;"",IFERROR(INDEX('Group List A'!B:B,MATCH(AI320,'Group List A'!A:A,0),0),"-"),"")</f>
        <v/>
      </c>
      <c r="L320" s="33">
        <f t="shared" si="65"/>
        <v>0</v>
      </c>
      <c r="M320" s="33">
        <f t="shared" si="66"/>
        <v>0</v>
      </c>
      <c r="N320" s="33">
        <f t="shared" si="67"/>
        <v>0</v>
      </c>
      <c r="O320" s="28"/>
      <c r="P320" s="33">
        <f t="shared" si="68"/>
        <v>0</v>
      </c>
      <c r="Q320" s="35" t="str" cm="1">
        <f t="array" ref="Q320">IF(AF320&lt;&gt;"",IFERROR(INDEX('Group List B'!B:B,MATCH(AI320,'Group List B'!A:A,0),0),"-"),"")</f>
        <v/>
      </c>
      <c r="R320" s="36">
        <f t="shared" si="69"/>
        <v>0</v>
      </c>
      <c r="S320" s="36">
        <f t="shared" si="70"/>
        <v>0</v>
      </c>
      <c r="T320" s="36">
        <f t="shared" si="71"/>
        <v>0</v>
      </c>
      <c r="U320" s="28"/>
      <c r="V320" s="37">
        <f t="shared" si="72"/>
        <v>0</v>
      </c>
      <c r="W320" s="41"/>
      <c r="X320" s="27"/>
      <c r="Y320" s="27"/>
      <c r="Z320" s="27"/>
      <c r="AA320" s="15"/>
      <c r="AB320" s="17"/>
      <c r="AC320" s="17"/>
      <c r="AD320" s="17"/>
      <c r="AE320" s="90"/>
      <c r="AF320" s="82" t="str">
        <f t="shared" si="73"/>
        <v/>
      </c>
      <c r="AG320" s="83" t="str">
        <f t="shared" si="74"/>
        <v/>
      </c>
      <c r="AH320" s="82" t="str">
        <f t="shared" si="75"/>
        <v/>
      </c>
      <c r="AI320" s="82" t="str">
        <f t="shared" si="76"/>
        <v/>
      </c>
      <c r="AJ320" s="90"/>
      <c r="AP320" s="88"/>
    </row>
    <row r="321" spans="1:42" x14ac:dyDescent="0.25">
      <c r="A321" s="2"/>
      <c r="C321" s="68" t="str" cm="1">
        <f t="array" ref="C321">IF(AF321&lt;&gt;"",
IFERROR(INDEX('LaunchPad Markbook'!A:A,MATCH(AH321,'LaunchPad Markbook'!D:D,0),0),"-"),"")</f>
        <v/>
      </c>
      <c r="D321" s="27"/>
      <c r="E321" s="27"/>
      <c r="F321" s="27"/>
      <c r="G321" s="14">
        <f>IF(OR(H321&gt;AB$2,I321&gt;AC$2,J321&gt;AD$2,
P321&gt;1,V321&gt;1,
L321&gt;'Group List A'!E$2,M321&gt;'Group List A'!F$2,N321&gt;'Group List A'!G$2,
R321&gt;'Group List B'!E$2,S321&gt;'Group List B'!F$2,T321&gt;'Group List B'!G$2),"Exceed",
IF(OR(H321=AB$2,I321=AC$2,J321=AD$2,
P321=1,V321=1,
L321='Group List A'!E$2,M321='Group List A'!F$2,N321='Group List A'!G$2,
R321='Group List B'!E$2,S321='Group List B'!F$2,T321='Group List B'!G$2),"Limit",0))</f>
        <v>0</v>
      </c>
      <c r="H321" s="29">
        <f t="shared" si="62"/>
        <v>0</v>
      </c>
      <c r="I321" s="29">
        <f t="shared" si="63"/>
        <v>0</v>
      </c>
      <c r="J321" s="29">
        <f t="shared" si="64"/>
        <v>0</v>
      </c>
      <c r="K321" s="32" t="str" cm="1">
        <f t="array" ref="K321">IF(AF321&lt;&gt;"",IFERROR(INDEX('Group List A'!B:B,MATCH(AI321,'Group List A'!A:A,0),0),"-"),"")</f>
        <v/>
      </c>
      <c r="L321" s="33">
        <f t="shared" si="65"/>
        <v>0</v>
      </c>
      <c r="M321" s="33">
        <f t="shared" si="66"/>
        <v>0</v>
      </c>
      <c r="N321" s="33">
        <f t="shared" si="67"/>
        <v>0</v>
      </c>
      <c r="O321" s="28"/>
      <c r="P321" s="33">
        <f t="shared" si="68"/>
        <v>0</v>
      </c>
      <c r="Q321" s="35" t="str" cm="1">
        <f t="array" ref="Q321">IF(AF321&lt;&gt;"",IFERROR(INDEX('Group List B'!B:B,MATCH(AI321,'Group List B'!A:A,0),0),"-"),"")</f>
        <v/>
      </c>
      <c r="R321" s="36">
        <f t="shared" si="69"/>
        <v>0</v>
      </c>
      <c r="S321" s="36">
        <f t="shared" si="70"/>
        <v>0</v>
      </c>
      <c r="T321" s="36">
        <f t="shared" si="71"/>
        <v>0</v>
      </c>
      <c r="U321" s="28"/>
      <c r="V321" s="37">
        <f t="shared" si="72"/>
        <v>0</v>
      </c>
      <c r="W321" s="41"/>
      <c r="X321" s="27"/>
      <c r="Y321" s="27"/>
      <c r="Z321" s="27"/>
      <c r="AA321" s="15"/>
      <c r="AB321" s="17"/>
      <c r="AC321" s="17"/>
      <c r="AD321" s="17"/>
      <c r="AE321" s="90"/>
      <c r="AF321" s="82" t="str">
        <f t="shared" si="73"/>
        <v/>
      </c>
      <c r="AG321" s="83" t="str">
        <f t="shared" si="74"/>
        <v/>
      </c>
      <c r="AH321" s="82" t="str">
        <f t="shared" si="75"/>
        <v/>
      </c>
      <c r="AI321" s="82" t="str">
        <f t="shared" si="76"/>
        <v/>
      </c>
      <c r="AJ321" s="90"/>
      <c r="AP321" s="88"/>
    </row>
    <row r="322" spans="1:42" x14ac:dyDescent="0.25">
      <c r="A322" s="2"/>
      <c r="C322" s="68" t="str" cm="1">
        <f t="array" ref="C322">IF(AF322&lt;&gt;"",
IFERROR(INDEX('LaunchPad Markbook'!A:A,MATCH(AH322,'LaunchPad Markbook'!D:D,0),0),"-"),"")</f>
        <v/>
      </c>
      <c r="D322" s="27"/>
      <c r="E322" s="27"/>
      <c r="F322" s="27"/>
      <c r="G322" s="14">
        <f>IF(OR(H322&gt;AB$2,I322&gt;AC$2,J322&gt;AD$2,
P322&gt;1,V322&gt;1,
L322&gt;'Group List A'!E$2,M322&gt;'Group List A'!F$2,N322&gt;'Group List A'!G$2,
R322&gt;'Group List B'!E$2,S322&gt;'Group List B'!F$2,T322&gt;'Group List B'!G$2),"Exceed",
IF(OR(H322=AB$2,I322=AC$2,J322=AD$2,
P322=1,V322=1,
L322='Group List A'!E$2,M322='Group List A'!F$2,N322='Group List A'!G$2,
R322='Group List B'!E$2,S322='Group List B'!F$2,T322='Group List B'!G$2),"Limit",0))</f>
        <v>0</v>
      </c>
      <c r="H322" s="29">
        <f t="shared" si="62"/>
        <v>0</v>
      </c>
      <c r="I322" s="29">
        <f t="shared" si="63"/>
        <v>0</v>
      </c>
      <c r="J322" s="29">
        <f t="shared" si="64"/>
        <v>0</v>
      </c>
      <c r="K322" s="32" t="str" cm="1">
        <f t="array" ref="K322">IF(AF322&lt;&gt;"",IFERROR(INDEX('Group List A'!B:B,MATCH(AI322,'Group List A'!A:A,0),0),"-"),"")</f>
        <v/>
      </c>
      <c r="L322" s="33">
        <f t="shared" si="65"/>
        <v>0</v>
      </c>
      <c r="M322" s="33">
        <f t="shared" si="66"/>
        <v>0</v>
      </c>
      <c r="N322" s="33">
        <f t="shared" si="67"/>
        <v>0</v>
      </c>
      <c r="O322" s="28"/>
      <c r="P322" s="33">
        <f t="shared" si="68"/>
        <v>0</v>
      </c>
      <c r="Q322" s="35" t="str" cm="1">
        <f t="array" ref="Q322">IF(AF322&lt;&gt;"",IFERROR(INDEX('Group List B'!B:B,MATCH(AI322,'Group List B'!A:A,0),0),"-"),"")</f>
        <v/>
      </c>
      <c r="R322" s="36">
        <f t="shared" si="69"/>
        <v>0</v>
      </c>
      <c r="S322" s="36">
        <f t="shared" si="70"/>
        <v>0</v>
      </c>
      <c r="T322" s="36">
        <f t="shared" si="71"/>
        <v>0</v>
      </c>
      <c r="U322" s="28"/>
      <c r="V322" s="37">
        <f t="shared" si="72"/>
        <v>0</v>
      </c>
      <c r="W322" s="41"/>
      <c r="X322" s="27"/>
      <c r="Y322" s="27"/>
      <c r="Z322" s="27"/>
      <c r="AA322" s="15"/>
      <c r="AB322" s="17"/>
      <c r="AC322" s="17"/>
      <c r="AD322" s="17"/>
      <c r="AE322" s="90"/>
      <c r="AF322" s="82" t="str">
        <f t="shared" si="73"/>
        <v/>
      </c>
      <c r="AG322" s="83" t="str">
        <f t="shared" si="74"/>
        <v/>
      </c>
      <c r="AH322" s="82" t="str">
        <f t="shared" si="75"/>
        <v/>
      </c>
      <c r="AI322" s="82" t="str">
        <f t="shared" si="76"/>
        <v/>
      </c>
      <c r="AJ322" s="90"/>
      <c r="AP322" s="88"/>
    </row>
    <row r="323" spans="1:42" x14ac:dyDescent="0.25">
      <c r="A323" s="2"/>
      <c r="C323" s="68" t="str" cm="1">
        <f t="array" ref="C323">IF(AF323&lt;&gt;"",
IFERROR(INDEX('LaunchPad Markbook'!A:A,MATCH(AH323,'LaunchPad Markbook'!D:D,0),0),"-"),"")</f>
        <v/>
      </c>
      <c r="D323" s="27"/>
      <c r="E323" s="27"/>
      <c r="F323" s="27"/>
      <c r="G323" s="14">
        <f>IF(OR(H323&gt;AB$2,I323&gt;AC$2,J323&gt;AD$2,
P323&gt;1,V323&gt;1,
L323&gt;'Group List A'!E$2,M323&gt;'Group List A'!F$2,N323&gt;'Group List A'!G$2,
R323&gt;'Group List B'!E$2,S323&gt;'Group List B'!F$2,T323&gt;'Group List B'!G$2),"Exceed",
IF(OR(H323=AB$2,I323=AC$2,J323=AD$2,
P323=1,V323=1,
L323='Group List A'!E$2,M323='Group List A'!F$2,N323='Group List A'!G$2,
R323='Group List B'!E$2,S323='Group List B'!F$2,T323='Group List B'!G$2),"Limit",0))</f>
        <v>0</v>
      </c>
      <c r="H323" s="29">
        <f t="shared" ref="H323:H386" si="77">IF(AND(K323="-",Q323="-"),
SUMIFS(D$2:D$2000,$AH$2:$AH$2000,$AH323),0)</f>
        <v>0</v>
      </c>
      <c r="I323" s="29">
        <f t="shared" ref="I323:I386" si="78">IF(AND(K323="-",Q323="-"),
SUMIFS(E$2:E$2000,$AH$2:$AH$2000,$AH323),0)</f>
        <v>0</v>
      </c>
      <c r="J323" s="29">
        <f t="shared" ref="J323:J386" si="79">IF(AND(K323="-",Q323="-"),
SUMIFS(F$2:F$2000,$AH$2:$AH$2000,$AH323),0)</f>
        <v>0</v>
      </c>
      <c r="K323" s="32" t="str" cm="1">
        <f t="array" ref="K323">IF(AF323&lt;&gt;"",IFERROR(INDEX('Group List A'!B:B,MATCH(AI323,'Group List A'!A:A,0),0),"-"),"")</f>
        <v/>
      </c>
      <c r="L323" s="33">
        <f t="shared" ref="L323:L386" si="80">IF($K323&lt;&gt;"-",SUMIFS(D$2:D$2000,$K$2:$K$2000,$K323),0)</f>
        <v>0</v>
      </c>
      <c r="M323" s="33">
        <f t="shared" ref="M323:M386" si="81">IF($K323&lt;&gt;"-",SUMIFS(E$2:E$2000,$K$2:$K$2000,$K323),0)</f>
        <v>0</v>
      </c>
      <c r="N323" s="33">
        <f t="shared" ref="N323:N386" si="82">IF($K323&lt;&gt;"-",SUMIFS(F$2:F$2000,$K$2:$K$2000,$K323),0)</f>
        <v>0</v>
      </c>
      <c r="O323" s="28"/>
      <c r="P323" s="33">
        <f t="shared" ref="P323:P386" si="83">SUMIFS(O$2:O$2000,$AH$2:$AH$2000,$AH323)</f>
        <v>0</v>
      </c>
      <c r="Q323" s="35" t="str" cm="1">
        <f t="array" ref="Q323">IF(AF323&lt;&gt;"",IFERROR(INDEX('Group List B'!B:B,MATCH(AI323,'Group List B'!A:A,0),0),"-"),"")</f>
        <v/>
      </c>
      <c r="R323" s="36">
        <f t="shared" ref="R323:R386" si="84">IF($Q323&lt;&gt;"-",SUMIFS(D$2:D$2000,$Q$2:$Q$2000,$Q323),0)</f>
        <v>0</v>
      </c>
      <c r="S323" s="36">
        <f t="shared" ref="S323:S386" si="85">IF($Q323&lt;&gt;"-",SUMIFS(E$2:E$2000,$Q$2:$Q$2000,$Q323),0)</f>
        <v>0</v>
      </c>
      <c r="T323" s="36">
        <f t="shared" ref="T323:T386" si="86">IF($Q323&lt;&gt;"-",SUMIFS(F$2:F$2000,$Q$2:$Q$2000,$Q323),0)</f>
        <v>0</v>
      </c>
      <c r="U323" s="28"/>
      <c r="V323" s="37">
        <f t="shared" ref="V323:V386" si="87">SUMIFS(U$2:U$2000,$AH$2:$AH$2000,$AH323)</f>
        <v>0</v>
      </c>
      <c r="W323" s="41"/>
      <c r="X323" s="27"/>
      <c r="Y323" s="27"/>
      <c r="Z323" s="27"/>
      <c r="AA323" s="15"/>
      <c r="AB323" s="17"/>
      <c r="AC323" s="17"/>
      <c r="AD323" s="17"/>
      <c r="AE323" s="90"/>
      <c r="AF323" s="82" t="str">
        <f t="shared" ref="AF323:AF386" si="88">IF(A323&lt;&gt;"",A323,"")</f>
        <v/>
      </c>
      <c r="AG323" s="83" t="str">
        <f t="shared" ref="AG323:AG386" si="89">IF(MID(AF323,1,1)="N","STUDENT",
IF(MID(AF323,1,1)="S","STAFF",
IF(MID(AF323,1,1)="V","VISITOR",
IF(AF323&lt;&gt;"","ERROR",""))))</f>
        <v/>
      </c>
      <c r="AH323" s="82" t="str">
        <f t="shared" ref="AH323:AH386" si="90">IF(AG323="STUDENT","N"&amp;(MID(AF323,2,8)-0),
IF(AG323="STAFF","S"&amp;MID(AF323,2,8),""))</f>
        <v/>
      </c>
      <c r="AI323" s="82" t="str">
        <f t="shared" ref="AI323:AI386" si="91">IF(AG323="STUDENT",(MID(AF323,2,8)-0),
IF(AG323="STAFF","STAFF",""))</f>
        <v/>
      </c>
      <c r="AJ323" s="90"/>
      <c r="AP323" s="88"/>
    </row>
    <row r="324" spans="1:42" x14ac:dyDescent="0.25">
      <c r="A324" s="2"/>
      <c r="C324" s="68" t="str" cm="1">
        <f t="array" ref="C324">IF(AF324&lt;&gt;"",
IFERROR(INDEX('LaunchPad Markbook'!A:A,MATCH(AH324,'LaunchPad Markbook'!D:D,0),0),"-"),"")</f>
        <v/>
      </c>
      <c r="D324" s="27"/>
      <c r="E324" s="27"/>
      <c r="F324" s="27"/>
      <c r="G324" s="14">
        <f>IF(OR(H324&gt;AB$2,I324&gt;AC$2,J324&gt;AD$2,
P324&gt;1,V324&gt;1,
L324&gt;'Group List A'!E$2,M324&gt;'Group List A'!F$2,N324&gt;'Group List A'!G$2,
R324&gt;'Group List B'!E$2,S324&gt;'Group List B'!F$2,T324&gt;'Group List B'!G$2),"Exceed",
IF(OR(H324=AB$2,I324=AC$2,J324=AD$2,
P324=1,V324=1,
L324='Group List A'!E$2,M324='Group List A'!F$2,N324='Group List A'!G$2,
R324='Group List B'!E$2,S324='Group List B'!F$2,T324='Group List B'!G$2),"Limit",0))</f>
        <v>0</v>
      </c>
      <c r="H324" s="29">
        <f t="shared" si="77"/>
        <v>0</v>
      </c>
      <c r="I324" s="29">
        <f t="shared" si="78"/>
        <v>0</v>
      </c>
      <c r="J324" s="29">
        <f t="shared" si="79"/>
        <v>0</v>
      </c>
      <c r="K324" s="32" t="str" cm="1">
        <f t="array" ref="K324">IF(AF324&lt;&gt;"",IFERROR(INDEX('Group List A'!B:B,MATCH(AI324,'Group List A'!A:A,0),0),"-"),"")</f>
        <v/>
      </c>
      <c r="L324" s="33">
        <f t="shared" si="80"/>
        <v>0</v>
      </c>
      <c r="M324" s="33">
        <f t="shared" si="81"/>
        <v>0</v>
      </c>
      <c r="N324" s="33">
        <f t="shared" si="82"/>
        <v>0</v>
      </c>
      <c r="O324" s="28"/>
      <c r="P324" s="33">
        <f t="shared" si="83"/>
        <v>0</v>
      </c>
      <c r="Q324" s="35" t="str" cm="1">
        <f t="array" ref="Q324">IF(AF324&lt;&gt;"",IFERROR(INDEX('Group List B'!B:B,MATCH(AI324,'Group List B'!A:A,0),0),"-"),"")</f>
        <v/>
      </c>
      <c r="R324" s="36">
        <f t="shared" si="84"/>
        <v>0</v>
      </c>
      <c r="S324" s="36">
        <f t="shared" si="85"/>
        <v>0</v>
      </c>
      <c r="T324" s="36">
        <f t="shared" si="86"/>
        <v>0</v>
      </c>
      <c r="U324" s="28"/>
      <c r="V324" s="37">
        <f t="shared" si="87"/>
        <v>0</v>
      </c>
      <c r="W324" s="41"/>
      <c r="X324" s="27"/>
      <c r="Y324" s="27"/>
      <c r="Z324" s="27"/>
      <c r="AA324" s="15"/>
      <c r="AB324" s="17"/>
      <c r="AC324" s="17"/>
      <c r="AD324" s="17"/>
      <c r="AE324" s="90"/>
      <c r="AF324" s="82" t="str">
        <f t="shared" si="88"/>
        <v/>
      </c>
      <c r="AG324" s="83" t="str">
        <f t="shared" si="89"/>
        <v/>
      </c>
      <c r="AH324" s="82" t="str">
        <f t="shared" si="90"/>
        <v/>
      </c>
      <c r="AI324" s="82" t="str">
        <f t="shared" si="91"/>
        <v/>
      </c>
      <c r="AJ324" s="90"/>
      <c r="AP324" s="88"/>
    </row>
    <row r="325" spans="1:42" x14ac:dyDescent="0.25">
      <c r="A325" s="2"/>
      <c r="C325" s="68" t="str" cm="1">
        <f t="array" ref="C325">IF(AF325&lt;&gt;"",
IFERROR(INDEX('LaunchPad Markbook'!A:A,MATCH(AH325,'LaunchPad Markbook'!D:D,0),0),"-"),"")</f>
        <v/>
      </c>
      <c r="D325" s="27"/>
      <c r="E325" s="27"/>
      <c r="F325" s="27"/>
      <c r="G325" s="14">
        <f>IF(OR(H325&gt;AB$2,I325&gt;AC$2,J325&gt;AD$2,
P325&gt;1,V325&gt;1,
L325&gt;'Group List A'!E$2,M325&gt;'Group List A'!F$2,N325&gt;'Group List A'!G$2,
R325&gt;'Group List B'!E$2,S325&gt;'Group List B'!F$2,T325&gt;'Group List B'!G$2),"Exceed",
IF(OR(H325=AB$2,I325=AC$2,J325=AD$2,
P325=1,V325=1,
L325='Group List A'!E$2,M325='Group List A'!F$2,N325='Group List A'!G$2,
R325='Group List B'!E$2,S325='Group List B'!F$2,T325='Group List B'!G$2),"Limit",0))</f>
        <v>0</v>
      </c>
      <c r="H325" s="29">
        <f t="shared" si="77"/>
        <v>0</v>
      </c>
      <c r="I325" s="29">
        <f t="shared" si="78"/>
        <v>0</v>
      </c>
      <c r="J325" s="29">
        <f t="shared" si="79"/>
        <v>0</v>
      </c>
      <c r="K325" s="32" t="str" cm="1">
        <f t="array" ref="K325">IF(AF325&lt;&gt;"",IFERROR(INDEX('Group List A'!B:B,MATCH(AI325,'Group List A'!A:A,0),0),"-"),"")</f>
        <v/>
      </c>
      <c r="L325" s="33">
        <f t="shared" si="80"/>
        <v>0</v>
      </c>
      <c r="M325" s="33">
        <f t="shared" si="81"/>
        <v>0</v>
      </c>
      <c r="N325" s="33">
        <f t="shared" si="82"/>
        <v>0</v>
      </c>
      <c r="O325" s="28"/>
      <c r="P325" s="33">
        <f t="shared" si="83"/>
        <v>0</v>
      </c>
      <c r="Q325" s="35" t="str" cm="1">
        <f t="array" ref="Q325">IF(AF325&lt;&gt;"",IFERROR(INDEX('Group List B'!B:B,MATCH(AI325,'Group List B'!A:A,0),0),"-"),"")</f>
        <v/>
      </c>
      <c r="R325" s="36">
        <f t="shared" si="84"/>
        <v>0</v>
      </c>
      <c r="S325" s="36">
        <f t="shared" si="85"/>
        <v>0</v>
      </c>
      <c r="T325" s="36">
        <f t="shared" si="86"/>
        <v>0</v>
      </c>
      <c r="U325" s="28"/>
      <c r="V325" s="37">
        <f t="shared" si="87"/>
        <v>0</v>
      </c>
      <c r="W325" s="41"/>
      <c r="X325" s="27"/>
      <c r="Y325" s="27"/>
      <c r="Z325" s="27"/>
      <c r="AA325" s="15"/>
      <c r="AB325" s="17"/>
      <c r="AC325" s="17"/>
      <c r="AD325" s="17"/>
      <c r="AE325" s="90"/>
      <c r="AF325" s="82" t="str">
        <f t="shared" si="88"/>
        <v/>
      </c>
      <c r="AG325" s="83" t="str">
        <f t="shared" si="89"/>
        <v/>
      </c>
      <c r="AH325" s="82" t="str">
        <f t="shared" si="90"/>
        <v/>
      </c>
      <c r="AI325" s="82" t="str">
        <f t="shared" si="91"/>
        <v/>
      </c>
      <c r="AJ325" s="90"/>
      <c r="AP325" s="88"/>
    </row>
    <row r="326" spans="1:42" x14ac:dyDescent="0.25">
      <c r="A326" s="2"/>
      <c r="C326" s="68" t="str" cm="1">
        <f t="array" ref="C326">IF(AF326&lt;&gt;"",
IFERROR(INDEX('LaunchPad Markbook'!A:A,MATCH(AH326,'LaunchPad Markbook'!D:D,0),0),"-"),"")</f>
        <v/>
      </c>
      <c r="D326" s="27"/>
      <c r="E326" s="27"/>
      <c r="F326" s="27"/>
      <c r="G326" s="14">
        <f>IF(OR(H326&gt;AB$2,I326&gt;AC$2,J326&gt;AD$2,
P326&gt;1,V326&gt;1,
L326&gt;'Group List A'!E$2,M326&gt;'Group List A'!F$2,N326&gt;'Group List A'!G$2,
R326&gt;'Group List B'!E$2,S326&gt;'Group List B'!F$2,T326&gt;'Group List B'!G$2),"Exceed",
IF(OR(H326=AB$2,I326=AC$2,J326=AD$2,
P326=1,V326=1,
L326='Group List A'!E$2,M326='Group List A'!F$2,N326='Group List A'!G$2,
R326='Group List B'!E$2,S326='Group List B'!F$2,T326='Group List B'!G$2),"Limit",0))</f>
        <v>0</v>
      </c>
      <c r="H326" s="29">
        <f t="shared" si="77"/>
        <v>0</v>
      </c>
      <c r="I326" s="29">
        <f t="shared" si="78"/>
        <v>0</v>
      </c>
      <c r="J326" s="29">
        <f t="shared" si="79"/>
        <v>0</v>
      </c>
      <c r="K326" s="32" t="str" cm="1">
        <f t="array" ref="K326">IF(AF326&lt;&gt;"",IFERROR(INDEX('Group List A'!B:B,MATCH(AI326,'Group List A'!A:A,0),0),"-"),"")</f>
        <v/>
      </c>
      <c r="L326" s="33">
        <f t="shared" si="80"/>
        <v>0</v>
      </c>
      <c r="M326" s="33">
        <f t="shared" si="81"/>
        <v>0</v>
      </c>
      <c r="N326" s="33">
        <f t="shared" si="82"/>
        <v>0</v>
      </c>
      <c r="O326" s="28"/>
      <c r="P326" s="33">
        <f t="shared" si="83"/>
        <v>0</v>
      </c>
      <c r="Q326" s="35" t="str" cm="1">
        <f t="array" ref="Q326">IF(AF326&lt;&gt;"",IFERROR(INDEX('Group List B'!B:B,MATCH(AI326,'Group List B'!A:A,0),0),"-"),"")</f>
        <v/>
      </c>
      <c r="R326" s="36">
        <f t="shared" si="84"/>
        <v>0</v>
      </c>
      <c r="S326" s="36">
        <f t="shared" si="85"/>
        <v>0</v>
      </c>
      <c r="T326" s="36">
        <f t="shared" si="86"/>
        <v>0</v>
      </c>
      <c r="U326" s="28"/>
      <c r="V326" s="37">
        <f t="shared" si="87"/>
        <v>0</v>
      </c>
      <c r="W326" s="41"/>
      <c r="X326" s="27"/>
      <c r="Y326" s="27"/>
      <c r="Z326" s="27"/>
      <c r="AA326" s="15"/>
      <c r="AB326" s="17"/>
      <c r="AC326" s="17"/>
      <c r="AD326" s="17"/>
      <c r="AE326" s="90"/>
      <c r="AF326" s="82" t="str">
        <f t="shared" si="88"/>
        <v/>
      </c>
      <c r="AG326" s="83" t="str">
        <f t="shared" si="89"/>
        <v/>
      </c>
      <c r="AH326" s="82" t="str">
        <f t="shared" si="90"/>
        <v/>
      </c>
      <c r="AI326" s="82" t="str">
        <f t="shared" si="91"/>
        <v/>
      </c>
      <c r="AJ326" s="90"/>
      <c r="AP326" s="88"/>
    </row>
    <row r="327" spans="1:42" x14ac:dyDescent="0.25">
      <c r="A327" s="2"/>
      <c r="C327" s="68" t="str" cm="1">
        <f t="array" ref="C327">IF(AF327&lt;&gt;"",
IFERROR(INDEX('LaunchPad Markbook'!A:A,MATCH(AH327,'LaunchPad Markbook'!D:D,0),0),"-"),"")</f>
        <v/>
      </c>
      <c r="D327" s="27"/>
      <c r="E327" s="27"/>
      <c r="F327" s="27"/>
      <c r="G327" s="14">
        <f>IF(OR(H327&gt;AB$2,I327&gt;AC$2,J327&gt;AD$2,
P327&gt;1,V327&gt;1,
L327&gt;'Group List A'!E$2,M327&gt;'Group List A'!F$2,N327&gt;'Group List A'!G$2,
R327&gt;'Group List B'!E$2,S327&gt;'Group List B'!F$2,T327&gt;'Group List B'!G$2),"Exceed",
IF(OR(H327=AB$2,I327=AC$2,J327=AD$2,
P327=1,V327=1,
L327='Group List A'!E$2,M327='Group List A'!F$2,N327='Group List A'!G$2,
R327='Group List B'!E$2,S327='Group List B'!F$2,T327='Group List B'!G$2),"Limit",0))</f>
        <v>0</v>
      </c>
      <c r="H327" s="29">
        <f t="shared" si="77"/>
        <v>0</v>
      </c>
      <c r="I327" s="29">
        <f t="shared" si="78"/>
        <v>0</v>
      </c>
      <c r="J327" s="29">
        <f t="shared" si="79"/>
        <v>0</v>
      </c>
      <c r="K327" s="32" t="str" cm="1">
        <f t="array" ref="K327">IF(AF327&lt;&gt;"",IFERROR(INDEX('Group List A'!B:B,MATCH(AI327,'Group List A'!A:A,0),0),"-"),"")</f>
        <v/>
      </c>
      <c r="L327" s="33">
        <f t="shared" si="80"/>
        <v>0</v>
      </c>
      <c r="M327" s="33">
        <f t="shared" si="81"/>
        <v>0</v>
      </c>
      <c r="N327" s="33">
        <f t="shared" si="82"/>
        <v>0</v>
      </c>
      <c r="O327" s="28"/>
      <c r="P327" s="33">
        <f t="shared" si="83"/>
        <v>0</v>
      </c>
      <c r="Q327" s="35" t="str" cm="1">
        <f t="array" ref="Q327">IF(AF327&lt;&gt;"",IFERROR(INDEX('Group List B'!B:B,MATCH(AI327,'Group List B'!A:A,0),0),"-"),"")</f>
        <v/>
      </c>
      <c r="R327" s="36">
        <f t="shared" si="84"/>
        <v>0</v>
      </c>
      <c r="S327" s="36">
        <f t="shared" si="85"/>
        <v>0</v>
      </c>
      <c r="T327" s="36">
        <f t="shared" si="86"/>
        <v>0</v>
      </c>
      <c r="U327" s="28"/>
      <c r="V327" s="37">
        <f t="shared" si="87"/>
        <v>0</v>
      </c>
      <c r="W327" s="41"/>
      <c r="X327" s="27"/>
      <c r="Y327" s="27"/>
      <c r="Z327" s="27"/>
      <c r="AA327" s="15"/>
      <c r="AB327" s="17"/>
      <c r="AC327" s="17"/>
      <c r="AD327" s="17"/>
      <c r="AE327" s="90"/>
      <c r="AF327" s="82" t="str">
        <f t="shared" si="88"/>
        <v/>
      </c>
      <c r="AG327" s="83" t="str">
        <f t="shared" si="89"/>
        <v/>
      </c>
      <c r="AH327" s="82" t="str">
        <f t="shared" si="90"/>
        <v/>
      </c>
      <c r="AI327" s="82" t="str">
        <f t="shared" si="91"/>
        <v/>
      </c>
      <c r="AJ327" s="90"/>
      <c r="AP327" s="88"/>
    </row>
    <row r="328" spans="1:42" x14ac:dyDescent="0.25">
      <c r="A328" s="2"/>
      <c r="C328" s="68" t="str" cm="1">
        <f t="array" ref="C328">IF(AF328&lt;&gt;"",
IFERROR(INDEX('LaunchPad Markbook'!A:A,MATCH(AH328,'LaunchPad Markbook'!D:D,0),0),"-"),"")</f>
        <v/>
      </c>
      <c r="D328" s="27"/>
      <c r="E328" s="27"/>
      <c r="F328" s="27"/>
      <c r="G328" s="14">
        <f>IF(OR(H328&gt;AB$2,I328&gt;AC$2,J328&gt;AD$2,
P328&gt;1,V328&gt;1,
L328&gt;'Group List A'!E$2,M328&gt;'Group List A'!F$2,N328&gt;'Group List A'!G$2,
R328&gt;'Group List B'!E$2,S328&gt;'Group List B'!F$2,T328&gt;'Group List B'!G$2),"Exceed",
IF(OR(H328=AB$2,I328=AC$2,J328=AD$2,
P328=1,V328=1,
L328='Group List A'!E$2,M328='Group List A'!F$2,N328='Group List A'!G$2,
R328='Group List B'!E$2,S328='Group List B'!F$2,T328='Group List B'!G$2),"Limit",0))</f>
        <v>0</v>
      </c>
      <c r="H328" s="29">
        <f t="shared" si="77"/>
        <v>0</v>
      </c>
      <c r="I328" s="29">
        <f t="shared" si="78"/>
        <v>0</v>
      </c>
      <c r="J328" s="29">
        <f t="shared" si="79"/>
        <v>0</v>
      </c>
      <c r="K328" s="32" t="str" cm="1">
        <f t="array" ref="K328">IF(AF328&lt;&gt;"",IFERROR(INDEX('Group List A'!B:B,MATCH(AI328,'Group List A'!A:A,0),0),"-"),"")</f>
        <v/>
      </c>
      <c r="L328" s="33">
        <f t="shared" si="80"/>
        <v>0</v>
      </c>
      <c r="M328" s="33">
        <f t="shared" si="81"/>
        <v>0</v>
      </c>
      <c r="N328" s="33">
        <f t="shared" si="82"/>
        <v>0</v>
      </c>
      <c r="O328" s="28"/>
      <c r="P328" s="33">
        <f t="shared" si="83"/>
        <v>0</v>
      </c>
      <c r="Q328" s="35" t="str" cm="1">
        <f t="array" ref="Q328">IF(AF328&lt;&gt;"",IFERROR(INDEX('Group List B'!B:B,MATCH(AI328,'Group List B'!A:A,0),0),"-"),"")</f>
        <v/>
      </c>
      <c r="R328" s="36">
        <f t="shared" si="84"/>
        <v>0</v>
      </c>
      <c r="S328" s="36">
        <f t="shared" si="85"/>
        <v>0</v>
      </c>
      <c r="T328" s="36">
        <f t="shared" si="86"/>
        <v>0</v>
      </c>
      <c r="U328" s="28"/>
      <c r="V328" s="37">
        <f t="shared" si="87"/>
        <v>0</v>
      </c>
      <c r="W328" s="41"/>
      <c r="X328" s="27"/>
      <c r="Y328" s="27"/>
      <c r="Z328" s="27"/>
      <c r="AA328" s="15"/>
      <c r="AB328" s="17"/>
      <c r="AC328" s="17"/>
      <c r="AD328" s="17"/>
      <c r="AE328" s="90"/>
      <c r="AF328" s="82" t="str">
        <f t="shared" si="88"/>
        <v/>
      </c>
      <c r="AG328" s="83" t="str">
        <f t="shared" si="89"/>
        <v/>
      </c>
      <c r="AH328" s="82" t="str">
        <f t="shared" si="90"/>
        <v/>
      </c>
      <c r="AI328" s="82" t="str">
        <f t="shared" si="91"/>
        <v/>
      </c>
      <c r="AJ328" s="90"/>
      <c r="AP328" s="88"/>
    </row>
    <row r="329" spans="1:42" x14ac:dyDescent="0.25">
      <c r="A329" s="2"/>
      <c r="C329" s="68" t="str" cm="1">
        <f t="array" ref="C329">IF(AF329&lt;&gt;"",
IFERROR(INDEX('LaunchPad Markbook'!A:A,MATCH(AH329,'LaunchPad Markbook'!D:D,0),0),"-"),"")</f>
        <v/>
      </c>
      <c r="D329" s="27"/>
      <c r="E329" s="27"/>
      <c r="F329" s="27"/>
      <c r="G329" s="14">
        <f>IF(OR(H329&gt;AB$2,I329&gt;AC$2,J329&gt;AD$2,
P329&gt;1,V329&gt;1,
L329&gt;'Group List A'!E$2,M329&gt;'Group List A'!F$2,N329&gt;'Group List A'!G$2,
R329&gt;'Group List B'!E$2,S329&gt;'Group List B'!F$2,T329&gt;'Group List B'!G$2),"Exceed",
IF(OR(H329=AB$2,I329=AC$2,J329=AD$2,
P329=1,V329=1,
L329='Group List A'!E$2,M329='Group List A'!F$2,N329='Group List A'!G$2,
R329='Group List B'!E$2,S329='Group List B'!F$2,T329='Group List B'!G$2),"Limit",0))</f>
        <v>0</v>
      </c>
      <c r="H329" s="29">
        <f t="shared" si="77"/>
        <v>0</v>
      </c>
      <c r="I329" s="29">
        <f t="shared" si="78"/>
        <v>0</v>
      </c>
      <c r="J329" s="29">
        <f t="shared" si="79"/>
        <v>0</v>
      </c>
      <c r="K329" s="32" t="str" cm="1">
        <f t="array" ref="K329">IF(AF329&lt;&gt;"",IFERROR(INDEX('Group List A'!B:B,MATCH(AI329,'Group List A'!A:A,0),0),"-"),"")</f>
        <v/>
      </c>
      <c r="L329" s="33">
        <f t="shared" si="80"/>
        <v>0</v>
      </c>
      <c r="M329" s="33">
        <f t="shared" si="81"/>
        <v>0</v>
      </c>
      <c r="N329" s="33">
        <f t="shared" si="82"/>
        <v>0</v>
      </c>
      <c r="O329" s="28"/>
      <c r="P329" s="33">
        <f t="shared" si="83"/>
        <v>0</v>
      </c>
      <c r="Q329" s="35" t="str" cm="1">
        <f t="array" ref="Q329">IF(AF329&lt;&gt;"",IFERROR(INDEX('Group List B'!B:B,MATCH(AI329,'Group List B'!A:A,0),0),"-"),"")</f>
        <v/>
      </c>
      <c r="R329" s="36">
        <f t="shared" si="84"/>
        <v>0</v>
      </c>
      <c r="S329" s="36">
        <f t="shared" si="85"/>
        <v>0</v>
      </c>
      <c r="T329" s="36">
        <f t="shared" si="86"/>
        <v>0</v>
      </c>
      <c r="U329" s="28"/>
      <c r="V329" s="37">
        <f t="shared" si="87"/>
        <v>0</v>
      </c>
      <c r="W329" s="41"/>
      <c r="X329" s="27"/>
      <c r="Y329" s="27"/>
      <c r="Z329" s="27"/>
      <c r="AA329" s="15"/>
      <c r="AB329" s="17"/>
      <c r="AC329" s="17"/>
      <c r="AD329" s="17"/>
      <c r="AE329" s="90"/>
      <c r="AF329" s="82" t="str">
        <f t="shared" si="88"/>
        <v/>
      </c>
      <c r="AG329" s="83" t="str">
        <f t="shared" si="89"/>
        <v/>
      </c>
      <c r="AH329" s="82" t="str">
        <f t="shared" si="90"/>
        <v/>
      </c>
      <c r="AI329" s="82" t="str">
        <f t="shared" si="91"/>
        <v/>
      </c>
      <c r="AJ329" s="90"/>
      <c r="AP329" s="88"/>
    </row>
    <row r="330" spans="1:42" x14ac:dyDescent="0.25">
      <c r="A330" s="2"/>
      <c r="C330" s="68" t="str" cm="1">
        <f t="array" ref="C330">IF(AF330&lt;&gt;"",
IFERROR(INDEX('LaunchPad Markbook'!A:A,MATCH(AH330,'LaunchPad Markbook'!D:D,0),0),"-"),"")</f>
        <v/>
      </c>
      <c r="D330" s="27"/>
      <c r="E330" s="27"/>
      <c r="F330" s="27"/>
      <c r="G330" s="14">
        <f>IF(OR(H330&gt;AB$2,I330&gt;AC$2,J330&gt;AD$2,
P330&gt;1,V330&gt;1,
L330&gt;'Group List A'!E$2,M330&gt;'Group List A'!F$2,N330&gt;'Group List A'!G$2,
R330&gt;'Group List B'!E$2,S330&gt;'Group List B'!F$2,T330&gt;'Group List B'!G$2),"Exceed",
IF(OR(H330=AB$2,I330=AC$2,J330=AD$2,
P330=1,V330=1,
L330='Group List A'!E$2,M330='Group List A'!F$2,N330='Group List A'!G$2,
R330='Group List B'!E$2,S330='Group List B'!F$2,T330='Group List B'!G$2),"Limit",0))</f>
        <v>0</v>
      </c>
      <c r="H330" s="29">
        <f t="shared" si="77"/>
        <v>0</v>
      </c>
      <c r="I330" s="29">
        <f t="shared" si="78"/>
        <v>0</v>
      </c>
      <c r="J330" s="29">
        <f t="shared" si="79"/>
        <v>0</v>
      </c>
      <c r="K330" s="32" t="str" cm="1">
        <f t="array" ref="K330">IF(AF330&lt;&gt;"",IFERROR(INDEX('Group List A'!B:B,MATCH(AI330,'Group List A'!A:A,0),0),"-"),"")</f>
        <v/>
      </c>
      <c r="L330" s="33">
        <f t="shared" si="80"/>
        <v>0</v>
      </c>
      <c r="M330" s="33">
        <f t="shared" si="81"/>
        <v>0</v>
      </c>
      <c r="N330" s="33">
        <f t="shared" si="82"/>
        <v>0</v>
      </c>
      <c r="O330" s="28"/>
      <c r="P330" s="33">
        <f t="shared" si="83"/>
        <v>0</v>
      </c>
      <c r="Q330" s="35" t="str" cm="1">
        <f t="array" ref="Q330">IF(AF330&lt;&gt;"",IFERROR(INDEX('Group List B'!B:B,MATCH(AI330,'Group List B'!A:A,0),0),"-"),"")</f>
        <v/>
      </c>
      <c r="R330" s="36">
        <f t="shared" si="84"/>
        <v>0</v>
      </c>
      <c r="S330" s="36">
        <f t="shared" si="85"/>
        <v>0</v>
      </c>
      <c r="T330" s="36">
        <f t="shared" si="86"/>
        <v>0</v>
      </c>
      <c r="U330" s="28"/>
      <c r="V330" s="37">
        <f t="shared" si="87"/>
        <v>0</v>
      </c>
      <c r="W330" s="41"/>
      <c r="X330" s="27"/>
      <c r="Y330" s="27"/>
      <c r="Z330" s="27"/>
      <c r="AA330" s="15"/>
      <c r="AB330" s="17"/>
      <c r="AC330" s="17"/>
      <c r="AD330" s="17"/>
      <c r="AE330" s="90"/>
      <c r="AF330" s="82" t="str">
        <f t="shared" si="88"/>
        <v/>
      </c>
      <c r="AG330" s="83" t="str">
        <f t="shared" si="89"/>
        <v/>
      </c>
      <c r="AH330" s="82" t="str">
        <f t="shared" si="90"/>
        <v/>
      </c>
      <c r="AI330" s="82" t="str">
        <f t="shared" si="91"/>
        <v/>
      </c>
      <c r="AJ330" s="90"/>
      <c r="AP330" s="88"/>
    </row>
    <row r="331" spans="1:42" x14ac:dyDescent="0.25">
      <c r="A331" s="2"/>
      <c r="C331" s="68" t="str" cm="1">
        <f t="array" ref="C331">IF(AF331&lt;&gt;"",
IFERROR(INDEX('LaunchPad Markbook'!A:A,MATCH(AH331,'LaunchPad Markbook'!D:D,0),0),"-"),"")</f>
        <v/>
      </c>
      <c r="D331" s="27"/>
      <c r="E331" s="27"/>
      <c r="F331" s="27"/>
      <c r="G331" s="14">
        <f>IF(OR(H331&gt;AB$2,I331&gt;AC$2,J331&gt;AD$2,
P331&gt;1,V331&gt;1,
L331&gt;'Group List A'!E$2,M331&gt;'Group List A'!F$2,N331&gt;'Group List A'!G$2,
R331&gt;'Group List B'!E$2,S331&gt;'Group List B'!F$2,T331&gt;'Group List B'!G$2),"Exceed",
IF(OR(H331=AB$2,I331=AC$2,J331=AD$2,
P331=1,V331=1,
L331='Group List A'!E$2,M331='Group List A'!F$2,N331='Group List A'!G$2,
R331='Group List B'!E$2,S331='Group List B'!F$2,T331='Group List B'!G$2),"Limit",0))</f>
        <v>0</v>
      </c>
      <c r="H331" s="29">
        <f t="shared" si="77"/>
        <v>0</v>
      </c>
      <c r="I331" s="29">
        <f t="shared" si="78"/>
        <v>0</v>
      </c>
      <c r="J331" s="29">
        <f t="shared" si="79"/>
        <v>0</v>
      </c>
      <c r="K331" s="32" t="str" cm="1">
        <f t="array" ref="K331">IF(AF331&lt;&gt;"",IFERROR(INDEX('Group List A'!B:B,MATCH(AI331,'Group List A'!A:A,0),0),"-"),"")</f>
        <v/>
      </c>
      <c r="L331" s="33">
        <f t="shared" si="80"/>
        <v>0</v>
      </c>
      <c r="M331" s="33">
        <f t="shared" si="81"/>
        <v>0</v>
      </c>
      <c r="N331" s="33">
        <f t="shared" si="82"/>
        <v>0</v>
      </c>
      <c r="O331" s="28"/>
      <c r="P331" s="33">
        <f t="shared" si="83"/>
        <v>0</v>
      </c>
      <c r="Q331" s="35" t="str" cm="1">
        <f t="array" ref="Q331">IF(AF331&lt;&gt;"",IFERROR(INDEX('Group List B'!B:B,MATCH(AI331,'Group List B'!A:A,0),0),"-"),"")</f>
        <v/>
      </c>
      <c r="R331" s="36">
        <f t="shared" si="84"/>
        <v>0</v>
      </c>
      <c r="S331" s="36">
        <f t="shared" si="85"/>
        <v>0</v>
      </c>
      <c r="T331" s="36">
        <f t="shared" si="86"/>
        <v>0</v>
      </c>
      <c r="U331" s="28"/>
      <c r="V331" s="37">
        <f t="shared" si="87"/>
        <v>0</v>
      </c>
      <c r="W331" s="41"/>
      <c r="X331" s="27"/>
      <c r="Y331" s="27"/>
      <c r="Z331" s="27"/>
      <c r="AA331" s="15"/>
      <c r="AB331" s="17"/>
      <c r="AC331" s="17"/>
      <c r="AD331" s="17"/>
      <c r="AE331" s="90"/>
      <c r="AF331" s="82" t="str">
        <f t="shared" si="88"/>
        <v/>
      </c>
      <c r="AG331" s="83" t="str">
        <f t="shared" si="89"/>
        <v/>
      </c>
      <c r="AH331" s="82" t="str">
        <f t="shared" si="90"/>
        <v/>
      </c>
      <c r="AI331" s="82" t="str">
        <f t="shared" si="91"/>
        <v/>
      </c>
      <c r="AJ331" s="90"/>
      <c r="AP331" s="88"/>
    </row>
    <row r="332" spans="1:42" x14ac:dyDescent="0.25">
      <c r="A332" s="2"/>
      <c r="C332" s="68" t="str" cm="1">
        <f t="array" ref="C332">IF(AF332&lt;&gt;"",
IFERROR(INDEX('LaunchPad Markbook'!A:A,MATCH(AH332,'LaunchPad Markbook'!D:D,0),0),"-"),"")</f>
        <v/>
      </c>
      <c r="D332" s="27"/>
      <c r="E332" s="27"/>
      <c r="F332" s="27"/>
      <c r="G332" s="14">
        <f>IF(OR(H332&gt;AB$2,I332&gt;AC$2,J332&gt;AD$2,
P332&gt;1,V332&gt;1,
L332&gt;'Group List A'!E$2,M332&gt;'Group List A'!F$2,N332&gt;'Group List A'!G$2,
R332&gt;'Group List B'!E$2,S332&gt;'Group List B'!F$2,T332&gt;'Group List B'!G$2),"Exceed",
IF(OR(H332=AB$2,I332=AC$2,J332=AD$2,
P332=1,V332=1,
L332='Group List A'!E$2,M332='Group List A'!F$2,N332='Group List A'!G$2,
R332='Group List B'!E$2,S332='Group List B'!F$2,T332='Group List B'!G$2),"Limit",0))</f>
        <v>0</v>
      </c>
      <c r="H332" s="29">
        <f t="shared" si="77"/>
        <v>0</v>
      </c>
      <c r="I332" s="29">
        <f t="shared" si="78"/>
        <v>0</v>
      </c>
      <c r="J332" s="29">
        <f t="shared" si="79"/>
        <v>0</v>
      </c>
      <c r="K332" s="32" t="str" cm="1">
        <f t="array" ref="K332">IF(AF332&lt;&gt;"",IFERROR(INDEX('Group List A'!B:B,MATCH(AI332,'Group List A'!A:A,0),0),"-"),"")</f>
        <v/>
      </c>
      <c r="L332" s="33">
        <f t="shared" si="80"/>
        <v>0</v>
      </c>
      <c r="M332" s="33">
        <f t="shared" si="81"/>
        <v>0</v>
      </c>
      <c r="N332" s="33">
        <f t="shared" si="82"/>
        <v>0</v>
      </c>
      <c r="O332" s="28"/>
      <c r="P332" s="33">
        <f t="shared" si="83"/>
        <v>0</v>
      </c>
      <c r="Q332" s="35" t="str" cm="1">
        <f t="array" ref="Q332">IF(AF332&lt;&gt;"",IFERROR(INDEX('Group List B'!B:B,MATCH(AI332,'Group List B'!A:A,0),0),"-"),"")</f>
        <v/>
      </c>
      <c r="R332" s="36">
        <f t="shared" si="84"/>
        <v>0</v>
      </c>
      <c r="S332" s="36">
        <f t="shared" si="85"/>
        <v>0</v>
      </c>
      <c r="T332" s="36">
        <f t="shared" si="86"/>
        <v>0</v>
      </c>
      <c r="U332" s="28"/>
      <c r="V332" s="37">
        <f t="shared" si="87"/>
        <v>0</v>
      </c>
      <c r="W332" s="41"/>
      <c r="X332" s="27"/>
      <c r="Y332" s="27"/>
      <c r="Z332" s="27"/>
      <c r="AA332" s="15"/>
      <c r="AB332" s="17"/>
      <c r="AC332" s="17"/>
      <c r="AD332" s="17"/>
      <c r="AE332" s="90"/>
      <c r="AF332" s="82" t="str">
        <f t="shared" si="88"/>
        <v/>
      </c>
      <c r="AG332" s="83" t="str">
        <f t="shared" si="89"/>
        <v/>
      </c>
      <c r="AH332" s="82" t="str">
        <f t="shared" si="90"/>
        <v/>
      </c>
      <c r="AI332" s="82" t="str">
        <f t="shared" si="91"/>
        <v/>
      </c>
      <c r="AJ332" s="90"/>
      <c r="AP332" s="88"/>
    </row>
    <row r="333" spans="1:42" x14ac:dyDescent="0.25">
      <c r="A333" s="2"/>
      <c r="C333" s="68" t="str" cm="1">
        <f t="array" ref="C333">IF(AF333&lt;&gt;"",
IFERROR(INDEX('LaunchPad Markbook'!A:A,MATCH(AH333,'LaunchPad Markbook'!D:D,0),0),"-"),"")</f>
        <v/>
      </c>
      <c r="D333" s="27"/>
      <c r="E333" s="27"/>
      <c r="F333" s="27"/>
      <c r="G333" s="14">
        <f>IF(OR(H333&gt;AB$2,I333&gt;AC$2,J333&gt;AD$2,
P333&gt;1,V333&gt;1,
L333&gt;'Group List A'!E$2,M333&gt;'Group List A'!F$2,N333&gt;'Group List A'!G$2,
R333&gt;'Group List B'!E$2,S333&gt;'Group List B'!F$2,T333&gt;'Group List B'!G$2),"Exceed",
IF(OR(H333=AB$2,I333=AC$2,J333=AD$2,
P333=1,V333=1,
L333='Group List A'!E$2,M333='Group List A'!F$2,N333='Group List A'!G$2,
R333='Group List B'!E$2,S333='Group List B'!F$2,T333='Group List B'!G$2),"Limit",0))</f>
        <v>0</v>
      </c>
      <c r="H333" s="29">
        <f t="shared" si="77"/>
        <v>0</v>
      </c>
      <c r="I333" s="29">
        <f t="shared" si="78"/>
        <v>0</v>
      </c>
      <c r="J333" s="29">
        <f t="shared" si="79"/>
        <v>0</v>
      </c>
      <c r="K333" s="32" t="str" cm="1">
        <f t="array" ref="K333">IF(AF333&lt;&gt;"",IFERROR(INDEX('Group List A'!B:B,MATCH(AI333,'Group List A'!A:A,0),0),"-"),"")</f>
        <v/>
      </c>
      <c r="L333" s="33">
        <f t="shared" si="80"/>
        <v>0</v>
      </c>
      <c r="M333" s="33">
        <f t="shared" si="81"/>
        <v>0</v>
      </c>
      <c r="N333" s="33">
        <f t="shared" si="82"/>
        <v>0</v>
      </c>
      <c r="O333" s="28"/>
      <c r="P333" s="33">
        <f t="shared" si="83"/>
        <v>0</v>
      </c>
      <c r="Q333" s="35" t="str" cm="1">
        <f t="array" ref="Q333">IF(AF333&lt;&gt;"",IFERROR(INDEX('Group List B'!B:B,MATCH(AI333,'Group List B'!A:A,0),0),"-"),"")</f>
        <v/>
      </c>
      <c r="R333" s="36">
        <f t="shared" si="84"/>
        <v>0</v>
      </c>
      <c r="S333" s="36">
        <f t="shared" si="85"/>
        <v>0</v>
      </c>
      <c r="T333" s="36">
        <f t="shared" si="86"/>
        <v>0</v>
      </c>
      <c r="U333" s="28"/>
      <c r="V333" s="37">
        <f t="shared" si="87"/>
        <v>0</v>
      </c>
      <c r="W333" s="41"/>
      <c r="X333" s="27"/>
      <c r="Y333" s="27"/>
      <c r="Z333" s="27"/>
      <c r="AA333" s="15"/>
      <c r="AB333" s="17"/>
      <c r="AC333" s="17"/>
      <c r="AD333" s="17"/>
      <c r="AE333" s="90"/>
      <c r="AF333" s="82" t="str">
        <f t="shared" si="88"/>
        <v/>
      </c>
      <c r="AG333" s="83" t="str">
        <f t="shared" si="89"/>
        <v/>
      </c>
      <c r="AH333" s="82" t="str">
        <f t="shared" si="90"/>
        <v/>
      </c>
      <c r="AI333" s="82" t="str">
        <f t="shared" si="91"/>
        <v/>
      </c>
      <c r="AJ333" s="90"/>
      <c r="AP333" s="88"/>
    </row>
    <row r="334" spans="1:42" x14ac:dyDescent="0.25">
      <c r="A334" s="2"/>
      <c r="C334" s="68" t="str" cm="1">
        <f t="array" ref="C334">IF(AF334&lt;&gt;"",
IFERROR(INDEX('LaunchPad Markbook'!A:A,MATCH(AH334,'LaunchPad Markbook'!D:D,0),0),"-"),"")</f>
        <v/>
      </c>
      <c r="D334" s="27"/>
      <c r="E334" s="27"/>
      <c r="F334" s="27"/>
      <c r="G334" s="14">
        <f>IF(OR(H334&gt;AB$2,I334&gt;AC$2,J334&gt;AD$2,
P334&gt;1,V334&gt;1,
L334&gt;'Group List A'!E$2,M334&gt;'Group List A'!F$2,N334&gt;'Group List A'!G$2,
R334&gt;'Group List B'!E$2,S334&gt;'Group List B'!F$2,T334&gt;'Group List B'!G$2),"Exceed",
IF(OR(H334=AB$2,I334=AC$2,J334=AD$2,
P334=1,V334=1,
L334='Group List A'!E$2,M334='Group List A'!F$2,N334='Group List A'!G$2,
R334='Group List B'!E$2,S334='Group List B'!F$2,T334='Group List B'!G$2),"Limit",0))</f>
        <v>0</v>
      </c>
      <c r="H334" s="29">
        <f t="shared" si="77"/>
        <v>0</v>
      </c>
      <c r="I334" s="29">
        <f t="shared" si="78"/>
        <v>0</v>
      </c>
      <c r="J334" s="29">
        <f t="shared" si="79"/>
        <v>0</v>
      </c>
      <c r="K334" s="32" t="str" cm="1">
        <f t="array" ref="K334">IF(AF334&lt;&gt;"",IFERROR(INDEX('Group List A'!B:B,MATCH(AI334,'Group List A'!A:A,0),0),"-"),"")</f>
        <v/>
      </c>
      <c r="L334" s="33">
        <f t="shared" si="80"/>
        <v>0</v>
      </c>
      <c r="M334" s="33">
        <f t="shared" si="81"/>
        <v>0</v>
      </c>
      <c r="N334" s="33">
        <f t="shared" si="82"/>
        <v>0</v>
      </c>
      <c r="O334" s="28"/>
      <c r="P334" s="33">
        <f t="shared" si="83"/>
        <v>0</v>
      </c>
      <c r="Q334" s="35" t="str" cm="1">
        <f t="array" ref="Q334">IF(AF334&lt;&gt;"",IFERROR(INDEX('Group List B'!B:B,MATCH(AI334,'Group List B'!A:A,0),0),"-"),"")</f>
        <v/>
      </c>
      <c r="R334" s="36">
        <f t="shared" si="84"/>
        <v>0</v>
      </c>
      <c r="S334" s="36">
        <f t="shared" si="85"/>
        <v>0</v>
      </c>
      <c r="T334" s="36">
        <f t="shared" si="86"/>
        <v>0</v>
      </c>
      <c r="U334" s="28"/>
      <c r="V334" s="37">
        <f t="shared" si="87"/>
        <v>0</v>
      </c>
      <c r="W334" s="41"/>
      <c r="X334" s="27"/>
      <c r="Y334" s="27"/>
      <c r="Z334" s="27"/>
      <c r="AA334" s="15"/>
      <c r="AB334" s="17"/>
      <c r="AC334" s="17"/>
      <c r="AD334" s="17"/>
      <c r="AE334" s="90"/>
      <c r="AF334" s="82" t="str">
        <f t="shared" si="88"/>
        <v/>
      </c>
      <c r="AG334" s="83" t="str">
        <f t="shared" si="89"/>
        <v/>
      </c>
      <c r="AH334" s="82" t="str">
        <f t="shared" si="90"/>
        <v/>
      </c>
      <c r="AI334" s="82" t="str">
        <f t="shared" si="91"/>
        <v/>
      </c>
      <c r="AJ334" s="90"/>
      <c r="AP334" s="88"/>
    </row>
    <row r="335" spans="1:42" x14ac:dyDescent="0.25">
      <c r="A335" s="2"/>
      <c r="C335" s="68" t="str" cm="1">
        <f t="array" ref="C335">IF(AF335&lt;&gt;"",
IFERROR(INDEX('LaunchPad Markbook'!A:A,MATCH(AH335,'LaunchPad Markbook'!D:D,0),0),"-"),"")</f>
        <v/>
      </c>
      <c r="D335" s="27"/>
      <c r="E335" s="27"/>
      <c r="F335" s="27"/>
      <c r="G335" s="14">
        <f>IF(OR(H335&gt;AB$2,I335&gt;AC$2,J335&gt;AD$2,
P335&gt;1,V335&gt;1,
L335&gt;'Group List A'!E$2,M335&gt;'Group List A'!F$2,N335&gt;'Group List A'!G$2,
R335&gt;'Group List B'!E$2,S335&gt;'Group List B'!F$2,T335&gt;'Group List B'!G$2),"Exceed",
IF(OR(H335=AB$2,I335=AC$2,J335=AD$2,
P335=1,V335=1,
L335='Group List A'!E$2,M335='Group List A'!F$2,N335='Group List A'!G$2,
R335='Group List B'!E$2,S335='Group List B'!F$2,T335='Group List B'!G$2),"Limit",0))</f>
        <v>0</v>
      </c>
      <c r="H335" s="29">
        <f t="shared" si="77"/>
        <v>0</v>
      </c>
      <c r="I335" s="29">
        <f t="shared" si="78"/>
        <v>0</v>
      </c>
      <c r="J335" s="29">
        <f t="shared" si="79"/>
        <v>0</v>
      </c>
      <c r="K335" s="32" t="str" cm="1">
        <f t="array" ref="K335">IF(AF335&lt;&gt;"",IFERROR(INDEX('Group List A'!B:B,MATCH(AI335,'Group List A'!A:A,0),0),"-"),"")</f>
        <v/>
      </c>
      <c r="L335" s="33">
        <f t="shared" si="80"/>
        <v>0</v>
      </c>
      <c r="M335" s="33">
        <f t="shared" si="81"/>
        <v>0</v>
      </c>
      <c r="N335" s="33">
        <f t="shared" si="82"/>
        <v>0</v>
      </c>
      <c r="O335" s="28"/>
      <c r="P335" s="33">
        <f t="shared" si="83"/>
        <v>0</v>
      </c>
      <c r="Q335" s="35" t="str" cm="1">
        <f t="array" ref="Q335">IF(AF335&lt;&gt;"",IFERROR(INDEX('Group List B'!B:B,MATCH(AI335,'Group List B'!A:A,0),0),"-"),"")</f>
        <v/>
      </c>
      <c r="R335" s="36">
        <f t="shared" si="84"/>
        <v>0</v>
      </c>
      <c r="S335" s="36">
        <f t="shared" si="85"/>
        <v>0</v>
      </c>
      <c r="T335" s="36">
        <f t="shared" si="86"/>
        <v>0</v>
      </c>
      <c r="U335" s="28"/>
      <c r="V335" s="37">
        <f t="shared" si="87"/>
        <v>0</v>
      </c>
      <c r="W335" s="41"/>
      <c r="X335" s="27"/>
      <c r="Y335" s="27"/>
      <c r="Z335" s="27"/>
      <c r="AA335" s="15"/>
      <c r="AB335" s="17"/>
      <c r="AC335" s="17"/>
      <c r="AD335" s="17"/>
      <c r="AE335" s="90"/>
      <c r="AF335" s="82" t="str">
        <f t="shared" si="88"/>
        <v/>
      </c>
      <c r="AG335" s="83" t="str">
        <f t="shared" si="89"/>
        <v/>
      </c>
      <c r="AH335" s="82" t="str">
        <f t="shared" si="90"/>
        <v/>
      </c>
      <c r="AI335" s="82" t="str">
        <f t="shared" si="91"/>
        <v/>
      </c>
      <c r="AJ335" s="90"/>
      <c r="AP335" s="88"/>
    </row>
    <row r="336" spans="1:42" x14ac:dyDescent="0.25">
      <c r="A336" s="2"/>
      <c r="C336" s="68" t="str" cm="1">
        <f t="array" ref="C336">IF(AF336&lt;&gt;"",
IFERROR(INDEX('LaunchPad Markbook'!A:A,MATCH(AH336,'LaunchPad Markbook'!D:D,0),0),"-"),"")</f>
        <v/>
      </c>
      <c r="D336" s="27"/>
      <c r="E336" s="27"/>
      <c r="F336" s="27"/>
      <c r="G336" s="14">
        <f>IF(OR(H336&gt;AB$2,I336&gt;AC$2,J336&gt;AD$2,
P336&gt;1,V336&gt;1,
L336&gt;'Group List A'!E$2,M336&gt;'Group List A'!F$2,N336&gt;'Group List A'!G$2,
R336&gt;'Group List B'!E$2,S336&gt;'Group List B'!F$2,T336&gt;'Group List B'!G$2),"Exceed",
IF(OR(H336=AB$2,I336=AC$2,J336=AD$2,
P336=1,V336=1,
L336='Group List A'!E$2,M336='Group List A'!F$2,N336='Group List A'!G$2,
R336='Group List B'!E$2,S336='Group List B'!F$2,T336='Group List B'!G$2),"Limit",0))</f>
        <v>0</v>
      </c>
      <c r="H336" s="29">
        <f t="shared" si="77"/>
        <v>0</v>
      </c>
      <c r="I336" s="29">
        <f t="shared" si="78"/>
        <v>0</v>
      </c>
      <c r="J336" s="29">
        <f t="shared" si="79"/>
        <v>0</v>
      </c>
      <c r="K336" s="32" t="str" cm="1">
        <f t="array" ref="K336">IF(AF336&lt;&gt;"",IFERROR(INDEX('Group List A'!B:B,MATCH(AI336,'Group List A'!A:A,0),0),"-"),"")</f>
        <v/>
      </c>
      <c r="L336" s="33">
        <f t="shared" si="80"/>
        <v>0</v>
      </c>
      <c r="M336" s="33">
        <f t="shared" si="81"/>
        <v>0</v>
      </c>
      <c r="N336" s="33">
        <f t="shared" si="82"/>
        <v>0</v>
      </c>
      <c r="O336" s="28"/>
      <c r="P336" s="33">
        <f t="shared" si="83"/>
        <v>0</v>
      </c>
      <c r="Q336" s="35" t="str" cm="1">
        <f t="array" ref="Q336">IF(AF336&lt;&gt;"",IFERROR(INDEX('Group List B'!B:B,MATCH(AI336,'Group List B'!A:A,0),0),"-"),"")</f>
        <v/>
      </c>
      <c r="R336" s="36">
        <f t="shared" si="84"/>
        <v>0</v>
      </c>
      <c r="S336" s="36">
        <f t="shared" si="85"/>
        <v>0</v>
      </c>
      <c r="T336" s="36">
        <f t="shared" si="86"/>
        <v>0</v>
      </c>
      <c r="U336" s="28"/>
      <c r="V336" s="37">
        <f t="shared" si="87"/>
        <v>0</v>
      </c>
      <c r="W336" s="41"/>
      <c r="X336" s="27"/>
      <c r="Y336" s="27"/>
      <c r="Z336" s="27"/>
      <c r="AA336" s="15"/>
      <c r="AB336" s="17"/>
      <c r="AC336" s="17"/>
      <c r="AD336" s="17"/>
      <c r="AE336" s="90"/>
      <c r="AF336" s="82" t="str">
        <f t="shared" si="88"/>
        <v/>
      </c>
      <c r="AG336" s="83" t="str">
        <f t="shared" si="89"/>
        <v/>
      </c>
      <c r="AH336" s="82" t="str">
        <f t="shared" si="90"/>
        <v/>
      </c>
      <c r="AI336" s="82" t="str">
        <f t="shared" si="91"/>
        <v/>
      </c>
      <c r="AJ336" s="90"/>
      <c r="AP336" s="88"/>
    </row>
    <row r="337" spans="1:42" x14ac:dyDescent="0.25">
      <c r="A337" s="2"/>
      <c r="C337" s="68" t="str" cm="1">
        <f t="array" ref="C337">IF(AF337&lt;&gt;"",
IFERROR(INDEX('LaunchPad Markbook'!A:A,MATCH(AH337,'LaunchPad Markbook'!D:D,0),0),"-"),"")</f>
        <v/>
      </c>
      <c r="D337" s="27"/>
      <c r="E337" s="27"/>
      <c r="F337" s="27"/>
      <c r="G337" s="14">
        <f>IF(OR(H337&gt;AB$2,I337&gt;AC$2,J337&gt;AD$2,
P337&gt;1,V337&gt;1,
L337&gt;'Group List A'!E$2,M337&gt;'Group List A'!F$2,N337&gt;'Group List A'!G$2,
R337&gt;'Group List B'!E$2,S337&gt;'Group List B'!F$2,T337&gt;'Group List B'!G$2),"Exceed",
IF(OR(H337=AB$2,I337=AC$2,J337=AD$2,
P337=1,V337=1,
L337='Group List A'!E$2,M337='Group List A'!F$2,N337='Group List A'!G$2,
R337='Group List B'!E$2,S337='Group List B'!F$2,T337='Group List B'!G$2),"Limit",0))</f>
        <v>0</v>
      </c>
      <c r="H337" s="29">
        <f t="shared" si="77"/>
        <v>0</v>
      </c>
      <c r="I337" s="29">
        <f t="shared" si="78"/>
        <v>0</v>
      </c>
      <c r="J337" s="29">
        <f t="shared" si="79"/>
        <v>0</v>
      </c>
      <c r="K337" s="32" t="str" cm="1">
        <f t="array" ref="K337">IF(AF337&lt;&gt;"",IFERROR(INDEX('Group List A'!B:B,MATCH(AI337,'Group List A'!A:A,0),0),"-"),"")</f>
        <v/>
      </c>
      <c r="L337" s="33">
        <f t="shared" si="80"/>
        <v>0</v>
      </c>
      <c r="M337" s="33">
        <f t="shared" si="81"/>
        <v>0</v>
      </c>
      <c r="N337" s="33">
        <f t="shared" si="82"/>
        <v>0</v>
      </c>
      <c r="O337" s="28"/>
      <c r="P337" s="33">
        <f t="shared" si="83"/>
        <v>0</v>
      </c>
      <c r="Q337" s="35" t="str" cm="1">
        <f t="array" ref="Q337">IF(AF337&lt;&gt;"",IFERROR(INDEX('Group List B'!B:B,MATCH(AI337,'Group List B'!A:A,0),0),"-"),"")</f>
        <v/>
      </c>
      <c r="R337" s="36">
        <f t="shared" si="84"/>
        <v>0</v>
      </c>
      <c r="S337" s="36">
        <f t="shared" si="85"/>
        <v>0</v>
      </c>
      <c r="T337" s="36">
        <f t="shared" si="86"/>
        <v>0</v>
      </c>
      <c r="U337" s="28"/>
      <c r="V337" s="37">
        <f t="shared" si="87"/>
        <v>0</v>
      </c>
      <c r="W337" s="41"/>
      <c r="X337" s="27"/>
      <c r="Y337" s="27"/>
      <c r="Z337" s="27"/>
      <c r="AA337" s="15"/>
      <c r="AB337" s="17"/>
      <c r="AC337" s="17"/>
      <c r="AD337" s="17"/>
      <c r="AE337" s="90"/>
      <c r="AF337" s="82" t="str">
        <f t="shared" si="88"/>
        <v/>
      </c>
      <c r="AG337" s="83" t="str">
        <f t="shared" si="89"/>
        <v/>
      </c>
      <c r="AH337" s="82" t="str">
        <f t="shared" si="90"/>
        <v/>
      </c>
      <c r="AI337" s="82" t="str">
        <f t="shared" si="91"/>
        <v/>
      </c>
      <c r="AJ337" s="90"/>
      <c r="AP337" s="88"/>
    </row>
    <row r="338" spans="1:42" x14ac:dyDescent="0.25">
      <c r="A338" s="2"/>
      <c r="C338" s="68" t="str" cm="1">
        <f t="array" ref="C338">IF(AF338&lt;&gt;"",
IFERROR(INDEX('LaunchPad Markbook'!A:A,MATCH(AH338,'LaunchPad Markbook'!D:D,0),0),"-"),"")</f>
        <v/>
      </c>
      <c r="D338" s="27"/>
      <c r="E338" s="27"/>
      <c r="F338" s="27"/>
      <c r="G338" s="14">
        <f>IF(OR(H338&gt;AB$2,I338&gt;AC$2,J338&gt;AD$2,
P338&gt;1,V338&gt;1,
L338&gt;'Group List A'!E$2,M338&gt;'Group List A'!F$2,N338&gt;'Group List A'!G$2,
R338&gt;'Group List B'!E$2,S338&gt;'Group List B'!F$2,T338&gt;'Group List B'!G$2),"Exceed",
IF(OR(H338=AB$2,I338=AC$2,J338=AD$2,
P338=1,V338=1,
L338='Group List A'!E$2,M338='Group List A'!F$2,N338='Group List A'!G$2,
R338='Group List B'!E$2,S338='Group List B'!F$2,T338='Group List B'!G$2),"Limit",0))</f>
        <v>0</v>
      </c>
      <c r="H338" s="29">
        <f t="shared" si="77"/>
        <v>0</v>
      </c>
      <c r="I338" s="29">
        <f t="shared" si="78"/>
        <v>0</v>
      </c>
      <c r="J338" s="29">
        <f t="shared" si="79"/>
        <v>0</v>
      </c>
      <c r="K338" s="32" t="str" cm="1">
        <f t="array" ref="K338">IF(AF338&lt;&gt;"",IFERROR(INDEX('Group List A'!B:B,MATCH(AI338,'Group List A'!A:A,0),0),"-"),"")</f>
        <v/>
      </c>
      <c r="L338" s="33">
        <f t="shared" si="80"/>
        <v>0</v>
      </c>
      <c r="M338" s="33">
        <f t="shared" si="81"/>
        <v>0</v>
      </c>
      <c r="N338" s="33">
        <f t="shared" si="82"/>
        <v>0</v>
      </c>
      <c r="O338" s="28"/>
      <c r="P338" s="33">
        <f t="shared" si="83"/>
        <v>0</v>
      </c>
      <c r="Q338" s="35" t="str" cm="1">
        <f t="array" ref="Q338">IF(AF338&lt;&gt;"",IFERROR(INDEX('Group List B'!B:B,MATCH(AI338,'Group List B'!A:A,0),0),"-"),"")</f>
        <v/>
      </c>
      <c r="R338" s="36">
        <f t="shared" si="84"/>
        <v>0</v>
      </c>
      <c r="S338" s="36">
        <f t="shared" si="85"/>
        <v>0</v>
      </c>
      <c r="T338" s="36">
        <f t="shared" si="86"/>
        <v>0</v>
      </c>
      <c r="U338" s="28"/>
      <c r="V338" s="37">
        <f t="shared" si="87"/>
        <v>0</v>
      </c>
      <c r="W338" s="41"/>
      <c r="X338" s="27"/>
      <c r="Y338" s="27"/>
      <c r="Z338" s="27"/>
      <c r="AA338" s="15"/>
      <c r="AB338" s="17"/>
      <c r="AC338" s="17"/>
      <c r="AD338" s="17"/>
      <c r="AE338" s="90"/>
      <c r="AF338" s="82" t="str">
        <f t="shared" si="88"/>
        <v/>
      </c>
      <c r="AG338" s="83" t="str">
        <f t="shared" si="89"/>
        <v/>
      </c>
      <c r="AH338" s="82" t="str">
        <f t="shared" si="90"/>
        <v/>
      </c>
      <c r="AI338" s="82" t="str">
        <f t="shared" si="91"/>
        <v/>
      </c>
      <c r="AJ338" s="90"/>
      <c r="AP338" s="88"/>
    </row>
    <row r="339" spans="1:42" x14ac:dyDescent="0.25">
      <c r="A339" s="2"/>
      <c r="C339" s="68" t="str" cm="1">
        <f t="array" ref="C339">IF(AF339&lt;&gt;"",
IFERROR(INDEX('LaunchPad Markbook'!A:A,MATCH(AH339,'LaunchPad Markbook'!D:D,0),0),"-"),"")</f>
        <v/>
      </c>
      <c r="D339" s="27"/>
      <c r="E339" s="27"/>
      <c r="F339" s="27"/>
      <c r="G339" s="14">
        <f>IF(OR(H339&gt;AB$2,I339&gt;AC$2,J339&gt;AD$2,
P339&gt;1,V339&gt;1,
L339&gt;'Group List A'!E$2,M339&gt;'Group List A'!F$2,N339&gt;'Group List A'!G$2,
R339&gt;'Group List B'!E$2,S339&gt;'Group List B'!F$2,T339&gt;'Group List B'!G$2),"Exceed",
IF(OR(H339=AB$2,I339=AC$2,J339=AD$2,
P339=1,V339=1,
L339='Group List A'!E$2,M339='Group List A'!F$2,N339='Group List A'!G$2,
R339='Group List B'!E$2,S339='Group List B'!F$2,T339='Group List B'!G$2),"Limit",0))</f>
        <v>0</v>
      </c>
      <c r="H339" s="29">
        <f t="shared" si="77"/>
        <v>0</v>
      </c>
      <c r="I339" s="29">
        <f t="shared" si="78"/>
        <v>0</v>
      </c>
      <c r="J339" s="29">
        <f t="shared" si="79"/>
        <v>0</v>
      </c>
      <c r="K339" s="32" t="str" cm="1">
        <f t="array" ref="K339">IF(AF339&lt;&gt;"",IFERROR(INDEX('Group List A'!B:B,MATCH(AI339,'Group List A'!A:A,0),0),"-"),"")</f>
        <v/>
      </c>
      <c r="L339" s="33">
        <f t="shared" si="80"/>
        <v>0</v>
      </c>
      <c r="M339" s="33">
        <f t="shared" si="81"/>
        <v>0</v>
      </c>
      <c r="N339" s="33">
        <f t="shared" si="82"/>
        <v>0</v>
      </c>
      <c r="O339" s="28"/>
      <c r="P339" s="33">
        <f t="shared" si="83"/>
        <v>0</v>
      </c>
      <c r="Q339" s="35" t="str" cm="1">
        <f t="array" ref="Q339">IF(AF339&lt;&gt;"",IFERROR(INDEX('Group List B'!B:B,MATCH(AI339,'Group List B'!A:A,0),0),"-"),"")</f>
        <v/>
      </c>
      <c r="R339" s="36">
        <f t="shared" si="84"/>
        <v>0</v>
      </c>
      <c r="S339" s="36">
        <f t="shared" si="85"/>
        <v>0</v>
      </c>
      <c r="T339" s="36">
        <f t="shared" si="86"/>
        <v>0</v>
      </c>
      <c r="U339" s="28"/>
      <c r="V339" s="37">
        <f t="shared" si="87"/>
        <v>0</v>
      </c>
      <c r="W339" s="41"/>
      <c r="X339" s="27"/>
      <c r="Y339" s="27"/>
      <c r="Z339" s="27"/>
      <c r="AA339" s="15"/>
      <c r="AB339" s="17"/>
      <c r="AC339" s="17"/>
      <c r="AD339" s="17"/>
      <c r="AE339" s="90"/>
      <c r="AF339" s="82" t="str">
        <f t="shared" si="88"/>
        <v/>
      </c>
      <c r="AG339" s="83" t="str">
        <f t="shared" si="89"/>
        <v/>
      </c>
      <c r="AH339" s="82" t="str">
        <f t="shared" si="90"/>
        <v/>
      </c>
      <c r="AI339" s="82" t="str">
        <f t="shared" si="91"/>
        <v/>
      </c>
      <c r="AJ339" s="90"/>
      <c r="AP339" s="88"/>
    </row>
    <row r="340" spans="1:42" x14ac:dyDescent="0.25">
      <c r="A340" s="2"/>
      <c r="C340" s="68" t="str" cm="1">
        <f t="array" ref="C340">IF(AF340&lt;&gt;"",
IFERROR(INDEX('LaunchPad Markbook'!A:A,MATCH(AH340,'LaunchPad Markbook'!D:D,0),0),"-"),"")</f>
        <v/>
      </c>
      <c r="D340" s="27"/>
      <c r="E340" s="27"/>
      <c r="F340" s="27"/>
      <c r="G340" s="14">
        <f>IF(OR(H340&gt;AB$2,I340&gt;AC$2,J340&gt;AD$2,
P340&gt;1,V340&gt;1,
L340&gt;'Group List A'!E$2,M340&gt;'Group List A'!F$2,N340&gt;'Group List A'!G$2,
R340&gt;'Group List B'!E$2,S340&gt;'Group List B'!F$2,T340&gt;'Group List B'!G$2),"Exceed",
IF(OR(H340=AB$2,I340=AC$2,J340=AD$2,
P340=1,V340=1,
L340='Group List A'!E$2,M340='Group List A'!F$2,N340='Group List A'!G$2,
R340='Group List B'!E$2,S340='Group List B'!F$2,T340='Group List B'!G$2),"Limit",0))</f>
        <v>0</v>
      </c>
      <c r="H340" s="29">
        <f t="shared" si="77"/>
        <v>0</v>
      </c>
      <c r="I340" s="29">
        <f t="shared" si="78"/>
        <v>0</v>
      </c>
      <c r="J340" s="29">
        <f t="shared" si="79"/>
        <v>0</v>
      </c>
      <c r="K340" s="32" t="str" cm="1">
        <f t="array" ref="K340">IF(AF340&lt;&gt;"",IFERROR(INDEX('Group List A'!B:B,MATCH(AI340,'Group List A'!A:A,0),0),"-"),"")</f>
        <v/>
      </c>
      <c r="L340" s="33">
        <f t="shared" si="80"/>
        <v>0</v>
      </c>
      <c r="M340" s="33">
        <f t="shared" si="81"/>
        <v>0</v>
      </c>
      <c r="N340" s="33">
        <f t="shared" si="82"/>
        <v>0</v>
      </c>
      <c r="O340" s="28"/>
      <c r="P340" s="33">
        <f t="shared" si="83"/>
        <v>0</v>
      </c>
      <c r="Q340" s="35" t="str" cm="1">
        <f t="array" ref="Q340">IF(AF340&lt;&gt;"",IFERROR(INDEX('Group List B'!B:B,MATCH(AI340,'Group List B'!A:A,0),0),"-"),"")</f>
        <v/>
      </c>
      <c r="R340" s="36">
        <f t="shared" si="84"/>
        <v>0</v>
      </c>
      <c r="S340" s="36">
        <f t="shared" si="85"/>
        <v>0</v>
      </c>
      <c r="T340" s="36">
        <f t="shared" si="86"/>
        <v>0</v>
      </c>
      <c r="U340" s="28"/>
      <c r="V340" s="37">
        <f t="shared" si="87"/>
        <v>0</v>
      </c>
      <c r="W340" s="41"/>
      <c r="X340" s="27"/>
      <c r="Y340" s="27"/>
      <c r="Z340" s="27"/>
      <c r="AA340" s="15"/>
      <c r="AB340" s="17"/>
      <c r="AC340" s="17"/>
      <c r="AD340" s="17"/>
      <c r="AE340" s="90"/>
      <c r="AF340" s="82" t="str">
        <f t="shared" si="88"/>
        <v/>
      </c>
      <c r="AG340" s="83" t="str">
        <f t="shared" si="89"/>
        <v/>
      </c>
      <c r="AH340" s="82" t="str">
        <f t="shared" si="90"/>
        <v/>
      </c>
      <c r="AI340" s="82" t="str">
        <f t="shared" si="91"/>
        <v/>
      </c>
      <c r="AJ340" s="90"/>
      <c r="AP340" s="88"/>
    </row>
    <row r="341" spans="1:42" x14ac:dyDescent="0.25">
      <c r="A341" s="2"/>
      <c r="C341" s="68" t="str" cm="1">
        <f t="array" ref="C341">IF(AF341&lt;&gt;"",
IFERROR(INDEX('LaunchPad Markbook'!A:A,MATCH(AH341,'LaunchPad Markbook'!D:D,0),0),"-"),"")</f>
        <v/>
      </c>
      <c r="D341" s="27"/>
      <c r="E341" s="27"/>
      <c r="F341" s="27"/>
      <c r="G341" s="14">
        <f>IF(OR(H341&gt;AB$2,I341&gt;AC$2,J341&gt;AD$2,
P341&gt;1,V341&gt;1,
L341&gt;'Group List A'!E$2,M341&gt;'Group List A'!F$2,N341&gt;'Group List A'!G$2,
R341&gt;'Group List B'!E$2,S341&gt;'Group List B'!F$2,T341&gt;'Group List B'!G$2),"Exceed",
IF(OR(H341=AB$2,I341=AC$2,J341=AD$2,
P341=1,V341=1,
L341='Group List A'!E$2,M341='Group List A'!F$2,N341='Group List A'!G$2,
R341='Group List B'!E$2,S341='Group List B'!F$2,T341='Group List B'!G$2),"Limit",0))</f>
        <v>0</v>
      </c>
      <c r="H341" s="29">
        <f t="shared" si="77"/>
        <v>0</v>
      </c>
      <c r="I341" s="29">
        <f t="shared" si="78"/>
        <v>0</v>
      </c>
      <c r="J341" s="29">
        <f t="shared" si="79"/>
        <v>0</v>
      </c>
      <c r="K341" s="32" t="str" cm="1">
        <f t="array" ref="K341">IF(AF341&lt;&gt;"",IFERROR(INDEX('Group List A'!B:B,MATCH(AI341,'Group List A'!A:A,0),0),"-"),"")</f>
        <v/>
      </c>
      <c r="L341" s="33">
        <f t="shared" si="80"/>
        <v>0</v>
      </c>
      <c r="M341" s="33">
        <f t="shared" si="81"/>
        <v>0</v>
      </c>
      <c r="N341" s="33">
        <f t="shared" si="82"/>
        <v>0</v>
      </c>
      <c r="O341" s="28"/>
      <c r="P341" s="33">
        <f t="shared" si="83"/>
        <v>0</v>
      </c>
      <c r="Q341" s="35" t="str" cm="1">
        <f t="array" ref="Q341">IF(AF341&lt;&gt;"",IFERROR(INDEX('Group List B'!B:B,MATCH(AI341,'Group List B'!A:A,0),0),"-"),"")</f>
        <v/>
      </c>
      <c r="R341" s="36">
        <f t="shared" si="84"/>
        <v>0</v>
      </c>
      <c r="S341" s="36">
        <f t="shared" si="85"/>
        <v>0</v>
      </c>
      <c r="T341" s="36">
        <f t="shared" si="86"/>
        <v>0</v>
      </c>
      <c r="U341" s="28"/>
      <c r="V341" s="37">
        <f t="shared" si="87"/>
        <v>0</v>
      </c>
      <c r="W341" s="41"/>
      <c r="X341" s="27"/>
      <c r="Y341" s="27"/>
      <c r="Z341" s="27"/>
      <c r="AA341" s="15"/>
      <c r="AB341" s="17"/>
      <c r="AC341" s="17"/>
      <c r="AD341" s="17"/>
      <c r="AE341" s="90"/>
      <c r="AF341" s="82" t="str">
        <f t="shared" si="88"/>
        <v/>
      </c>
      <c r="AG341" s="83" t="str">
        <f t="shared" si="89"/>
        <v/>
      </c>
      <c r="AH341" s="82" t="str">
        <f t="shared" si="90"/>
        <v/>
      </c>
      <c r="AI341" s="82" t="str">
        <f t="shared" si="91"/>
        <v/>
      </c>
      <c r="AJ341" s="90"/>
      <c r="AP341" s="88"/>
    </row>
    <row r="342" spans="1:42" x14ac:dyDescent="0.25">
      <c r="A342" s="2"/>
      <c r="C342" s="68" t="str" cm="1">
        <f t="array" ref="C342">IF(AF342&lt;&gt;"",
IFERROR(INDEX('LaunchPad Markbook'!A:A,MATCH(AH342,'LaunchPad Markbook'!D:D,0),0),"-"),"")</f>
        <v/>
      </c>
      <c r="D342" s="27"/>
      <c r="E342" s="27"/>
      <c r="F342" s="27"/>
      <c r="G342" s="14">
        <f>IF(OR(H342&gt;AB$2,I342&gt;AC$2,J342&gt;AD$2,
P342&gt;1,V342&gt;1,
L342&gt;'Group List A'!E$2,M342&gt;'Group List A'!F$2,N342&gt;'Group List A'!G$2,
R342&gt;'Group List B'!E$2,S342&gt;'Group List B'!F$2,T342&gt;'Group List B'!G$2),"Exceed",
IF(OR(H342=AB$2,I342=AC$2,J342=AD$2,
P342=1,V342=1,
L342='Group List A'!E$2,M342='Group List A'!F$2,N342='Group List A'!G$2,
R342='Group List B'!E$2,S342='Group List B'!F$2,T342='Group List B'!G$2),"Limit",0))</f>
        <v>0</v>
      </c>
      <c r="H342" s="29">
        <f t="shared" si="77"/>
        <v>0</v>
      </c>
      <c r="I342" s="29">
        <f t="shared" si="78"/>
        <v>0</v>
      </c>
      <c r="J342" s="29">
        <f t="shared" si="79"/>
        <v>0</v>
      </c>
      <c r="K342" s="32" t="str" cm="1">
        <f t="array" ref="K342">IF(AF342&lt;&gt;"",IFERROR(INDEX('Group List A'!B:B,MATCH(AI342,'Group List A'!A:A,0),0),"-"),"")</f>
        <v/>
      </c>
      <c r="L342" s="33">
        <f t="shared" si="80"/>
        <v>0</v>
      </c>
      <c r="M342" s="33">
        <f t="shared" si="81"/>
        <v>0</v>
      </c>
      <c r="N342" s="33">
        <f t="shared" si="82"/>
        <v>0</v>
      </c>
      <c r="O342" s="28"/>
      <c r="P342" s="33">
        <f t="shared" si="83"/>
        <v>0</v>
      </c>
      <c r="Q342" s="35" t="str" cm="1">
        <f t="array" ref="Q342">IF(AF342&lt;&gt;"",IFERROR(INDEX('Group List B'!B:B,MATCH(AI342,'Group List B'!A:A,0),0),"-"),"")</f>
        <v/>
      </c>
      <c r="R342" s="36">
        <f t="shared" si="84"/>
        <v>0</v>
      </c>
      <c r="S342" s="36">
        <f t="shared" si="85"/>
        <v>0</v>
      </c>
      <c r="T342" s="36">
        <f t="shared" si="86"/>
        <v>0</v>
      </c>
      <c r="U342" s="28"/>
      <c r="V342" s="37">
        <f t="shared" si="87"/>
        <v>0</v>
      </c>
      <c r="W342" s="41"/>
      <c r="X342" s="27"/>
      <c r="Y342" s="27"/>
      <c r="Z342" s="27"/>
      <c r="AA342" s="15"/>
      <c r="AB342" s="17"/>
      <c r="AC342" s="17"/>
      <c r="AD342" s="17"/>
      <c r="AE342" s="90"/>
      <c r="AF342" s="82" t="str">
        <f t="shared" si="88"/>
        <v/>
      </c>
      <c r="AG342" s="83" t="str">
        <f t="shared" si="89"/>
        <v/>
      </c>
      <c r="AH342" s="82" t="str">
        <f t="shared" si="90"/>
        <v/>
      </c>
      <c r="AI342" s="82" t="str">
        <f t="shared" si="91"/>
        <v/>
      </c>
      <c r="AJ342" s="90"/>
      <c r="AP342" s="88"/>
    </row>
    <row r="343" spans="1:42" x14ac:dyDescent="0.25">
      <c r="A343" s="2"/>
      <c r="C343" s="68" t="str" cm="1">
        <f t="array" ref="C343">IF(AF343&lt;&gt;"",
IFERROR(INDEX('LaunchPad Markbook'!A:A,MATCH(AH343,'LaunchPad Markbook'!D:D,0),0),"-"),"")</f>
        <v/>
      </c>
      <c r="D343" s="27"/>
      <c r="E343" s="27"/>
      <c r="F343" s="27"/>
      <c r="G343" s="14">
        <f>IF(OR(H343&gt;AB$2,I343&gt;AC$2,J343&gt;AD$2,
P343&gt;1,V343&gt;1,
L343&gt;'Group List A'!E$2,M343&gt;'Group List A'!F$2,N343&gt;'Group List A'!G$2,
R343&gt;'Group List B'!E$2,S343&gt;'Group List B'!F$2,T343&gt;'Group List B'!G$2),"Exceed",
IF(OR(H343=AB$2,I343=AC$2,J343=AD$2,
P343=1,V343=1,
L343='Group List A'!E$2,M343='Group List A'!F$2,N343='Group List A'!G$2,
R343='Group List B'!E$2,S343='Group List B'!F$2,T343='Group List B'!G$2),"Limit",0))</f>
        <v>0</v>
      </c>
      <c r="H343" s="29">
        <f t="shared" si="77"/>
        <v>0</v>
      </c>
      <c r="I343" s="29">
        <f t="shared" si="78"/>
        <v>0</v>
      </c>
      <c r="J343" s="29">
        <f t="shared" si="79"/>
        <v>0</v>
      </c>
      <c r="K343" s="32" t="str" cm="1">
        <f t="array" ref="K343">IF(AF343&lt;&gt;"",IFERROR(INDEX('Group List A'!B:B,MATCH(AI343,'Group List A'!A:A,0),0),"-"),"")</f>
        <v/>
      </c>
      <c r="L343" s="33">
        <f t="shared" si="80"/>
        <v>0</v>
      </c>
      <c r="M343" s="33">
        <f t="shared" si="81"/>
        <v>0</v>
      </c>
      <c r="N343" s="33">
        <f t="shared" si="82"/>
        <v>0</v>
      </c>
      <c r="O343" s="28"/>
      <c r="P343" s="33">
        <f t="shared" si="83"/>
        <v>0</v>
      </c>
      <c r="Q343" s="35" t="str" cm="1">
        <f t="array" ref="Q343">IF(AF343&lt;&gt;"",IFERROR(INDEX('Group List B'!B:B,MATCH(AI343,'Group List B'!A:A,0),0),"-"),"")</f>
        <v/>
      </c>
      <c r="R343" s="36">
        <f t="shared" si="84"/>
        <v>0</v>
      </c>
      <c r="S343" s="36">
        <f t="shared" si="85"/>
        <v>0</v>
      </c>
      <c r="T343" s="36">
        <f t="shared" si="86"/>
        <v>0</v>
      </c>
      <c r="U343" s="28"/>
      <c r="V343" s="37">
        <f t="shared" si="87"/>
        <v>0</v>
      </c>
      <c r="W343" s="41"/>
      <c r="X343" s="27"/>
      <c r="Y343" s="27"/>
      <c r="Z343" s="27"/>
      <c r="AA343" s="15"/>
      <c r="AB343" s="17"/>
      <c r="AC343" s="17"/>
      <c r="AD343" s="17"/>
      <c r="AE343" s="90"/>
      <c r="AF343" s="82" t="str">
        <f t="shared" si="88"/>
        <v/>
      </c>
      <c r="AG343" s="83" t="str">
        <f t="shared" si="89"/>
        <v/>
      </c>
      <c r="AH343" s="82" t="str">
        <f t="shared" si="90"/>
        <v/>
      </c>
      <c r="AI343" s="82" t="str">
        <f t="shared" si="91"/>
        <v/>
      </c>
      <c r="AJ343" s="90"/>
      <c r="AP343" s="88"/>
    </row>
    <row r="344" spans="1:42" x14ac:dyDescent="0.25">
      <c r="A344" s="2"/>
      <c r="C344" s="68" t="str" cm="1">
        <f t="array" ref="C344">IF(AF344&lt;&gt;"",
IFERROR(INDEX('LaunchPad Markbook'!A:A,MATCH(AH344,'LaunchPad Markbook'!D:D,0),0),"-"),"")</f>
        <v/>
      </c>
      <c r="D344" s="27"/>
      <c r="E344" s="27"/>
      <c r="F344" s="27"/>
      <c r="G344" s="14">
        <f>IF(OR(H344&gt;AB$2,I344&gt;AC$2,J344&gt;AD$2,
P344&gt;1,V344&gt;1,
L344&gt;'Group List A'!E$2,M344&gt;'Group List A'!F$2,N344&gt;'Group List A'!G$2,
R344&gt;'Group List B'!E$2,S344&gt;'Group List B'!F$2,T344&gt;'Group List B'!G$2),"Exceed",
IF(OR(H344=AB$2,I344=AC$2,J344=AD$2,
P344=1,V344=1,
L344='Group List A'!E$2,M344='Group List A'!F$2,N344='Group List A'!G$2,
R344='Group List B'!E$2,S344='Group List B'!F$2,T344='Group List B'!G$2),"Limit",0))</f>
        <v>0</v>
      </c>
      <c r="H344" s="29">
        <f t="shared" si="77"/>
        <v>0</v>
      </c>
      <c r="I344" s="29">
        <f t="shared" si="78"/>
        <v>0</v>
      </c>
      <c r="J344" s="29">
        <f t="shared" si="79"/>
        <v>0</v>
      </c>
      <c r="K344" s="32" t="str" cm="1">
        <f t="array" ref="K344">IF(AF344&lt;&gt;"",IFERROR(INDEX('Group List A'!B:B,MATCH(AI344,'Group List A'!A:A,0),0),"-"),"")</f>
        <v/>
      </c>
      <c r="L344" s="33">
        <f t="shared" si="80"/>
        <v>0</v>
      </c>
      <c r="M344" s="33">
        <f t="shared" si="81"/>
        <v>0</v>
      </c>
      <c r="N344" s="33">
        <f t="shared" si="82"/>
        <v>0</v>
      </c>
      <c r="O344" s="28"/>
      <c r="P344" s="33">
        <f t="shared" si="83"/>
        <v>0</v>
      </c>
      <c r="Q344" s="35" t="str" cm="1">
        <f t="array" ref="Q344">IF(AF344&lt;&gt;"",IFERROR(INDEX('Group List B'!B:B,MATCH(AI344,'Group List B'!A:A,0),0),"-"),"")</f>
        <v/>
      </c>
      <c r="R344" s="36">
        <f t="shared" si="84"/>
        <v>0</v>
      </c>
      <c r="S344" s="36">
        <f t="shared" si="85"/>
        <v>0</v>
      </c>
      <c r="T344" s="36">
        <f t="shared" si="86"/>
        <v>0</v>
      </c>
      <c r="U344" s="28"/>
      <c r="V344" s="37">
        <f t="shared" si="87"/>
        <v>0</v>
      </c>
      <c r="W344" s="41"/>
      <c r="X344" s="27"/>
      <c r="Y344" s="27"/>
      <c r="Z344" s="27"/>
      <c r="AA344" s="15"/>
      <c r="AB344" s="17"/>
      <c r="AC344" s="17"/>
      <c r="AD344" s="17"/>
      <c r="AE344" s="90"/>
      <c r="AF344" s="82" t="str">
        <f t="shared" si="88"/>
        <v/>
      </c>
      <c r="AG344" s="83" t="str">
        <f t="shared" si="89"/>
        <v/>
      </c>
      <c r="AH344" s="82" t="str">
        <f t="shared" si="90"/>
        <v/>
      </c>
      <c r="AI344" s="82" t="str">
        <f t="shared" si="91"/>
        <v/>
      </c>
      <c r="AJ344" s="90"/>
      <c r="AP344" s="88"/>
    </row>
    <row r="345" spans="1:42" x14ac:dyDescent="0.25">
      <c r="A345" s="2"/>
      <c r="C345" s="68" t="str" cm="1">
        <f t="array" ref="C345">IF(AF345&lt;&gt;"",
IFERROR(INDEX('LaunchPad Markbook'!A:A,MATCH(AH345,'LaunchPad Markbook'!D:D,0),0),"-"),"")</f>
        <v/>
      </c>
      <c r="D345" s="27"/>
      <c r="E345" s="27"/>
      <c r="F345" s="27"/>
      <c r="G345" s="14">
        <f>IF(OR(H345&gt;AB$2,I345&gt;AC$2,J345&gt;AD$2,
P345&gt;1,V345&gt;1,
L345&gt;'Group List A'!E$2,M345&gt;'Group List A'!F$2,N345&gt;'Group List A'!G$2,
R345&gt;'Group List B'!E$2,S345&gt;'Group List B'!F$2,T345&gt;'Group List B'!G$2),"Exceed",
IF(OR(H345=AB$2,I345=AC$2,J345=AD$2,
P345=1,V345=1,
L345='Group List A'!E$2,M345='Group List A'!F$2,N345='Group List A'!G$2,
R345='Group List B'!E$2,S345='Group List B'!F$2,T345='Group List B'!G$2),"Limit",0))</f>
        <v>0</v>
      </c>
      <c r="H345" s="29">
        <f t="shared" si="77"/>
        <v>0</v>
      </c>
      <c r="I345" s="29">
        <f t="shared" si="78"/>
        <v>0</v>
      </c>
      <c r="J345" s="29">
        <f t="shared" si="79"/>
        <v>0</v>
      </c>
      <c r="K345" s="32" t="str" cm="1">
        <f t="array" ref="K345">IF(AF345&lt;&gt;"",IFERROR(INDEX('Group List A'!B:B,MATCH(AI345,'Group List A'!A:A,0),0),"-"),"")</f>
        <v/>
      </c>
      <c r="L345" s="33">
        <f t="shared" si="80"/>
        <v>0</v>
      </c>
      <c r="M345" s="33">
        <f t="shared" si="81"/>
        <v>0</v>
      </c>
      <c r="N345" s="33">
        <f t="shared" si="82"/>
        <v>0</v>
      </c>
      <c r="O345" s="28"/>
      <c r="P345" s="33">
        <f t="shared" si="83"/>
        <v>0</v>
      </c>
      <c r="Q345" s="35" t="str" cm="1">
        <f t="array" ref="Q345">IF(AF345&lt;&gt;"",IFERROR(INDEX('Group List B'!B:B,MATCH(AI345,'Group List B'!A:A,0),0),"-"),"")</f>
        <v/>
      </c>
      <c r="R345" s="36">
        <f t="shared" si="84"/>
        <v>0</v>
      </c>
      <c r="S345" s="36">
        <f t="shared" si="85"/>
        <v>0</v>
      </c>
      <c r="T345" s="36">
        <f t="shared" si="86"/>
        <v>0</v>
      </c>
      <c r="U345" s="28"/>
      <c r="V345" s="37">
        <f t="shared" si="87"/>
        <v>0</v>
      </c>
      <c r="W345" s="41"/>
      <c r="X345" s="27"/>
      <c r="Y345" s="27"/>
      <c r="Z345" s="27"/>
      <c r="AA345" s="15"/>
      <c r="AB345" s="17"/>
      <c r="AC345" s="17"/>
      <c r="AD345" s="17"/>
      <c r="AE345" s="90"/>
      <c r="AF345" s="82" t="str">
        <f t="shared" si="88"/>
        <v/>
      </c>
      <c r="AG345" s="83" t="str">
        <f t="shared" si="89"/>
        <v/>
      </c>
      <c r="AH345" s="82" t="str">
        <f t="shared" si="90"/>
        <v/>
      </c>
      <c r="AI345" s="82" t="str">
        <f t="shared" si="91"/>
        <v/>
      </c>
      <c r="AJ345" s="90"/>
      <c r="AP345" s="88"/>
    </row>
    <row r="346" spans="1:42" x14ac:dyDescent="0.25">
      <c r="A346" s="2"/>
      <c r="C346" s="68" t="str" cm="1">
        <f t="array" ref="C346">IF(AF346&lt;&gt;"",
IFERROR(INDEX('LaunchPad Markbook'!A:A,MATCH(AH346,'LaunchPad Markbook'!D:D,0),0),"-"),"")</f>
        <v/>
      </c>
      <c r="D346" s="27"/>
      <c r="E346" s="27"/>
      <c r="F346" s="27"/>
      <c r="G346" s="14">
        <f>IF(OR(H346&gt;AB$2,I346&gt;AC$2,J346&gt;AD$2,
P346&gt;1,V346&gt;1,
L346&gt;'Group List A'!E$2,M346&gt;'Group List A'!F$2,N346&gt;'Group List A'!G$2,
R346&gt;'Group List B'!E$2,S346&gt;'Group List B'!F$2,T346&gt;'Group List B'!G$2),"Exceed",
IF(OR(H346=AB$2,I346=AC$2,J346=AD$2,
P346=1,V346=1,
L346='Group List A'!E$2,M346='Group List A'!F$2,N346='Group List A'!G$2,
R346='Group List B'!E$2,S346='Group List B'!F$2,T346='Group List B'!G$2),"Limit",0))</f>
        <v>0</v>
      </c>
      <c r="H346" s="29">
        <f t="shared" si="77"/>
        <v>0</v>
      </c>
      <c r="I346" s="29">
        <f t="shared" si="78"/>
        <v>0</v>
      </c>
      <c r="J346" s="29">
        <f t="shared" si="79"/>
        <v>0</v>
      </c>
      <c r="K346" s="32" t="str" cm="1">
        <f t="array" ref="K346">IF(AF346&lt;&gt;"",IFERROR(INDEX('Group List A'!B:B,MATCH(AI346,'Group List A'!A:A,0),0),"-"),"")</f>
        <v/>
      </c>
      <c r="L346" s="33">
        <f t="shared" si="80"/>
        <v>0</v>
      </c>
      <c r="M346" s="33">
        <f t="shared" si="81"/>
        <v>0</v>
      </c>
      <c r="N346" s="33">
        <f t="shared" si="82"/>
        <v>0</v>
      </c>
      <c r="O346" s="28"/>
      <c r="P346" s="33">
        <f t="shared" si="83"/>
        <v>0</v>
      </c>
      <c r="Q346" s="35" t="str" cm="1">
        <f t="array" ref="Q346">IF(AF346&lt;&gt;"",IFERROR(INDEX('Group List B'!B:B,MATCH(AI346,'Group List B'!A:A,0),0),"-"),"")</f>
        <v/>
      </c>
      <c r="R346" s="36">
        <f t="shared" si="84"/>
        <v>0</v>
      </c>
      <c r="S346" s="36">
        <f t="shared" si="85"/>
        <v>0</v>
      </c>
      <c r="T346" s="36">
        <f t="shared" si="86"/>
        <v>0</v>
      </c>
      <c r="U346" s="28"/>
      <c r="V346" s="37">
        <f t="shared" si="87"/>
        <v>0</v>
      </c>
      <c r="W346" s="41"/>
      <c r="X346" s="27"/>
      <c r="Y346" s="27"/>
      <c r="Z346" s="27"/>
      <c r="AA346" s="15"/>
      <c r="AB346" s="17"/>
      <c r="AC346" s="17"/>
      <c r="AD346" s="17"/>
      <c r="AE346" s="90"/>
      <c r="AF346" s="82" t="str">
        <f t="shared" si="88"/>
        <v/>
      </c>
      <c r="AG346" s="83" t="str">
        <f t="shared" si="89"/>
        <v/>
      </c>
      <c r="AH346" s="82" t="str">
        <f t="shared" si="90"/>
        <v/>
      </c>
      <c r="AI346" s="82" t="str">
        <f t="shared" si="91"/>
        <v/>
      </c>
      <c r="AJ346" s="90"/>
      <c r="AP346" s="88"/>
    </row>
    <row r="347" spans="1:42" x14ac:dyDescent="0.25">
      <c r="A347" s="2"/>
      <c r="C347" s="68" t="str" cm="1">
        <f t="array" ref="C347">IF(AF347&lt;&gt;"",
IFERROR(INDEX('LaunchPad Markbook'!A:A,MATCH(AH347,'LaunchPad Markbook'!D:D,0),0),"-"),"")</f>
        <v/>
      </c>
      <c r="D347" s="27"/>
      <c r="E347" s="27"/>
      <c r="F347" s="27"/>
      <c r="G347" s="14">
        <f>IF(OR(H347&gt;AB$2,I347&gt;AC$2,J347&gt;AD$2,
P347&gt;1,V347&gt;1,
L347&gt;'Group List A'!E$2,M347&gt;'Group List A'!F$2,N347&gt;'Group List A'!G$2,
R347&gt;'Group List B'!E$2,S347&gt;'Group List B'!F$2,T347&gt;'Group List B'!G$2),"Exceed",
IF(OR(H347=AB$2,I347=AC$2,J347=AD$2,
P347=1,V347=1,
L347='Group List A'!E$2,M347='Group List A'!F$2,N347='Group List A'!G$2,
R347='Group List B'!E$2,S347='Group List B'!F$2,T347='Group List B'!G$2),"Limit",0))</f>
        <v>0</v>
      </c>
      <c r="H347" s="29">
        <f t="shared" si="77"/>
        <v>0</v>
      </c>
      <c r="I347" s="29">
        <f t="shared" si="78"/>
        <v>0</v>
      </c>
      <c r="J347" s="29">
        <f t="shared" si="79"/>
        <v>0</v>
      </c>
      <c r="K347" s="32" t="str" cm="1">
        <f t="array" ref="K347">IF(AF347&lt;&gt;"",IFERROR(INDEX('Group List A'!B:B,MATCH(AI347,'Group List A'!A:A,0),0),"-"),"")</f>
        <v/>
      </c>
      <c r="L347" s="33">
        <f t="shared" si="80"/>
        <v>0</v>
      </c>
      <c r="M347" s="33">
        <f t="shared" si="81"/>
        <v>0</v>
      </c>
      <c r="N347" s="33">
        <f t="shared" si="82"/>
        <v>0</v>
      </c>
      <c r="O347" s="28"/>
      <c r="P347" s="33">
        <f t="shared" si="83"/>
        <v>0</v>
      </c>
      <c r="Q347" s="35" t="str" cm="1">
        <f t="array" ref="Q347">IF(AF347&lt;&gt;"",IFERROR(INDEX('Group List B'!B:B,MATCH(AI347,'Group List B'!A:A,0),0),"-"),"")</f>
        <v/>
      </c>
      <c r="R347" s="36">
        <f t="shared" si="84"/>
        <v>0</v>
      </c>
      <c r="S347" s="36">
        <f t="shared" si="85"/>
        <v>0</v>
      </c>
      <c r="T347" s="36">
        <f t="shared" si="86"/>
        <v>0</v>
      </c>
      <c r="U347" s="28"/>
      <c r="V347" s="37">
        <f t="shared" si="87"/>
        <v>0</v>
      </c>
      <c r="W347" s="41"/>
      <c r="X347" s="27"/>
      <c r="Y347" s="27"/>
      <c r="Z347" s="27"/>
      <c r="AA347" s="15"/>
      <c r="AB347" s="17"/>
      <c r="AC347" s="17"/>
      <c r="AD347" s="17"/>
      <c r="AE347" s="90"/>
      <c r="AF347" s="82" t="str">
        <f t="shared" si="88"/>
        <v/>
      </c>
      <c r="AG347" s="83" t="str">
        <f t="shared" si="89"/>
        <v/>
      </c>
      <c r="AH347" s="82" t="str">
        <f t="shared" si="90"/>
        <v/>
      </c>
      <c r="AI347" s="82" t="str">
        <f t="shared" si="91"/>
        <v/>
      </c>
      <c r="AJ347" s="90"/>
      <c r="AP347" s="88"/>
    </row>
    <row r="348" spans="1:42" x14ac:dyDescent="0.25">
      <c r="A348" s="2"/>
      <c r="C348" s="68" t="str" cm="1">
        <f t="array" ref="C348">IF(AF348&lt;&gt;"",
IFERROR(INDEX('LaunchPad Markbook'!A:A,MATCH(AH348,'LaunchPad Markbook'!D:D,0),0),"-"),"")</f>
        <v/>
      </c>
      <c r="D348" s="27"/>
      <c r="E348" s="27"/>
      <c r="F348" s="27"/>
      <c r="G348" s="14">
        <f>IF(OR(H348&gt;AB$2,I348&gt;AC$2,J348&gt;AD$2,
P348&gt;1,V348&gt;1,
L348&gt;'Group List A'!E$2,M348&gt;'Group List A'!F$2,N348&gt;'Group List A'!G$2,
R348&gt;'Group List B'!E$2,S348&gt;'Group List B'!F$2,T348&gt;'Group List B'!G$2),"Exceed",
IF(OR(H348=AB$2,I348=AC$2,J348=AD$2,
P348=1,V348=1,
L348='Group List A'!E$2,M348='Group List A'!F$2,N348='Group List A'!G$2,
R348='Group List B'!E$2,S348='Group List B'!F$2,T348='Group List B'!G$2),"Limit",0))</f>
        <v>0</v>
      </c>
      <c r="H348" s="29">
        <f t="shared" si="77"/>
        <v>0</v>
      </c>
      <c r="I348" s="29">
        <f t="shared" si="78"/>
        <v>0</v>
      </c>
      <c r="J348" s="29">
        <f t="shared" si="79"/>
        <v>0</v>
      </c>
      <c r="K348" s="32" t="str" cm="1">
        <f t="array" ref="K348">IF(AF348&lt;&gt;"",IFERROR(INDEX('Group List A'!B:B,MATCH(AI348,'Group List A'!A:A,0),0),"-"),"")</f>
        <v/>
      </c>
      <c r="L348" s="33">
        <f t="shared" si="80"/>
        <v>0</v>
      </c>
      <c r="M348" s="33">
        <f t="shared" si="81"/>
        <v>0</v>
      </c>
      <c r="N348" s="33">
        <f t="shared" si="82"/>
        <v>0</v>
      </c>
      <c r="O348" s="28"/>
      <c r="P348" s="33">
        <f t="shared" si="83"/>
        <v>0</v>
      </c>
      <c r="Q348" s="35" t="str" cm="1">
        <f t="array" ref="Q348">IF(AF348&lt;&gt;"",IFERROR(INDEX('Group List B'!B:B,MATCH(AI348,'Group List B'!A:A,0),0),"-"),"")</f>
        <v/>
      </c>
      <c r="R348" s="36">
        <f t="shared" si="84"/>
        <v>0</v>
      </c>
      <c r="S348" s="36">
        <f t="shared" si="85"/>
        <v>0</v>
      </c>
      <c r="T348" s="36">
        <f t="shared" si="86"/>
        <v>0</v>
      </c>
      <c r="U348" s="28"/>
      <c r="V348" s="37">
        <f t="shared" si="87"/>
        <v>0</v>
      </c>
      <c r="W348" s="41"/>
      <c r="X348" s="27"/>
      <c r="Y348" s="27"/>
      <c r="Z348" s="27"/>
      <c r="AA348" s="15"/>
      <c r="AB348" s="17"/>
      <c r="AC348" s="17"/>
      <c r="AD348" s="17"/>
      <c r="AE348" s="90"/>
      <c r="AF348" s="82" t="str">
        <f t="shared" si="88"/>
        <v/>
      </c>
      <c r="AG348" s="83" t="str">
        <f t="shared" si="89"/>
        <v/>
      </c>
      <c r="AH348" s="82" t="str">
        <f t="shared" si="90"/>
        <v/>
      </c>
      <c r="AI348" s="82" t="str">
        <f t="shared" si="91"/>
        <v/>
      </c>
      <c r="AJ348" s="90"/>
      <c r="AP348" s="88"/>
    </row>
    <row r="349" spans="1:42" x14ac:dyDescent="0.25">
      <c r="A349" s="2"/>
      <c r="C349" s="68" t="str" cm="1">
        <f t="array" ref="C349">IF(AF349&lt;&gt;"",
IFERROR(INDEX('LaunchPad Markbook'!A:A,MATCH(AH349,'LaunchPad Markbook'!D:D,0),0),"-"),"")</f>
        <v/>
      </c>
      <c r="D349" s="27"/>
      <c r="E349" s="27"/>
      <c r="F349" s="27"/>
      <c r="G349" s="14">
        <f>IF(OR(H349&gt;AB$2,I349&gt;AC$2,J349&gt;AD$2,
P349&gt;1,V349&gt;1,
L349&gt;'Group List A'!E$2,M349&gt;'Group List A'!F$2,N349&gt;'Group List A'!G$2,
R349&gt;'Group List B'!E$2,S349&gt;'Group List B'!F$2,T349&gt;'Group List B'!G$2),"Exceed",
IF(OR(H349=AB$2,I349=AC$2,J349=AD$2,
P349=1,V349=1,
L349='Group List A'!E$2,M349='Group List A'!F$2,N349='Group List A'!G$2,
R349='Group List B'!E$2,S349='Group List B'!F$2,T349='Group List B'!G$2),"Limit",0))</f>
        <v>0</v>
      </c>
      <c r="H349" s="29">
        <f t="shared" si="77"/>
        <v>0</v>
      </c>
      <c r="I349" s="29">
        <f t="shared" si="78"/>
        <v>0</v>
      </c>
      <c r="J349" s="29">
        <f t="shared" si="79"/>
        <v>0</v>
      </c>
      <c r="K349" s="32" t="str" cm="1">
        <f t="array" ref="K349">IF(AF349&lt;&gt;"",IFERROR(INDEX('Group List A'!B:B,MATCH(AI349,'Group List A'!A:A,0),0),"-"),"")</f>
        <v/>
      </c>
      <c r="L349" s="33">
        <f t="shared" si="80"/>
        <v>0</v>
      </c>
      <c r="M349" s="33">
        <f t="shared" si="81"/>
        <v>0</v>
      </c>
      <c r="N349" s="33">
        <f t="shared" si="82"/>
        <v>0</v>
      </c>
      <c r="O349" s="28"/>
      <c r="P349" s="33">
        <f t="shared" si="83"/>
        <v>0</v>
      </c>
      <c r="Q349" s="35" t="str" cm="1">
        <f t="array" ref="Q349">IF(AF349&lt;&gt;"",IFERROR(INDEX('Group List B'!B:B,MATCH(AI349,'Group List B'!A:A,0),0),"-"),"")</f>
        <v/>
      </c>
      <c r="R349" s="36">
        <f t="shared" si="84"/>
        <v>0</v>
      </c>
      <c r="S349" s="36">
        <f t="shared" si="85"/>
        <v>0</v>
      </c>
      <c r="T349" s="36">
        <f t="shared" si="86"/>
        <v>0</v>
      </c>
      <c r="U349" s="28"/>
      <c r="V349" s="37">
        <f t="shared" si="87"/>
        <v>0</v>
      </c>
      <c r="W349" s="41"/>
      <c r="X349" s="27"/>
      <c r="Y349" s="27"/>
      <c r="Z349" s="27"/>
      <c r="AA349" s="15"/>
      <c r="AB349" s="17"/>
      <c r="AC349" s="17"/>
      <c r="AD349" s="17"/>
      <c r="AE349" s="90"/>
      <c r="AF349" s="82" t="str">
        <f t="shared" si="88"/>
        <v/>
      </c>
      <c r="AG349" s="83" t="str">
        <f t="shared" si="89"/>
        <v/>
      </c>
      <c r="AH349" s="82" t="str">
        <f t="shared" si="90"/>
        <v/>
      </c>
      <c r="AI349" s="82" t="str">
        <f t="shared" si="91"/>
        <v/>
      </c>
      <c r="AJ349" s="90"/>
      <c r="AP349" s="88"/>
    </row>
    <row r="350" spans="1:42" x14ac:dyDescent="0.25">
      <c r="A350" s="2"/>
      <c r="C350" s="68" t="str" cm="1">
        <f t="array" ref="C350">IF(AF350&lt;&gt;"",
IFERROR(INDEX('LaunchPad Markbook'!A:A,MATCH(AH350,'LaunchPad Markbook'!D:D,0),0),"-"),"")</f>
        <v/>
      </c>
      <c r="D350" s="27"/>
      <c r="E350" s="27"/>
      <c r="F350" s="27"/>
      <c r="G350" s="14">
        <f>IF(OR(H350&gt;AB$2,I350&gt;AC$2,J350&gt;AD$2,
P350&gt;1,V350&gt;1,
L350&gt;'Group List A'!E$2,M350&gt;'Group List A'!F$2,N350&gt;'Group List A'!G$2,
R350&gt;'Group List B'!E$2,S350&gt;'Group List B'!F$2,T350&gt;'Group List B'!G$2),"Exceed",
IF(OR(H350=AB$2,I350=AC$2,J350=AD$2,
P350=1,V350=1,
L350='Group List A'!E$2,M350='Group List A'!F$2,N350='Group List A'!G$2,
R350='Group List B'!E$2,S350='Group List B'!F$2,T350='Group List B'!G$2),"Limit",0))</f>
        <v>0</v>
      </c>
      <c r="H350" s="29">
        <f t="shared" si="77"/>
        <v>0</v>
      </c>
      <c r="I350" s="29">
        <f t="shared" si="78"/>
        <v>0</v>
      </c>
      <c r="J350" s="29">
        <f t="shared" si="79"/>
        <v>0</v>
      </c>
      <c r="K350" s="32" t="str" cm="1">
        <f t="array" ref="K350">IF(AF350&lt;&gt;"",IFERROR(INDEX('Group List A'!B:B,MATCH(AI350,'Group List A'!A:A,0),0),"-"),"")</f>
        <v/>
      </c>
      <c r="L350" s="33">
        <f t="shared" si="80"/>
        <v>0</v>
      </c>
      <c r="M350" s="33">
        <f t="shared" si="81"/>
        <v>0</v>
      </c>
      <c r="N350" s="33">
        <f t="shared" si="82"/>
        <v>0</v>
      </c>
      <c r="O350" s="28"/>
      <c r="P350" s="33">
        <f t="shared" si="83"/>
        <v>0</v>
      </c>
      <c r="Q350" s="35" t="str" cm="1">
        <f t="array" ref="Q350">IF(AF350&lt;&gt;"",IFERROR(INDEX('Group List B'!B:B,MATCH(AI350,'Group List B'!A:A,0),0),"-"),"")</f>
        <v/>
      </c>
      <c r="R350" s="36">
        <f t="shared" si="84"/>
        <v>0</v>
      </c>
      <c r="S350" s="36">
        <f t="shared" si="85"/>
        <v>0</v>
      </c>
      <c r="T350" s="36">
        <f t="shared" si="86"/>
        <v>0</v>
      </c>
      <c r="U350" s="28"/>
      <c r="V350" s="37">
        <f t="shared" si="87"/>
        <v>0</v>
      </c>
      <c r="W350" s="41"/>
      <c r="X350" s="27"/>
      <c r="Y350" s="27"/>
      <c r="Z350" s="27"/>
      <c r="AA350" s="15"/>
      <c r="AB350" s="17"/>
      <c r="AC350" s="17"/>
      <c r="AD350" s="17"/>
      <c r="AE350" s="90"/>
      <c r="AF350" s="82" t="str">
        <f t="shared" si="88"/>
        <v/>
      </c>
      <c r="AG350" s="83" t="str">
        <f t="shared" si="89"/>
        <v/>
      </c>
      <c r="AH350" s="82" t="str">
        <f t="shared" si="90"/>
        <v/>
      </c>
      <c r="AI350" s="82" t="str">
        <f t="shared" si="91"/>
        <v/>
      </c>
      <c r="AJ350" s="90"/>
      <c r="AP350" s="88"/>
    </row>
    <row r="351" spans="1:42" x14ac:dyDescent="0.25">
      <c r="A351" s="2"/>
      <c r="C351" s="68" t="str" cm="1">
        <f t="array" ref="C351">IF(AF351&lt;&gt;"",
IFERROR(INDEX('LaunchPad Markbook'!A:A,MATCH(AH351,'LaunchPad Markbook'!D:D,0),0),"-"),"")</f>
        <v/>
      </c>
      <c r="D351" s="27"/>
      <c r="E351" s="27"/>
      <c r="F351" s="27"/>
      <c r="G351" s="14">
        <f>IF(OR(H351&gt;AB$2,I351&gt;AC$2,J351&gt;AD$2,
P351&gt;1,V351&gt;1,
L351&gt;'Group List A'!E$2,M351&gt;'Group List A'!F$2,N351&gt;'Group List A'!G$2,
R351&gt;'Group List B'!E$2,S351&gt;'Group List B'!F$2,T351&gt;'Group List B'!G$2),"Exceed",
IF(OR(H351=AB$2,I351=AC$2,J351=AD$2,
P351=1,V351=1,
L351='Group List A'!E$2,M351='Group List A'!F$2,N351='Group List A'!G$2,
R351='Group List B'!E$2,S351='Group List B'!F$2,T351='Group List B'!G$2),"Limit",0))</f>
        <v>0</v>
      </c>
      <c r="H351" s="29">
        <f t="shared" si="77"/>
        <v>0</v>
      </c>
      <c r="I351" s="29">
        <f t="shared" si="78"/>
        <v>0</v>
      </c>
      <c r="J351" s="29">
        <f t="shared" si="79"/>
        <v>0</v>
      </c>
      <c r="K351" s="32" t="str" cm="1">
        <f t="array" ref="K351">IF(AF351&lt;&gt;"",IFERROR(INDEX('Group List A'!B:B,MATCH(AI351,'Group List A'!A:A,0),0),"-"),"")</f>
        <v/>
      </c>
      <c r="L351" s="33">
        <f t="shared" si="80"/>
        <v>0</v>
      </c>
      <c r="M351" s="33">
        <f t="shared" si="81"/>
        <v>0</v>
      </c>
      <c r="N351" s="33">
        <f t="shared" si="82"/>
        <v>0</v>
      </c>
      <c r="O351" s="28"/>
      <c r="P351" s="33">
        <f t="shared" si="83"/>
        <v>0</v>
      </c>
      <c r="Q351" s="35" t="str" cm="1">
        <f t="array" ref="Q351">IF(AF351&lt;&gt;"",IFERROR(INDEX('Group List B'!B:B,MATCH(AI351,'Group List B'!A:A,0),0),"-"),"")</f>
        <v/>
      </c>
      <c r="R351" s="36">
        <f t="shared" si="84"/>
        <v>0</v>
      </c>
      <c r="S351" s="36">
        <f t="shared" si="85"/>
        <v>0</v>
      </c>
      <c r="T351" s="36">
        <f t="shared" si="86"/>
        <v>0</v>
      </c>
      <c r="U351" s="28"/>
      <c r="V351" s="37">
        <f t="shared" si="87"/>
        <v>0</v>
      </c>
      <c r="W351" s="41"/>
      <c r="X351" s="27"/>
      <c r="Y351" s="27"/>
      <c r="Z351" s="27"/>
      <c r="AA351" s="15"/>
      <c r="AB351" s="17"/>
      <c r="AC351" s="17"/>
      <c r="AD351" s="17"/>
      <c r="AE351" s="90"/>
      <c r="AF351" s="82" t="str">
        <f t="shared" si="88"/>
        <v/>
      </c>
      <c r="AG351" s="83" t="str">
        <f t="shared" si="89"/>
        <v/>
      </c>
      <c r="AH351" s="82" t="str">
        <f t="shared" si="90"/>
        <v/>
      </c>
      <c r="AI351" s="82" t="str">
        <f t="shared" si="91"/>
        <v/>
      </c>
      <c r="AJ351" s="90"/>
      <c r="AP351" s="88"/>
    </row>
    <row r="352" spans="1:42" x14ac:dyDescent="0.25">
      <c r="A352" s="2"/>
      <c r="C352" s="68" t="str" cm="1">
        <f t="array" ref="C352">IF(AF352&lt;&gt;"",
IFERROR(INDEX('LaunchPad Markbook'!A:A,MATCH(AH352,'LaunchPad Markbook'!D:D,0),0),"-"),"")</f>
        <v/>
      </c>
      <c r="D352" s="27"/>
      <c r="E352" s="27"/>
      <c r="F352" s="27"/>
      <c r="G352" s="14">
        <f>IF(OR(H352&gt;AB$2,I352&gt;AC$2,J352&gt;AD$2,
P352&gt;1,V352&gt;1,
L352&gt;'Group List A'!E$2,M352&gt;'Group List A'!F$2,N352&gt;'Group List A'!G$2,
R352&gt;'Group List B'!E$2,S352&gt;'Group List B'!F$2,T352&gt;'Group List B'!G$2),"Exceed",
IF(OR(H352=AB$2,I352=AC$2,J352=AD$2,
P352=1,V352=1,
L352='Group List A'!E$2,M352='Group List A'!F$2,N352='Group List A'!G$2,
R352='Group List B'!E$2,S352='Group List B'!F$2,T352='Group List B'!G$2),"Limit",0))</f>
        <v>0</v>
      </c>
      <c r="H352" s="29">
        <f t="shared" si="77"/>
        <v>0</v>
      </c>
      <c r="I352" s="29">
        <f t="shared" si="78"/>
        <v>0</v>
      </c>
      <c r="J352" s="29">
        <f t="shared" si="79"/>
        <v>0</v>
      </c>
      <c r="K352" s="32" t="str" cm="1">
        <f t="array" ref="K352">IF(AF352&lt;&gt;"",IFERROR(INDEX('Group List A'!B:B,MATCH(AI352,'Group List A'!A:A,0),0),"-"),"")</f>
        <v/>
      </c>
      <c r="L352" s="33">
        <f t="shared" si="80"/>
        <v>0</v>
      </c>
      <c r="M352" s="33">
        <f t="shared" si="81"/>
        <v>0</v>
      </c>
      <c r="N352" s="33">
        <f t="shared" si="82"/>
        <v>0</v>
      </c>
      <c r="O352" s="28"/>
      <c r="P352" s="33">
        <f t="shared" si="83"/>
        <v>0</v>
      </c>
      <c r="Q352" s="35" t="str" cm="1">
        <f t="array" ref="Q352">IF(AF352&lt;&gt;"",IFERROR(INDEX('Group List B'!B:B,MATCH(AI352,'Group List B'!A:A,0),0),"-"),"")</f>
        <v/>
      </c>
      <c r="R352" s="36">
        <f t="shared" si="84"/>
        <v>0</v>
      </c>
      <c r="S352" s="36">
        <f t="shared" si="85"/>
        <v>0</v>
      </c>
      <c r="T352" s="36">
        <f t="shared" si="86"/>
        <v>0</v>
      </c>
      <c r="U352" s="28"/>
      <c r="V352" s="37">
        <f t="shared" si="87"/>
        <v>0</v>
      </c>
      <c r="W352" s="41"/>
      <c r="X352" s="27"/>
      <c r="Y352" s="27"/>
      <c r="Z352" s="27"/>
      <c r="AA352" s="15"/>
      <c r="AB352" s="17"/>
      <c r="AC352" s="17"/>
      <c r="AD352" s="17"/>
      <c r="AE352" s="90"/>
      <c r="AF352" s="82" t="str">
        <f t="shared" si="88"/>
        <v/>
      </c>
      <c r="AG352" s="83" t="str">
        <f t="shared" si="89"/>
        <v/>
      </c>
      <c r="AH352" s="82" t="str">
        <f t="shared" si="90"/>
        <v/>
      </c>
      <c r="AI352" s="82" t="str">
        <f t="shared" si="91"/>
        <v/>
      </c>
      <c r="AJ352" s="90"/>
      <c r="AP352" s="88"/>
    </row>
    <row r="353" spans="1:42" x14ac:dyDescent="0.25">
      <c r="A353" s="2"/>
      <c r="C353" s="68" t="str" cm="1">
        <f t="array" ref="C353">IF(AF353&lt;&gt;"",
IFERROR(INDEX('LaunchPad Markbook'!A:A,MATCH(AH353,'LaunchPad Markbook'!D:D,0),0),"-"),"")</f>
        <v/>
      </c>
      <c r="D353" s="27"/>
      <c r="E353" s="27"/>
      <c r="F353" s="27"/>
      <c r="G353" s="14">
        <f>IF(OR(H353&gt;AB$2,I353&gt;AC$2,J353&gt;AD$2,
P353&gt;1,V353&gt;1,
L353&gt;'Group List A'!E$2,M353&gt;'Group List A'!F$2,N353&gt;'Group List A'!G$2,
R353&gt;'Group List B'!E$2,S353&gt;'Group List B'!F$2,T353&gt;'Group List B'!G$2),"Exceed",
IF(OR(H353=AB$2,I353=AC$2,J353=AD$2,
P353=1,V353=1,
L353='Group List A'!E$2,M353='Group List A'!F$2,N353='Group List A'!G$2,
R353='Group List B'!E$2,S353='Group List B'!F$2,T353='Group List B'!G$2),"Limit",0))</f>
        <v>0</v>
      </c>
      <c r="H353" s="29">
        <f t="shared" si="77"/>
        <v>0</v>
      </c>
      <c r="I353" s="29">
        <f t="shared" si="78"/>
        <v>0</v>
      </c>
      <c r="J353" s="29">
        <f t="shared" si="79"/>
        <v>0</v>
      </c>
      <c r="K353" s="32" t="str" cm="1">
        <f t="array" ref="K353">IF(AF353&lt;&gt;"",IFERROR(INDEX('Group List A'!B:B,MATCH(AI353,'Group List A'!A:A,0),0),"-"),"")</f>
        <v/>
      </c>
      <c r="L353" s="33">
        <f t="shared" si="80"/>
        <v>0</v>
      </c>
      <c r="M353" s="33">
        <f t="shared" si="81"/>
        <v>0</v>
      </c>
      <c r="N353" s="33">
        <f t="shared" si="82"/>
        <v>0</v>
      </c>
      <c r="O353" s="28"/>
      <c r="P353" s="33">
        <f t="shared" si="83"/>
        <v>0</v>
      </c>
      <c r="Q353" s="35" t="str" cm="1">
        <f t="array" ref="Q353">IF(AF353&lt;&gt;"",IFERROR(INDEX('Group List B'!B:B,MATCH(AI353,'Group List B'!A:A,0),0),"-"),"")</f>
        <v/>
      </c>
      <c r="R353" s="36">
        <f t="shared" si="84"/>
        <v>0</v>
      </c>
      <c r="S353" s="36">
        <f t="shared" si="85"/>
        <v>0</v>
      </c>
      <c r="T353" s="36">
        <f t="shared" si="86"/>
        <v>0</v>
      </c>
      <c r="U353" s="28"/>
      <c r="V353" s="37">
        <f t="shared" si="87"/>
        <v>0</v>
      </c>
      <c r="W353" s="41"/>
      <c r="X353" s="27"/>
      <c r="Y353" s="27"/>
      <c r="Z353" s="27"/>
      <c r="AA353" s="15"/>
      <c r="AB353" s="17"/>
      <c r="AC353" s="17"/>
      <c r="AD353" s="17"/>
      <c r="AE353" s="90"/>
      <c r="AF353" s="82" t="str">
        <f t="shared" si="88"/>
        <v/>
      </c>
      <c r="AG353" s="83" t="str">
        <f t="shared" si="89"/>
        <v/>
      </c>
      <c r="AH353" s="82" t="str">
        <f t="shared" si="90"/>
        <v/>
      </c>
      <c r="AI353" s="82" t="str">
        <f t="shared" si="91"/>
        <v/>
      </c>
      <c r="AJ353" s="90"/>
      <c r="AP353" s="88"/>
    </row>
    <row r="354" spans="1:42" x14ac:dyDescent="0.25">
      <c r="A354" s="2"/>
      <c r="C354" s="68" t="str" cm="1">
        <f t="array" ref="C354">IF(AF354&lt;&gt;"",
IFERROR(INDEX('LaunchPad Markbook'!A:A,MATCH(AH354,'LaunchPad Markbook'!D:D,0),0),"-"),"")</f>
        <v/>
      </c>
      <c r="D354" s="27"/>
      <c r="E354" s="27"/>
      <c r="F354" s="27"/>
      <c r="G354" s="14">
        <f>IF(OR(H354&gt;AB$2,I354&gt;AC$2,J354&gt;AD$2,
P354&gt;1,V354&gt;1,
L354&gt;'Group List A'!E$2,M354&gt;'Group List A'!F$2,N354&gt;'Group List A'!G$2,
R354&gt;'Group List B'!E$2,S354&gt;'Group List B'!F$2,T354&gt;'Group List B'!G$2),"Exceed",
IF(OR(H354=AB$2,I354=AC$2,J354=AD$2,
P354=1,V354=1,
L354='Group List A'!E$2,M354='Group List A'!F$2,N354='Group List A'!G$2,
R354='Group List B'!E$2,S354='Group List B'!F$2,T354='Group List B'!G$2),"Limit",0))</f>
        <v>0</v>
      </c>
      <c r="H354" s="29">
        <f t="shared" si="77"/>
        <v>0</v>
      </c>
      <c r="I354" s="29">
        <f t="shared" si="78"/>
        <v>0</v>
      </c>
      <c r="J354" s="29">
        <f t="shared" si="79"/>
        <v>0</v>
      </c>
      <c r="K354" s="32" t="str" cm="1">
        <f t="array" ref="K354">IF(AF354&lt;&gt;"",IFERROR(INDEX('Group List A'!B:B,MATCH(AI354,'Group List A'!A:A,0),0),"-"),"")</f>
        <v/>
      </c>
      <c r="L354" s="33">
        <f t="shared" si="80"/>
        <v>0</v>
      </c>
      <c r="M354" s="33">
        <f t="shared" si="81"/>
        <v>0</v>
      </c>
      <c r="N354" s="33">
        <f t="shared" si="82"/>
        <v>0</v>
      </c>
      <c r="O354" s="28"/>
      <c r="P354" s="33">
        <f t="shared" si="83"/>
        <v>0</v>
      </c>
      <c r="Q354" s="35" t="str" cm="1">
        <f t="array" ref="Q354">IF(AF354&lt;&gt;"",IFERROR(INDEX('Group List B'!B:B,MATCH(AI354,'Group List B'!A:A,0),0),"-"),"")</f>
        <v/>
      </c>
      <c r="R354" s="36">
        <f t="shared" si="84"/>
        <v>0</v>
      </c>
      <c r="S354" s="36">
        <f t="shared" si="85"/>
        <v>0</v>
      </c>
      <c r="T354" s="36">
        <f t="shared" si="86"/>
        <v>0</v>
      </c>
      <c r="U354" s="28"/>
      <c r="V354" s="37">
        <f t="shared" si="87"/>
        <v>0</v>
      </c>
      <c r="W354" s="41"/>
      <c r="X354" s="27"/>
      <c r="Y354" s="27"/>
      <c r="Z354" s="27"/>
      <c r="AA354" s="15"/>
      <c r="AB354" s="17"/>
      <c r="AC354" s="17"/>
      <c r="AD354" s="17"/>
      <c r="AE354" s="90"/>
      <c r="AF354" s="82" t="str">
        <f t="shared" si="88"/>
        <v/>
      </c>
      <c r="AG354" s="83" t="str">
        <f t="shared" si="89"/>
        <v/>
      </c>
      <c r="AH354" s="82" t="str">
        <f t="shared" si="90"/>
        <v/>
      </c>
      <c r="AI354" s="82" t="str">
        <f t="shared" si="91"/>
        <v/>
      </c>
      <c r="AJ354" s="90"/>
      <c r="AP354" s="88"/>
    </row>
    <row r="355" spans="1:42" x14ac:dyDescent="0.25">
      <c r="A355" s="2"/>
      <c r="C355" s="68" t="str" cm="1">
        <f t="array" ref="C355">IF(AF355&lt;&gt;"",
IFERROR(INDEX('LaunchPad Markbook'!A:A,MATCH(AH355,'LaunchPad Markbook'!D:D,0),0),"-"),"")</f>
        <v/>
      </c>
      <c r="D355" s="27"/>
      <c r="E355" s="27"/>
      <c r="F355" s="27"/>
      <c r="G355" s="14">
        <f>IF(OR(H355&gt;AB$2,I355&gt;AC$2,J355&gt;AD$2,
P355&gt;1,V355&gt;1,
L355&gt;'Group List A'!E$2,M355&gt;'Group List A'!F$2,N355&gt;'Group List A'!G$2,
R355&gt;'Group List B'!E$2,S355&gt;'Group List B'!F$2,T355&gt;'Group List B'!G$2),"Exceed",
IF(OR(H355=AB$2,I355=AC$2,J355=AD$2,
P355=1,V355=1,
L355='Group List A'!E$2,M355='Group List A'!F$2,N355='Group List A'!G$2,
R355='Group List B'!E$2,S355='Group List B'!F$2,T355='Group List B'!G$2),"Limit",0))</f>
        <v>0</v>
      </c>
      <c r="H355" s="29">
        <f t="shared" si="77"/>
        <v>0</v>
      </c>
      <c r="I355" s="29">
        <f t="shared" si="78"/>
        <v>0</v>
      </c>
      <c r="J355" s="29">
        <f t="shared" si="79"/>
        <v>0</v>
      </c>
      <c r="K355" s="32" t="str" cm="1">
        <f t="array" ref="K355">IF(AF355&lt;&gt;"",IFERROR(INDEX('Group List A'!B:B,MATCH(AI355,'Group List A'!A:A,0),0),"-"),"")</f>
        <v/>
      </c>
      <c r="L355" s="33">
        <f t="shared" si="80"/>
        <v>0</v>
      </c>
      <c r="M355" s="33">
        <f t="shared" si="81"/>
        <v>0</v>
      </c>
      <c r="N355" s="33">
        <f t="shared" si="82"/>
        <v>0</v>
      </c>
      <c r="O355" s="28"/>
      <c r="P355" s="33">
        <f t="shared" si="83"/>
        <v>0</v>
      </c>
      <c r="Q355" s="35" t="str" cm="1">
        <f t="array" ref="Q355">IF(AF355&lt;&gt;"",IFERROR(INDEX('Group List B'!B:B,MATCH(AI355,'Group List B'!A:A,0),0),"-"),"")</f>
        <v/>
      </c>
      <c r="R355" s="36">
        <f t="shared" si="84"/>
        <v>0</v>
      </c>
      <c r="S355" s="36">
        <f t="shared" si="85"/>
        <v>0</v>
      </c>
      <c r="T355" s="36">
        <f t="shared" si="86"/>
        <v>0</v>
      </c>
      <c r="U355" s="28"/>
      <c r="V355" s="37">
        <f t="shared" si="87"/>
        <v>0</v>
      </c>
      <c r="W355" s="41"/>
      <c r="X355" s="27"/>
      <c r="Y355" s="27"/>
      <c r="Z355" s="27"/>
      <c r="AA355" s="15"/>
      <c r="AB355" s="17"/>
      <c r="AC355" s="17"/>
      <c r="AD355" s="17"/>
      <c r="AE355" s="90"/>
      <c r="AF355" s="82" t="str">
        <f t="shared" si="88"/>
        <v/>
      </c>
      <c r="AG355" s="83" t="str">
        <f t="shared" si="89"/>
        <v/>
      </c>
      <c r="AH355" s="82" t="str">
        <f t="shared" si="90"/>
        <v/>
      </c>
      <c r="AI355" s="82" t="str">
        <f t="shared" si="91"/>
        <v/>
      </c>
      <c r="AJ355" s="90"/>
      <c r="AP355" s="88"/>
    </row>
    <row r="356" spans="1:42" x14ac:dyDescent="0.25">
      <c r="A356" s="2"/>
      <c r="C356" s="68" t="str" cm="1">
        <f t="array" ref="C356">IF(AF356&lt;&gt;"",
IFERROR(INDEX('LaunchPad Markbook'!A:A,MATCH(AH356,'LaunchPad Markbook'!D:D,0),0),"-"),"")</f>
        <v/>
      </c>
      <c r="D356" s="27"/>
      <c r="E356" s="27"/>
      <c r="F356" s="27"/>
      <c r="G356" s="14">
        <f>IF(OR(H356&gt;AB$2,I356&gt;AC$2,J356&gt;AD$2,
P356&gt;1,V356&gt;1,
L356&gt;'Group List A'!E$2,M356&gt;'Group List A'!F$2,N356&gt;'Group List A'!G$2,
R356&gt;'Group List B'!E$2,S356&gt;'Group List B'!F$2,T356&gt;'Group List B'!G$2),"Exceed",
IF(OR(H356=AB$2,I356=AC$2,J356=AD$2,
P356=1,V356=1,
L356='Group List A'!E$2,M356='Group List A'!F$2,N356='Group List A'!G$2,
R356='Group List B'!E$2,S356='Group List B'!F$2,T356='Group List B'!G$2),"Limit",0))</f>
        <v>0</v>
      </c>
      <c r="H356" s="29">
        <f t="shared" si="77"/>
        <v>0</v>
      </c>
      <c r="I356" s="29">
        <f t="shared" si="78"/>
        <v>0</v>
      </c>
      <c r="J356" s="29">
        <f t="shared" si="79"/>
        <v>0</v>
      </c>
      <c r="K356" s="32" t="str" cm="1">
        <f t="array" ref="K356">IF(AF356&lt;&gt;"",IFERROR(INDEX('Group List A'!B:B,MATCH(AI356,'Group List A'!A:A,0),0),"-"),"")</f>
        <v/>
      </c>
      <c r="L356" s="33">
        <f t="shared" si="80"/>
        <v>0</v>
      </c>
      <c r="M356" s="33">
        <f t="shared" si="81"/>
        <v>0</v>
      </c>
      <c r="N356" s="33">
        <f t="shared" si="82"/>
        <v>0</v>
      </c>
      <c r="O356" s="28"/>
      <c r="P356" s="33">
        <f t="shared" si="83"/>
        <v>0</v>
      </c>
      <c r="Q356" s="35" t="str" cm="1">
        <f t="array" ref="Q356">IF(AF356&lt;&gt;"",IFERROR(INDEX('Group List B'!B:B,MATCH(AI356,'Group List B'!A:A,0),0),"-"),"")</f>
        <v/>
      </c>
      <c r="R356" s="36">
        <f t="shared" si="84"/>
        <v>0</v>
      </c>
      <c r="S356" s="36">
        <f t="shared" si="85"/>
        <v>0</v>
      </c>
      <c r="T356" s="36">
        <f t="shared" si="86"/>
        <v>0</v>
      </c>
      <c r="U356" s="28"/>
      <c r="V356" s="37">
        <f t="shared" si="87"/>
        <v>0</v>
      </c>
      <c r="W356" s="41"/>
      <c r="X356" s="27"/>
      <c r="Y356" s="27"/>
      <c r="Z356" s="27"/>
      <c r="AA356" s="15"/>
      <c r="AB356" s="17"/>
      <c r="AC356" s="17"/>
      <c r="AD356" s="17"/>
      <c r="AE356" s="90"/>
      <c r="AF356" s="82" t="str">
        <f t="shared" si="88"/>
        <v/>
      </c>
      <c r="AG356" s="83" t="str">
        <f t="shared" si="89"/>
        <v/>
      </c>
      <c r="AH356" s="82" t="str">
        <f t="shared" si="90"/>
        <v/>
      </c>
      <c r="AI356" s="82" t="str">
        <f t="shared" si="91"/>
        <v/>
      </c>
      <c r="AJ356" s="90"/>
      <c r="AP356" s="88"/>
    </row>
    <row r="357" spans="1:42" x14ac:dyDescent="0.25">
      <c r="A357" s="2"/>
      <c r="C357" s="68" t="str" cm="1">
        <f t="array" ref="C357">IF(AF357&lt;&gt;"",
IFERROR(INDEX('LaunchPad Markbook'!A:A,MATCH(AH357,'LaunchPad Markbook'!D:D,0),0),"-"),"")</f>
        <v/>
      </c>
      <c r="D357" s="27"/>
      <c r="E357" s="27"/>
      <c r="F357" s="27"/>
      <c r="G357" s="14">
        <f>IF(OR(H357&gt;AB$2,I357&gt;AC$2,J357&gt;AD$2,
P357&gt;1,V357&gt;1,
L357&gt;'Group List A'!E$2,M357&gt;'Group List A'!F$2,N357&gt;'Group List A'!G$2,
R357&gt;'Group List B'!E$2,S357&gt;'Group List B'!F$2,T357&gt;'Group List B'!G$2),"Exceed",
IF(OR(H357=AB$2,I357=AC$2,J357=AD$2,
P357=1,V357=1,
L357='Group List A'!E$2,M357='Group List A'!F$2,N357='Group List A'!G$2,
R357='Group List B'!E$2,S357='Group List B'!F$2,T357='Group List B'!G$2),"Limit",0))</f>
        <v>0</v>
      </c>
      <c r="H357" s="29">
        <f t="shared" si="77"/>
        <v>0</v>
      </c>
      <c r="I357" s="29">
        <f t="shared" si="78"/>
        <v>0</v>
      </c>
      <c r="J357" s="29">
        <f t="shared" si="79"/>
        <v>0</v>
      </c>
      <c r="K357" s="32" t="str" cm="1">
        <f t="array" ref="K357">IF(AF357&lt;&gt;"",IFERROR(INDEX('Group List A'!B:B,MATCH(AI357,'Group List A'!A:A,0),0),"-"),"")</f>
        <v/>
      </c>
      <c r="L357" s="33">
        <f t="shared" si="80"/>
        <v>0</v>
      </c>
      <c r="M357" s="33">
        <f t="shared" si="81"/>
        <v>0</v>
      </c>
      <c r="N357" s="33">
        <f t="shared" si="82"/>
        <v>0</v>
      </c>
      <c r="O357" s="28"/>
      <c r="P357" s="33">
        <f t="shared" si="83"/>
        <v>0</v>
      </c>
      <c r="Q357" s="35" t="str" cm="1">
        <f t="array" ref="Q357">IF(AF357&lt;&gt;"",IFERROR(INDEX('Group List B'!B:B,MATCH(AI357,'Group List B'!A:A,0),0),"-"),"")</f>
        <v/>
      </c>
      <c r="R357" s="36">
        <f t="shared" si="84"/>
        <v>0</v>
      </c>
      <c r="S357" s="36">
        <f t="shared" si="85"/>
        <v>0</v>
      </c>
      <c r="T357" s="36">
        <f t="shared" si="86"/>
        <v>0</v>
      </c>
      <c r="U357" s="28"/>
      <c r="V357" s="37">
        <f t="shared" si="87"/>
        <v>0</v>
      </c>
      <c r="W357" s="41"/>
      <c r="X357" s="27"/>
      <c r="Y357" s="27"/>
      <c r="Z357" s="27"/>
      <c r="AA357" s="15"/>
      <c r="AB357" s="17"/>
      <c r="AC357" s="17"/>
      <c r="AD357" s="17"/>
      <c r="AE357" s="90"/>
      <c r="AF357" s="82" t="str">
        <f t="shared" si="88"/>
        <v/>
      </c>
      <c r="AG357" s="83" t="str">
        <f t="shared" si="89"/>
        <v/>
      </c>
      <c r="AH357" s="82" t="str">
        <f t="shared" si="90"/>
        <v/>
      </c>
      <c r="AI357" s="82" t="str">
        <f t="shared" si="91"/>
        <v/>
      </c>
      <c r="AJ357" s="90"/>
      <c r="AP357" s="88"/>
    </row>
    <row r="358" spans="1:42" x14ac:dyDescent="0.25">
      <c r="A358" s="2"/>
      <c r="C358" s="68" t="str" cm="1">
        <f t="array" ref="C358">IF(AF358&lt;&gt;"",
IFERROR(INDEX('LaunchPad Markbook'!A:A,MATCH(AH358,'LaunchPad Markbook'!D:D,0),0),"-"),"")</f>
        <v/>
      </c>
      <c r="D358" s="27"/>
      <c r="E358" s="27"/>
      <c r="F358" s="27"/>
      <c r="G358" s="14">
        <f>IF(OR(H358&gt;AB$2,I358&gt;AC$2,J358&gt;AD$2,
P358&gt;1,V358&gt;1,
L358&gt;'Group List A'!E$2,M358&gt;'Group List A'!F$2,N358&gt;'Group List A'!G$2,
R358&gt;'Group List B'!E$2,S358&gt;'Group List B'!F$2,T358&gt;'Group List B'!G$2),"Exceed",
IF(OR(H358=AB$2,I358=AC$2,J358=AD$2,
P358=1,V358=1,
L358='Group List A'!E$2,M358='Group List A'!F$2,N358='Group List A'!G$2,
R358='Group List B'!E$2,S358='Group List B'!F$2,T358='Group List B'!G$2),"Limit",0))</f>
        <v>0</v>
      </c>
      <c r="H358" s="29">
        <f t="shared" si="77"/>
        <v>0</v>
      </c>
      <c r="I358" s="29">
        <f t="shared" si="78"/>
        <v>0</v>
      </c>
      <c r="J358" s="29">
        <f t="shared" si="79"/>
        <v>0</v>
      </c>
      <c r="K358" s="32" t="str" cm="1">
        <f t="array" ref="K358">IF(AF358&lt;&gt;"",IFERROR(INDEX('Group List A'!B:B,MATCH(AI358,'Group List A'!A:A,0),0),"-"),"")</f>
        <v/>
      </c>
      <c r="L358" s="33">
        <f t="shared" si="80"/>
        <v>0</v>
      </c>
      <c r="M358" s="33">
        <f t="shared" si="81"/>
        <v>0</v>
      </c>
      <c r="N358" s="33">
        <f t="shared" si="82"/>
        <v>0</v>
      </c>
      <c r="O358" s="28"/>
      <c r="P358" s="33">
        <f t="shared" si="83"/>
        <v>0</v>
      </c>
      <c r="Q358" s="35" t="str" cm="1">
        <f t="array" ref="Q358">IF(AF358&lt;&gt;"",IFERROR(INDEX('Group List B'!B:B,MATCH(AI358,'Group List B'!A:A,0),0),"-"),"")</f>
        <v/>
      </c>
      <c r="R358" s="36">
        <f t="shared" si="84"/>
        <v>0</v>
      </c>
      <c r="S358" s="36">
        <f t="shared" si="85"/>
        <v>0</v>
      </c>
      <c r="T358" s="36">
        <f t="shared" si="86"/>
        <v>0</v>
      </c>
      <c r="U358" s="28"/>
      <c r="V358" s="37">
        <f t="shared" si="87"/>
        <v>0</v>
      </c>
      <c r="W358" s="41"/>
      <c r="X358" s="27"/>
      <c r="Y358" s="27"/>
      <c r="Z358" s="27"/>
      <c r="AA358" s="15"/>
      <c r="AB358" s="17"/>
      <c r="AC358" s="17"/>
      <c r="AD358" s="17"/>
      <c r="AE358" s="90"/>
      <c r="AF358" s="82" t="str">
        <f t="shared" si="88"/>
        <v/>
      </c>
      <c r="AG358" s="83" t="str">
        <f t="shared" si="89"/>
        <v/>
      </c>
      <c r="AH358" s="82" t="str">
        <f t="shared" si="90"/>
        <v/>
      </c>
      <c r="AI358" s="82" t="str">
        <f t="shared" si="91"/>
        <v/>
      </c>
      <c r="AJ358" s="90"/>
      <c r="AP358" s="88"/>
    </row>
    <row r="359" spans="1:42" x14ac:dyDescent="0.25">
      <c r="A359" s="2"/>
      <c r="C359" s="68" t="str" cm="1">
        <f t="array" ref="C359">IF(AF359&lt;&gt;"",
IFERROR(INDEX('LaunchPad Markbook'!A:A,MATCH(AH359,'LaunchPad Markbook'!D:D,0),0),"-"),"")</f>
        <v/>
      </c>
      <c r="D359" s="27"/>
      <c r="E359" s="27"/>
      <c r="F359" s="27"/>
      <c r="G359" s="14">
        <f>IF(OR(H359&gt;AB$2,I359&gt;AC$2,J359&gt;AD$2,
P359&gt;1,V359&gt;1,
L359&gt;'Group List A'!E$2,M359&gt;'Group List A'!F$2,N359&gt;'Group List A'!G$2,
R359&gt;'Group List B'!E$2,S359&gt;'Group List B'!F$2,T359&gt;'Group List B'!G$2),"Exceed",
IF(OR(H359=AB$2,I359=AC$2,J359=AD$2,
P359=1,V359=1,
L359='Group List A'!E$2,M359='Group List A'!F$2,N359='Group List A'!G$2,
R359='Group List B'!E$2,S359='Group List B'!F$2,T359='Group List B'!G$2),"Limit",0))</f>
        <v>0</v>
      </c>
      <c r="H359" s="29">
        <f t="shared" si="77"/>
        <v>0</v>
      </c>
      <c r="I359" s="29">
        <f t="shared" si="78"/>
        <v>0</v>
      </c>
      <c r="J359" s="29">
        <f t="shared" si="79"/>
        <v>0</v>
      </c>
      <c r="K359" s="32" t="str" cm="1">
        <f t="array" ref="K359">IF(AF359&lt;&gt;"",IFERROR(INDEX('Group List A'!B:B,MATCH(AI359,'Group List A'!A:A,0),0),"-"),"")</f>
        <v/>
      </c>
      <c r="L359" s="33">
        <f t="shared" si="80"/>
        <v>0</v>
      </c>
      <c r="M359" s="33">
        <f t="shared" si="81"/>
        <v>0</v>
      </c>
      <c r="N359" s="33">
        <f t="shared" si="82"/>
        <v>0</v>
      </c>
      <c r="O359" s="28"/>
      <c r="P359" s="33">
        <f t="shared" si="83"/>
        <v>0</v>
      </c>
      <c r="Q359" s="35" t="str" cm="1">
        <f t="array" ref="Q359">IF(AF359&lt;&gt;"",IFERROR(INDEX('Group List B'!B:B,MATCH(AI359,'Group List B'!A:A,0),0),"-"),"")</f>
        <v/>
      </c>
      <c r="R359" s="36">
        <f t="shared" si="84"/>
        <v>0</v>
      </c>
      <c r="S359" s="36">
        <f t="shared" si="85"/>
        <v>0</v>
      </c>
      <c r="T359" s="36">
        <f t="shared" si="86"/>
        <v>0</v>
      </c>
      <c r="U359" s="28"/>
      <c r="V359" s="37">
        <f t="shared" si="87"/>
        <v>0</v>
      </c>
      <c r="W359" s="41"/>
      <c r="X359" s="27"/>
      <c r="Y359" s="27"/>
      <c r="Z359" s="27"/>
      <c r="AA359" s="15"/>
      <c r="AB359" s="17"/>
      <c r="AC359" s="17"/>
      <c r="AD359" s="17"/>
      <c r="AE359" s="90"/>
      <c r="AF359" s="82" t="str">
        <f t="shared" si="88"/>
        <v/>
      </c>
      <c r="AG359" s="83" t="str">
        <f t="shared" si="89"/>
        <v/>
      </c>
      <c r="AH359" s="82" t="str">
        <f t="shared" si="90"/>
        <v/>
      </c>
      <c r="AI359" s="82" t="str">
        <f t="shared" si="91"/>
        <v/>
      </c>
      <c r="AJ359" s="90"/>
      <c r="AP359" s="88"/>
    </row>
    <row r="360" spans="1:42" x14ac:dyDescent="0.25">
      <c r="A360" s="2"/>
      <c r="C360" s="68" t="str" cm="1">
        <f t="array" ref="C360">IF(AF360&lt;&gt;"",
IFERROR(INDEX('LaunchPad Markbook'!A:A,MATCH(AH360,'LaunchPad Markbook'!D:D,0),0),"-"),"")</f>
        <v/>
      </c>
      <c r="D360" s="27"/>
      <c r="E360" s="27"/>
      <c r="F360" s="27"/>
      <c r="G360" s="14">
        <f>IF(OR(H360&gt;AB$2,I360&gt;AC$2,J360&gt;AD$2,
P360&gt;1,V360&gt;1,
L360&gt;'Group List A'!E$2,M360&gt;'Group List A'!F$2,N360&gt;'Group List A'!G$2,
R360&gt;'Group List B'!E$2,S360&gt;'Group List B'!F$2,T360&gt;'Group List B'!G$2),"Exceed",
IF(OR(H360=AB$2,I360=AC$2,J360=AD$2,
P360=1,V360=1,
L360='Group List A'!E$2,M360='Group List A'!F$2,N360='Group List A'!G$2,
R360='Group List B'!E$2,S360='Group List B'!F$2,T360='Group List B'!G$2),"Limit",0))</f>
        <v>0</v>
      </c>
      <c r="H360" s="29">
        <f t="shared" si="77"/>
        <v>0</v>
      </c>
      <c r="I360" s="29">
        <f t="shared" si="78"/>
        <v>0</v>
      </c>
      <c r="J360" s="29">
        <f t="shared" si="79"/>
        <v>0</v>
      </c>
      <c r="K360" s="32" t="str" cm="1">
        <f t="array" ref="K360">IF(AF360&lt;&gt;"",IFERROR(INDEX('Group List A'!B:B,MATCH(AI360,'Group List A'!A:A,0),0),"-"),"")</f>
        <v/>
      </c>
      <c r="L360" s="33">
        <f t="shared" si="80"/>
        <v>0</v>
      </c>
      <c r="M360" s="33">
        <f t="shared" si="81"/>
        <v>0</v>
      </c>
      <c r="N360" s="33">
        <f t="shared" si="82"/>
        <v>0</v>
      </c>
      <c r="O360" s="28"/>
      <c r="P360" s="33">
        <f t="shared" si="83"/>
        <v>0</v>
      </c>
      <c r="Q360" s="35" t="str" cm="1">
        <f t="array" ref="Q360">IF(AF360&lt;&gt;"",IFERROR(INDEX('Group List B'!B:B,MATCH(AI360,'Group List B'!A:A,0),0),"-"),"")</f>
        <v/>
      </c>
      <c r="R360" s="36">
        <f t="shared" si="84"/>
        <v>0</v>
      </c>
      <c r="S360" s="36">
        <f t="shared" si="85"/>
        <v>0</v>
      </c>
      <c r="T360" s="36">
        <f t="shared" si="86"/>
        <v>0</v>
      </c>
      <c r="U360" s="28"/>
      <c r="V360" s="37">
        <f t="shared" si="87"/>
        <v>0</v>
      </c>
      <c r="W360" s="41"/>
      <c r="X360" s="27"/>
      <c r="Y360" s="27"/>
      <c r="Z360" s="27"/>
      <c r="AA360" s="15"/>
      <c r="AB360" s="17"/>
      <c r="AC360" s="17"/>
      <c r="AD360" s="17"/>
      <c r="AE360" s="90"/>
      <c r="AF360" s="82" t="str">
        <f t="shared" si="88"/>
        <v/>
      </c>
      <c r="AG360" s="83" t="str">
        <f t="shared" si="89"/>
        <v/>
      </c>
      <c r="AH360" s="82" t="str">
        <f t="shared" si="90"/>
        <v/>
      </c>
      <c r="AI360" s="82" t="str">
        <f t="shared" si="91"/>
        <v/>
      </c>
      <c r="AJ360" s="90"/>
      <c r="AP360" s="88"/>
    </row>
    <row r="361" spans="1:42" x14ac:dyDescent="0.25">
      <c r="A361" s="2"/>
      <c r="C361" s="68" t="str" cm="1">
        <f t="array" ref="C361">IF(AF361&lt;&gt;"",
IFERROR(INDEX('LaunchPad Markbook'!A:A,MATCH(AH361,'LaunchPad Markbook'!D:D,0),0),"-"),"")</f>
        <v/>
      </c>
      <c r="D361" s="27"/>
      <c r="E361" s="27"/>
      <c r="F361" s="27"/>
      <c r="G361" s="14">
        <f>IF(OR(H361&gt;AB$2,I361&gt;AC$2,J361&gt;AD$2,
P361&gt;1,V361&gt;1,
L361&gt;'Group List A'!E$2,M361&gt;'Group List A'!F$2,N361&gt;'Group List A'!G$2,
R361&gt;'Group List B'!E$2,S361&gt;'Group List B'!F$2,T361&gt;'Group List B'!G$2),"Exceed",
IF(OR(H361=AB$2,I361=AC$2,J361=AD$2,
P361=1,V361=1,
L361='Group List A'!E$2,M361='Group List A'!F$2,N361='Group List A'!G$2,
R361='Group List B'!E$2,S361='Group List B'!F$2,T361='Group List B'!G$2),"Limit",0))</f>
        <v>0</v>
      </c>
      <c r="H361" s="29">
        <f t="shared" si="77"/>
        <v>0</v>
      </c>
      <c r="I361" s="29">
        <f t="shared" si="78"/>
        <v>0</v>
      </c>
      <c r="J361" s="29">
        <f t="shared" si="79"/>
        <v>0</v>
      </c>
      <c r="K361" s="32" t="str" cm="1">
        <f t="array" ref="K361">IF(AF361&lt;&gt;"",IFERROR(INDEX('Group List A'!B:B,MATCH(AI361,'Group List A'!A:A,0),0),"-"),"")</f>
        <v/>
      </c>
      <c r="L361" s="33">
        <f t="shared" si="80"/>
        <v>0</v>
      </c>
      <c r="M361" s="33">
        <f t="shared" si="81"/>
        <v>0</v>
      </c>
      <c r="N361" s="33">
        <f t="shared" si="82"/>
        <v>0</v>
      </c>
      <c r="O361" s="28"/>
      <c r="P361" s="33">
        <f t="shared" si="83"/>
        <v>0</v>
      </c>
      <c r="Q361" s="35" t="str" cm="1">
        <f t="array" ref="Q361">IF(AF361&lt;&gt;"",IFERROR(INDEX('Group List B'!B:B,MATCH(AI361,'Group List B'!A:A,0),0),"-"),"")</f>
        <v/>
      </c>
      <c r="R361" s="36">
        <f t="shared" si="84"/>
        <v>0</v>
      </c>
      <c r="S361" s="36">
        <f t="shared" si="85"/>
        <v>0</v>
      </c>
      <c r="T361" s="36">
        <f t="shared" si="86"/>
        <v>0</v>
      </c>
      <c r="U361" s="28"/>
      <c r="V361" s="37">
        <f t="shared" si="87"/>
        <v>0</v>
      </c>
      <c r="W361" s="41"/>
      <c r="X361" s="27"/>
      <c r="Y361" s="27"/>
      <c r="Z361" s="27"/>
      <c r="AA361" s="15"/>
      <c r="AB361" s="17"/>
      <c r="AC361" s="17"/>
      <c r="AD361" s="17"/>
      <c r="AE361" s="90"/>
      <c r="AF361" s="82" t="str">
        <f t="shared" si="88"/>
        <v/>
      </c>
      <c r="AG361" s="83" t="str">
        <f t="shared" si="89"/>
        <v/>
      </c>
      <c r="AH361" s="82" t="str">
        <f t="shared" si="90"/>
        <v/>
      </c>
      <c r="AI361" s="82" t="str">
        <f t="shared" si="91"/>
        <v/>
      </c>
      <c r="AJ361" s="90"/>
      <c r="AP361" s="88"/>
    </row>
    <row r="362" spans="1:42" x14ac:dyDescent="0.25">
      <c r="A362" s="2"/>
      <c r="C362" s="68" t="str" cm="1">
        <f t="array" ref="C362">IF(AF362&lt;&gt;"",
IFERROR(INDEX('LaunchPad Markbook'!A:A,MATCH(AH362,'LaunchPad Markbook'!D:D,0),0),"-"),"")</f>
        <v/>
      </c>
      <c r="D362" s="27"/>
      <c r="E362" s="27"/>
      <c r="F362" s="27"/>
      <c r="G362" s="14">
        <f>IF(OR(H362&gt;AB$2,I362&gt;AC$2,J362&gt;AD$2,
P362&gt;1,V362&gt;1,
L362&gt;'Group List A'!E$2,M362&gt;'Group List A'!F$2,N362&gt;'Group List A'!G$2,
R362&gt;'Group List B'!E$2,S362&gt;'Group List B'!F$2,T362&gt;'Group List B'!G$2),"Exceed",
IF(OR(H362=AB$2,I362=AC$2,J362=AD$2,
P362=1,V362=1,
L362='Group List A'!E$2,M362='Group List A'!F$2,N362='Group List A'!G$2,
R362='Group List B'!E$2,S362='Group List B'!F$2,T362='Group List B'!G$2),"Limit",0))</f>
        <v>0</v>
      </c>
      <c r="H362" s="29">
        <f t="shared" si="77"/>
        <v>0</v>
      </c>
      <c r="I362" s="29">
        <f t="shared" si="78"/>
        <v>0</v>
      </c>
      <c r="J362" s="29">
        <f t="shared" si="79"/>
        <v>0</v>
      </c>
      <c r="K362" s="32" t="str" cm="1">
        <f t="array" ref="K362">IF(AF362&lt;&gt;"",IFERROR(INDEX('Group List A'!B:B,MATCH(AI362,'Group List A'!A:A,0),0),"-"),"")</f>
        <v/>
      </c>
      <c r="L362" s="33">
        <f t="shared" si="80"/>
        <v>0</v>
      </c>
      <c r="M362" s="33">
        <f t="shared" si="81"/>
        <v>0</v>
      </c>
      <c r="N362" s="33">
        <f t="shared" si="82"/>
        <v>0</v>
      </c>
      <c r="O362" s="28"/>
      <c r="P362" s="33">
        <f t="shared" si="83"/>
        <v>0</v>
      </c>
      <c r="Q362" s="35" t="str" cm="1">
        <f t="array" ref="Q362">IF(AF362&lt;&gt;"",IFERROR(INDEX('Group List B'!B:B,MATCH(AI362,'Group List B'!A:A,0),0),"-"),"")</f>
        <v/>
      </c>
      <c r="R362" s="36">
        <f t="shared" si="84"/>
        <v>0</v>
      </c>
      <c r="S362" s="36">
        <f t="shared" si="85"/>
        <v>0</v>
      </c>
      <c r="T362" s="36">
        <f t="shared" si="86"/>
        <v>0</v>
      </c>
      <c r="U362" s="28"/>
      <c r="V362" s="37">
        <f t="shared" si="87"/>
        <v>0</v>
      </c>
      <c r="W362" s="41"/>
      <c r="X362" s="27"/>
      <c r="Y362" s="27"/>
      <c r="Z362" s="27"/>
      <c r="AA362" s="15"/>
      <c r="AB362" s="17"/>
      <c r="AC362" s="17"/>
      <c r="AD362" s="17"/>
      <c r="AE362" s="90"/>
      <c r="AF362" s="82" t="str">
        <f t="shared" si="88"/>
        <v/>
      </c>
      <c r="AG362" s="83" t="str">
        <f t="shared" si="89"/>
        <v/>
      </c>
      <c r="AH362" s="82" t="str">
        <f t="shared" si="90"/>
        <v/>
      </c>
      <c r="AI362" s="82" t="str">
        <f t="shared" si="91"/>
        <v/>
      </c>
      <c r="AJ362" s="90"/>
      <c r="AP362" s="88"/>
    </row>
    <row r="363" spans="1:42" x14ac:dyDescent="0.25">
      <c r="A363" s="2"/>
      <c r="C363" s="68" t="str" cm="1">
        <f t="array" ref="C363">IF(AF363&lt;&gt;"",
IFERROR(INDEX('LaunchPad Markbook'!A:A,MATCH(AH363,'LaunchPad Markbook'!D:D,0),0),"-"),"")</f>
        <v/>
      </c>
      <c r="D363" s="27"/>
      <c r="E363" s="27"/>
      <c r="F363" s="27"/>
      <c r="G363" s="14">
        <f>IF(OR(H363&gt;AB$2,I363&gt;AC$2,J363&gt;AD$2,
P363&gt;1,V363&gt;1,
L363&gt;'Group List A'!E$2,M363&gt;'Group List A'!F$2,N363&gt;'Group List A'!G$2,
R363&gt;'Group List B'!E$2,S363&gt;'Group List B'!F$2,T363&gt;'Group List B'!G$2),"Exceed",
IF(OR(H363=AB$2,I363=AC$2,J363=AD$2,
P363=1,V363=1,
L363='Group List A'!E$2,M363='Group List A'!F$2,N363='Group List A'!G$2,
R363='Group List B'!E$2,S363='Group List B'!F$2,T363='Group List B'!G$2),"Limit",0))</f>
        <v>0</v>
      </c>
      <c r="H363" s="29">
        <f t="shared" si="77"/>
        <v>0</v>
      </c>
      <c r="I363" s="29">
        <f t="shared" si="78"/>
        <v>0</v>
      </c>
      <c r="J363" s="29">
        <f t="shared" si="79"/>
        <v>0</v>
      </c>
      <c r="K363" s="32" t="str" cm="1">
        <f t="array" ref="K363">IF(AF363&lt;&gt;"",IFERROR(INDEX('Group List A'!B:B,MATCH(AI363,'Group List A'!A:A,0),0),"-"),"")</f>
        <v/>
      </c>
      <c r="L363" s="33">
        <f t="shared" si="80"/>
        <v>0</v>
      </c>
      <c r="M363" s="33">
        <f t="shared" si="81"/>
        <v>0</v>
      </c>
      <c r="N363" s="33">
        <f t="shared" si="82"/>
        <v>0</v>
      </c>
      <c r="O363" s="28"/>
      <c r="P363" s="33">
        <f t="shared" si="83"/>
        <v>0</v>
      </c>
      <c r="Q363" s="35" t="str" cm="1">
        <f t="array" ref="Q363">IF(AF363&lt;&gt;"",IFERROR(INDEX('Group List B'!B:B,MATCH(AI363,'Group List B'!A:A,0),0),"-"),"")</f>
        <v/>
      </c>
      <c r="R363" s="36">
        <f t="shared" si="84"/>
        <v>0</v>
      </c>
      <c r="S363" s="36">
        <f t="shared" si="85"/>
        <v>0</v>
      </c>
      <c r="T363" s="36">
        <f t="shared" si="86"/>
        <v>0</v>
      </c>
      <c r="U363" s="28"/>
      <c r="V363" s="37">
        <f t="shared" si="87"/>
        <v>0</v>
      </c>
      <c r="W363" s="41"/>
      <c r="X363" s="27"/>
      <c r="Y363" s="27"/>
      <c r="Z363" s="27"/>
      <c r="AA363" s="15"/>
      <c r="AB363" s="17"/>
      <c r="AC363" s="17"/>
      <c r="AD363" s="17"/>
      <c r="AE363" s="90"/>
      <c r="AF363" s="82" t="str">
        <f t="shared" si="88"/>
        <v/>
      </c>
      <c r="AG363" s="83" t="str">
        <f t="shared" si="89"/>
        <v/>
      </c>
      <c r="AH363" s="82" t="str">
        <f t="shared" si="90"/>
        <v/>
      </c>
      <c r="AI363" s="82" t="str">
        <f t="shared" si="91"/>
        <v/>
      </c>
      <c r="AJ363" s="90"/>
      <c r="AP363" s="88"/>
    </row>
    <row r="364" spans="1:42" x14ac:dyDescent="0.25">
      <c r="A364" s="2"/>
      <c r="C364" s="68" t="str" cm="1">
        <f t="array" ref="C364">IF(AF364&lt;&gt;"",
IFERROR(INDEX('LaunchPad Markbook'!A:A,MATCH(AH364,'LaunchPad Markbook'!D:D,0),0),"-"),"")</f>
        <v/>
      </c>
      <c r="D364" s="27"/>
      <c r="E364" s="27"/>
      <c r="F364" s="27"/>
      <c r="G364" s="14">
        <f>IF(OR(H364&gt;AB$2,I364&gt;AC$2,J364&gt;AD$2,
P364&gt;1,V364&gt;1,
L364&gt;'Group List A'!E$2,M364&gt;'Group List A'!F$2,N364&gt;'Group List A'!G$2,
R364&gt;'Group List B'!E$2,S364&gt;'Group List B'!F$2,T364&gt;'Group List B'!G$2),"Exceed",
IF(OR(H364=AB$2,I364=AC$2,J364=AD$2,
P364=1,V364=1,
L364='Group List A'!E$2,M364='Group List A'!F$2,N364='Group List A'!G$2,
R364='Group List B'!E$2,S364='Group List B'!F$2,T364='Group List B'!G$2),"Limit",0))</f>
        <v>0</v>
      </c>
      <c r="H364" s="29">
        <f t="shared" si="77"/>
        <v>0</v>
      </c>
      <c r="I364" s="29">
        <f t="shared" si="78"/>
        <v>0</v>
      </c>
      <c r="J364" s="29">
        <f t="shared" si="79"/>
        <v>0</v>
      </c>
      <c r="K364" s="32" t="str" cm="1">
        <f t="array" ref="K364">IF(AF364&lt;&gt;"",IFERROR(INDEX('Group List A'!B:B,MATCH(AI364,'Group List A'!A:A,0),0),"-"),"")</f>
        <v/>
      </c>
      <c r="L364" s="33">
        <f t="shared" si="80"/>
        <v>0</v>
      </c>
      <c r="M364" s="33">
        <f t="shared" si="81"/>
        <v>0</v>
      </c>
      <c r="N364" s="33">
        <f t="shared" si="82"/>
        <v>0</v>
      </c>
      <c r="O364" s="28"/>
      <c r="P364" s="33">
        <f t="shared" si="83"/>
        <v>0</v>
      </c>
      <c r="Q364" s="35" t="str" cm="1">
        <f t="array" ref="Q364">IF(AF364&lt;&gt;"",IFERROR(INDEX('Group List B'!B:B,MATCH(AI364,'Group List B'!A:A,0),0),"-"),"")</f>
        <v/>
      </c>
      <c r="R364" s="36">
        <f t="shared" si="84"/>
        <v>0</v>
      </c>
      <c r="S364" s="36">
        <f t="shared" si="85"/>
        <v>0</v>
      </c>
      <c r="T364" s="36">
        <f t="shared" si="86"/>
        <v>0</v>
      </c>
      <c r="U364" s="28"/>
      <c r="V364" s="37">
        <f t="shared" si="87"/>
        <v>0</v>
      </c>
      <c r="W364" s="41"/>
      <c r="X364" s="27"/>
      <c r="Y364" s="27"/>
      <c r="Z364" s="27"/>
      <c r="AA364" s="15"/>
      <c r="AB364" s="17"/>
      <c r="AC364" s="17"/>
      <c r="AD364" s="17"/>
      <c r="AE364" s="90"/>
      <c r="AF364" s="82" t="str">
        <f t="shared" si="88"/>
        <v/>
      </c>
      <c r="AG364" s="83" t="str">
        <f t="shared" si="89"/>
        <v/>
      </c>
      <c r="AH364" s="82" t="str">
        <f t="shared" si="90"/>
        <v/>
      </c>
      <c r="AI364" s="82" t="str">
        <f t="shared" si="91"/>
        <v/>
      </c>
      <c r="AJ364" s="90"/>
      <c r="AP364" s="88"/>
    </row>
    <row r="365" spans="1:42" x14ac:dyDescent="0.25">
      <c r="A365" s="2"/>
      <c r="C365" s="68" t="str" cm="1">
        <f t="array" ref="C365">IF(AF365&lt;&gt;"",
IFERROR(INDEX('LaunchPad Markbook'!A:A,MATCH(AH365,'LaunchPad Markbook'!D:D,0),0),"-"),"")</f>
        <v/>
      </c>
      <c r="D365" s="27"/>
      <c r="E365" s="27"/>
      <c r="F365" s="27"/>
      <c r="G365" s="14">
        <f>IF(OR(H365&gt;AB$2,I365&gt;AC$2,J365&gt;AD$2,
P365&gt;1,V365&gt;1,
L365&gt;'Group List A'!E$2,M365&gt;'Group List A'!F$2,N365&gt;'Group List A'!G$2,
R365&gt;'Group List B'!E$2,S365&gt;'Group List B'!F$2,T365&gt;'Group List B'!G$2),"Exceed",
IF(OR(H365=AB$2,I365=AC$2,J365=AD$2,
P365=1,V365=1,
L365='Group List A'!E$2,M365='Group List A'!F$2,N365='Group List A'!G$2,
R365='Group List B'!E$2,S365='Group List B'!F$2,T365='Group List B'!G$2),"Limit",0))</f>
        <v>0</v>
      </c>
      <c r="H365" s="29">
        <f t="shared" si="77"/>
        <v>0</v>
      </c>
      <c r="I365" s="29">
        <f t="shared" si="78"/>
        <v>0</v>
      </c>
      <c r="J365" s="29">
        <f t="shared" si="79"/>
        <v>0</v>
      </c>
      <c r="K365" s="32" t="str" cm="1">
        <f t="array" ref="K365">IF(AF365&lt;&gt;"",IFERROR(INDEX('Group List A'!B:B,MATCH(AI365,'Group List A'!A:A,0),0),"-"),"")</f>
        <v/>
      </c>
      <c r="L365" s="33">
        <f t="shared" si="80"/>
        <v>0</v>
      </c>
      <c r="M365" s="33">
        <f t="shared" si="81"/>
        <v>0</v>
      </c>
      <c r="N365" s="33">
        <f t="shared" si="82"/>
        <v>0</v>
      </c>
      <c r="O365" s="28"/>
      <c r="P365" s="33">
        <f t="shared" si="83"/>
        <v>0</v>
      </c>
      <c r="Q365" s="35" t="str" cm="1">
        <f t="array" ref="Q365">IF(AF365&lt;&gt;"",IFERROR(INDEX('Group List B'!B:B,MATCH(AI365,'Group List B'!A:A,0),0),"-"),"")</f>
        <v/>
      </c>
      <c r="R365" s="36">
        <f t="shared" si="84"/>
        <v>0</v>
      </c>
      <c r="S365" s="36">
        <f t="shared" si="85"/>
        <v>0</v>
      </c>
      <c r="T365" s="36">
        <f t="shared" si="86"/>
        <v>0</v>
      </c>
      <c r="U365" s="28"/>
      <c r="V365" s="37">
        <f t="shared" si="87"/>
        <v>0</v>
      </c>
      <c r="W365" s="41"/>
      <c r="X365" s="27"/>
      <c r="Y365" s="27"/>
      <c r="Z365" s="27"/>
      <c r="AA365" s="15"/>
      <c r="AB365" s="17"/>
      <c r="AC365" s="17"/>
      <c r="AD365" s="17"/>
      <c r="AE365" s="90"/>
      <c r="AF365" s="82" t="str">
        <f t="shared" si="88"/>
        <v/>
      </c>
      <c r="AG365" s="83" t="str">
        <f t="shared" si="89"/>
        <v/>
      </c>
      <c r="AH365" s="82" t="str">
        <f t="shared" si="90"/>
        <v/>
      </c>
      <c r="AI365" s="82" t="str">
        <f t="shared" si="91"/>
        <v/>
      </c>
      <c r="AJ365" s="90"/>
      <c r="AP365" s="88"/>
    </row>
    <row r="366" spans="1:42" x14ac:dyDescent="0.25">
      <c r="A366" s="2"/>
      <c r="C366" s="68" t="str" cm="1">
        <f t="array" ref="C366">IF(AF366&lt;&gt;"",
IFERROR(INDEX('LaunchPad Markbook'!A:A,MATCH(AH366,'LaunchPad Markbook'!D:D,0),0),"-"),"")</f>
        <v/>
      </c>
      <c r="D366" s="27"/>
      <c r="E366" s="27"/>
      <c r="F366" s="27"/>
      <c r="G366" s="14">
        <f>IF(OR(H366&gt;AB$2,I366&gt;AC$2,J366&gt;AD$2,
P366&gt;1,V366&gt;1,
L366&gt;'Group List A'!E$2,M366&gt;'Group List A'!F$2,N366&gt;'Group List A'!G$2,
R366&gt;'Group List B'!E$2,S366&gt;'Group List B'!F$2,T366&gt;'Group List B'!G$2),"Exceed",
IF(OR(H366=AB$2,I366=AC$2,J366=AD$2,
P366=1,V366=1,
L366='Group List A'!E$2,M366='Group List A'!F$2,N366='Group List A'!G$2,
R366='Group List B'!E$2,S366='Group List B'!F$2,T366='Group List B'!G$2),"Limit",0))</f>
        <v>0</v>
      </c>
      <c r="H366" s="29">
        <f t="shared" si="77"/>
        <v>0</v>
      </c>
      <c r="I366" s="29">
        <f t="shared" si="78"/>
        <v>0</v>
      </c>
      <c r="J366" s="29">
        <f t="shared" si="79"/>
        <v>0</v>
      </c>
      <c r="K366" s="32" t="str" cm="1">
        <f t="array" ref="K366">IF(AF366&lt;&gt;"",IFERROR(INDEX('Group List A'!B:B,MATCH(AI366,'Group List A'!A:A,0),0),"-"),"")</f>
        <v/>
      </c>
      <c r="L366" s="33">
        <f t="shared" si="80"/>
        <v>0</v>
      </c>
      <c r="M366" s="33">
        <f t="shared" si="81"/>
        <v>0</v>
      </c>
      <c r="N366" s="33">
        <f t="shared" si="82"/>
        <v>0</v>
      </c>
      <c r="O366" s="28"/>
      <c r="P366" s="33">
        <f t="shared" si="83"/>
        <v>0</v>
      </c>
      <c r="Q366" s="35" t="str" cm="1">
        <f t="array" ref="Q366">IF(AF366&lt;&gt;"",IFERROR(INDEX('Group List B'!B:B,MATCH(AI366,'Group List B'!A:A,0),0),"-"),"")</f>
        <v/>
      </c>
      <c r="R366" s="36">
        <f t="shared" si="84"/>
        <v>0</v>
      </c>
      <c r="S366" s="36">
        <f t="shared" si="85"/>
        <v>0</v>
      </c>
      <c r="T366" s="36">
        <f t="shared" si="86"/>
        <v>0</v>
      </c>
      <c r="U366" s="28"/>
      <c r="V366" s="37">
        <f t="shared" si="87"/>
        <v>0</v>
      </c>
      <c r="W366" s="41"/>
      <c r="X366" s="27"/>
      <c r="Y366" s="27"/>
      <c r="Z366" s="27"/>
      <c r="AA366" s="15"/>
      <c r="AB366" s="17"/>
      <c r="AC366" s="17"/>
      <c r="AD366" s="17"/>
      <c r="AE366" s="90"/>
      <c r="AF366" s="82" t="str">
        <f t="shared" si="88"/>
        <v/>
      </c>
      <c r="AG366" s="83" t="str">
        <f t="shared" si="89"/>
        <v/>
      </c>
      <c r="AH366" s="82" t="str">
        <f t="shared" si="90"/>
        <v/>
      </c>
      <c r="AI366" s="82" t="str">
        <f t="shared" si="91"/>
        <v/>
      </c>
      <c r="AJ366" s="90"/>
      <c r="AP366" s="88"/>
    </row>
    <row r="367" spans="1:42" x14ac:dyDescent="0.25">
      <c r="A367" s="2"/>
      <c r="C367" s="68" t="str" cm="1">
        <f t="array" ref="C367">IF(AF367&lt;&gt;"",
IFERROR(INDEX('LaunchPad Markbook'!A:A,MATCH(AH367,'LaunchPad Markbook'!D:D,0),0),"-"),"")</f>
        <v/>
      </c>
      <c r="D367" s="27"/>
      <c r="E367" s="27"/>
      <c r="F367" s="27"/>
      <c r="G367" s="14">
        <f>IF(OR(H367&gt;AB$2,I367&gt;AC$2,J367&gt;AD$2,
P367&gt;1,V367&gt;1,
L367&gt;'Group List A'!E$2,M367&gt;'Group List A'!F$2,N367&gt;'Group List A'!G$2,
R367&gt;'Group List B'!E$2,S367&gt;'Group List B'!F$2,T367&gt;'Group List B'!G$2),"Exceed",
IF(OR(H367=AB$2,I367=AC$2,J367=AD$2,
P367=1,V367=1,
L367='Group List A'!E$2,M367='Group List A'!F$2,N367='Group List A'!G$2,
R367='Group List B'!E$2,S367='Group List B'!F$2,T367='Group List B'!G$2),"Limit",0))</f>
        <v>0</v>
      </c>
      <c r="H367" s="29">
        <f t="shared" si="77"/>
        <v>0</v>
      </c>
      <c r="I367" s="29">
        <f t="shared" si="78"/>
        <v>0</v>
      </c>
      <c r="J367" s="29">
        <f t="shared" si="79"/>
        <v>0</v>
      </c>
      <c r="K367" s="32" t="str" cm="1">
        <f t="array" ref="K367">IF(AF367&lt;&gt;"",IFERROR(INDEX('Group List A'!B:B,MATCH(AI367,'Group List A'!A:A,0),0),"-"),"")</f>
        <v/>
      </c>
      <c r="L367" s="33">
        <f t="shared" si="80"/>
        <v>0</v>
      </c>
      <c r="M367" s="33">
        <f t="shared" si="81"/>
        <v>0</v>
      </c>
      <c r="N367" s="33">
        <f t="shared" si="82"/>
        <v>0</v>
      </c>
      <c r="O367" s="28"/>
      <c r="P367" s="33">
        <f t="shared" si="83"/>
        <v>0</v>
      </c>
      <c r="Q367" s="35" t="str" cm="1">
        <f t="array" ref="Q367">IF(AF367&lt;&gt;"",IFERROR(INDEX('Group List B'!B:B,MATCH(AI367,'Group List B'!A:A,0),0),"-"),"")</f>
        <v/>
      </c>
      <c r="R367" s="36">
        <f t="shared" si="84"/>
        <v>0</v>
      </c>
      <c r="S367" s="36">
        <f t="shared" si="85"/>
        <v>0</v>
      </c>
      <c r="T367" s="36">
        <f t="shared" si="86"/>
        <v>0</v>
      </c>
      <c r="U367" s="28"/>
      <c r="V367" s="37">
        <f t="shared" si="87"/>
        <v>0</v>
      </c>
      <c r="W367" s="41"/>
      <c r="X367" s="27"/>
      <c r="Y367" s="27"/>
      <c r="Z367" s="27"/>
      <c r="AA367" s="15"/>
      <c r="AB367" s="17"/>
      <c r="AC367" s="17"/>
      <c r="AD367" s="17"/>
      <c r="AE367" s="90"/>
      <c r="AF367" s="82" t="str">
        <f t="shared" si="88"/>
        <v/>
      </c>
      <c r="AG367" s="83" t="str">
        <f t="shared" si="89"/>
        <v/>
      </c>
      <c r="AH367" s="82" t="str">
        <f t="shared" si="90"/>
        <v/>
      </c>
      <c r="AI367" s="82" t="str">
        <f t="shared" si="91"/>
        <v/>
      </c>
      <c r="AJ367" s="90"/>
      <c r="AP367" s="88"/>
    </row>
    <row r="368" spans="1:42" x14ac:dyDescent="0.25">
      <c r="A368" s="2"/>
      <c r="C368" s="68" t="str" cm="1">
        <f t="array" ref="C368">IF(AF368&lt;&gt;"",
IFERROR(INDEX('LaunchPad Markbook'!A:A,MATCH(AH368,'LaunchPad Markbook'!D:D,0),0),"-"),"")</f>
        <v/>
      </c>
      <c r="D368" s="27"/>
      <c r="E368" s="27"/>
      <c r="F368" s="27"/>
      <c r="G368" s="14">
        <f>IF(OR(H368&gt;AB$2,I368&gt;AC$2,J368&gt;AD$2,
P368&gt;1,V368&gt;1,
L368&gt;'Group List A'!E$2,M368&gt;'Group List A'!F$2,N368&gt;'Group List A'!G$2,
R368&gt;'Group List B'!E$2,S368&gt;'Group List B'!F$2,T368&gt;'Group List B'!G$2),"Exceed",
IF(OR(H368=AB$2,I368=AC$2,J368=AD$2,
P368=1,V368=1,
L368='Group List A'!E$2,M368='Group List A'!F$2,N368='Group List A'!G$2,
R368='Group List B'!E$2,S368='Group List B'!F$2,T368='Group List B'!G$2),"Limit",0))</f>
        <v>0</v>
      </c>
      <c r="H368" s="29">
        <f t="shared" si="77"/>
        <v>0</v>
      </c>
      <c r="I368" s="29">
        <f t="shared" si="78"/>
        <v>0</v>
      </c>
      <c r="J368" s="29">
        <f t="shared" si="79"/>
        <v>0</v>
      </c>
      <c r="K368" s="32" t="str" cm="1">
        <f t="array" ref="K368">IF(AF368&lt;&gt;"",IFERROR(INDEX('Group List A'!B:B,MATCH(AI368,'Group List A'!A:A,0),0),"-"),"")</f>
        <v/>
      </c>
      <c r="L368" s="33">
        <f t="shared" si="80"/>
        <v>0</v>
      </c>
      <c r="M368" s="33">
        <f t="shared" si="81"/>
        <v>0</v>
      </c>
      <c r="N368" s="33">
        <f t="shared" si="82"/>
        <v>0</v>
      </c>
      <c r="O368" s="28"/>
      <c r="P368" s="33">
        <f t="shared" si="83"/>
        <v>0</v>
      </c>
      <c r="Q368" s="35" t="str" cm="1">
        <f t="array" ref="Q368">IF(AF368&lt;&gt;"",IFERROR(INDEX('Group List B'!B:B,MATCH(AI368,'Group List B'!A:A,0),0),"-"),"")</f>
        <v/>
      </c>
      <c r="R368" s="36">
        <f t="shared" si="84"/>
        <v>0</v>
      </c>
      <c r="S368" s="36">
        <f t="shared" si="85"/>
        <v>0</v>
      </c>
      <c r="T368" s="36">
        <f t="shared" si="86"/>
        <v>0</v>
      </c>
      <c r="U368" s="28"/>
      <c r="V368" s="37">
        <f t="shared" si="87"/>
        <v>0</v>
      </c>
      <c r="W368" s="41"/>
      <c r="X368" s="27"/>
      <c r="Y368" s="27"/>
      <c r="Z368" s="27"/>
      <c r="AA368" s="15"/>
      <c r="AB368" s="17"/>
      <c r="AC368" s="17"/>
      <c r="AD368" s="17"/>
      <c r="AE368" s="90"/>
      <c r="AF368" s="82" t="str">
        <f t="shared" si="88"/>
        <v/>
      </c>
      <c r="AG368" s="83" t="str">
        <f t="shared" si="89"/>
        <v/>
      </c>
      <c r="AH368" s="82" t="str">
        <f t="shared" si="90"/>
        <v/>
      </c>
      <c r="AI368" s="82" t="str">
        <f t="shared" si="91"/>
        <v/>
      </c>
      <c r="AJ368" s="90"/>
      <c r="AP368" s="88"/>
    </row>
    <row r="369" spans="1:45" x14ac:dyDescent="0.25">
      <c r="A369" s="2"/>
      <c r="C369" s="68" t="str" cm="1">
        <f t="array" ref="C369">IF(AF369&lt;&gt;"",
IFERROR(INDEX('LaunchPad Markbook'!A:A,MATCH(AH369,'LaunchPad Markbook'!D:D,0),0),"-"),"")</f>
        <v/>
      </c>
      <c r="D369" s="27"/>
      <c r="E369" s="27"/>
      <c r="F369" s="27"/>
      <c r="G369" s="14">
        <f>IF(OR(H369&gt;AB$2,I369&gt;AC$2,J369&gt;AD$2,
P369&gt;1,V369&gt;1,
L369&gt;'Group List A'!E$2,M369&gt;'Group List A'!F$2,N369&gt;'Group List A'!G$2,
R369&gt;'Group List B'!E$2,S369&gt;'Group List B'!F$2,T369&gt;'Group List B'!G$2),"Exceed",
IF(OR(H369=AB$2,I369=AC$2,J369=AD$2,
P369=1,V369=1,
L369='Group List A'!E$2,M369='Group List A'!F$2,N369='Group List A'!G$2,
R369='Group List B'!E$2,S369='Group List B'!F$2,T369='Group List B'!G$2),"Limit",0))</f>
        <v>0</v>
      </c>
      <c r="H369" s="29">
        <f t="shared" si="77"/>
        <v>0</v>
      </c>
      <c r="I369" s="29">
        <f t="shared" si="78"/>
        <v>0</v>
      </c>
      <c r="J369" s="29">
        <f t="shared" si="79"/>
        <v>0</v>
      </c>
      <c r="K369" s="32" t="str" cm="1">
        <f t="array" ref="K369">IF(AF369&lt;&gt;"",IFERROR(INDEX('Group List A'!B:B,MATCH(AI369,'Group List A'!A:A,0),0),"-"),"")</f>
        <v/>
      </c>
      <c r="L369" s="33">
        <f t="shared" si="80"/>
        <v>0</v>
      </c>
      <c r="M369" s="33">
        <f t="shared" si="81"/>
        <v>0</v>
      </c>
      <c r="N369" s="33">
        <f t="shared" si="82"/>
        <v>0</v>
      </c>
      <c r="O369" s="28"/>
      <c r="P369" s="33">
        <f t="shared" si="83"/>
        <v>0</v>
      </c>
      <c r="Q369" s="35" t="str" cm="1">
        <f t="array" ref="Q369">IF(AF369&lt;&gt;"",IFERROR(INDEX('Group List B'!B:B,MATCH(AI369,'Group List B'!A:A,0),0),"-"),"")</f>
        <v/>
      </c>
      <c r="R369" s="36">
        <f t="shared" si="84"/>
        <v>0</v>
      </c>
      <c r="S369" s="36">
        <f t="shared" si="85"/>
        <v>0</v>
      </c>
      <c r="T369" s="36">
        <f t="shared" si="86"/>
        <v>0</v>
      </c>
      <c r="U369" s="28"/>
      <c r="V369" s="37">
        <f t="shared" si="87"/>
        <v>0</v>
      </c>
      <c r="W369" s="41"/>
      <c r="X369" s="27"/>
      <c r="Y369" s="27"/>
      <c r="Z369" s="27"/>
      <c r="AA369" s="15"/>
      <c r="AB369" s="17"/>
      <c r="AC369" s="17"/>
      <c r="AD369" s="17"/>
      <c r="AE369" s="90"/>
      <c r="AF369" s="82" t="str">
        <f t="shared" si="88"/>
        <v/>
      </c>
      <c r="AG369" s="83" t="str">
        <f t="shared" si="89"/>
        <v/>
      </c>
      <c r="AH369" s="82" t="str">
        <f t="shared" si="90"/>
        <v/>
      </c>
      <c r="AI369" s="82" t="str">
        <f t="shared" si="91"/>
        <v/>
      </c>
      <c r="AJ369" s="90"/>
      <c r="AP369" s="88"/>
    </row>
    <row r="370" spans="1:45" x14ac:dyDescent="0.25">
      <c r="A370" s="2"/>
      <c r="C370" s="68" t="str" cm="1">
        <f t="array" ref="C370">IF(AF370&lt;&gt;"",
IFERROR(INDEX('LaunchPad Markbook'!A:A,MATCH(AH370,'LaunchPad Markbook'!D:D,0),0),"-"),"")</f>
        <v/>
      </c>
      <c r="D370" s="27"/>
      <c r="E370" s="27"/>
      <c r="F370" s="27"/>
      <c r="G370" s="14">
        <f>IF(OR(H370&gt;AB$2,I370&gt;AC$2,J370&gt;AD$2,
P370&gt;1,V370&gt;1,
L370&gt;'Group List A'!E$2,M370&gt;'Group List A'!F$2,N370&gt;'Group List A'!G$2,
R370&gt;'Group List B'!E$2,S370&gt;'Group List B'!F$2,T370&gt;'Group List B'!G$2),"Exceed",
IF(OR(H370=AB$2,I370=AC$2,J370=AD$2,
P370=1,V370=1,
L370='Group List A'!E$2,M370='Group List A'!F$2,N370='Group List A'!G$2,
R370='Group List B'!E$2,S370='Group List B'!F$2,T370='Group List B'!G$2),"Limit",0))</f>
        <v>0</v>
      </c>
      <c r="H370" s="29">
        <f t="shared" si="77"/>
        <v>0</v>
      </c>
      <c r="I370" s="29">
        <f t="shared" si="78"/>
        <v>0</v>
      </c>
      <c r="J370" s="29">
        <f t="shared" si="79"/>
        <v>0</v>
      </c>
      <c r="K370" s="32" t="str" cm="1">
        <f t="array" ref="K370">IF(AF370&lt;&gt;"",IFERROR(INDEX('Group List A'!B:B,MATCH(AI370,'Group List A'!A:A,0),0),"-"),"")</f>
        <v/>
      </c>
      <c r="L370" s="33">
        <f t="shared" si="80"/>
        <v>0</v>
      </c>
      <c r="M370" s="33">
        <f t="shared" si="81"/>
        <v>0</v>
      </c>
      <c r="N370" s="33">
        <f t="shared" si="82"/>
        <v>0</v>
      </c>
      <c r="O370" s="28"/>
      <c r="P370" s="33">
        <f t="shared" si="83"/>
        <v>0</v>
      </c>
      <c r="Q370" s="35" t="str" cm="1">
        <f t="array" ref="Q370">IF(AF370&lt;&gt;"",IFERROR(INDEX('Group List B'!B:B,MATCH(AI370,'Group List B'!A:A,0),0),"-"),"")</f>
        <v/>
      </c>
      <c r="R370" s="36">
        <f t="shared" si="84"/>
        <v>0</v>
      </c>
      <c r="S370" s="36">
        <f t="shared" si="85"/>
        <v>0</v>
      </c>
      <c r="T370" s="36">
        <f t="shared" si="86"/>
        <v>0</v>
      </c>
      <c r="U370" s="28"/>
      <c r="V370" s="37">
        <f t="shared" si="87"/>
        <v>0</v>
      </c>
      <c r="W370" s="41"/>
      <c r="X370" s="27"/>
      <c r="Y370" s="27"/>
      <c r="Z370" s="27"/>
      <c r="AA370" s="15"/>
      <c r="AB370" s="17"/>
      <c r="AC370" s="17"/>
      <c r="AD370" s="17"/>
      <c r="AE370" s="90"/>
      <c r="AF370" s="82" t="str">
        <f t="shared" si="88"/>
        <v/>
      </c>
      <c r="AG370" s="83" t="str">
        <f t="shared" si="89"/>
        <v/>
      </c>
      <c r="AH370" s="82" t="str">
        <f t="shared" si="90"/>
        <v/>
      </c>
      <c r="AI370" s="82" t="str">
        <f t="shared" si="91"/>
        <v/>
      </c>
      <c r="AJ370" s="90"/>
      <c r="AP370" s="88"/>
    </row>
    <row r="371" spans="1:45" x14ac:dyDescent="0.25">
      <c r="A371" s="2"/>
      <c r="C371" s="68" t="str" cm="1">
        <f t="array" ref="C371">IF(AF371&lt;&gt;"",
IFERROR(INDEX('LaunchPad Markbook'!A:A,MATCH(AH371,'LaunchPad Markbook'!D:D,0),0),"-"),"")</f>
        <v/>
      </c>
      <c r="D371" s="27"/>
      <c r="E371" s="27"/>
      <c r="F371" s="27"/>
      <c r="G371" s="14">
        <f>IF(OR(H371&gt;AB$2,I371&gt;AC$2,J371&gt;AD$2,
P371&gt;1,V371&gt;1,
L371&gt;'Group List A'!E$2,M371&gt;'Group List A'!F$2,N371&gt;'Group List A'!G$2,
R371&gt;'Group List B'!E$2,S371&gt;'Group List B'!F$2,T371&gt;'Group List B'!G$2),"Exceed",
IF(OR(H371=AB$2,I371=AC$2,J371=AD$2,
P371=1,V371=1,
L371='Group List A'!E$2,M371='Group List A'!F$2,N371='Group List A'!G$2,
R371='Group List B'!E$2,S371='Group List B'!F$2,T371='Group List B'!G$2),"Limit",0))</f>
        <v>0</v>
      </c>
      <c r="H371" s="29">
        <f t="shared" si="77"/>
        <v>0</v>
      </c>
      <c r="I371" s="29">
        <f t="shared" si="78"/>
        <v>0</v>
      </c>
      <c r="J371" s="29">
        <f t="shared" si="79"/>
        <v>0</v>
      </c>
      <c r="K371" s="32" t="str" cm="1">
        <f t="array" ref="K371">IF(AF371&lt;&gt;"",IFERROR(INDEX('Group List A'!B:B,MATCH(AI371,'Group List A'!A:A,0),0),"-"),"")</f>
        <v/>
      </c>
      <c r="L371" s="33">
        <f t="shared" si="80"/>
        <v>0</v>
      </c>
      <c r="M371" s="33">
        <f t="shared" si="81"/>
        <v>0</v>
      </c>
      <c r="N371" s="33">
        <f t="shared" si="82"/>
        <v>0</v>
      </c>
      <c r="O371" s="28"/>
      <c r="P371" s="33">
        <f t="shared" si="83"/>
        <v>0</v>
      </c>
      <c r="Q371" s="35" t="str" cm="1">
        <f t="array" ref="Q371">IF(AF371&lt;&gt;"",IFERROR(INDEX('Group List B'!B:B,MATCH(AI371,'Group List B'!A:A,0),0),"-"),"")</f>
        <v/>
      </c>
      <c r="R371" s="36">
        <f t="shared" si="84"/>
        <v>0</v>
      </c>
      <c r="S371" s="36">
        <f t="shared" si="85"/>
        <v>0</v>
      </c>
      <c r="T371" s="36">
        <f t="shared" si="86"/>
        <v>0</v>
      </c>
      <c r="U371" s="28"/>
      <c r="V371" s="37">
        <f t="shared" si="87"/>
        <v>0</v>
      </c>
      <c r="W371" s="41"/>
      <c r="X371" s="27"/>
      <c r="Y371" s="27"/>
      <c r="Z371" s="27"/>
      <c r="AA371" s="15"/>
      <c r="AB371" s="17"/>
      <c r="AC371" s="17"/>
      <c r="AD371" s="17"/>
      <c r="AE371" s="90"/>
      <c r="AF371" s="82" t="str">
        <f t="shared" si="88"/>
        <v/>
      </c>
      <c r="AG371" s="83" t="str">
        <f t="shared" si="89"/>
        <v/>
      </c>
      <c r="AH371" s="82" t="str">
        <f t="shared" si="90"/>
        <v/>
      </c>
      <c r="AI371" s="82" t="str">
        <f t="shared" si="91"/>
        <v/>
      </c>
      <c r="AJ371" s="90"/>
      <c r="AP371" s="88"/>
    </row>
    <row r="372" spans="1:45" x14ac:dyDescent="0.25">
      <c r="A372" s="2"/>
      <c r="C372" s="68" t="str" cm="1">
        <f t="array" ref="C372">IF(AF372&lt;&gt;"",
IFERROR(INDEX('LaunchPad Markbook'!A:A,MATCH(AH372,'LaunchPad Markbook'!D:D,0),0),"-"),"")</f>
        <v/>
      </c>
      <c r="D372" s="27"/>
      <c r="E372" s="27"/>
      <c r="F372" s="27"/>
      <c r="G372" s="14">
        <f>IF(OR(H372&gt;AB$2,I372&gt;AC$2,J372&gt;AD$2,
P372&gt;1,V372&gt;1,
L372&gt;'Group List A'!E$2,M372&gt;'Group List A'!F$2,N372&gt;'Group List A'!G$2,
R372&gt;'Group List B'!E$2,S372&gt;'Group List B'!F$2,T372&gt;'Group List B'!G$2),"Exceed",
IF(OR(H372=AB$2,I372=AC$2,J372=AD$2,
P372=1,V372=1,
L372='Group List A'!E$2,M372='Group List A'!F$2,N372='Group List A'!G$2,
R372='Group List B'!E$2,S372='Group List B'!F$2,T372='Group List B'!G$2),"Limit",0))</f>
        <v>0</v>
      </c>
      <c r="H372" s="29">
        <f t="shared" si="77"/>
        <v>0</v>
      </c>
      <c r="I372" s="29">
        <f t="shared" si="78"/>
        <v>0</v>
      </c>
      <c r="J372" s="29">
        <f t="shared" si="79"/>
        <v>0</v>
      </c>
      <c r="K372" s="32" t="str" cm="1">
        <f t="array" ref="K372">IF(AF372&lt;&gt;"",IFERROR(INDEX('Group List A'!B:B,MATCH(AI372,'Group List A'!A:A,0),0),"-"),"")</f>
        <v/>
      </c>
      <c r="L372" s="33">
        <f t="shared" si="80"/>
        <v>0</v>
      </c>
      <c r="M372" s="33">
        <f t="shared" si="81"/>
        <v>0</v>
      </c>
      <c r="N372" s="33">
        <f t="shared" si="82"/>
        <v>0</v>
      </c>
      <c r="O372" s="28"/>
      <c r="P372" s="33">
        <f t="shared" si="83"/>
        <v>0</v>
      </c>
      <c r="Q372" s="35" t="str" cm="1">
        <f t="array" ref="Q372">IF(AF372&lt;&gt;"",IFERROR(INDEX('Group List B'!B:B,MATCH(AI372,'Group List B'!A:A,0),0),"-"),"")</f>
        <v/>
      </c>
      <c r="R372" s="36">
        <f t="shared" si="84"/>
        <v>0</v>
      </c>
      <c r="S372" s="36">
        <f t="shared" si="85"/>
        <v>0</v>
      </c>
      <c r="T372" s="36">
        <f t="shared" si="86"/>
        <v>0</v>
      </c>
      <c r="U372" s="28"/>
      <c r="V372" s="37">
        <f t="shared" si="87"/>
        <v>0</v>
      </c>
      <c r="W372" s="41"/>
      <c r="X372" s="27"/>
      <c r="Y372" s="27"/>
      <c r="Z372" s="27"/>
      <c r="AA372" s="15"/>
      <c r="AB372" s="17"/>
      <c r="AC372" s="17"/>
      <c r="AD372" s="17"/>
      <c r="AE372" s="90"/>
      <c r="AF372" s="82" t="str">
        <f t="shared" si="88"/>
        <v/>
      </c>
      <c r="AG372" s="83" t="str">
        <f t="shared" si="89"/>
        <v/>
      </c>
      <c r="AH372" s="82" t="str">
        <f t="shared" si="90"/>
        <v/>
      </c>
      <c r="AI372" s="82" t="str">
        <f t="shared" si="91"/>
        <v/>
      </c>
      <c r="AJ372" s="90"/>
      <c r="AP372" s="88"/>
    </row>
    <row r="373" spans="1:45" x14ac:dyDescent="0.25">
      <c r="A373" s="2"/>
      <c r="C373" s="68" t="str" cm="1">
        <f t="array" ref="C373">IF(AF373&lt;&gt;"",
IFERROR(INDEX('LaunchPad Markbook'!A:A,MATCH(AH373,'LaunchPad Markbook'!D:D,0),0),"-"),"")</f>
        <v/>
      </c>
      <c r="D373" s="27"/>
      <c r="E373" s="27"/>
      <c r="F373" s="27"/>
      <c r="G373" s="14">
        <f>IF(OR(H373&gt;AB$2,I373&gt;AC$2,J373&gt;AD$2,
P373&gt;1,V373&gt;1,
L373&gt;'Group List A'!E$2,M373&gt;'Group List A'!F$2,N373&gt;'Group List A'!G$2,
R373&gt;'Group List B'!E$2,S373&gt;'Group List B'!F$2,T373&gt;'Group List B'!G$2),"Exceed",
IF(OR(H373=AB$2,I373=AC$2,J373=AD$2,
P373=1,V373=1,
L373='Group List A'!E$2,M373='Group List A'!F$2,N373='Group List A'!G$2,
R373='Group List B'!E$2,S373='Group List B'!F$2,T373='Group List B'!G$2),"Limit",0))</f>
        <v>0</v>
      </c>
      <c r="H373" s="29">
        <f t="shared" si="77"/>
        <v>0</v>
      </c>
      <c r="I373" s="29">
        <f t="shared" si="78"/>
        <v>0</v>
      </c>
      <c r="J373" s="29">
        <f t="shared" si="79"/>
        <v>0</v>
      </c>
      <c r="K373" s="32" t="str" cm="1">
        <f t="array" ref="K373">IF(AF373&lt;&gt;"",IFERROR(INDEX('Group List A'!B:B,MATCH(AI373,'Group List A'!A:A,0),0),"-"),"")</f>
        <v/>
      </c>
      <c r="L373" s="33">
        <f t="shared" si="80"/>
        <v>0</v>
      </c>
      <c r="M373" s="33">
        <f t="shared" si="81"/>
        <v>0</v>
      </c>
      <c r="N373" s="33">
        <f t="shared" si="82"/>
        <v>0</v>
      </c>
      <c r="O373" s="28"/>
      <c r="P373" s="33">
        <f t="shared" si="83"/>
        <v>0</v>
      </c>
      <c r="Q373" s="35" t="str" cm="1">
        <f t="array" ref="Q373">IF(AF373&lt;&gt;"",IFERROR(INDEX('Group List B'!B:B,MATCH(AI373,'Group List B'!A:A,0),0),"-"),"")</f>
        <v/>
      </c>
      <c r="R373" s="36">
        <f t="shared" si="84"/>
        <v>0</v>
      </c>
      <c r="S373" s="36">
        <f t="shared" si="85"/>
        <v>0</v>
      </c>
      <c r="T373" s="36">
        <f t="shared" si="86"/>
        <v>0</v>
      </c>
      <c r="U373" s="28"/>
      <c r="V373" s="37">
        <f t="shared" si="87"/>
        <v>0</v>
      </c>
      <c r="W373" s="41"/>
      <c r="X373" s="27"/>
      <c r="Y373" s="27"/>
      <c r="Z373" s="27"/>
      <c r="AA373" s="15"/>
      <c r="AB373" s="17"/>
      <c r="AC373" s="17"/>
      <c r="AD373" s="17"/>
      <c r="AE373" s="90"/>
      <c r="AF373" s="82" t="str">
        <f t="shared" si="88"/>
        <v/>
      </c>
      <c r="AG373" s="83" t="str">
        <f t="shared" si="89"/>
        <v/>
      </c>
      <c r="AH373" s="82" t="str">
        <f t="shared" si="90"/>
        <v/>
      </c>
      <c r="AI373" s="82" t="str">
        <f t="shared" si="91"/>
        <v/>
      </c>
      <c r="AJ373" s="90"/>
      <c r="AP373" s="88"/>
    </row>
    <row r="374" spans="1:45" x14ac:dyDescent="0.25">
      <c r="A374" s="2"/>
      <c r="C374" s="68" t="str" cm="1">
        <f t="array" ref="C374">IF(AF374&lt;&gt;"",
IFERROR(INDEX('LaunchPad Markbook'!A:A,MATCH(AH374,'LaunchPad Markbook'!D:D,0),0),"-"),"")</f>
        <v/>
      </c>
      <c r="D374" s="27"/>
      <c r="E374" s="27"/>
      <c r="F374" s="27"/>
      <c r="G374" s="14">
        <f>IF(OR(H374&gt;AB$2,I374&gt;AC$2,J374&gt;AD$2,
P374&gt;1,V374&gt;1,
L374&gt;'Group List A'!E$2,M374&gt;'Group List A'!F$2,N374&gt;'Group List A'!G$2,
R374&gt;'Group List B'!E$2,S374&gt;'Group List B'!F$2,T374&gt;'Group List B'!G$2),"Exceed",
IF(OR(H374=AB$2,I374=AC$2,J374=AD$2,
P374=1,V374=1,
L374='Group List A'!E$2,M374='Group List A'!F$2,N374='Group List A'!G$2,
R374='Group List B'!E$2,S374='Group List B'!F$2,T374='Group List B'!G$2),"Limit",0))</f>
        <v>0</v>
      </c>
      <c r="H374" s="29">
        <f t="shared" si="77"/>
        <v>0</v>
      </c>
      <c r="I374" s="29">
        <f t="shared" si="78"/>
        <v>0</v>
      </c>
      <c r="J374" s="29">
        <f t="shared" si="79"/>
        <v>0</v>
      </c>
      <c r="K374" s="32" t="str" cm="1">
        <f t="array" ref="K374">IF(AF374&lt;&gt;"",IFERROR(INDEX('Group List A'!B:B,MATCH(AI374,'Group List A'!A:A,0),0),"-"),"")</f>
        <v/>
      </c>
      <c r="L374" s="33">
        <f t="shared" si="80"/>
        <v>0</v>
      </c>
      <c r="M374" s="33">
        <f t="shared" si="81"/>
        <v>0</v>
      </c>
      <c r="N374" s="33">
        <f t="shared" si="82"/>
        <v>0</v>
      </c>
      <c r="O374" s="28"/>
      <c r="P374" s="33">
        <f t="shared" si="83"/>
        <v>0</v>
      </c>
      <c r="Q374" s="35" t="str" cm="1">
        <f t="array" ref="Q374">IF(AF374&lt;&gt;"",IFERROR(INDEX('Group List B'!B:B,MATCH(AI374,'Group List B'!A:A,0),0),"-"),"")</f>
        <v/>
      </c>
      <c r="R374" s="36">
        <f t="shared" si="84"/>
        <v>0</v>
      </c>
      <c r="S374" s="36">
        <f t="shared" si="85"/>
        <v>0</v>
      </c>
      <c r="T374" s="36">
        <f t="shared" si="86"/>
        <v>0</v>
      </c>
      <c r="U374" s="28"/>
      <c r="V374" s="37">
        <f t="shared" si="87"/>
        <v>0</v>
      </c>
      <c r="W374" s="41"/>
      <c r="X374" s="27"/>
      <c r="Y374" s="27"/>
      <c r="Z374" s="27"/>
      <c r="AA374" s="15"/>
      <c r="AB374" s="17"/>
      <c r="AC374" s="17"/>
      <c r="AD374" s="17"/>
      <c r="AE374" s="90"/>
      <c r="AF374" s="82" t="str">
        <f t="shared" si="88"/>
        <v/>
      </c>
      <c r="AG374" s="83" t="str">
        <f t="shared" si="89"/>
        <v/>
      </c>
      <c r="AH374" s="82" t="str">
        <f t="shared" si="90"/>
        <v/>
      </c>
      <c r="AI374" s="82" t="str">
        <f t="shared" si="91"/>
        <v/>
      </c>
      <c r="AJ374" s="90"/>
      <c r="AP374" s="88"/>
    </row>
    <row r="375" spans="1:45" x14ac:dyDescent="0.25">
      <c r="A375" s="2"/>
      <c r="C375" s="68" t="str" cm="1">
        <f t="array" ref="C375">IF(AF375&lt;&gt;"",
IFERROR(INDEX('LaunchPad Markbook'!A:A,MATCH(AH375,'LaunchPad Markbook'!D:D,0),0),"-"),"")</f>
        <v/>
      </c>
      <c r="D375" s="27"/>
      <c r="E375" s="27"/>
      <c r="F375" s="27"/>
      <c r="G375" s="14">
        <f>IF(OR(H375&gt;AB$2,I375&gt;AC$2,J375&gt;AD$2,
P375&gt;1,V375&gt;1,
L375&gt;'Group List A'!E$2,M375&gt;'Group List A'!F$2,N375&gt;'Group List A'!G$2,
R375&gt;'Group List B'!E$2,S375&gt;'Group List B'!F$2,T375&gt;'Group List B'!G$2),"Exceed",
IF(OR(H375=AB$2,I375=AC$2,J375=AD$2,
P375=1,V375=1,
L375='Group List A'!E$2,M375='Group List A'!F$2,N375='Group List A'!G$2,
R375='Group List B'!E$2,S375='Group List B'!F$2,T375='Group List B'!G$2),"Limit",0))</f>
        <v>0</v>
      </c>
      <c r="H375" s="29">
        <f t="shared" si="77"/>
        <v>0</v>
      </c>
      <c r="I375" s="29">
        <f t="shared" si="78"/>
        <v>0</v>
      </c>
      <c r="J375" s="29">
        <f t="shared" si="79"/>
        <v>0</v>
      </c>
      <c r="K375" s="32" t="str" cm="1">
        <f t="array" ref="K375">IF(AF375&lt;&gt;"",IFERROR(INDEX('Group List A'!B:B,MATCH(AI375,'Group List A'!A:A,0),0),"-"),"")</f>
        <v/>
      </c>
      <c r="L375" s="33">
        <f t="shared" si="80"/>
        <v>0</v>
      </c>
      <c r="M375" s="33">
        <f t="shared" si="81"/>
        <v>0</v>
      </c>
      <c r="N375" s="33">
        <f t="shared" si="82"/>
        <v>0</v>
      </c>
      <c r="O375" s="28"/>
      <c r="P375" s="33">
        <f t="shared" si="83"/>
        <v>0</v>
      </c>
      <c r="Q375" s="35" t="str" cm="1">
        <f t="array" ref="Q375">IF(AF375&lt;&gt;"",IFERROR(INDEX('Group List B'!B:B,MATCH(AI375,'Group List B'!A:A,0),0),"-"),"")</f>
        <v/>
      </c>
      <c r="R375" s="36">
        <f t="shared" si="84"/>
        <v>0</v>
      </c>
      <c r="S375" s="36">
        <f t="shared" si="85"/>
        <v>0</v>
      </c>
      <c r="T375" s="36">
        <f t="shared" si="86"/>
        <v>0</v>
      </c>
      <c r="U375" s="28"/>
      <c r="V375" s="37">
        <f t="shared" si="87"/>
        <v>0</v>
      </c>
      <c r="W375" s="41"/>
      <c r="X375" s="27"/>
      <c r="Y375" s="27"/>
      <c r="Z375" s="27"/>
      <c r="AA375" s="15"/>
      <c r="AB375" s="17"/>
      <c r="AC375" s="17"/>
      <c r="AD375" s="17"/>
      <c r="AE375" s="90"/>
      <c r="AF375" s="82" t="str">
        <f t="shared" si="88"/>
        <v/>
      </c>
      <c r="AG375" s="83" t="str">
        <f t="shared" si="89"/>
        <v/>
      </c>
      <c r="AH375" s="82" t="str">
        <f t="shared" si="90"/>
        <v/>
      </c>
      <c r="AI375" s="82" t="str">
        <f t="shared" si="91"/>
        <v/>
      </c>
      <c r="AJ375" s="90"/>
      <c r="AP375" s="88"/>
    </row>
    <row r="376" spans="1:45" x14ac:dyDescent="0.25">
      <c r="A376" s="2"/>
      <c r="C376" s="68" t="str" cm="1">
        <f t="array" ref="C376">IF(AF376&lt;&gt;"",
IFERROR(INDEX('LaunchPad Markbook'!A:A,MATCH(AH376,'LaunchPad Markbook'!D:D,0),0),"-"),"")</f>
        <v/>
      </c>
      <c r="D376" s="27"/>
      <c r="E376" s="27"/>
      <c r="F376" s="27"/>
      <c r="G376" s="14">
        <f>IF(OR(H376&gt;AB$2,I376&gt;AC$2,J376&gt;AD$2,
P376&gt;1,V376&gt;1,
L376&gt;'Group List A'!E$2,M376&gt;'Group List A'!F$2,N376&gt;'Group List A'!G$2,
R376&gt;'Group List B'!E$2,S376&gt;'Group List B'!F$2,T376&gt;'Group List B'!G$2),"Exceed",
IF(OR(H376=AB$2,I376=AC$2,J376=AD$2,
P376=1,V376=1,
L376='Group List A'!E$2,M376='Group List A'!F$2,N376='Group List A'!G$2,
R376='Group List B'!E$2,S376='Group List B'!F$2,T376='Group List B'!G$2),"Limit",0))</f>
        <v>0</v>
      </c>
      <c r="H376" s="29">
        <f t="shared" si="77"/>
        <v>0</v>
      </c>
      <c r="I376" s="29">
        <f t="shared" si="78"/>
        <v>0</v>
      </c>
      <c r="J376" s="29">
        <f t="shared" si="79"/>
        <v>0</v>
      </c>
      <c r="K376" s="32" t="str" cm="1">
        <f t="array" ref="K376">IF(AF376&lt;&gt;"",IFERROR(INDEX('Group List A'!B:B,MATCH(AI376,'Group List A'!A:A,0),0),"-"),"")</f>
        <v/>
      </c>
      <c r="L376" s="33">
        <f t="shared" si="80"/>
        <v>0</v>
      </c>
      <c r="M376" s="33">
        <f t="shared" si="81"/>
        <v>0</v>
      </c>
      <c r="N376" s="33">
        <f t="shared" si="82"/>
        <v>0</v>
      </c>
      <c r="O376" s="28"/>
      <c r="P376" s="33">
        <f t="shared" si="83"/>
        <v>0</v>
      </c>
      <c r="Q376" s="35" t="str" cm="1">
        <f t="array" ref="Q376">IF(AF376&lt;&gt;"",IFERROR(INDEX('Group List B'!B:B,MATCH(AI376,'Group List B'!A:A,0),0),"-"),"")</f>
        <v/>
      </c>
      <c r="R376" s="36">
        <f t="shared" si="84"/>
        <v>0</v>
      </c>
      <c r="S376" s="36">
        <f t="shared" si="85"/>
        <v>0</v>
      </c>
      <c r="T376" s="36">
        <f t="shared" si="86"/>
        <v>0</v>
      </c>
      <c r="U376" s="28"/>
      <c r="V376" s="37">
        <f t="shared" si="87"/>
        <v>0</v>
      </c>
      <c r="W376" s="41"/>
      <c r="X376" s="27"/>
      <c r="Y376" s="27"/>
      <c r="Z376" s="27"/>
      <c r="AA376" s="15"/>
      <c r="AB376" s="17"/>
      <c r="AC376" s="17"/>
      <c r="AD376" s="17"/>
      <c r="AE376" s="90"/>
      <c r="AF376" s="82" t="str">
        <f t="shared" si="88"/>
        <v/>
      </c>
      <c r="AG376" s="83" t="str">
        <f t="shared" si="89"/>
        <v/>
      </c>
      <c r="AH376" s="82" t="str">
        <f t="shared" si="90"/>
        <v/>
      </c>
      <c r="AI376" s="82" t="str">
        <f t="shared" si="91"/>
        <v/>
      </c>
      <c r="AJ376" s="90"/>
      <c r="AP376" s="88"/>
    </row>
    <row r="377" spans="1:45" x14ac:dyDescent="0.25">
      <c r="A377" s="2"/>
      <c r="C377" s="68" t="str" cm="1">
        <f t="array" ref="C377">IF(AF377&lt;&gt;"",
IFERROR(INDEX('LaunchPad Markbook'!A:A,MATCH(AH377,'LaunchPad Markbook'!D:D,0),0),"-"),"")</f>
        <v/>
      </c>
      <c r="D377" s="27"/>
      <c r="E377" s="27"/>
      <c r="F377" s="27"/>
      <c r="G377" s="14">
        <f>IF(OR(H377&gt;AB$2,I377&gt;AC$2,J377&gt;AD$2,
P377&gt;1,V377&gt;1,
L377&gt;'Group List A'!E$2,M377&gt;'Group List A'!F$2,N377&gt;'Group List A'!G$2,
R377&gt;'Group List B'!E$2,S377&gt;'Group List B'!F$2,T377&gt;'Group List B'!G$2),"Exceed",
IF(OR(H377=AB$2,I377=AC$2,J377=AD$2,
P377=1,V377=1,
L377='Group List A'!E$2,M377='Group List A'!F$2,N377='Group List A'!G$2,
R377='Group List B'!E$2,S377='Group List B'!F$2,T377='Group List B'!G$2),"Limit",0))</f>
        <v>0</v>
      </c>
      <c r="H377" s="29">
        <f t="shared" si="77"/>
        <v>0</v>
      </c>
      <c r="I377" s="29">
        <f t="shared" si="78"/>
        <v>0</v>
      </c>
      <c r="J377" s="29">
        <f t="shared" si="79"/>
        <v>0</v>
      </c>
      <c r="K377" s="32" t="str" cm="1">
        <f t="array" ref="K377">IF(AF377&lt;&gt;"",IFERROR(INDEX('Group List A'!B:B,MATCH(AI377,'Group List A'!A:A,0),0),"-"),"")</f>
        <v/>
      </c>
      <c r="L377" s="33">
        <f t="shared" si="80"/>
        <v>0</v>
      </c>
      <c r="M377" s="33">
        <f t="shared" si="81"/>
        <v>0</v>
      </c>
      <c r="N377" s="33">
        <f t="shared" si="82"/>
        <v>0</v>
      </c>
      <c r="O377" s="28"/>
      <c r="P377" s="33">
        <f t="shared" si="83"/>
        <v>0</v>
      </c>
      <c r="Q377" s="35" t="str" cm="1">
        <f t="array" ref="Q377">IF(AF377&lt;&gt;"",IFERROR(INDEX('Group List B'!B:B,MATCH(AI377,'Group List B'!A:A,0),0),"-"),"")</f>
        <v/>
      </c>
      <c r="R377" s="36">
        <f t="shared" si="84"/>
        <v>0</v>
      </c>
      <c r="S377" s="36">
        <f t="shared" si="85"/>
        <v>0</v>
      </c>
      <c r="T377" s="36">
        <f t="shared" si="86"/>
        <v>0</v>
      </c>
      <c r="U377" s="28"/>
      <c r="V377" s="37">
        <f t="shared" si="87"/>
        <v>0</v>
      </c>
      <c r="W377" s="41"/>
      <c r="X377" s="27"/>
      <c r="Y377" s="27"/>
      <c r="Z377" s="27"/>
      <c r="AA377" s="15"/>
      <c r="AB377" s="17"/>
      <c r="AC377" s="17"/>
      <c r="AD377" s="17"/>
      <c r="AE377" s="90"/>
      <c r="AF377" s="82" t="str">
        <f t="shared" si="88"/>
        <v/>
      </c>
      <c r="AG377" s="83" t="str">
        <f t="shared" si="89"/>
        <v/>
      </c>
      <c r="AH377" s="82" t="str">
        <f t="shared" si="90"/>
        <v/>
      </c>
      <c r="AI377" s="82" t="str">
        <f t="shared" si="91"/>
        <v/>
      </c>
      <c r="AJ377" s="90"/>
      <c r="AP377" s="88"/>
    </row>
    <row r="378" spans="1:45" x14ac:dyDescent="0.25">
      <c r="A378" s="2"/>
      <c r="C378" s="68" t="str" cm="1">
        <f t="array" ref="C378">IF(AF378&lt;&gt;"",
IFERROR(INDEX('LaunchPad Markbook'!A:A,MATCH(AH378,'LaunchPad Markbook'!D:D,0),0),"-"),"")</f>
        <v/>
      </c>
      <c r="D378" s="27"/>
      <c r="E378" s="27"/>
      <c r="F378" s="27"/>
      <c r="G378" s="14">
        <f>IF(OR(H378&gt;AB$2,I378&gt;AC$2,J378&gt;AD$2,
P378&gt;1,V378&gt;1,
L378&gt;'Group List A'!E$2,M378&gt;'Group List A'!F$2,N378&gt;'Group List A'!G$2,
R378&gt;'Group List B'!E$2,S378&gt;'Group List B'!F$2,T378&gt;'Group List B'!G$2),"Exceed",
IF(OR(H378=AB$2,I378=AC$2,J378=AD$2,
P378=1,V378=1,
L378='Group List A'!E$2,M378='Group List A'!F$2,N378='Group List A'!G$2,
R378='Group List B'!E$2,S378='Group List B'!F$2,T378='Group List B'!G$2),"Limit",0))</f>
        <v>0</v>
      </c>
      <c r="H378" s="29">
        <f t="shared" si="77"/>
        <v>0</v>
      </c>
      <c r="I378" s="29">
        <f t="shared" si="78"/>
        <v>0</v>
      </c>
      <c r="J378" s="29">
        <f t="shared" si="79"/>
        <v>0</v>
      </c>
      <c r="K378" s="32" t="str" cm="1">
        <f t="array" ref="K378">IF(AF378&lt;&gt;"",IFERROR(INDEX('Group List A'!B:B,MATCH(AI378,'Group List A'!A:A,0),0),"-"),"")</f>
        <v/>
      </c>
      <c r="L378" s="33">
        <f t="shared" si="80"/>
        <v>0</v>
      </c>
      <c r="M378" s="33">
        <f t="shared" si="81"/>
        <v>0</v>
      </c>
      <c r="N378" s="33">
        <f t="shared" si="82"/>
        <v>0</v>
      </c>
      <c r="O378" s="28"/>
      <c r="P378" s="33">
        <f t="shared" si="83"/>
        <v>0</v>
      </c>
      <c r="Q378" s="35" t="str" cm="1">
        <f t="array" ref="Q378">IF(AF378&lt;&gt;"",IFERROR(INDEX('Group List B'!B:B,MATCH(AI378,'Group List B'!A:A,0),0),"-"),"")</f>
        <v/>
      </c>
      <c r="R378" s="36">
        <f t="shared" si="84"/>
        <v>0</v>
      </c>
      <c r="S378" s="36">
        <f t="shared" si="85"/>
        <v>0</v>
      </c>
      <c r="T378" s="36">
        <f t="shared" si="86"/>
        <v>0</v>
      </c>
      <c r="U378" s="28"/>
      <c r="V378" s="37">
        <f t="shared" si="87"/>
        <v>0</v>
      </c>
      <c r="W378" s="41"/>
      <c r="X378" s="27"/>
      <c r="Y378" s="27"/>
      <c r="Z378" s="27"/>
      <c r="AA378" s="15"/>
      <c r="AB378" s="17"/>
      <c r="AC378" s="17"/>
      <c r="AD378" s="17"/>
      <c r="AE378" s="90"/>
      <c r="AF378" s="82" t="str">
        <f t="shared" si="88"/>
        <v/>
      </c>
      <c r="AG378" s="83" t="str">
        <f t="shared" si="89"/>
        <v/>
      </c>
      <c r="AH378" s="82" t="str">
        <f t="shared" si="90"/>
        <v/>
      </c>
      <c r="AI378" s="82" t="str">
        <f t="shared" si="91"/>
        <v/>
      </c>
      <c r="AJ378" s="90"/>
      <c r="AP378" s="88"/>
    </row>
    <row r="379" spans="1:45" x14ac:dyDescent="0.25">
      <c r="A379" s="2"/>
      <c r="C379" s="68" t="str" cm="1">
        <f t="array" ref="C379">IF(AF379&lt;&gt;"",
IFERROR(INDEX('LaunchPad Markbook'!A:A,MATCH(AH379,'LaunchPad Markbook'!D:D,0),0),"-"),"")</f>
        <v/>
      </c>
      <c r="D379" s="27"/>
      <c r="E379" s="27"/>
      <c r="F379" s="27"/>
      <c r="G379" s="14">
        <f>IF(OR(H379&gt;AB$2,I379&gt;AC$2,J379&gt;AD$2,
P379&gt;1,V379&gt;1,
L379&gt;'Group List A'!E$2,M379&gt;'Group List A'!F$2,N379&gt;'Group List A'!G$2,
R379&gt;'Group List B'!E$2,S379&gt;'Group List B'!F$2,T379&gt;'Group List B'!G$2),"Exceed",
IF(OR(H379=AB$2,I379=AC$2,J379=AD$2,
P379=1,V379=1,
L379='Group List A'!E$2,M379='Group List A'!F$2,N379='Group List A'!G$2,
R379='Group List B'!E$2,S379='Group List B'!F$2,T379='Group List B'!G$2),"Limit",0))</f>
        <v>0</v>
      </c>
      <c r="H379" s="29">
        <f t="shared" si="77"/>
        <v>0</v>
      </c>
      <c r="I379" s="29">
        <f t="shared" si="78"/>
        <v>0</v>
      </c>
      <c r="J379" s="29">
        <f t="shared" si="79"/>
        <v>0</v>
      </c>
      <c r="K379" s="32" t="str" cm="1">
        <f t="array" ref="K379">IF(AF379&lt;&gt;"",IFERROR(INDEX('Group List A'!B:B,MATCH(AI379,'Group List A'!A:A,0),0),"-"),"")</f>
        <v/>
      </c>
      <c r="L379" s="33">
        <f t="shared" si="80"/>
        <v>0</v>
      </c>
      <c r="M379" s="33">
        <f t="shared" si="81"/>
        <v>0</v>
      </c>
      <c r="N379" s="33">
        <f t="shared" si="82"/>
        <v>0</v>
      </c>
      <c r="O379" s="28"/>
      <c r="P379" s="33">
        <f t="shared" si="83"/>
        <v>0</v>
      </c>
      <c r="Q379" s="35" t="str" cm="1">
        <f t="array" ref="Q379">IF(AF379&lt;&gt;"",IFERROR(INDEX('Group List B'!B:B,MATCH(AI379,'Group List B'!A:A,0),0),"-"),"")</f>
        <v/>
      </c>
      <c r="R379" s="36">
        <f t="shared" si="84"/>
        <v>0</v>
      </c>
      <c r="S379" s="36">
        <f t="shared" si="85"/>
        <v>0</v>
      </c>
      <c r="T379" s="36">
        <f t="shared" si="86"/>
        <v>0</v>
      </c>
      <c r="U379" s="28"/>
      <c r="V379" s="37">
        <f t="shared" si="87"/>
        <v>0</v>
      </c>
      <c r="W379" s="41"/>
      <c r="X379" s="27"/>
      <c r="Y379" s="27"/>
      <c r="Z379" s="27"/>
      <c r="AA379" s="15"/>
      <c r="AB379" s="17"/>
      <c r="AC379" s="17"/>
      <c r="AD379" s="17"/>
      <c r="AE379" s="90"/>
      <c r="AF379" s="82" t="str">
        <f t="shared" si="88"/>
        <v/>
      </c>
      <c r="AG379" s="83" t="str">
        <f t="shared" si="89"/>
        <v/>
      </c>
      <c r="AH379" s="82" t="str">
        <f t="shared" si="90"/>
        <v/>
      </c>
      <c r="AI379" s="82" t="str">
        <f t="shared" si="91"/>
        <v/>
      </c>
      <c r="AJ379" s="90"/>
      <c r="AP379" s="88"/>
    </row>
    <row r="380" spans="1:45" x14ac:dyDescent="0.25">
      <c r="A380" s="2"/>
      <c r="C380" s="68" t="str" cm="1">
        <f t="array" ref="C380">IF(AF380&lt;&gt;"",
IFERROR(INDEX('LaunchPad Markbook'!A:A,MATCH(AH380,'LaunchPad Markbook'!D:D,0),0),"-"),"")</f>
        <v/>
      </c>
      <c r="D380" s="27"/>
      <c r="E380" s="27"/>
      <c r="F380" s="27"/>
      <c r="G380" s="14">
        <f>IF(OR(H380&gt;AB$2,I380&gt;AC$2,J380&gt;AD$2,
P380&gt;1,V380&gt;1,
L380&gt;'Group List A'!E$2,M380&gt;'Group List A'!F$2,N380&gt;'Group List A'!G$2,
R380&gt;'Group List B'!E$2,S380&gt;'Group List B'!F$2,T380&gt;'Group List B'!G$2),"Exceed",
IF(OR(H380=AB$2,I380=AC$2,J380=AD$2,
P380=1,V380=1,
L380='Group List A'!E$2,M380='Group List A'!F$2,N380='Group List A'!G$2,
R380='Group List B'!E$2,S380='Group List B'!F$2,T380='Group List B'!G$2),"Limit",0))</f>
        <v>0</v>
      </c>
      <c r="H380" s="29">
        <f t="shared" si="77"/>
        <v>0</v>
      </c>
      <c r="I380" s="29">
        <f t="shared" si="78"/>
        <v>0</v>
      </c>
      <c r="J380" s="29">
        <f t="shared" si="79"/>
        <v>0</v>
      </c>
      <c r="K380" s="32" t="str" cm="1">
        <f t="array" ref="K380">IF(AF380&lt;&gt;"",IFERROR(INDEX('Group List A'!B:B,MATCH(AI380,'Group List A'!A:A,0),0),"-"),"")</f>
        <v/>
      </c>
      <c r="L380" s="33">
        <f t="shared" si="80"/>
        <v>0</v>
      </c>
      <c r="M380" s="33">
        <f t="shared" si="81"/>
        <v>0</v>
      </c>
      <c r="N380" s="33">
        <f t="shared" si="82"/>
        <v>0</v>
      </c>
      <c r="O380" s="28"/>
      <c r="P380" s="33">
        <f t="shared" si="83"/>
        <v>0</v>
      </c>
      <c r="Q380" s="35" t="str" cm="1">
        <f t="array" ref="Q380">IF(AF380&lt;&gt;"",IFERROR(INDEX('Group List B'!B:B,MATCH(AI380,'Group List B'!A:A,0),0),"-"),"")</f>
        <v/>
      </c>
      <c r="R380" s="36">
        <f t="shared" si="84"/>
        <v>0</v>
      </c>
      <c r="S380" s="36">
        <f t="shared" si="85"/>
        <v>0</v>
      </c>
      <c r="T380" s="36">
        <f t="shared" si="86"/>
        <v>0</v>
      </c>
      <c r="U380" s="28"/>
      <c r="V380" s="37">
        <f t="shared" si="87"/>
        <v>0</v>
      </c>
      <c r="W380" s="41"/>
      <c r="X380" s="27"/>
      <c r="Y380" s="27"/>
      <c r="Z380" s="27"/>
      <c r="AA380" s="15"/>
      <c r="AB380" s="17"/>
      <c r="AC380" s="17"/>
      <c r="AD380" s="17"/>
      <c r="AE380" s="90"/>
      <c r="AF380" s="82" t="str">
        <f t="shared" si="88"/>
        <v/>
      </c>
      <c r="AG380" s="83" t="str">
        <f t="shared" si="89"/>
        <v/>
      </c>
      <c r="AH380" s="82" t="str">
        <f t="shared" si="90"/>
        <v/>
      </c>
      <c r="AI380" s="82" t="str">
        <f t="shared" si="91"/>
        <v/>
      </c>
      <c r="AJ380" s="90"/>
      <c r="AP380" s="88"/>
    </row>
    <row r="381" spans="1:45" x14ac:dyDescent="0.25">
      <c r="A381" s="2"/>
      <c r="C381" s="68" t="str" cm="1">
        <f t="array" ref="C381">IF(AF381&lt;&gt;"",
IFERROR(INDEX('LaunchPad Markbook'!A:A,MATCH(AH381,'LaunchPad Markbook'!D:D,0),0),"-"),"")</f>
        <v/>
      </c>
      <c r="D381" s="27"/>
      <c r="E381" s="27"/>
      <c r="F381" s="27"/>
      <c r="G381" s="14">
        <f>IF(OR(H381&gt;AB$2,I381&gt;AC$2,J381&gt;AD$2,
P381&gt;1,V381&gt;1,
L381&gt;'Group List A'!E$2,M381&gt;'Group List A'!F$2,N381&gt;'Group List A'!G$2,
R381&gt;'Group List B'!E$2,S381&gt;'Group List B'!F$2,T381&gt;'Group List B'!G$2),"Exceed",
IF(OR(H381=AB$2,I381=AC$2,J381=AD$2,
P381=1,V381=1,
L381='Group List A'!E$2,M381='Group List A'!F$2,N381='Group List A'!G$2,
R381='Group List B'!E$2,S381='Group List B'!F$2,T381='Group List B'!G$2),"Limit",0))</f>
        <v>0</v>
      </c>
      <c r="H381" s="29">
        <f t="shared" si="77"/>
        <v>0</v>
      </c>
      <c r="I381" s="29">
        <f t="shared" si="78"/>
        <v>0</v>
      </c>
      <c r="J381" s="29">
        <f t="shared" si="79"/>
        <v>0</v>
      </c>
      <c r="K381" s="32" t="str" cm="1">
        <f t="array" ref="K381">IF(AF381&lt;&gt;"",IFERROR(INDEX('Group List A'!B:B,MATCH(AI381,'Group List A'!A:A,0),0),"-"),"")</f>
        <v/>
      </c>
      <c r="L381" s="33">
        <f t="shared" si="80"/>
        <v>0</v>
      </c>
      <c r="M381" s="33">
        <f t="shared" si="81"/>
        <v>0</v>
      </c>
      <c r="N381" s="33">
        <f t="shared" si="82"/>
        <v>0</v>
      </c>
      <c r="O381" s="28"/>
      <c r="P381" s="33">
        <f t="shared" si="83"/>
        <v>0</v>
      </c>
      <c r="Q381" s="35" t="str" cm="1">
        <f t="array" ref="Q381">IF(AF381&lt;&gt;"",IFERROR(INDEX('Group List B'!B:B,MATCH(AI381,'Group List B'!A:A,0),0),"-"),"")</f>
        <v/>
      </c>
      <c r="R381" s="36">
        <f t="shared" si="84"/>
        <v>0</v>
      </c>
      <c r="S381" s="36">
        <f t="shared" si="85"/>
        <v>0</v>
      </c>
      <c r="T381" s="36">
        <f t="shared" si="86"/>
        <v>0</v>
      </c>
      <c r="U381" s="28"/>
      <c r="V381" s="37">
        <f t="shared" si="87"/>
        <v>0</v>
      </c>
      <c r="W381" s="41"/>
      <c r="X381" s="27"/>
      <c r="Y381" s="27"/>
      <c r="Z381" s="27"/>
      <c r="AA381" s="15"/>
      <c r="AB381" s="17"/>
      <c r="AC381" s="17"/>
      <c r="AD381" s="17"/>
      <c r="AE381" s="90"/>
      <c r="AF381" s="82" t="str">
        <f t="shared" si="88"/>
        <v/>
      </c>
      <c r="AG381" s="83" t="str">
        <f t="shared" si="89"/>
        <v/>
      </c>
      <c r="AH381" s="82" t="str">
        <f t="shared" si="90"/>
        <v/>
      </c>
      <c r="AI381" s="82" t="str">
        <f t="shared" si="91"/>
        <v/>
      </c>
      <c r="AJ381" s="90"/>
      <c r="AP381" s="88"/>
    </row>
    <row r="382" spans="1:45" x14ac:dyDescent="0.25">
      <c r="A382" s="2"/>
      <c r="C382" s="68" t="str" cm="1">
        <f t="array" ref="C382">IF(AF382&lt;&gt;"",
IFERROR(INDEX('LaunchPad Markbook'!A:A,MATCH(AH382,'LaunchPad Markbook'!D:D,0),0),"-"),"")</f>
        <v/>
      </c>
      <c r="D382" s="27"/>
      <c r="E382" s="27"/>
      <c r="F382" s="27"/>
      <c r="G382" s="14">
        <f>IF(OR(H382&gt;AB$2,I382&gt;AC$2,J382&gt;AD$2,
P382&gt;1,V382&gt;1,
L382&gt;'Group List A'!E$2,M382&gt;'Group List A'!F$2,N382&gt;'Group List A'!G$2,
R382&gt;'Group List B'!E$2,S382&gt;'Group List B'!F$2,T382&gt;'Group List B'!G$2),"Exceed",
IF(OR(H382=AB$2,I382=AC$2,J382=AD$2,
P382=1,V382=1,
L382='Group List A'!E$2,M382='Group List A'!F$2,N382='Group List A'!G$2,
R382='Group List B'!E$2,S382='Group List B'!F$2,T382='Group List B'!G$2),"Limit",0))</f>
        <v>0</v>
      </c>
      <c r="H382" s="29">
        <f t="shared" si="77"/>
        <v>0</v>
      </c>
      <c r="I382" s="29">
        <f t="shared" si="78"/>
        <v>0</v>
      </c>
      <c r="J382" s="29">
        <f t="shared" si="79"/>
        <v>0</v>
      </c>
      <c r="K382" s="32" t="str" cm="1">
        <f t="array" ref="K382">IF(AF382&lt;&gt;"",IFERROR(INDEX('Group List A'!B:B,MATCH(AI382,'Group List A'!A:A,0),0),"-"),"")</f>
        <v/>
      </c>
      <c r="L382" s="33">
        <f t="shared" si="80"/>
        <v>0</v>
      </c>
      <c r="M382" s="33">
        <f t="shared" si="81"/>
        <v>0</v>
      </c>
      <c r="N382" s="33">
        <f t="shared" si="82"/>
        <v>0</v>
      </c>
      <c r="O382" s="28"/>
      <c r="P382" s="33">
        <f t="shared" si="83"/>
        <v>0</v>
      </c>
      <c r="Q382" s="35" t="str" cm="1">
        <f t="array" ref="Q382">IF(AF382&lt;&gt;"",IFERROR(INDEX('Group List B'!B:B,MATCH(AI382,'Group List B'!A:A,0),0),"-"),"")</f>
        <v/>
      </c>
      <c r="R382" s="36">
        <f t="shared" si="84"/>
        <v>0</v>
      </c>
      <c r="S382" s="36">
        <f t="shared" si="85"/>
        <v>0</v>
      </c>
      <c r="T382" s="36">
        <f t="shared" si="86"/>
        <v>0</v>
      </c>
      <c r="U382" s="28"/>
      <c r="V382" s="37">
        <f t="shared" si="87"/>
        <v>0</v>
      </c>
      <c r="W382" s="41"/>
      <c r="X382" s="27"/>
      <c r="Y382" s="27"/>
      <c r="Z382" s="27"/>
      <c r="AA382" s="15"/>
      <c r="AB382" s="17"/>
      <c r="AC382" s="17"/>
      <c r="AD382" s="17"/>
      <c r="AE382" s="90"/>
      <c r="AF382" s="82" t="str">
        <f t="shared" si="88"/>
        <v/>
      </c>
      <c r="AG382" s="83" t="str">
        <f t="shared" si="89"/>
        <v/>
      </c>
      <c r="AH382" s="82" t="str">
        <f t="shared" si="90"/>
        <v/>
      </c>
      <c r="AI382" s="82" t="str">
        <f t="shared" si="91"/>
        <v/>
      </c>
      <c r="AJ382" s="90"/>
      <c r="AP382" s="88"/>
    </row>
    <row r="383" spans="1:45" x14ac:dyDescent="0.25">
      <c r="A383" s="2"/>
      <c r="C383" s="68" t="str" cm="1">
        <f t="array" ref="C383">IF(AF383&lt;&gt;"",
IFERROR(INDEX('LaunchPad Markbook'!A:A,MATCH(AH383,'LaunchPad Markbook'!D:D,0),0),"-"),"")</f>
        <v/>
      </c>
      <c r="D383" s="27"/>
      <c r="E383" s="27"/>
      <c r="F383" s="27"/>
      <c r="G383" s="14">
        <f>IF(OR(H383&gt;AB$2,I383&gt;AC$2,J383&gt;AD$2,
P383&gt;1,V383&gt;1,
L383&gt;'Group List A'!E$2,M383&gt;'Group List A'!F$2,N383&gt;'Group List A'!G$2,
R383&gt;'Group List B'!E$2,S383&gt;'Group List B'!F$2,T383&gt;'Group List B'!G$2),"Exceed",
IF(OR(H383=AB$2,I383=AC$2,J383=AD$2,
P383=1,V383=1,
L383='Group List A'!E$2,M383='Group List A'!F$2,N383='Group List A'!G$2,
R383='Group List B'!E$2,S383='Group List B'!F$2,T383='Group List B'!G$2),"Limit",0))</f>
        <v>0</v>
      </c>
      <c r="H383" s="29">
        <f t="shared" si="77"/>
        <v>0</v>
      </c>
      <c r="I383" s="29">
        <f t="shared" si="78"/>
        <v>0</v>
      </c>
      <c r="J383" s="29">
        <f t="shared" si="79"/>
        <v>0</v>
      </c>
      <c r="K383" s="32" t="str" cm="1">
        <f t="array" ref="K383">IF(AF383&lt;&gt;"",IFERROR(INDEX('Group List A'!B:B,MATCH(AI383,'Group List A'!A:A,0),0),"-"),"")</f>
        <v/>
      </c>
      <c r="L383" s="33">
        <f t="shared" si="80"/>
        <v>0</v>
      </c>
      <c r="M383" s="33">
        <f t="shared" si="81"/>
        <v>0</v>
      </c>
      <c r="N383" s="33">
        <f t="shared" si="82"/>
        <v>0</v>
      </c>
      <c r="O383" s="28"/>
      <c r="P383" s="33">
        <f t="shared" si="83"/>
        <v>0</v>
      </c>
      <c r="Q383" s="35" t="str" cm="1">
        <f t="array" ref="Q383">IF(AF383&lt;&gt;"",IFERROR(INDEX('Group List B'!B:B,MATCH(AI383,'Group List B'!A:A,0),0),"-"),"")</f>
        <v/>
      </c>
      <c r="R383" s="36">
        <f t="shared" si="84"/>
        <v>0</v>
      </c>
      <c r="S383" s="36">
        <f t="shared" si="85"/>
        <v>0</v>
      </c>
      <c r="T383" s="36">
        <f t="shared" si="86"/>
        <v>0</v>
      </c>
      <c r="U383" s="28"/>
      <c r="V383" s="37">
        <f t="shared" si="87"/>
        <v>0</v>
      </c>
      <c r="W383" s="41"/>
      <c r="X383" s="27"/>
      <c r="Y383" s="27"/>
      <c r="Z383" s="27"/>
      <c r="AA383" s="15"/>
      <c r="AB383" s="17"/>
      <c r="AC383" s="17"/>
      <c r="AD383" s="17"/>
      <c r="AE383" s="90"/>
      <c r="AF383" s="82" t="str">
        <f t="shared" si="88"/>
        <v/>
      </c>
      <c r="AG383" s="83" t="str">
        <f t="shared" si="89"/>
        <v/>
      </c>
      <c r="AH383" s="82" t="str">
        <f t="shared" si="90"/>
        <v/>
      </c>
      <c r="AI383" s="82" t="str">
        <f t="shared" si="91"/>
        <v/>
      </c>
      <c r="AJ383" s="90"/>
      <c r="AP383" s="88"/>
      <c r="AR383" s="43"/>
      <c r="AS383" s="43"/>
    </row>
    <row r="384" spans="1:45" x14ac:dyDescent="0.25">
      <c r="A384" s="2"/>
      <c r="C384" s="68" t="str" cm="1">
        <f t="array" ref="C384">IF(AF384&lt;&gt;"",
IFERROR(INDEX('LaunchPad Markbook'!A:A,MATCH(AH384,'LaunchPad Markbook'!D:D,0),0),"-"),"")</f>
        <v/>
      </c>
      <c r="D384" s="27"/>
      <c r="E384" s="27"/>
      <c r="F384" s="27"/>
      <c r="G384" s="14">
        <f>IF(OR(H384&gt;AB$2,I384&gt;AC$2,J384&gt;AD$2,
P384&gt;1,V384&gt;1,
L384&gt;'Group List A'!E$2,M384&gt;'Group List A'!F$2,N384&gt;'Group List A'!G$2,
R384&gt;'Group List B'!E$2,S384&gt;'Group List B'!F$2,T384&gt;'Group List B'!G$2),"Exceed",
IF(OR(H384=AB$2,I384=AC$2,J384=AD$2,
P384=1,V384=1,
L384='Group List A'!E$2,M384='Group List A'!F$2,N384='Group List A'!G$2,
R384='Group List B'!E$2,S384='Group List B'!F$2,T384='Group List B'!G$2),"Limit",0))</f>
        <v>0</v>
      </c>
      <c r="H384" s="29">
        <f t="shared" si="77"/>
        <v>0</v>
      </c>
      <c r="I384" s="29">
        <f t="shared" si="78"/>
        <v>0</v>
      </c>
      <c r="J384" s="29">
        <f t="shared" si="79"/>
        <v>0</v>
      </c>
      <c r="K384" s="32" t="str" cm="1">
        <f t="array" ref="K384">IF(AF384&lt;&gt;"",IFERROR(INDEX('Group List A'!B:B,MATCH(AI384,'Group List A'!A:A,0),0),"-"),"")</f>
        <v/>
      </c>
      <c r="L384" s="33">
        <f t="shared" si="80"/>
        <v>0</v>
      </c>
      <c r="M384" s="33">
        <f t="shared" si="81"/>
        <v>0</v>
      </c>
      <c r="N384" s="33">
        <f t="shared" si="82"/>
        <v>0</v>
      </c>
      <c r="O384" s="28"/>
      <c r="P384" s="33">
        <f t="shared" si="83"/>
        <v>0</v>
      </c>
      <c r="Q384" s="35" t="str" cm="1">
        <f t="array" ref="Q384">IF(AF384&lt;&gt;"",IFERROR(INDEX('Group List B'!B:B,MATCH(AI384,'Group List B'!A:A,0),0),"-"),"")</f>
        <v/>
      </c>
      <c r="R384" s="36">
        <f t="shared" si="84"/>
        <v>0</v>
      </c>
      <c r="S384" s="36">
        <f t="shared" si="85"/>
        <v>0</v>
      </c>
      <c r="T384" s="36">
        <f t="shared" si="86"/>
        <v>0</v>
      </c>
      <c r="U384" s="28"/>
      <c r="V384" s="37">
        <f t="shared" si="87"/>
        <v>0</v>
      </c>
      <c r="W384" s="41"/>
      <c r="X384" s="27"/>
      <c r="Y384" s="27"/>
      <c r="Z384" s="27"/>
      <c r="AA384" s="15"/>
      <c r="AB384" s="17"/>
      <c r="AC384" s="17"/>
      <c r="AD384" s="17"/>
      <c r="AE384" s="90"/>
      <c r="AF384" s="82" t="str">
        <f t="shared" si="88"/>
        <v/>
      </c>
      <c r="AG384" s="83" t="str">
        <f t="shared" si="89"/>
        <v/>
      </c>
      <c r="AH384" s="82" t="str">
        <f t="shared" si="90"/>
        <v/>
      </c>
      <c r="AI384" s="82" t="str">
        <f t="shared" si="91"/>
        <v/>
      </c>
      <c r="AJ384" s="90"/>
      <c r="AP384" s="88"/>
    </row>
    <row r="385" spans="1:42" x14ac:dyDescent="0.25">
      <c r="A385" s="2"/>
      <c r="C385" s="68" t="str" cm="1">
        <f t="array" ref="C385">IF(AF385&lt;&gt;"",
IFERROR(INDEX('LaunchPad Markbook'!A:A,MATCH(AH385,'LaunchPad Markbook'!D:D,0),0),"-"),"")</f>
        <v/>
      </c>
      <c r="D385" s="27"/>
      <c r="E385" s="27"/>
      <c r="F385" s="27"/>
      <c r="G385" s="14">
        <f>IF(OR(H385&gt;AB$2,I385&gt;AC$2,J385&gt;AD$2,
P385&gt;1,V385&gt;1,
L385&gt;'Group List A'!E$2,M385&gt;'Group List A'!F$2,N385&gt;'Group List A'!G$2,
R385&gt;'Group List B'!E$2,S385&gt;'Group List B'!F$2,T385&gt;'Group List B'!G$2),"Exceed",
IF(OR(H385=AB$2,I385=AC$2,J385=AD$2,
P385=1,V385=1,
L385='Group List A'!E$2,M385='Group List A'!F$2,N385='Group List A'!G$2,
R385='Group List B'!E$2,S385='Group List B'!F$2,T385='Group List B'!G$2),"Limit",0))</f>
        <v>0</v>
      </c>
      <c r="H385" s="29">
        <f t="shared" si="77"/>
        <v>0</v>
      </c>
      <c r="I385" s="29">
        <f t="shared" si="78"/>
        <v>0</v>
      </c>
      <c r="J385" s="29">
        <f t="shared" si="79"/>
        <v>0</v>
      </c>
      <c r="K385" s="32" t="str" cm="1">
        <f t="array" ref="K385">IF(AF385&lt;&gt;"",IFERROR(INDEX('Group List A'!B:B,MATCH(AI385,'Group List A'!A:A,0),0),"-"),"")</f>
        <v/>
      </c>
      <c r="L385" s="33">
        <f t="shared" si="80"/>
        <v>0</v>
      </c>
      <c r="M385" s="33">
        <f t="shared" si="81"/>
        <v>0</v>
      </c>
      <c r="N385" s="33">
        <f t="shared" si="82"/>
        <v>0</v>
      </c>
      <c r="O385" s="28"/>
      <c r="P385" s="33">
        <f t="shared" si="83"/>
        <v>0</v>
      </c>
      <c r="Q385" s="35" t="str" cm="1">
        <f t="array" ref="Q385">IF(AF385&lt;&gt;"",IFERROR(INDEX('Group List B'!B:B,MATCH(AI385,'Group List B'!A:A,0),0),"-"),"")</f>
        <v/>
      </c>
      <c r="R385" s="36">
        <f t="shared" si="84"/>
        <v>0</v>
      </c>
      <c r="S385" s="36">
        <f t="shared" si="85"/>
        <v>0</v>
      </c>
      <c r="T385" s="36">
        <f t="shared" si="86"/>
        <v>0</v>
      </c>
      <c r="U385" s="28"/>
      <c r="V385" s="37">
        <f t="shared" si="87"/>
        <v>0</v>
      </c>
      <c r="W385" s="41"/>
      <c r="X385" s="27"/>
      <c r="Y385" s="27"/>
      <c r="Z385" s="27"/>
      <c r="AA385" s="15"/>
      <c r="AB385" s="17"/>
      <c r="AC385" s="17"/>
      <c r="AD385" s="17"/>
      <c r="AE385" s="90"/>
      <c r="AF385" s="82" t="str">
        <f t="shared" si="88"/>
        <v/>
      </c>
      <c r="AG385" s="83" t="str">
        <f t="shared" si="89"/>
        <v/>
      </c>
      <c r="AH385" s="82" t="str">
        <f t="shared" si="90"/>
        <v/>
      </c>
      <c r="AI385" s="82" t="str">
        <f t="shared" si="91"/>
        <v/>
      </c>
      <c r="AJ385" s="90"/>
      <c r="AP385" s="88"/>
    </row>
    <row r="386" spans="1:42" x14ac:dyDescent="0.25">
      <c r="A386" s="2"/>
      <c r="C386" s="68" t="str" cm="1">
        <f t="array" ref="C386">IF(AF386&lt;&gt;"",
IFERROR(INDEX('LaunchPad Markbook'!A:A,MATCH(AH386,'LaunchPad Markbook'!D:D,0),0),"-"),"")</f>
        <v/>
      </c>
      <c r="D386" s="27"/>
      <c r="E386" s="27"/>
      <c r="F386" s="27"/>
      <c r="G386" s="14">
        <f>IF(OR(H386&gt;AB$2,I386&gt;AC$2,J386&gt;AD$2,
P386&gt;1,V386&gt;1,
L386&gt;'Group List A'!E$2,M386&gt;'Group List A'!F$2,N386&gt;'Group List A'!G$2,
R386&gt;'Group List B'!E$2,S386&gt;'Group List B'!F$2,T386&gt;'Group List B'!G$2),"Exceed",
IF(OR(H386=AB$2,I386=AC$2,J386=AD$2,
P386=1,V386=1,
L386='Group List A'!E$2,M386='Group List A'!F$2,N386='Group List A'!G$2,
R386='Group List B'!E$2,S386='Group List B'!F$2,T386='Group List B'!G$2),"Limit",0))</f>
        <v>0</v>
      </c>
      <c r="H386" s="29">
        <f t="shared" si="77"/>
        <v>0</v>
      </c>
      <c r="I386" s="29">
        <f t="shared" si="78"/>
        <v>0</v>
      </c>
      <c r="J386" s="29">
        <f t="shared" si="79"/>
        <v>0</v>
      </c>
      <c r="K386" s="32" t="str" cm="1">
        <f t="array" ref="K386">IF(AF386&lt;&gt;"",IFERROR(INDEX('Group List A'!B:B,MATCH(AI386,'Group List A'!A:A,0),0),"-"),"")</f>
        <v/>
      </c>
      <c r="L386" s="33">
        <f t="shared" si="80"/>
        <v>0</v>
      </c>
      <c r="M386" s="33">
        <f t="shared" si="81"/>
        <v>0</v>
      </c>
      <c r="N386" s="33">
        <f t="shared" si="82"/>
        <v>0</v>
      </c>
      <c r="O386" s="28"/>
      <c r="P386" s="33">
        <f t="shared" si="83"/>
        <v>0</v>
      </c>
      <c r="Q386" s="35" t="str" cm="1">
        <f t="array" ref="Q386">IF(AF386&lt;&gt;"",IFERROR(INDEX('Group List B'!B:B,MATCH(AI386,'Group List B'!A:A,0),0),"-"),"")</f>
        <v/>
      </c>
      <c r="R386" s="36">
        <f t="shared" si="84"/>
        <v>0</v>
      </c>
      <c r="S386" s="36">
        <f t="shared" si="85"/>
        <v>0</v>
      </c>
      <c r="T386" s="36">
        <f t="shared" si="86"/>
        <v>0</v>
      </c>
      <c r="U386" s="28"/>
      <c r="V386" s="37">
        <f t="shared" si="87"/>
        <v>0</v>
      </c>
      <c r="W386" s="41"/>
      <c r="X386" s="27"/>
      <c r="Y386" s="27"/>
      <c r="Z386" s="27"/>
      <c r="AA386" s="15"/>
      <c r="AB386" s="17"/>
      <c r="AC386" s="17"/>
      <c r="AD386" s="17"/>
      <c r="AE386" s="90"/>
      <c r="AF386" s="82" t="str">
        <f t="shared" si="88"/>
        <v/>
      </c>
      <c r="AG386" s="83" t="str">
        <f t="shared" si="89"/>
        <v/>
      </c>
      <c r="AH386" s="82" t="str">
        <f t="shared" si="90"/>
        <v/>
      </c>
      <c r="AI386" s="82" t="str">
        <f t="shared" si="91"/>
        <v/>
      </c>
      <c r="AJ386" s="90"/>
      <c r="AP386" s="88"/>
    </row>
    <row r="387" spans="1:42" x14ac:dyDescent="0.25">
      <c r="A387" s="2"/>
      <c r="C387" s="68" t="str" cm="1">
        <f t="array" ref="C387">IF(AF387&lt;&gt;"",
IFERROR(INDEX('LaunchPad Markbook'!A:A,MATCH(AH387,'LaunchPad Markbook'!D:D,0),0),"-"),"")</f>
        <v/>
      </c>
      <c r="D387" s="27"/>
      <c r="E387" s="27"/>
      <c r="F387" s="27"/>
      <c r="G387" s="14">
        <f>IF(OR(H387&gt;AB$2,I387&gt;AC$2,J387&gt;AD$2,
P387&gt;1,V387&gt;1,
L387&gt;'Group List A'!E$2,M387&gt;'Group List A'!F$2,N387&gt;'Group List A'!G$2,
R387&gt;'Group List B'!E$2,S387&gt;'Group List B'!F$2,T387&gt;'Group List B'!G$2),"Exceed",
IF(OR(H387=AB$2,I387=AC$2,J387=AD$2,
P387=1,V387=1,
L387='Group List A'!E$2,M387='Group List A'!F$2,N387='Group List A'!G$2,
R387='Group List B'!E$2,S387='Group List B'!F$2,T387='Group List B'!G$2),"Limit",0))</f>
        <v>0</v>
      </c>
      <c r="H387" s="29">
        <f t="shared" ref="H387:H450" si="92">IF(AND(K387="-",Q387="-"),
SUMIFS(D$2:D$2000,$AH$2:$AH$2000,$AH387),0)</f>
        <v>0</v>
      </c>
      <c r="I387" s="29">
        <f t="shared" ref="I387:I450" si="93">IF(AND(K387="-",Q387="-"),
SUMIFS(E$2:E$2000,$AH$2:$AH$2000,$AH387),0)</f>
        <v>0</v>
      </c>
      <c r="J387" s="29">
        <f t="shared" ref="J387:J450" si="94">IF(AND(K387="-",Q387="-"),
SUMIFS(F$2:F$2000,$AH$2:$AH$2000,$AH387),0)</f>
        <v>0</v>
      </c>
      <c r="K387" s="32" t="str" cm="1">
        <f t="array" ref="K387">IF(AF387&lt;&gt;"",IFERROR(INDEX('Group List A'!B:B,MATCH(AI387,'Group List A'!A:A,0),0),"-"),"")</f>
        <v/>
      </c>
      <c r="L387" s="33">
        <f t="shared" ref="L387:L450" si="95">IF($K387&lt;&gt;"-",SUMIFS(D$2:D$2000,$K$2:$K$2000,$K387),0)</f>
        <v>0</v>
      </c>
      <c r="M387" s="33">
        <f t="shared" ref="M387:M450" si="96">IF($K387&lt;&gt;"-",SUMIFS(E$2:E$2000,$K$2:$K$2000,$K387),0)</f>
        <v>0</v>
      </c>
      <c r="N387" s="33">
        <f t="shared" ref="N387:N450" si="97">IF($K387&lt;&gt;"-",SUMIFS(F$2:F$2000,$K$2:$K$2000,$K387),0)</f>
        <v>0</v>
      </c>
      <c r="O387" s="28"/>
      <c r="P387" s="33">
        <f t="shared" ref="P387:P450" si="98">SUMIFS(O$2:O$2000,$AH$2:$AH$2000,$AH387)</f>
        <v>0</v>
      </c>
      <c r="Q387" s="35" t="str" cm="1">
        <f t="array" ref="Q387">IF(AF387&lt;&gt;"",IFERROR(INDEX('Group List B'!B:B,MATCH(AI387,'Group List B'!A:A,0),0),"-"),"")</f>
        <v/>
      </c>
      <c r="R387" s="36">
        <f t="shared" ref="R387:R450" si="99">IF($Q387&lt;&gt;"-",SUMIFS(D$2:D$2000,$Q$2:$Q$2000,$Q387),0)</f>
        <v>0</v>
      </c>
      <c r="S387" s="36">
        <f t="shared" ref="S387:S450" si="100">IF($Q387&lt;&gt;"-",SUMIFS(E$2:E$2000,$Q$2:$Q$2000,$Q387),0)</f>
        <v>0</v>
      </c>
      <c r="T387" s="36">
        <f t="shared" ref="T387:T450" si="101">IF($Q387&lt;&gt;"-",SUMIFS(F$2:F$2000,$Q$2:$Q$2000,$Q387),0)</f>
        <v>0</v>
      </c>
      <c r="U387" s="28"/>
      <c r="V387" s="37">
        <f t="shared" ref="V387:V450" si="102">SUMIFS(U$2:U$2000,$AH$2:$AH$2000,$AH387)</f>
        <v>0</v>
      </c>
      <c r="W387" s="41"/>
      <c r="X387" s="27"/>
      <c r="Y387" s="27"/>
      <c r="Z387" s="27"/>
      <c r="AA387" s="15"/>
      <c r="AB387" s="17"/>
      <c r="AC387" s="17"/>
      <c r="AD387" s="17"/>
      <c r="AE387" s="90"/>
      <c r="AF387" s="82" t="str">
        <f t="shared" ref="AF387:AF450" si="103">IF(A387&lt;&gt;"",A387,"")</f>
        <v/>
      </c>
      <c r="AG387" s="83" t="str">
        <f t="shared" ref="AG387:AG450" si="104">IF(MID(AF387,1,1)="N","STUDENT",
IF(MID(AF387,1,1)="S","STAFF",
IF(MID(AF387,1,1)="V","VISITOR",
IF(AF387&lt;&gt;"","ERROR",""))))</f>
        <v/>
      </c>
      <c r="AH387" s="82" t="str">
        <f t="shared" ref="AH387:AH450" si="105">IF(AG387="STUDENT","N"&amp;(MID(AF387,2,8)-0),
IF(AG387="STAFF","S"&amp;MID(AF387,2,8),""))</f>
        <v/>
      </c>
      <c r="AI387" s="82" t="str">
        <f t="shared" ref="AI387:AI450" si="106">IF(AG387="STUDENT",(MID(AF387,2,8)-0),
IF(AG387="STAFF","STAFF",""))</f>
        <v/>
      </c>
      <c r="AJ387" s="90"/>
      <c r="AP387" s="88"/>
    </row>
    <row r="388" spans="1:42" x14ac:dyDescent="0.25">
      <c r="A388" s="2"/>
      <c r="C388" s="68" t="str" cm="1">
        <f t="array" ref="C388">IF(AF388&lt;&gt;"",
IFERROR(INDEX('LaunchPad Markbook'!A:A,MATCH(AH388,'LaunchPad Markbook'!D:D,0),0),"-"),"")</f>
        <v/>
      </c>
      <c r="D388" s="27"/>
      <c r="E388" s="27"/>
      <c r="F388" s="27"/>
      <c r="G388" s="14">
        <f>IF(OR(H388&gt;AB$2,I388&gt;AC$2,J388&gt;AD$2,
P388&gt;1,V388&gt;1,
L388&gt;'Group List A'!E$2,M388&gt;'Group List A'!F$2,N388&gt;'Group List A'!G$2,
R388&gt;'Group List B'!E$2,S388&gt;'Group List B'!F$2,T388&gt;'Group List B'!G$2),"Exceed",
IF(OR(H388=AB$2,I388=AC$2,J388=AD$2,
P388=1,V388=1,
L388='Group List A'!E$2,M388='Group List A'!F$2,N388='Group List A'!G$2,
R388='Group List B'!E$2,S388='Group List B'!F$2,T388='Group List B'!G$2),"Limit",0))</f>
        <v>0</v>
      </c>
      <c r="H388" s="29">
        <f t="shared" si="92"/>
        <v>0</v>
      </c>
      <c r="I388" s="29">
        <f t="shared" si="93"/>
        <v>0</v>
      </c>
      <c r="J388" s="29">
        <f t="shared" si="94"/>
        <v>0</v>
      </c>
      <c r="K388" s="32" t="str" cm="1">
        <f t="array" ref="K388">IF(AF388&lt;&gt;"",IFERROR(INDEX('Group List A'!B:B,MATCH(AI388,'Group List A'!A:A,0),0),"-"),"")</f>
        <v/>
      </c>
      <c r="L388" s="33">
        <f t="shared" si="95"/>
        <v>0</v>
      </c>
      <c r="M388" s="33">
        <f t="shared" si="96"/>
        <v>0</v>
      </c>
      <c r="N388" s="33">
        <f t="shared" si="97"/>
        <v>0</v>
      </c>
      <c r="O388" s="28"/>
      <c r="P388" s="33">
        <f t="shared" si="98"/>
        <v>0</v>
      </c>
      <c r="Q388" s="35" t="str" cm="1">
        <f t="array" ref="Q388">IF(AF388&lt;&gt;"",IFERROR(INDEX('Group List B'!B:B,MATCH(AI388,'Group List B'!A:A,0),0),"-"),"")</f>
        <v/>
      </c>
      <c r="R388" s="36">
        <f t="shared" si="99"/>
        <v>0</v>
      </c>
      <c r="S388" s="36">
        <f t="shared" si="100"/>
        <v>0</v>
      </c>
      <c r="T388" s="36">
        <f t="shared" si="101"/>
        <v>0</v>
      </c>
      <c r="U388" s="28"/>
      <c r="V388" s="37">
        <f t="shared" si="102"/>
        <v>0</v>
      </c>
      <c r="W388" s="41"/>
      <c r="X388" s="27"/>
      <c r="Y388" s="27"/>
      <c r="Z388" s="27"/>
      <c r="AA388" s="15"/>
      <c r="AB388" s="17"/>
      <c r="AC388" s="17"/>
      <c r="AD388" s="17"/>
      <c r="AE388" s="90"/>
      <c r="AF388" s="82" t="str">
        <f t="shared" si="103"/>
        <v/>
      </c>
      <c r="AG388" s="83" t="str">
        <f t="shared" si="104"/>
        <v/>
      </c>
      <c r="AH388" s="82" t="str">
        <f t="shared" si="105"/>
        <v/>
      </c>
      <c r="AI388" s="82" t="str">
        <f t="shared" si="106"/>
        <v/>
      </c>
      <c r="AJ388" s="90"/>
      <c r="AP388" s="88"/>
    </row>
    <row r="389" spans="1:42" x14ac:dyDescent="0.25">
      <c r="A389" s="2"/>
      <c r="C389" s="68" t="str" cm="1">
        <f t="array" ref="C389">IF(AF389&lt;&gt;"",
IFERROR(INDEX('LaunchPad Markbook'!A:A,MATCH(AH389,'LaunchPad Markbook'!D:D,0),0),"-"),"")</f>
        <v/>
      </c>
      <c r="D389" s="27"/>
      <c r="E389" s="27"/>
      <c r="F389" s="27"/>
      <c r="G389" s="14">
        <f>IF(OR(H389&gt;AB$2,I389&gt;AC$2,J389&gt;AD$2,
P389&gt;1,V389&gt;1,
L389&gt;'Group List A'!E$2,M389&gt;'Group List A'!F$2,N389&gt;'Group List A'!G$2,
R389&gt;'Group List B'!E$2,S389&gt;'Group List B'!F$2,T389&gt;'Group List B'!G$2),"Exceed",
IF(OR(H389=AB$2,I389=AC$2,J389=AD$2,
P389=1,V389=1,
L389='Group List A'!E$2,M389='Group List A'!F$2,N389='Group List A'!G$2,
R389='Group List B'!E$2,S389='Group List B'!F$2,T389='Group List B'!G$2),"Limit",0))</f>
        <v>0</v>
      </c>
      <c r="H389" s="29">
        <f t="shared" si="92"/>
        <v>0</v>
      </c>
      <c r="I389" s="29">
        <f t="shared" si="93"/>
        <v>0</v>
      </c>
      <c r="J389" s="29">
        <f t="shared" si="94"/>
        <v>0</v>
      </c>
      <c r="K389" s="32" t="str" cm="1">
        <f t="array" ref="K389">IF(AF389&lt;&gt;"",IFERROR(INDEX('Group List A'!B:B,MATCH(AI389,'Group List A'!A:A,0),0),"-"),"")</f>
        <v/>
      </c>
      <c r="L389" s="33">
        <f t="shared" si="95"/>
        <v>0</v>
      </c>
      <c r="M389" s="33">
        <f t="shared" si="96"/>
        <v>0</v>
      </c>
      <c r="N389" s="33">
        <f t="shared" si="97"/>
        <v>0</v>
      </c>
      <c r="O389" s="28"/>
      <c r="P389" s="33">
        <f t="shared" si="98"/>
        <v>0</v>
      </c>
      <c r="Q389" s="35" t="str" cm="1">
        <f t="array" ref="Q389">IF(AF389&lt;&gt;"",IFERROR(INDEX('Group List B'!B:B,MATCH(AI389,'Group List B'!A:A,0),0),"-"),"")</f>
        <v/>
      </c>
      <c r="R389" s="36">
        <f t="shared" si="99"/>
        <v>0</v>
      </c>
      <c r="S389" s="36">
        <f t="shared" si="100"/>
        <v>0</v>
      </c>
      <c r="T389" s="36">
        <f t="shared" si="101"/>
        <v>0</v>
      </c>
      <c r="U389" s="28"/>
      <c r="V389" s="37">
        <f t="shared" si="102"/>
        <v>0</v>
      </c>
      <c r="W389" s="41"/>
      <c r="X389" s="27"/>
      <c r="Y389" s="27"/>
      <c r="Z389" s="27"/>
      <c r="AA389" s="15"/>
      <c r="AB389" s="17"/>
      <c r="AC389" s="17"/>
      <c r="AD389" s="17"/>
      <c r="AE389" s="90"/>
      <c r="AF389" s="82" t="str">
        <f t="shared" si="103"/>
        <v/>
      </c>
      <c r="AG389" s="83" t="str">
        <f t="shared" si="104"/>
        <v/>
      </c>
      <c r="AH389" s="82" t="str">
        <f t="shared" si="105"/>
        <v/>
      </c>
      <c r="AI389" s="82" t="str">
        <f t="shared" si="106"/>
        <v/>
      </c>
      <c r="AJ389" s="90"/>
      <c r="AP389" s="88"/>
    </row>
    <row r="390" spans="1:42" x14ac:dyDescent="0.25">
      <c r="A390" s="2"/>
      <c r="C390" s="68" t="str" cm="1">
        <f t="array" ref="C390">IF(AF390&lt;&gt;"",
IFERROR(INDEX('LaunchPad Markbook'!A:A,MATCH(AH390,'LaunchPad Markbook'!D:D,0),0),"-"),"")</f>
        <v/>
      </c>
      <c r="D390" s="27"/>
      <c r="E390" s="27"/>
      <c r="F390" s="27"/>
      <c r="G390" s="14">
        <f>IF(OR(H390&gt;AB$2,I390&gt;AC$2,J390&gt;AD$2,
P390&gt;1,V390&gt;1,
L390&gt;'Group List A'!E$2,M390&gt;'Group List A'!F$2,N390&gt;'Group List A'!G$2,
R390&gt;'Group List B'!E$2,S390&gt;'Group List B'!F$2,T390&gt;'Group List B'!G$2),"Exceed",
IF(OR(H390=AB$2,I390=AC$2,J390=AD$2,
P390=1,V390=1,
L390='Group List A'!E$2,M390='Group List A'!F$2,N390='Group List A'!G$2,
R390='Group List B'!E$2,S390='Group List B'!F$2,T390='Group List B'!G$2),"Limit",0))</f>
        <v>0</v>
      </c>
      <c r="H390" s="29">
        <f t="shared" si="92"/>
        <v>0</v>
      </c>
      <c r="I390" s="29">
        <f t="shared" si="93"/>
        <v>0</v>
      </c>
      <c r="J390" s="29">
        <f t="shared" si="94"/>
        <v>0</v>
      </c>
      <c r="K390" s="32" t="str" cm="1">
        <f t="array" ref="K390">IF(AF390&lt;&gt;"",IFERROR(INDEX('Group List A'!B:B,MATCH(AI390,'Group List A'!A:A,0),0),"-"),"")</f>
        <v/>
      </c>
      <c r="L390" s="33">
        <f t="shared" si="95"/>
        <v>0</v>
      </c>
      <c r="M390" s="33">
        <f t="shared" si="96"/>
        <v>0</v>
      </c>
      <c r="N390" s="33">
        <f t="shared" si="97"/>
        <v>0</v>
      </c>
      <c r="O390" s="28"/>
      <c r="P390" s="33">
        <f t="shared" si="98"/>
        <v>0</v>
      </c>
      <c r="Q390" s="35" t="str" cm="1">
        <f t="array" ref="Q390">IF(AF390&lt;&gt;"",IFERROR(INDEX('Group List B'!B:B,MATCH(AI390,'Group List B'!A:A,0),0),"-"),"")</f>
        <v/>
      </c>
      <c r="R390" s="36">
        <f t="shared" si="99"/>
        <v>0</v>
      </c>
      <c r="S390" s="36">
        <f t="shared" si="100"/>
        <v>0</v>
      </c>
      <c r="T390" s="36">
        <f t="shared" si="101"/>
        <v>0</v>
      </c>
      <c r="U390" s="28"/>
      <c r="V390" s="37">
        <f t="shared" si="102"/>
        <v>0</v>
      </c>
      <c r="W390" s="41"/>
      <c r="X390" s="27"/>
      <c r="Y390" s="27"/>
      <c r="Z390" s="27"/>
      <c r="AA390" s="15"/>
      <c r="AB390" s="17"/>
      <c r="AC390" s="17"/>
      <c r="AD390" s="17"/>
      <c r="AE390" s="90"/>
      <c r="AF390" s="82" t="str">
        <f t="shared" si="103"/>
        <v/>
      </c>
      <c r="AG390" s="83" t="str">
        <f t="shared" si="104"/>
        <v/>
      </c>
      <c r="AH390" s="82" t="str">
        <f t="shared" si="105"/>
        <v/>
      </c>
      <c r="AI390" s="82" t="str">
        <f t="shared" si="106"/>
        <v/>
      </c>
      <c r="AJ390" s="90"/>
      <c r="AP390" s="88"/>
    </row>
    <row r="391" spans="1:42" x14ac:dyDescent="0.25">
      <c r="A391" s="2"/>
      <c r="C391" s="68" t="str" cm="1">
        <f t="array" ref="C391">IF(AF391&lt;&gt;"",
IFERROR(INDEX('LaunchPad Markbook'!A:A,MATCH(AH391,'LaunchPad Markbook'!D:D,0),0),"-"),"")</f>
        <v/>
      </c>
      <c r="D391" s="27"/>
      <c r="E391" s="27"/>
      <c r="F391" s="27"/>
      <c r="G391" s="14">
        <f>IF(OR(H391&gt;AB$2,I391&gt;AC$2,J391&gt;AD$2,
P391&gt;1,V391&gt;1,
L391&gt;'Group List A'!E$2,M391&gt;'Group List A'!F$2,N391&gt;'Group List A'!G$2,
R391&gt;'Group List B'!E$2,S391&gt;'Group List B'!F$2,T391&gt;'Group List B'!G$2),"Exceed",
IF(OR(H391=AB$2,I391=AC$2,J391=AD$2,
P391=1,V391=1,
L391='Group List A'!E$2,M391='Group List A'!F$2,N391='Group List A'!G$2,
R391='Group List B'!E$2,S391='Group List B'!F$2,T391='Group List B'!G$2),"Limit",0))</f>
        <v>0</v>
      </c>
      <c r="H391" s="29">
        <f t="shared" si="92"/>
        <v>0</v>
      </c>
      <c r="I391" s="29">
        <f t="shared" si="93"/>
        <v>0</v>
      </c>
      <c r="J391" s="29">
        <f t="shared" si="94"/>
        <v>0</v>
      </c>
      <c r="K391" s="32" t="str" cm="1">
        <f t="array" ref="K391">IF(AF391&lt;&gt;"",IFERROR(INDEX('Group List A'!B:B,MATCH(AI391,'Group List A'!A:A,0),0),"-"),"")</f>
        <v/>
      </c>
      <c r="L391" s="33">
        <f t="shared" si="95"/>
        <v>0</v>
      </c>
      <c r="M391" s="33">
        <f t="shared" si="96"/>
        <v>0</v>
      </c>
      <c r="N391" s="33">
        <f t="shared" si="97"/>
        <v>0</v>
      </c>
      <c r="O391" s="28"/>
      <c r="P391" s="33">
        <f t="shared" si="98"/>
        <v>0</v>
      </c>
      <c r="Q391" s="35" t="str" cm="1">
        <f t="array" ref="Q391">IF(AF391&lt;&gt;"",IFERROR(INDEX('Group List B'!B:B,MATCH(AI391,'Group List B'!A:A,0),0),"-"),"")</f>
        <v/>
      </c>
      <c r="R391" s="36">
        <f t="shared" si="99"/>
        <v>0</v>
      </c>
      <c r="S391" s="36">
        <f t="shared" si="100"/>
        <v>0</v>
      </c>
      <c r="T391" s="36">
        <f t="shared" si="101"/>
        <v>0</v>
      </c>
      <c r="U391" s="28"/>
      <c r="V391" s="37">
        <f t="shared" si="102"/>
        <v>0</v>
      </c>
      <c r="W391" s="41"/>
      <c r="X391" s="27"/>
      <c r="Y391" s="27"/>
      <c r="Z391" s="27"/>
      <c r="AA391" s="15"/>
      <c r="AB391" s="17"/>
      <c r="AC391" s="17"/>
      <c r="AD391" s="17"/>
      <c r="AE391" s="90"/>
      <c r="AF391" s="82" t="str">
        <f t="shared" si="103"/>
        <v/>
      </c>
      <c r="AG391" s="83" t="str">
        <f t="shared" si="104"/>
        <v/>
      </c>
      <c r="AH391" s="82" t="str">
        <f t="shared" si="105"/>
        <v/>
      </c>
      <c r="AI391" s="82" t="str">
        <f t="shared" si="106"/>
        <v/>
      </c>
      <c r="AJ391" s="90"/>
      <c r="AP391" s="88"/>
    </row>
    <row r="392" spans="1:42" x14ac:dyDescent="0.25">
      <c r="A392" s="2"/>
      <c r="C392" s="68" t="str" cm="1">
        <f t="array" ref="C392">IF(AF392&lt;&gt;"",
IFERROR(INDEX('LaunchPad Markbook'!A:A,MATCH(AH392,'LaunchPad Markbook'!D:D,0),0),"-"),"")</f>
        <v/>
      </c>
      <c r="D392" s="27"/>
      <c r="E392" s="27"/>
      <c r="F392" s="27"/>
      <c r="G392" s="14">
        <f>IF(OR(H392&gt;AB$2,I392&gt;AC$2,J392&gt;AD$2,
P392&gt;1,V392&gt;1,
L392&gt;'Group List A'!E$2,M392&gt;'Group List A'!F$2,N392&gt;'Group List A'!G$2,
R392&gt;'Group List B'!E$2,S392&gt;'Group List B'!F$2,T392&gt;'Group List B'!G$2),"Exceed",
IF(OR(H392=AB$2,I392=AC$2,J392=AD$2,
P392=1,V392=1,
L392='Group List A'!E$2,M392='Group List A'!F$2,N392='Group List A'!G$2,
R392='Group List B'!E$2,S392='Group List B'!F$2,T392='Group List B'!G$2),"Limit",0))</f>
        <v>0</v>
      </c>
      <c r="H392" s="29">
        <f t="shared" si="92"/>
        <v>0</v>
      </c>
      <c r="I392" s="29">
        <f t="shared" si="93"/>
        <v>0</v>
      </c>
      <c r="J392" s="29">
        <f t="shared" si="94"/>
        <v>0</v>
      </c>
      <c r="K392" s="32" t="str" cm="1">
        <f t="array" ref="K392">IF(AF392&lt;&gt;"",IFERROR(INDEX('Group List A'!B:B,MATCH(AI392,'Group List A'!A:A,0),0),"-"),"")</f>
        <v/>
      </c>
      <c r="L392" s="33">
        <f t="shared" si="95"/>
        <v>0</v>
      </c>
      <c r="M392" s="33">
        <f t="shared" si="96"/>
        <v>0</v>
      </c>
      <c r="N392" s="33">
        <f t="shared" si="97"/>
        <v>0</v>
      </c>
      <c r="O392" s="28"/>
      <c r="P392" s="33">
        <f t="shared" si="98"/>
        <v>0</v>
      </c>
      <c r="Q392" s="35" t="str" cm="1">
        <f t="array" ref="Q392">IF(AF392&lt;&gt;"",IFERROR(INDEX('Group List B'!B:B,MATCH(AI392,'Group List B'!A:A,0),0),"-"),"")</f>
        <v/>
      </c>
      <c r="R392" s="36">
        <f t="shared" si="99"/>
        <v>0</v>
      </c>
      <c r="S392" s="36">
        <f t="shared" si="100"/>
        <v>0</v>
      </c>
      <c r="T392" s="36">
        <f t="shared" si="101"/>
        <v>0</v>
      </c>
      <c r="U392" s="28"/>
      <c r="V392" s="37">
        <f t="shared" si="102"/>
        <v>0</v>
      </c>
      <c r="W392" s="41"/>
      <c r="X392" s="27"/>
      <c r="Y392" s="27"/>
      <c r="Z392" s="27"/>
      <c r="AA392" s="15"/>
      <c r="AB392" s="17"/>
      <c r="AC392" s="17"/>
      <c r="AD392" s="17"/>
      <c r="AE392" s="90"/>
      <c r="AF392" s="82" t="str">
        <f t="shared" si="103"/>
        <v/>
      </c>
      <c r="AG392" s="83" t="str">
        <f t="shared" si="104"/>
        <v/>
      </c>
      <c r="AH392" s="82" t="str">
        <f t="shared" si="105"/>
        <v/>
      </c>
      <c r="AI392" s="82" t="str">
        <f t="shared" si="106"/>
        <v/>
      </c>
      <c r="AJ392" s="90"/>
      <c r="AP392" s="88"/>
    </row>
    <row r="393" spans="1:42" x14ac:dyDescent="0.25">
      <c r="A393" s="2"/>
      <c r="C393" s="68" t="str" cm="1">
        <f t="array" ref="C393">IF(AF393&lt;&gt;"",
IFERROR(INDEX('LaunchPad Markbook'!A:A,MATCH(AH393,'LaunchPad Markbook'!D:D,0),0),"-"),"")</f>
        <v/>
      </c>
      <c r="D393" s="27"/>
      <c r="E393" s="27"/>
      <c r="F393" s="27"/>
      <c r="G393" s="14">
        <f>IF(OR(H393&gt;AB$2,I393&gt;AC$2,J393&gt;AD$2,
P393&gt;1,V393&gt;1,
L393&gt;'Group List A'!E$2,M393&gt;'Group List A'!F$2,N393&gt;'Group List A'!G$2,
R393&gt;'Group List B'!E$2,S393&gt;'Group List B'!F$2,T393&gt;'Group List B'!G$2),"Exceed",
IF(OR(H393=AB$2,I393=AC$2,J393=AD$2,
P393=1,V393=1,
L393='Group List A'!E$2,M393='Group List A'!F$2,N393='Group List A'!G$2,
R393='Group List B'!E$2,S393='Group List B'!F$2,T393='Group List B'!G$2),"Limit",0))</f>
        <v>0</v>
      </c>
      <c r="H393" s="29">
        <f t="shared" si="92"/>
        <v>0</v>
      </c>
      <c r="I393" s="29">
        <f t="shared" si="93"/>
        <v>0</v>
      </c>
      <c r="J393" s="29">
        <f t="shared" si="94"/>
        <v>0</v>
      </c>
      <c r="K393" s="32" t="str" cm="1">
        <f t="array" ref="K393">IF(AF393&lt;&gt;"",IFERROR(INDEX('Group List A'!B:B,MATCH(AI393,'Group List A'!A:A,0),0),"-"),"")</f>
        <v/>
      </c>
      <c r="L393" s="33">
        <f t="shared" si="95"/>
        <v>0</v>
      </c>
      <c r="M393" s="33">
        <f t="shared" si="96"/>
        <v>0</v>
      </c>
      <c r="N393" s="33">
        <f t="shared" si="97"/>
        <v>0</v>
      </c>
      <c r="O393" s="28"/>
      <c r="P393" s="33">
        <f t="shared" si="98"/>
        <v>0</v>
      </c>
      <c r="Q393" s="35" t="str" cm="1">
        <f t="array" ref="Q393">IF(AF393&lt;&gt;"",IFERROR(INDEX('Group List B'!B:B,MATCH(AI393,'Group List B'!A:A,0),0),"-"),"")</f>
        <v/>
      </c>
      <c r="R393" s="36">
        <f t="shared" si="99"/>
        <v>0</v>
      </c>
      <c r="S393" s="36">
        <f t="shared" si="100"/>
        <v>0</v>
      </c>
      <c r="T393" s="36">
        <f t="shared" si="101"/>
        <v>0</v>
      </c>
      <c r="U393" s="28"/>
      <c r="V393" s="37">
        <f t="shared" si="102"/>
        <v>0</v>
      </c>
      <c r="W393" s="41"/>
      <c r="X393" s="27"/>
      <c r="Y393" s="27"/>
      <c r="Z393" s="27"/>
      <c r="AA393" s="15"/>
      <c r="AB393" s="17"/>
      <c r="AC393" s="17"/>
      <c r="AD393" s="17"/>
      <c r="AE393" s="90"/>
      <c r="AF393" s="82" t="str">
        <f t="shared" si="103"/>
        <v/>
      </c>
      <c r="AG393" s="83" t="str">
        <f t="shared" si="104"/>
        <v/>
      </c>
      <c r="AH393" s="82" t="str">
        <f t="shared" si="105"/>
        <v/>
      </c>
      <c r="AI393" s="82" t="str">
        <f t="shared" si="106"/>
        <v/>
      </c>
      <c r="AJ393" s="90"/>
      <c r="AP393" s="88"/>
    </row>
    <row r="394" spans="1:42" x14ac:dyDescent="0.25">
      <c r="A394" s="2"/>
      <c r="C394" s="68" t="str" cm="1">
        <f t="array" ref="C394">IF(AF394&lt;&gt;"",
IFERROR(INDEX('LaunchPad Markbook'!A:A,MATCH(AH394,'LaunchPad Markbook'!D:D,0),0),"-"),"")</f>
        <v/>
      </c>
      <c r="D394" s="27"/>
      <c r="E394" s="27"/>
      <c r="F394" s="27"/>
      <c r="G394" s="14">
        <f>IF(OR(H394&gt;AB$2,I394&gt;AC$2,J394&gt;AD$2,
P394&gt;1,V394&gt;1,
L394&gt;'Group List A'!E$2,M394&gt;'Group List A'!F$2,N394&gt;'Group List A'!G$2,
R394&gt;'Group List B'!E$2,S394&gt;'Group List B'!F$2,T394&gt;'Group List B'!G$2),"Exceed",
IF(OR(H394=AB$2,I394=AC$2,J394=AD$2,
P394=1,V394=1,
L394='Group List A'!E$2,M394='Group List A'!F$2,N394='Group List A'!G$2,
R394='Group List B'!E$2,S394='Group List B'!F$2,T394='Group List B'!G$2),"Limit",0))</f>
        <v>0</v>
      </c>
      <c r="H394" s="29">
        <f t="shared" si="92"/>
        <v>0</v>
      </c>
      <c r="I394" s="29">
        <f t="shared" si="93"/>
        <v>0</v>
      </c>
      <c r="J394" s="29">
        <f t="shared" si="94"/>
        <v>0</v>
      </c>
      <c r="K394" s="32" t="str" cm="1">
        <f t="array" ref="K394">IF(AF394&lt;&gt;"",IFERROR(INDEX('Group List A'!B:B,MATCH(AI394,'Group List A'!A:A,0),0),"-"),"")</f>
        <v/>
      </c>
      <c r="L394" s="33">
        <f t="shared" si="95"/>
        <v>0</v>
      </c>
      <c r="M394" s="33">
        <f t="shared" si="96"/>
        <v>0</v>
      </c>
      <c r="N394" s="33">
        <f t="shared" si="97"/>
        <v>0</v>
      </c>
      <c r="O394" s="28"/>
      <c r="P394" s="33">
        <f t="shared" si="98"/>
        <v>0</v>
      </c>
      <c r="Q394" s="35" t="str" cm="1">
        <f t="array" ref="Q394">IF(AF394&lt;&gt;"",IFERROR(INDEX('Group List B'!B:B,MATCH(AI394,'Group List B'!A:A,0),0),"-"),"")</f>
        <v/>
      </c>
      <c r="R394" s="36">
        <f t="shared" si="99"/>
        <v>0</v>
      </c>
      <c r="S394" s="36">
        <f t="shared" si="100"/>
        <v>0</v>
      </c>
      <c r="T394" s="36">
        <f t="shared" si="101"/>
        <v>0</v>
      </c>
      <c r="U394" s="28"/>
      <c r="V394" s="37">
        <f t="shared" si="102"/>
        <v>0</v>
      </c>
      <c r="W394" s="41"/>
      <c r="X394" s="27"/>
      <c r="Y394" s="27"/>
      <c r="Z394" s="27"/>
      <c r="AA394" s="15"/>
      <c r="AB394" s="17"/>
      <c r="AC394" s="17"/>
      <c r="AD394" s="17"/>
      <c r="AE394" s="90"/>
      <c r="AF394" s="82" t="str">
        <f t="shared" si="103"/>
        <v/>
      </c>
      <c r="AG394" s="83" t="str">
        <f t="shared" si="104"/>
        <v/>
      </c>
      <c r="AH394" s="82" t="str">
        <f t="shared" si="105"/>
        <v/>
      </c>
      <c r="AI394" s="82" t="str">
        <f t="shared" si="106"/>
        <v/>
      </c>
      <c r="AJ394" s="90"/>
      <c r="AP394" s="88"/>
    </row>
    <row r="395" spans="1:42" x14ac:dyDescent="0.25">
      <c r="A395" s="2"/>
      <c r="C395" s="68" t="str" cm="1">
        <f t="array" ref="C395">IF(AF395&lt;&gt;"",
IFERROR(INDEX('LaunchPad Markbook'!A:A,MATCH(AH395,'LaunchPad Markbook'!D:D,0),0),"-"),"")</f>
        <v/>
      </c>
      <c r="D395" s="27"/>
      <c r="E395" s="27"/>
      <c r="F395" s="27"/>
      <c r="G395" s="14">
        <f>IF(OR(H395&gt;AB$2,I395&gt;AC$2,J395&gt;AD$2,
P395&gt;1,V395&gt;1,
L395&gt;'Group List A'!E$2,M395&gt;'Group List A'!F$2,N395&gt;'Group List A'!G$2,
R395&gt;'Group List B'!E$2,S395&gt;'Group List B'!F$2,T395&gt;'Group List B'!G$2),"Exceed",
IF(OR(H395=AB$2,I395=AC$2,J395=AD$2,
P395=1,V395=1,
L395='Group List A'!E$2,M395='Group List A'!F$2,N395='Group List A'!G$2,
R395='Group List B'!E$2,S395='Group List B'!F$2,T395='Group List B'!G$2),"Limit",0))</f>
        <v>0</v>
      </c>
      <c r="H395" s="29">
        <f t="shared" si="92"/>
        <v>0</v>
      </c>
      <c r="I395" s="29">
        <f t="shared" si="93"/>
        <v>0</v>
      </c>
      <c r="J395" s="29">
        <f t="shared" si="94"/>
        <v>0</v>
      </c>
      <c r="K395" s="32" t="str" cm="1">
        <f t="array" ref="K395">IF(AF395&lt;&gt;"",IFERROR(INDEX('Group List A'!B:B,MATCH(AI395,'Group List A'!A:A,0),0),"-"),"")</f>
        <v/>
      </c>
      <c r="L395" s="33">
        <f t="shared" si="95"/>
        <v>0</v>
      </c>
      <c r="M395" s="33">
        <f t="shared" si="96"/>
        <v>0</v>
      </c>
      <c r="N395" s="33">
        <f t="shared" si="97"/>
        <v>0</v>
      </c>
      <c r="O395" s="28"/>
      <c r="P395" s="33">
        <f t="shared" si="98"/>
        <v>0</v>
      </c>
      <c r="Q395" s="35" t="str" cm="1">
        <f t="array" ref="Q395">IF(AF395&lt;&gt;"",IFERROR(INDEX('Group List B'!B:B,MATCH(AI395,'Group List B'!A:A,0),0),"-"),"")</f>
        <v/>
      </c>
      <c r="R395" s="36">
        <f t="shared" si="99"/>
        <v>0</v>
      </c>
      <c r="S395" s="36">
        <f t="shared" si="100"/>
        <v>0</v>
      </c>
      <c r="T395" s="36">
        <f t="shared" si="101"/>
        <v>0</v>
      </c>
      <c r="U395" s="28"/>
      <c r="V395" s="37">
        <f t="shared" si="102"/>
        <v>0</v>
      </c>
      <c r="W395" s="41"/>
      <c r="X395" s="27"/>
      <c r="Y395" s="27"/>
      <c r="Z395" s="27"/>
      <c r="AA395" s="15"/>
      <c r="AB395" s="17"/>
      <c r="AC395" s="17"/>
      <c r="AD395" s="17"/>
      <c r="AE395" s="90"/>
      <c r="AF395" s="82" t="str">
        <f t="shared" si="103"/>
        <v/>
      </c>
      <c r="AG395" s="83" t="str">
        <f t="shared" si="104"/>
        <v/>
      </c>
      <c r="AH395" s="82" t="str">
        <f t="shared" si="105"/>
        <v/>
      </c>
      <c r="AI395" s="82" t="str">
        <f t="shared" si="106"/>
        <v/>
      </c>
      <c r="AJ395" s="90"/>
      <c r="AP395" s="88"/>
    </row>
    <row r="396" spans="1:42" x14ac:dyDescent="0.25">
      <c r="A396" s="2"/>
      <c r="C396" s="68" t="str" cm="1">
        <f t="array" ref="C396">IF(AF396&lt;&gt;"",
IFERROR(INDEX('LaunchPad Markbook'!A:A,MATCH(AH396,'LaunchPad Markbook'!D:D,0),0),"-"),"")</f>
        <v/>
      </c>
      <c r="D396" s="27"/>
      <c r="E396" s="27"/>
      <c r="F396" s="27"/>
      <c r="G396" s="14">
        <f>IF(OR(H396&gt;AB$2,I396&gt;AC$2,J396&gt;AD$2,
P396&gt;1,V396&gt;1,
L396&gt;'Group List A'!E$2,M396&gt;'Group List A'!F$2,N396&gt;'Group List A'!G$2,
R396&gt;'Group List B'!E$2,S396&gt;'Group List B'!F$2,T396&gt;'Group List B'!G$2),"Exceed",
IF(OR(H396=AB$2,I396=AC$2,J396=AD$2,
P396=1,V396=1,
L396='Group List A'!E$2,M396='Group List A'!F$2,N396='Group List A'!G$2,
R396='Group List B'!E$2,S396='Group List B'!F$2,T396='Group List B'!G$2),"Limit",0))</f>
        <v>0</v>
      </c>
      <c r="H396" s="29">
        <f t="shared" si="92"/>
        <v>0</v>
      </c>
      <c r="I396" s="29">
        <f t="shared" si="93"/>
        <v>0</v>
      </c>
      <c r="J396" s="29">
        <f t="shared" si="94"/>
        <v>0</v>
      </c>
      <c r="K396" s="32" t="str" cm="1">
        <f t="array" ref="K396">IF(AF396&lt;&gt;"",IFERROR(INDEX('Group List A'!B:B,MATCH(AI396,'Group List A'!A:A,0),0),"-"),"")</f>
        <v/>
      </c>
      <c r="L396" s="33">
        <f t="shared" si="95"/>
        <v>0</v>
      </c>
      <c r="M396" s="33">
        <f t="shared" si="96"/>
        <v>0</v>
      </c>
      <c r="N396" s="33">
        <f t="shared" si="97"/>
        <v>0</v>
      </c>
      <c r="O396" s="28"/>
      <c r="P396" s="33">
        <f t="shared" si="98"/>
        <v>0</v>
      </c>
      <c r="Q396" s="35" t="str" cm="1">
        <f t="array" ref="Q396">IF(AF396&lt;&gt;"",IFERROR(INDEX('Group List B'!B:B,MATCH(AI396,'Group List B'!A:A,0),0),"-"),"")</f>
        <v/>
      </c>
      <c r="R396" s="36">
        <f t="shared" si="99"/>
        <v>0</v>
      </c>
      <c r="S396" s="36">
        <f t="shared" si="100"/>
        <v>0</v>
      </c>
      <c r="T396" s="36">
        <f t="shared" si="101"/>
        <v>0</v>
      </c>
      <c r="U396" s="28"/>
      <c r="V396" s="37">
        <f t="shared" si="102"/>
        <v>0</v>
      </c>
      <c r="W396" s="41"/>
      <c r="X396" s="27"/>
      <c r="Y396" s="27"/>
      <c r="Z396" s="27"/>
      <c r="AA396" s="15"/>
      <c r="AB396" s="17"/>
      <c r="AC396" s="17"/>
      <c r="AD396" s="17"/>
      <c r="AE396" s="90"/>
      <c r="AF396" s="82" t="str">
        <f t="shared" si="103"/>
        <v/>
      </c>
      <c r="AG396" s="83" t="str">
        <f t="shared" si="104"/>
        <v/>
      </c>
      <c r="AH396" s="82" t="str">
        <f t="shared" si="105"/>
        <v/>
      </c>
      <c r="AI396" s="82" t="str">
        <f t="shared" si="106"/>
        <v/>
      </c>
      <c r="AJ396" s="90"/>
      <c r="AP396" s="88"/>
    </row>
    <row r="397" spans="1:42" x14ac:dyDescent="0.25">
      <c r="A397" s="2"/>
      <c r="C397" s="68" t="str" cm="1">
        <f t="array" ref="C397">IF(AF397&lt;&gt;"",
IFERROR(INDEX('LaunchPad Markbook'!A:A,MATCH(AH397,'LaunchPad Markbook'!D:D,0),0),"-"),"")</f>
        <v/>
      </c>
      <c r="D397" s="27"/>
      <c r="E397" s="27"/>
      <c r="F397" s="27"/>
      <c r="G397" s="14">
        <f>IF(OR(H397&gt;AB$2,I397&gt;AC$2,J397&gt;AD$2,
P397&gt;1,V397&gt;1,
L397&gt;'Group List A'!E$2,M397&gt;'Group List A'!F$2,N397&gt;'Group List A'!G$2,
R397&gt;'Group List B'!E$2,S397&gt;'Group List B'!F$2,T397&gt;'Group List B'!G$2),"Exceed",
IF(OR(H397=AB$2,I397=AC$2,J397=AD$2,
P397=1,V397=1,
L397='Group List A'!E$2,M397='Group List A'!F$2,N397='Group List A'!G$2,
R397='Group List B'!E$2,S397='Group List B'!F$2,T397='Group List B'!G$2),"Limit",0))</f>
        <v>0</v>
      </c>
      <c r="H397" s="29">
        <f t="shared" si="92"/>
        <v>0</v>
      </c>
      <c r="I397" s="29">
        <f t="shared" si="93"/>
        <v>0</v>
      </c>
      <c r="J397" s="29">
        <f t="shared" si="94"/>
        <v>0</v>
      </c>
      <c r="K397" s="32" t="str" cm="1">
        <f t="array" ref="K397">IF(AF397&lt;&gt;"",IFERROR(INDEX('Group List A'!B:B,MATCH(AI397,'Group List A'!A:A,0),0),"-"),"")</f>
        <v/>
      </c>
      <c r="L397" s="33">
        <f t="shared" si="95"/>
        <v>0</v>
      </c>
      <c r="M397" s="33">
        <f t="shared" si="96"/>
        <v>0</v>
      </c>
      <c r="N397" s="33">
        <f t="shared" si="97"/>
        <v>0</v>
      </c>
      <c r="O397" s="28"/>
      <c r="P397" s="33">
        <f t="shared" si="98"/>
        <v>0</v>
      </c>
      <c r="Q397" s="35" t="str" cm="1">
        <f t="array" ref="Q397">IF(AF397&lt;&gt;"",IFERROR(INDEX('Group List B'!B:B,MATCH(AI397,'Group List B'!A:A,0),0),"-"),"")</f>
        <v/>
      </c>
      <c r="R397" s="36">
        <f t="shared" si="99"/>
        <v>0</v>
      </c>
      <c r="S397" s="36">
        <f t="shared" si="100"/>
        <v>0</v>
      </c>
      <c r="T397" s="36">
        <f t="shared" si="101"/>
        <v>0</v>
      </c>
      <c r="U397" s="28"/>
      <c r="V397" s="37">
        <f t="shared" si="102"/>
        <v>0</v>
      </c>
      <c r="W397" s="41"/>
      <c r="X397" s="27"/>
      <c r="Y397" s="27"/>
      <c r="Z397" s="27"/>
      <c r="AA397" s="15"/>
      <c r="AB397" s="17"/>
      <c r="AC397" s="17"/>
      <c r="AD397" s="17"/>
      <c r="AE397" s="90"/>
      <c r="AF397" s="82" t="str">
        <f t="shared" si="103"/>
        <v/>
      </c>
      <c r="AG397" s="83" t="str">
        <f t="shared" si="104"/>
        <v/>
      </c>
      <c r="AH397" s="82" t="str">
        <f t="shared" si="105"/>
        <v/>
      </c>
      <c r="AI397" s="82" t="str">
        <f t="shared" si="106"/>
        <v/>
      </c>
      <c r="AJ397" s="90"/>
      <c r="AP397" s="88"/>
    </row>
    <row r="398" spans="1:42" x14ac:dyDescent="0.25">
      <c r="A398" s="2"/>
      <c r="C398" s="68" t="str" cm="1">
        <f t="array" ref="C398">IF(AF398&lt;&gt;"",
IFERROR(INDEX('LaunchPad Markbook'!A:A,MATCH(AH398,'LaunchPad Markbook'!D:D,0),0),"-"),"")</f>
        <v/>
      </c>
      <c r="D398" s="27"/>
      <c r="E398" s="27"/>
      <c r="F398" s="27"/>
      <c r="G398" s="14">
        <f>IF(OR(H398&gt;AB$2,I398&gt;AC$2,J398&gt;AD$2,
P398&gt;1,V398&gt;1,
L398&gt;'Group List A'!E$2,M398&gt;'Group List A'!F$2,N398&gt;'Group List A'!G$2,
R398&gt;'Group List B'!E$2,S398&gt;'Group List B'!F$2,T398&gt;'Group List B'!G$2),"Exceed",
IF(OR(H398=AB$2,I398=AC$2,J398=AD$2,
P398=1,V398=1,
L398='Group List A'!E$2,M398='Group List A'!F$2,N398='Group List A'!G$2,
R398='Group List B'!E$2,S398='Group List B'!F$2,T398='Group List B'!G$2),"Limit",0))</f>
        <v>0</v>
      </c>
      <c r="H398" s="29">
        <f t="shared" si="92"/>
        <v>0</v>
      </c>
      <c r="I398" s="29">
        <f t="shared" si="93"/>
        <v>0</v>
      </c>
      <c r="J398" s="29">
        <f t="shared" si="94"/>
        <v>0</v>
      </c>
      <c r="K398" s="32" t="str" cm="1">
        <f t="array" ref="K398">IF(AF398&lt;&gt;"",IFERROR(INDEX('Group List A'!B:B,MATCH(AI398,'Group List A'!A:A,0),0),"-"),"")</f>
        <v/>
      </c>
      <c r="L398" s="33">
        <f t="shared" si="95"/>
        <v>0</v>
      </c>
      <c r="M398" s="33">
        <f t="shared" si="96"/>
        <v>0</v>
      </c>
      <c r="N398" s="33">
        <f t="shared" si="97"/>
        <v>0</v>
      </c>
      <c r="O398" s="28"/>
      <c r="P398" s="33">
        <f t="shared" si="98"/>
        <v>0</v>
      </c>
      <c r="Q398" s="35" t="str" cm="1">
        <f t="array" ref="Q398">IF(AF398&lt;&gt;"",IFERROR(INDEX('Group List B'!B:B,MATCH(AI398,'Group List B'!A:A,0),0),"-"),"")</f>
        <v/>
      </c>
      <c r="R398" s="36">
        <f t="shared" si="99"/>
        <v>0</v>
      </c>
      <c r="S398" s="36">
        <f t="shared" si="100"/>
        <v>0</v>
      </c>
      <c r="T398" s="36">
        <f t="shared" si="101"/>
        <v>0</v>
      </c>
      <c r="U398" s="28"/>
      <c r="V398" s="37">
        <f t="shared" si="102"/>
        <v>0</v>
      </c>
      <c r="W398" s="41"/>
      <c r="X398" s="27"/>
      <c r="Y398" s="27"/>
      <c r="Z398" s="27"/>
      <c r="AA398" s="15"/>
      <c r="AB398" s="17"/>
      <c r="AC398" s="17"/>
      <c r="AD398" s="17"/>
      <c r="AE398" s="90"/>
      <c r="AF398" s="82" t="str">
        <f t="shared" si="103"/>
        <v/>
      </c>
      <c r="AG398" s="83" t="str">
        <f t="shared" si="104"/>
        <v/>
      </c>
      <c r="AH398" s="82" t="str">
        <f t="shared" si="105"/>
        <v/>
      </c>
      <c r="AI398" s="82" t="str">
        <f t="shared" si="106"/>
        <v/>
      </c>
      <c r="AJ398" s="90"/>
      <c r="AP398" s="88"/>
    </row>
    <row r="399" spans="1:42" x14ac:dyDescent="0.25">
      <c r="A399" s="2"/>
      <c r="C399" s="68" t="str" cm="1">
        <f t="array" ref="C399">IF(AF399&lt;&gt;"",
IFERROR(INDEX('LaunchPad Markbook'!A:A,MATCH(AH399,'LaunchPad Markbook'!D:D,0),0),"-"),"")</f>
        <v/>
      </c>
      <c r="D399" s="27"/>
      <c r="E399" s="27"/>
      <c r="F399" s="27"/>
      <c r="G399" s="14">
        <f>IF(OR(H399&gt;AB$2,I399&gt;AC$2,J399&gt;AD$2,
P399&gt;1,V399&gt;1,
L399&gt;'Group List A'!E$2,M399&gt;'Group List A'!F$2,N399&gt;'Group List A'!G$2,
R399&gt;'Group List B'!E$2,S399&gt;'Group List B'!F$2,T399&gt;'Group List B'!G$2),"Exceed",
IF(OR(H399=AB$2,I399=AC$2,J399=AD$2,
P399=1,V399=1,
L399='Group List A'!E$2,M399='Group List A'!F$2,N399='Group List A'!G$2,
R399='Group List B'!E$2,S399='Group List B'!F$2,T399='Group List B'!G$2),"Limit",0))</f>
        <v>0</v>
      </c>
      <c r="H399" s="29">
        <f t="shared" si="92"/>
        <v>0</v>
      </c>
      <c r="I399" s="29">
        <f t="shared" si="93"/>
        <v>0</v>
      </c>
      <c r="J399" s="29">
        <f t="shared" si="94"/>
        <v>0</v>
      </c>
      <c r="K399" s="32" t="str" cm="1">
        <f t="array" ref="K399">IF(AF399&lt;&gt;"",IFERROR(INDEX('Group List A'!B:B,MATCH(AI399,'Group List A'!A:A,0),0),"-"),"")</f>
        <v/>
      </c>
      <c r="L399" s="33">
        <f t="shared" si="95"/>
        <v>0</v>
      </c>
      <c r="M399" s="33">
        <f t="shared" si="96"/>
        <v>0</v>
      </c>
      <c r="N399" s="33">
        <f t="shared" si="97"/>
        <v>0</v>
      </c>
      <c r="O399" s="28"/>
      <c r="P399" s="33">
        <f t="shared" si="98"/>
        <v>0</v>
      </c>
      <c r="Q399" s="35" t="str" cm="1">
        <f t="array" ref="Q399">IF(AF399&lt;&gt;"",IFERROR(INDEX('Group List B'!B:B,MATCH(AI399,'Group List B'!A:A,0),0),"-"),"")</f>
        <v/>
      </c>
      <c r="R399" s="36">
        <f t="shared" si="99"/>
        <v>0</v>
      </c>
      <c r="S399" s="36">
        <f t="shared" si="100"/>
        <v>0</v>
      </c>
      <c r="T399" s="36">
        <f t="shared" si="101"/>
        <v>0</v>
      </c>
      <c r="U399" s="28"/>
      <c r="V399" s="37">
        <f t="shared" si="102"/>
        <v>0</v>
      </c>
      <c r="W399" s="41"/>
      <c r="X399" s="27"/>
      <c r="Y399" s="27"/>
      <c r="Z399" s="27"/>
      <c r="AA399" s="15"/>
      <c r="AB399" s="17"/>
      <c r="AC399" s="17"/>
      <c r="AD399" s="17"/>
      <c r="AE399" s="90"/>
      <c r="AF399" s="82" t="str">
        <f t="shared" si="103"/>
        <v/>
      </c>
      <c r="AG399" s="83" t="str">
        <f t="shared" si="104"/>
        <v/>
      </c>
      <c r="AH399" s="82" t="str">
        <f t="shared" si="105"/>
        <v/>
      </c>
      <c r="AI399" s="82" t="str">
        <f t="shared" si="106"/>
        <v/>
      </c>
      <c r="AJ399" s="90"/>
      <c r="AP399" s="88"/>
    </row>
    <row r="400" spans="1:42" x14ac:dyDescent="0.25">
      <c r="A400" s="2"/>
      <c r="C400" s="68" t="str" cm="1">
        <f t="array" ref="C400">IF(AF400&lt;&gt;"",
IFERROR(INDEX('LaunchPad Markbook'!A:A,MATCH(AH400,'LaunchPad Markbook'!D:D,0),0),"-"),"")</f>
        <v/>
      </c>
      <c r="D400" s="27"/>
      <c r="E400" s="27"/>
      <c r="F400" s="27"/>
      <c r="G400" s="14">
        <f>IF(OR(H400&gt;AB$2,I400&gt;AC$2,J400&gt;AD$2,
P400&gt;1,V400&gt;1,
L400&gt;'Group List A'!E$2,M400&gt;'Group List A'!F$2,N400&gt;'Group List A'!G$2,
R400&gt;'Group List B'!E$2,S400&gt;'Group List B'!F$2,T400&gt;'Group List B'!G$2),"Exceed",
IF(OR(H400=AB$2,I400=AC$2,J400=AD$2,
P400=1,V400=1,
L400='Group List A'!E$2,M400='Group List A'!F$2,N400='Group List A'!G$2,
R400='Group List B'!E$2,S400='Group List B'!F$2,T400='Group List B'!G$2),"Limit",0))</f>
        <v>0</v>
      </c>
      <c r="H400" s="29">
        <f t="shared" si="92"/>
        <v>0</v>
      </c>
      <c r="I400" s="29">
        <f t="shared" si="93"/>
        <v>0</v>
      </c>
      <c r="J400" s="29">
        <f t="shared" si="94"/>
        <v>0</v>
      </c>
      <c r="K400" s="32" t="str" cm="1">
        <f t="array" ref="K400">IF(AF400&lt;&gt;"",IFERROR(INDEX('Group List A'!B:B,MATCH(AI400,'Group List A'!A:A,0),0),"-"),"")</f>
        <v/>
      </c>
      <c r="L400" s="33">
        <f t="shared" si="95"/>
        <v>0</v>
      </c>
      <c r="M400" s="33">
        <f t="shared" si="96"/>
        <v>0</v>
      </c>
      <c r="N400" s="33">
        <f t="shared" si="97"/>
        <v>0</v>
      </c>
      <c r="O400" s="28"/>
      <c r="P400" s="33">
        <f t="shared" si="98"/>
        <v>0</v>
      </c>
      <c r="Q400" s="35" t="str" cm="1">
        <f t="array" ref="Q400">IF(AF400&lt;&gt;"",IFERROR(INDEX('Group List B'!B:B,MATCH(AI400,'Group List B'!A:A,0),0),"-"),"")</f>
        <v/>
      </c>
      <c r="R400" s="36">
        <f t="shared" si="99"/>
        <v>0</v>
      </c>
      <c r="S400" s="36">
        <f t="shared" si="100"/>
        <v>0</v>
      </c>
      <c r="T400" s="36">
        <f t="shared" si="101"/>
        <v>0</v>
      </c>
      <c r="U400" s="28"/>
      <c r="V400" s="37">
        <f t="shared" si="102"/>
        <v>0</v>
      </c>
      <c r="W400" s="41"/>
      <c r="X400" s="27"/>
      <c r="Y400" s="27"/>
      <c r="Z400" s="27"/>
      <c r="AA400" s="15"/>
      <c r="AB400" s="17"/>
      <c r="AC400" s="17"/>
      <c r="AD400" s="17"/>
      <c r="AE400" s="90"/>
      <c r="AF400" s="82" t="str">
        <f t="shared" si="103"/>
        <v/>
      </c>
      <c r="AG400" s="83" t="str">
        <f t="shared" si="104"/>
        <v/>
      </c>
      <c r="AH400" s="82" t="str">
        <f t="shared" si="105"/>
        <v/>
      </c>
      <c r="AI400" s="82" t="str">
        <f t="shared" si="106"/>
        <v/>
      </c>
      <c r="AJ400" s="90"/>
      <c r="AP400" s="88"/>
    </row>
    <row r="401" spans="1:42" x14ac:dyDescent="0.25">
      <c r="A401" s="2"/>
      <c r="C401" s="68" t="str" cm="1">
        <f t="array" ref="C401">IF(AF401&lt;&gt;"",
IFERROR(INDEX('LaunchPad Markbook'!A:A,MATCH(AH401,'LaunchPad Markbook'!D:D,0),0),"-"),"")</f>
        <v/>
      </c>
      <c r="D401" s="27"/>
      <c r="E401" s="27"/>
      <c r="F401" s="27"/>
      <c r="G401" s="14">
        <f>IF(OR(H401&gt;AB$2,I401&gt;AC$2,J401&gt;AD$2,
P401&gt;1,V401&gt;1,
L401&gt;'Group List A'!E$2,M401&gt;'Group List A'!F$2,N401&gt;'Group List A'!G$2,
R401&gt;'Group List B'!E$2,S401&gt;'Group List B'!F$2,T401&gt;'Group List B'!G$2),"Exceed",
IF(OR(H401=AB$2,I401=AC$2,J401=AD$2,
P401=1,V401=1,
L401='Group List A'!E$2,M401='Group List A'!F$2,N401='Group List A'!G$2,
R401='Group List B'!E$2,S401='Group List B'!F$2,T401='Group List B'!G$2),"Limit",0))</f>
        <v>0</v>
      </c>
      <c r="H401" s="29">
        <f t="shared" si="92"/>
        <v>0</v>
      </c>
      <c r="I401" s="29">
        <f t="shared" si="93"/>
        <v>0</v>
      </c>
      <c r="J401" s="29">
        <f t="shared" si="94"/>
        <v>0</v>
      </c>
      <c r="K401" s="32" t="str" cm="1">
        <f t="array" ref="K401">IF(AF401&lt;&gt;"",IFERROR(INDEX('Group List A'!B:B,MATCH(AI401,'Group List A'!A:A,0),0),"-"),"")</f>
        <v/>
      </c>
      <c r="L401" s="33">
        <f t="shared" si="95"/>
        <v>0</v>
      </c>
      <c r="M401" s="33">
        <f t="shared" si="96"/>
        <v>0</v>
      </c>
      <c r="N401" s="33">
        <f t="shared" si="97"/>
        <v>0</v>
      </c>
      <c r="O401" s="28"/>
      <c r="P401" s="33">
        <f t="shared" si="98"/>
        <v>0</v>
      </c>
      <c r="Q401" s="35" t="str" cm="1">
        <f t="array" ref="Q401">IF(AF401&lt;&gt;"",IFERROR(INDEX('Group List B'!B:B,MATCH(AI401,'Group List B'!A:A,0),0),"-"),"")</f>
        <v/>
      </c>
      <c r="R401" s="36">
        <f t="shared" si="99"/>
        <v>0</v>
      </c>
      <c r="S401" s="36">
        <f t="shared" si="100"/>
        <v>0</v>
      </c>
      <c r="T401" s="36">
        <f t="shared" si="101"/>
        <v>0</v>
      </c>
      <c r="U401" s="28"/>
      <c r="V401" s="37">
        <f t="shared" si="102"/>
        <v>0</v>
      </c>
      <c r="W401" s="41"/>
      <c r="X401" s="27"/>
      <c r="Y401" s="27"/>
      <c r="Z401" s="27"/>
      <c r="AA401" s="15"/>
      <c r="AB401" s="17"/>
      <c r="AC401" s="17"/>
      <c r="AD401" s="17"/>
      <c r="AE401" s="90"/>
      <c r="AF401" s="82" t="str">
        <f t="shared" si="103"/>
        <v/>
      </c>
      <c r="AG401" s="83" t="str">
        <f t="shared" si="104"/>
        <v/>
      </c>
      <c r="AH401" s="82" t="str">
        <f t="shared" si="105"/>
        <v/>
      </c>
      <c r="AI401" s="82" t="str">
        <f t="shared" si="106"/>
        <v/>
      </c>
      <c r="AJ401" s="90"/>
      <c r="AP401" s="88"/>
    </row>
    <row r="402" spans="1:42" x14ac:dyDescent="0.25">
      <c r="A402" s="2"/>
      <c r="C402" s="68" t="str" cm="1">
        <f t="array" ref="C402">IF(AF402&lt;&gt;"",
IFERROR(INDEX('LaunchPad Markbook'!A:A,MATCH(AH402,'LaunchPad Markbook'!D:D,0),0),"-"),"")</f>
        <v/>
      </c>
      <c r="D402" s="27"/>
      <c r="E402" s="27"/>
      <c r="F402" s="27"/>
      <c r="G402" s="14">
        <f>IF(OR(H402&gt;AB$2,I402&gt;AC$2,J402&gt;AD$2,
P402&gt;1,V402&gt;1,
L402&gt;'Group List A'!E$2,M402&gt;'Group List A'!F$2,N402&gt;'Group List A'!G$2,
R402&gt;'Group List B'!E$2,S402&gt;'Group List B'!F$2,T402&gt;'Group List B'!G$2),"Exceed",
IF(OR(H402=AB$2,I402=AC$2,J402=AD$2,
P402=1,V402=1,
L402='Group List A'!E$2,M402='Group List A'!F$2,N402='Group List A'!G$2,
R402='Group List B'!E$2,S402='Group List B'!F$2,T402='Group List B'!G$2),"Limit",0))</f>
        <v>0</v>
      </c>
      <c r="H402" s="29">
        <f t="shared" si="92"/>
        <v>0</v>
      </c>
      <c r="I402" s="29">
        <f t="shared" si="93"/>
        <v>0</v>
      </c>
      <c r="J402" s="29">
        <f t="shared" si="94"/>
        <v>0</v>
      </c>
      <c r="K402" s="32" t="str" cm="1">
        <f t="array" ref="K402">IF(AF402&lt;&gt;"",IFERROR(INDEX('Group List A'!B:B,MATCH(AI402,'Group List A'!A:A,0),0),"-"),"")</f>
        <v/>
      </c>
      <c r="L402" s="33">
        <f t="shared" si="95"/>
        <v>0</v>
      </c>
      <c r="M402" s="33">
        <f t="shared" si="96"/>
        <v>0</v>
      </c>
      <c r="N402" s="33">
        <f t="shared" si="97"/>
        <v>0</v>
      </c>
      <c r="O402" s="28"/>
      <c r="P402" s="33">
        <f t="shared" si="98"/>
        <v>0</v>
      </c>
      <c r="Q402" s="35" t="str" cm="1">
        <f t="array" ref="Q402">IF(AF402&lt;&gt;"",IFERROR(INDEX('Group List B'!B:B,MATCH(AI402,'Group List B'!A:A,0),0),"-"),"")</f>
        <v/>
      </c>
      <c r="R402" s="36">
        <f t="shared" si="99"/>
        <v>0</v>
      </c>
      <c r="S402" s="36">
        <f t="shared" si="100"/>
        <v>0</v>
      </c>
      <c r="T402" s="36">
        <f t="shared" si="101"/>
        <v>0</v>
      </c>
      <c r="U402" s="28"/>
      <c r="V402" s="37">
        <f t="shared" si="102"/>
        <v>0</v>
      </c>
      <c r="W402" s="41"/>
      <c r="X402" s="27"/>
      <c r="Y402" s="27"/>
      <c r="Z402" s="27"/>
      <c r="AA402" s="15"/>
      <c r="AB402" s="17"/>
      <c r="AC402" s="17"/>
      <c r="AD402" s="17"/>
      <c r="AE402" s="90"/>
      <c r="AF402" s="82" t="str">
        <f t="shared" si="103"/>
        <v/>
      </c>
      <c r="AG402" s="83" t="str">
        <f t="shared" si="104"/>
        <v/>
      </c>
      <c r="AH402" s="82" t="str">
        <f t="shared" si="105"/>
        <v/>
      </c>
      <c r="AI402" s="82" t="str">
        <f t="shared" si="106"/>
        <v/>
      </c>
      <c r="AJ402" s="90"/>
      <c r="AP402" s="88"/>
    </row>
    <row r="403" spans="1:42" x14ac:dyDescent="0.25">
      <c r="A403" s="2"/>
      <c r="C403" s="68" t="str" cm="1">
        <f t="array" ref="C403">IF(AF403&lt;&gt;"",
IFERROR(INDEX('LaunchPad Markbook'!A:A,MATCH(AH403,'LaunchPad Markbook'!D:D,0),0),"-"),"")</f>
        <v/>
      </c>
      <c r="D403" s="27"/>
      <c r="E403" s="27"/>
      <c r="F403" s="27"/>
      <c r="G403" s="14">
        <f>IF(OR(H403&gt;AB$2,I403&gt;AC$2,J403&gt;AD$2,
P403&gt;1,V403&gt;1,
L403&gt;'Group List A'!E$2,M403&gt;'Group List A'!F$2,N403&gt;'Group List A'!G$2,
R403&gt;'Group List B'!E$2,S403&gt;'Group List B'!F$2,T403&gt;'Group List B'!G$2),"Exceed",
IF(OR(H403=AB$2,I403=AC$2,J403=AD$2,
P403=1,V403=1,
L403='Group List A'!E$2,M403='Group List A'!F$2,N403='Group List A'!G$2,
R403='Group List B'!E$2,S403='Group List B'!F$2,T403='Group List B'!G$2),"Limit",0))</f>
        <v>0</v>
      </c>
      <c r="H403" s="29">
        <f t="shared" si="92"/>
        <v>0</v>
      </c>
      <c r="I403" s="29">
        <f t="shared" si="93"/>
        <v>0</v>
      </c>
      <c r="J403" s="29">
        <f t="shared" si="94"/>
        <v>0</v>
      </c>
      <c r="K403" s="32" t="str" cm="1">
        <f t="array" ref="K403">IF(AF403&lt;&gt;"",IFERROR(INDEX('Group List A'!B:B,MATCH(AI403,'Group List A'!A:A,0),0),"-"),"")</f>
        <v/>
      </c>
      <c r="L403" s="33">
        <f t="shared" si="95"/>
        <v>0</v>
      </c>
      <c r="M403" s="33">
        <f t="shared" si="96"/>
        <v>0</v>
      </c>
      <c r="N403" s="33">
        <f t="shared" si="97"/>
        <v>0</v>
      </c>
      <c r="O403" s="28"/>
      <c r="P403" s="33">
        <f t="shared" si="98"/>
        <v>0</v>
      </c>
      <c r="Q403" s="35" t="str" cm="1">
        <f t="array" ref="Q403">IF(AF403&lt;&gt;"",IFERROR(INDEX('Group List B'!B:B,MATCH(AI403,'Group List B'!A:A,0),0),"-"),"")</f>
        <v/>
      </c>
      <c r="R403" s="36">
        <f t="shared" si="99"/>
        <v>0</v>
      </c>
      <c r="S403" s="36">
        <f t="shared" si="100"/>
        <v>0</v>
      </c>
      <c r="T403" s="36">
        <f t="shared" si="101"/>
        <v>0</v>
      </c>
      <c r="U403" s="28"/>
      <c r="V403" s="37">
        <f t="shared" si="102"/>
        <v>0</v>
      </c>
      <c r="W403" s="41"/>
      <c r="X403" s="27"/>
      <c r="Y403" s="27"/>
      <c r="Z403" s="27"/>
      <c r="AA403" s="15"/>
      <c r="AB403" s="17"/>
      <c r="AC403" s="17"/>
      <c r="AD403" s="17"/>
      <c r="AE403" s="90"/>
      <c r="AF403" s="82" t="str">
        <f t="shared" si="103"/>
        <v/>
      </c>
      <c r="AG403" s="83" t="str">
        <f t="shared" si="104"/>
        <v/>
      </c>
      <c r="AH403" s="82" t="str">
        <f t="shared" si="105"/>
        <v/>
      </c>
      <c r="AI403" s="82" t="str">
        <f t="shared" si="106"/>
        <v/>
      </c>
      <c r="AJ403" s="90"/>
      <c r="AP403" s="88"/>
    </row>
    <row r="404" spans="1:42" x14ac:dyDescent="0.25">
      <c r="A404" s="2"/>
      <c r="C404" s="68" t="str" cm="1">
        <f t="array" ref="C404">IF(AF404&lt;&gt;"",
IFERROR(INDEX('LaunchPad Markbook'!A:A,MATCH(AH404,'LaunchPad Markbook'!D:D,0),0),"-"),"")</f>
        <v/>
      </c>
      <c r="D404" s="27"/>
      <c r="E404" s="27"/>
      <c r="F404" s="27"/>
      <c r="G404" s="14">
        <f>IF(OR(H404&gt;AB$2,I404&gt;AC$2,J404&gt;AD$2,
P404&gt;1,V404&gt;1,
L404&gt;'Group List A'!E$2,M404&gt;'Group List A'!F$2,N404&gt;'Group List A'!G$2,
R404&gt;'Group List B'!E$2,S404&gt;'Group List B'!F$2,T404&gt;'Group List B'!G$2),"Exceed",
IF(OR(H404=AB$2,I404=AC$2,J404=AD$2,
P404=1,V404=1,
L404='Group List A'!E$2,M404='Group List A'!F$2,N404='Group List A'!G$2,
R404='Group List B'!E$2,S404='Group List B'!F$2,T404='Group List B'!G$2),"Limit",0))</f>
        <v>0</v>
      </c>
      <c r="H404" s="29">
        <f t="shared" si="92"/>
        <v>0</v>
      </c>
      <c r="I404" s="29">
        <f t="shared" si="93"/>
        <v>0</v>
      </c>
      <c r="J404" s="29">
        <f t="shared" si="94"/>
        <v>0</v>
      </c>
      <c r="K404" s="32" t="str" cm="1">
        <f t="array" ref="K404">IF(AF404&lt;&gt;"",IFERROR(INDEX('Group List A'!B:B,MATCH(AI404,'Group List A'!A:A,0),0),"-"),"")</f>
        <v/>
      </c>
      <c r="L404" s="33">
        <f t="shared" si="95"/>
        <v>0</v>
      </c>
      <c r="M404" s="33">
        <f t="shared" si="96"/>
        <v>0</v>
      </c>
      <c r="N404" s="33">
        <f t="shared" si="97"/>
        <v>0</v>
      </c>
      <c r="O404" s="28"/>
      <c r="P404" s="33">
        <f t="shared" si="98"/>
        <v>0</v>
      </c>
      <c r="Q404" s="35" t="str" cm="1">
        <f t="array" ref="Q404">IF(AF404&lt;&gt;"",IFERROR(INDEX('Group List B'!B:B,MATCH(AI404,'Group List B'!A:A,0),0),"-"),"")</f>
        <v/>
      </c>
      <c r="R404" s="36">
        <f t="shared" si="99"/>
        <v>0</v>
      </c>
      <c r="S404" s="36">
        <f t="shared" si="100"/>
        <v>0</v>
      </c>
      <c r="T404" s="36">
        <f t="shared" si="101"/>
        <v>0</v>
      </c>
      <c r="U404" s="28"/>
      <c r="V404" s="37">
        <f t="shared" si="102"/>
        <v>0</v>
      </c>
      <c r="W404" s="41"/>
      <c r="X404" s="27"/>
      <c r="Y404" s="27"/>
      <c r="Z404" s="27"/>
      <c r="AA404" s="15"/>
      <c r="AB404" s="17"/>
      <c r="AC404" s="17"/>
      <c r="AD404" s="17"/>
      <c r="AE404" s="90"/>
      <c r="AF404" s="82" t="str">
        <f t="shared" si="103"/>
        <v/>
      </c>
      <c r="AG404" s="83" t="str">
        <f t="shared" si="104"/>
        <v/>
      </c>
      <c r="AH404" s="82" t="str">
        <f t="shared" si="105"/>
        <v/>
      </c>
      <c r="AI404" s="82" t="str">
        <f t="shared" si="106"/>
        <v/>
      </c>
      <c r="AJ404" s="90"/>
      <c r="AP404" s="88"/>
    </row>
    <row r="405" spans="1:42" x14ac:dyDescent="0.25">
      <c r="A405" s="2"/>
      <c r="C405" s="68" t="str" cm="1">
        <f t="array" ref="C405">IF(AF405&lt;&gt;"",
IFERROR(INDEX('LaunchPad Markbook'!A:A,MATCH(AH405,'LaunchPad Markbook'!D:D,0),0),"-"),"")</f>
        <v/>
      </c>
      <c r="D405" s="27"/>
      <c r="E405" s="27"/>
      <c r="F405" s="27"/>
      <c r="G405" s="14">
        <f>IF(OR(H405&gt;AB$2,I405&gt;AC$2,J405&gt;AD$2,
P405&gt;1,V405&gt;1,
L405&gt;'Group List A'!E$2,M405&gt;'Group List A'!F$2,N405&gt;'Group List A'!G$2,
R405&gt;'Group List B'!E$2,S405&gt;'Group List B'!F$2,T405&gt;'Group List B'!G$2),"Exceed",
IF(OR(H405=AB$2,I405=AC$2,J405=AD$2,
P405=1,V405=1,
L405='Group List A'!E$2,M405='Group List A'!F$2,N405='Group List A'!G$2,
R405='Group List B'!E$2,S405='Group List B'!F$2,T405='Group List B'!G$2),"Limit",0))</f>
        <v>0</v>
      </c>
      <c r="H405" s="29">
        <f t="shared" si="92"/>
        <v>0</v>
      </c>
      <c r="I405" s="29">
        <f t="shared" si="93"/>
        <v>0</v>
      </c>
      <c r="J405" s="29">
        <f t="shared" si="94"/>
        <v>0</v>
      </c>
      <c r="K405" s="32" t="str" cm="1">
        <f t="array" ref="K405">IF(AF405&lt;&gt;"",IFERROR(INDEX('Group List A'!B:B,MATCH(AI405,'Group List A'!A:A,0),0),"-"),"")</f>
        <v/>
      </c>
      <c r="L405" s="33">
        <f t="shared" si="95"/>
        <v>0</v>
      </c>
      <c r="M405" s="33">
        <f t="shared" si="96"/>
        <v>0</v>
      </c>
      <c r="N405" s="33">
        <f t="shared" si="97"/>
        <v>0</v>
      </c>
      <c r="O405" s="28"/>
      <c r="P405" s="33">
        <f t="shared" si="98"/>
        <v>0</v>
      </c>
      <c r="Q405" s="35" t="str" cm="1">
        <f t="array" ref="Q405">IF(AF405&lt;&gt;"",IFERROR(INDEX('Group List B'!B:B,MATCH(AI405,'Group List B'!A:A,0),0),"-"),"")</f>
        <v/>
      </c>
      <c r="R405" s="36">
        <f t="shared" si="99"/>
        <v>0</v>
      </c>
      <c r="S405" s="36">
        <f t="shared" si="100"/>
        <v>0</v>
      </c>
      <c r="T405" s="36">
        <f t="shared" si="101"/>
        <v>0</v>
      </c>
      <c r="U405" s="28"/>
      <c r="V405" s="37">
        <f t="shared" si="102"/>
        <v>0</v>
      </c>
      <c r="W405" s="41"/>
      <c r="X405" s="27"/>
      <c r="Y405" s="27"/>
      <c r="Z405" s="27"/>
      <c r="AA405" s="15"/>
      <c r="AB405" s="17"/>
      <c r="AC405" s="17"/>
      <c r="AD405" s="17"/>
      <c r="AE405" s="90"/>
      <c r="AF405" s="82" t="str">
        <f t="shared" si="103"/>
        <v/>
      </c>
      <c r="AG405" s="83" t="str">
        <f t="shared" si="104"/>
        <v/>
      </c>
      <c r="AH405" s="82" t="str">
        <f t="shared" si="105"/>
        <v/>
      </c>
      <c r="AI405" s="82" t="str">
        <f t="shared" si="106"/>
        <v/>
      </c>
      <c r="AJ405" s="90"/>
      <c r="AP405" s="88"/>
    </row>
    <row r="406" spans="1:42" x14ac:dyDescent="0.25">
      <c r="A406" s="2"/>
      <c r="C406" s="68" t="str" cm="1">
        <f t="array" ref="C406">IF(AF406&lt;&gt;"",
IFERROR(INDEX('LaunchPad Markbook'!A:A,MATCH(AH406,'LaunchPad Markbook'!D:D,0),0),"-"),"")</f>
        <v/>
      </c>
      <c r="D406" s="27"/>
      <c r="E406" s="27"/>
      <c r="F406" s="27"/>
      <c r="G406" s="14">
        <f>IF(OR(H406&gt;AB$2,I406&gt;AC$2,J406&gt;AD$2,
P406&gt;1,V406&gt;1,
L406&gt;'Group List A'!E$2,M406&gt;'Group List A'!F$2,N406&gt;'Group List A'!G$2,
R406&gt;'Group List B'!E$2,S406&gt;'Group List B'!F$2,T406&gt;'Group List B'!G$2),"Exceed",
IF(OR(H406=AB$2,I406=AC$2,J406=AD$2,
P406=1,V406=1,
L406='Group List A'!E$2,M406='Group List A'!F$2,N406='Group List A'!G$2,
R406='Group List B'!E$2,S406='Group List B'!F$2,T406='Group List B'!G$2),"Limit",0))</f>
        <v>0</v>
      </c>
      <c r="H406" s="29">
        <f t="shared" si="92"/>
        <v>0</v>
      </c>
      <c r="I406" s="29">
        <f t="shared" si="93"/>
        <v>0</v>
      </c>
      <c r="J406" s="29">
        <f t="shared" si="94"/>
        <v>0</v>
      </c>
      <c r="K406" s="32" t="str" cm="1">
        <f t="array" ref="K406">IF(AF406&lt;&gt;"",IFERROR(INDEX('Group List A'!B:B,MATCH(AI406,'Group List A'!A:A,0),0),"-"),"")</f>
        <v/>
      </c>
      <c r="L406" s="33">
        <f t="shared" si="95"/>
        <v>0</v>
      </c>
      <c r="M406" s="33">
        <f t="shared" si="96"/>
        <v>0</v>
      </c>
      <c r="N406" s="33">
        <f t="shared" si="97"/>
        <v>0</v>
      </c>
      <c r="O406" s="28"/>
      <c r="P406" s="33">
        <f t="shared" si="98"/>
        <v>0</v>
      </c>
      <c r="Q406" s="35" t="str" cm="1">
        <f t="array" ref="Q406">IF(AF406&lt;&gt;"",IFERROR(INDEX('Group List B'!B:B,MATCH(AI406,'Group List B'!A:A,0),0),"-"),"")</f>
        <v/>
      </c>
      <c r="R406" s="36">
        <f t="shared" si="99"/>
        <v>0</v>
      </c>
      <c r="S406" s="36">
        <f t="shared" si="100"/>
        <v>0</v>
      </c>
      <c r="T406" s="36">
        <f t="shared" si="101"/>
        <v>0</v>
      </c>
      <c r="U406" s="28"/>
      <c r="V406" s="37">
        <f t="shared" si="102"/>
        <v>0</v>
      </c>
      <c r="W406" s="41"/>
      <c r="X406" s="27"/>
      <c r="Y406" s="27"/>
      <c r="Z406" s="27"/>
      <c r="AA406" s="15"/>
      <c r="AB406" s="17"/>
      <c r="AC406" s="17"/>
      <c r="AD406" s="17"/>
      <c r="AE406" s="90"/>
      <c r="AF406" s="82" t="str">
        <f t="shared" si="103"/>
        <v/>
      </c>
      <c r="AG406" s="83" t="str">
        <f t="shared" si="104"/>
        <v/>
      </c>
      <c r="AH406" s="82" t="str">
        <f t="shared" si="105"/>
        <v/>
      </c>
      <c r="AI406" s="82" t="str">
        <f t="shared" si="106"/>
        <v/>
      </c>
      <c r="AJ406" s="90"/>
      <c r="AP406" s="88"/>
    </row>
    <row r="407" spans="1:42" x14ac:dyDescent="0.25">
      <c r="A407" s="2"/>
      <c r="C407" s="68" t="str" cm="1">
        <f t="array" ref="C407">IF(AF407&lt;&gt;"",
IFERROR(INDEX('LaunchPad Markbook'!A:A,MATCH(AH407,'LaunchPad Markbook'!D:D,0),0),"-"),"")</f>
        <v/>
      </c>
      <c r="D407" s="27"/>
      <c r="E407" s="27"/>
      <c r="F407" s="27"/>
      <c r="G407" s="14">
        <f>IF(OR(H407&gt;AB$2,I407&gt;AC$2,J407&gt;AD$2,
P407&gt;1,V407&gt;1,
L407&gt;'Group List A'!E$2,M407&gt;'Group List A'!F$2,N407&gt;'Group List A'!G$2,
R407&gt;'Group List B'!E$2,S407&gt;'Group List B'!F$2,T407&gt;'Group List B'!G$2),"Exceed",
IF(OR(H407=AB$2,I407=AC$2,J407=AD$2,
P407=1,V407=1,
L407='Group List A'!E$2,M407='Group List A'!F$2,N407='Group List A'!G$2,
R407='Group List B'!E$2,S407='Group List B'!F$2,T407='Group List B'!G$2),"Limit",0))</f>
        <v>0</v>
      </c>
      <c r="H407" s="29">
        <f t="shared" si="92"/>
        <v>0</v>
      </c>
      <c r="I407" s="29">
        <f t="shared" si="93"/>
        <v>0</v>
      </c>
      <c r="J407" s="29">
        <f t="shared" si="94"/>
        <v>0</v>
      </c>
      <c r="K407" s="32" t="str" cm="1">
        <f t="array" ref="K407">IF(AF407&lt;&gt;"",IFERROR(INDEX('Group List A'!B:B,MATCH(AI407,'Group List A'!A:A,0),0),"-"),"")</f>
        <v/>
      </c>
      <c r="L407" s="33">
        <f t="shared" si="95"/>
        <v>0</v>
      </c>
      <c r="M407" s="33">
        <f t="shared" si="96"/>
        <v>0</v>
      </c>
      <c r="N407" s="33">
        <f t="shared" si="97"/>
        <v>0</v>
      </c>
      <c r="O407" s="28"/>
      <c r="P407" s="33">
        <f t="shared" si="98"/>
        <v>0</v>
      </c>
      <c r="Q407" s="35" t="str" cm="1">
        <f t="array" ref="Q407">IF(AF407&lt;&gt;"",IFERROR(INDEX('Group List B'!B:B,MATCH(AI407,'Group List B'!A:A,0),0),"-"),"")</f>
        <v/>
      </c>
      <c r="R407" s="36">
        <f t="shared" si="99"/>
        <v>0</v>
      </c>
      <c r="S407" s="36">
        <f t="shared" si="100"/>
        <v>0</v>
      </c>
      <c r="T407" s="36">
        <f t="shared" si="101"/>
        <v>0</v>
      </c>
      <c r="U407" s="28"/>
      <c r="V407" s="37">
        <f t="shared" si="102"/>
        <v>0</v>
      </c>
      <c r="W407" s="41"/>
      <c r="X407" s="27"/>
      <c r="Y407" s="27"/>
      <c r="Z407" s="27"/>
      <c r="AA407" s="15"/>
      <c r="AB407" s="17"/>
      <c r="AC407" s="17"/>
      <c r="AD407" s="17"/>
      <c r="AE407" s="90"/>
      <c r="AF407" s="82" t="str">
        <f t="shared" si="103"/>
        <v/>
      </c>
      <c r="AG407" s="83" t="str">
        <f t="shared" si="104"/>
        <v/>
      </c>
      <c r="AH407" s="82" t="str">
        <f t="shared" si="105"/>
        <v/>
      </c>
      <c r="AI407" s="82" t="str">
        <f t="shared" si="106"/>
        <v/>
      </c>
      <c r="AJ407" s="90"/>
      <c r="AP407" s="88"/>
    </row>
    <row r="408" spans="1:42" x14ac:dyDescent="0.25">
      <c r="A408" s="2"/>
      <c r="C408" s="68" t="str" cm="1">
        <f t="array" ref="C408">IF(AF408&lt;&gt;"",
IFERROR(INDEX('LaunchPad Markbook'!A:A,MATCH(AH408,'LaunchPad Markbook'!D:D,0),0),"-"),"")</f>
        <v/>
      </c>
      <c r="D408" s="27"/>
      <c r="E408" s="27"/>
      <c r="F408" s="27"/>
      <c r="G408" s="14">
        <f>IF(OR(H408&gt;AB$2,I408&gt;AC$2,J408&gt;AD$2,
P408&gt;1,V408&gt;1,
L408&gt;'Group List A'!E$2,M408&gt;'Group List A'!F$2,N408&gt;'Group List A'!G$2,
R408&gt;'Group List B'!E$2,S408&gt;'Group List B'!F$2,T408&gt;'Group List B'!G$2),"Exceed",
IF(OR(H408=AB$2,I408=AC$2,J408=AD$2,
P408=1,V408=1,
L408='Group List A'!E$2,M408='Group List A'!F$2,N408='Group List A'!G$2,
R408='Group List B'!E$2,S408='Group List B'!F$2,T408='Group List B'!G$2),"Limit",0))</f>
        <v>0</v>
      </c>
      <c r="H408" s="29">
        <f t="shared" si="92"/>
        <v>0</v>
      </c>
      <c r="I408" s="29">
        <f t="shared" si="93"/>
        <v>0</v>
      </c>
      <c r="J408" s="29">
        <f t="shared" si="94"/>
        <v>0</v>
      </c>
      <c r="K408" s="32" t="str" cm="1">
        <f t="array" ref="K408">IF(AF408&lt;&gt;"",IFERROR(INDEX('Group List A'!B:B,MATCH(AI408,'Group List A'!A:A,0),0),"-"),"")</f>
        <v/>
      </c>
      <c r="L408" s="33">
        <f t="shared" si="95"/>
        <v>0</v>
      </c>
      <c r="M408" s="33">
        <f t="shared" si="96"/>
        <v>0</v>
      </c>
      <c r="N408" s="33">
        <f t="shared" si="97"/>
        <v>0</v>
      </c>
      <c r="O408" s="28"/>
      <c r="P408" s="33">
        <f t="shared" si="98"/>
        <v>0</v>
      </c>
      <c r="Q408" s="35" t="str" cm="1">
        <f t="array" ref="Q408">IF(AF408&lt;&gt;"",IFERROR(INDEX('Group List B'!B:B,MATCH(AI408,'Group List B'!A:A,0),0),"-"),"")</f>
        <v/>
      </c>
      <c r="R408" s="36">
        <f t="shared" si="99"/>
        <v>0</v>
      </c>
      <c r="S408" s="36">
        <f t="shared" si="100"/>
        <v>0</v>
      </c>
      <c r="T408" s="36">
        <f t="shared" si="101"/>
        <v>0</v>
      </c>
      <c r="U408" s="28"/>
      <c r="V408" s="37">
        <f t="shared" si="102"/>
        <v>0</v>
      </c>
      <c r="W408" s="41"/>
      <c r="X408" s="27"/>
      <c r="Y408" s="27"/>
      <c r="Z408" s="27"/>
      <c r="AA408" s="15"/>
      <c r="AB408" s="17"/>
      <c r="AC408" s="17"/>
      <c r="AD408" s="17"/>
      <c r="AE408" s="90"/>
      <c r="AF408" s="82" t="str">
        <f t="shared" si="103"/>
        <v/>
      </c>
      <c r="AG408" s="83" t="str">
        <f t="shared" si="104"/>
        <v/>
      </c>
      <c r="AH408" s="82" t="str">
        <f t="shared" si="105"/>
        <v/>
      </c>
      <c r="AI408" s="82" t="str">
        <f t="shared" si="106"/>
        <v/>
      </c>
      <c r="AJ408" s="90"/>
      <c r="AP408" s="88"/>
    </row>
    <row r="409" spans="1:42" x14ac:dyDescent="0.25">
      <c r="A409" s="2"/>
      <c r="C409" s="68" t="str" cm="1">
        <f t="array" ref="C409">IF(AF409&lt;&gt;"",
IFERROR(INDEX('LaunchPad Markbook'!A:A,MATCH(AH409,'LaunchPad Markbook'!D:D,0),0),"-"),"")</f>
        <v/>
      </c>
      <c r="D409" s="27"/>
      <c r="E409" s="27"/>
      <c r="F409" s="27"/>
      <c r="G409" s="14">
        <f>IF(OR(H409&gt;AB$2,I409&gt;AC$2,J409&gt;AD$2,
P409&gt;1,V409&gt;1,
L409&gt;'Group List A'!E$2,M409&gt;'Group List A'!F$2,N409&gt;'Group List A'!G$2,
R409&gt;'Group List B'!E$2,S409&gt;'Group List B'!F$2,T409&gt;'Group List B'!G$2),"Exceed",
IF(OR(H409=AB$2,I409=AC$2,J409=AD$2,
P409=1,V409=1,
L409='Group List A'!E$2,M409='Group List A'!F$2,N409='Group List A'!G$2,
R409='Group List B'!E$2,S409='Group List B'!F$2,T409='Group List B'!G$2),"Limit",0))</f>
        <v>0</v>
      </c>
      <c r="H409" s="29">
        <f t="shared" si="92"/>
        <v>0</v>
      </c>
      <c r="I409" s="29">
        <f t="shared" si="93"/>
        <v>0</v>
      </c>
      <c r="J409" s="29">
        <f t="shared" si="94"/>
        <v>0</v>
      </c>
      <c r="K409" s="32" t="str" cm="1">
        <f t="array" ref="K409">IF(AF409&lt;&gt;"",IFERROR(INDEX('Group List A'!B:B,MATCH(AI409,'Group List A'!A:A,0),0),"-"),"")</f>
        <v/>
      </c>
      <c r="L409" s="33">
        <f t="shared" si="95"/>
        <v>0</v>
      </c>
      <c r="M409" s="33">
        <f t="shared" si="96"/>
        <v>0</v>
      </c>
      <c r="N409" s="33">
        <f t="shared" si="97"/>
        <v>0</v>
      </c>
      <c r="O409" s="28"/>
      <c r="P409" s="33">
        <f t="shared" si="98"/>
        <v>0</v>
      </c>
      <c r="Q409" s="35" t="str" cm="1">
        <f t="array" ref="Q409">IF(AF409&lt;&gt;"",IFERROR(INDEX('Group List B'!B:B,MATCH(AI409,'Group List B'!A:A,0),0),"-"),"")</f>
        <v/>
      </c>
      <c r="R409" s="36">
        <f t="shared" si="99"/>
        <v>0</v>
      </c>
      <c r="S409" s="36">
        <f t="shared" si="100"/>
        <v>0</v>
      </c>
      <c r="T409" s="36">
        <f t="shared" si="101"/>
        <v>0</v>
      </c>
      <c r="U409" s="28"/>
      <c r="V409" s="37">
        <f t="shared" si="102"/>
        <v>0</v>
      </c>
      <c r="W409" s="41"/>
      <c r="X409" s="27"/>
      <c r="Y409" s="27"/>
      <c r="Z409" s="27"/>
      <c r="AA409" s="15"/>
      <c r="AB409" s="17"/>
      <c r="AC409" s="17"/>
      <c r="AD409" s="17"/>
      <c r="AE409" s="90"/>
      <c r="AF409" s="82" t="str">
        <f t="shared" si="103"/>
        <v/>
      </c>
      <c r="AG409" s="83" t="str">
        <f t="shared" si="104"/>
        <v/>
      </c>
      <c r="AH409" s="82" t="str">
        <f t="shared" si="105"/>
        <v/>
      </c>
      <c r="AI409" s="82" t="str">
        <f t="shared" si="106"/>
        <v/>
      </c>
      <c r="AJ409" s="90"/>
      <c r="AP409" s="88"/>
    </row>
    <row r="410" spans="1:42" x14ac:dyDescent="0.25">
      <c r="A410" s="2"/>
      <c r="C410" s="68" t="str" cm="1">
        <f t="array" ref="C410">IF(AF410&lt;&gt;"",
IFERROR(INDEX('LaunchPad Markbook'!A:A,MATCH(AH410,'LaunchPad Markbook'!D:D,0),0),"-"),"")</f>
        <v/>
      </c>
      <c r="D410" s="27"/>
      <c r="E410" s="27"/>
      <c r="F410" s="27"/>
      <c r="G410" s="14">
        <f>IF(OR(H410&gt;AB$2,I410&gt;AC$2,J410&gt;AD$2,
P410&gt;1,V410&gt;1,
L410&gt;'Group List A'!E$2,M410&gt;'Group List A'!F$2,N410&gt;'Group List A'!G$2,
R410&gt;'Group List B'!E$2,S410&gt;'Group List B'!F$2,T410&gt;'Group List B'!G$2),"Exceed",
IF(OR(H410=AB$2,I410=AC$2,J410=AD$2,
P410=1,V410=1,
L410='Group List A'!E$2,M410='Group List A'!F$2,N410='Group List A'!G$2,
R410='Group List B'!E$2,S410='Group List B'!F$2,T410='Group List B'!G$2),"Limit",0))</f>
        <v>0</v>
      </c>
      <c r="H410" s="29">
        <f t="shared" si="92"/>
        <v>0</v>
      </c>
      <c r="I410" s="29">
        <f t="shared" si="93"/>
        <v>0</v>
      </c>
      <c r="J410" s="29">
        <f t="shared" si="94"/>
        <v>0</v>
      </c>
      <c r="K410" s="32" t="str" cm="1">
        <f t="array" ref="K410">IF(AF410&lt;&gt;"",IFERROR(INDEX('Group List A'!B:B,MATCH(AI410,'Group List A'!A:A,0),0),"-"),"")</f>
        <v/>
      </c>
      <c r="L410" s="33">
        <f t="shared" si="95"/>
        <v>0</v>
      </c>
      <c r="M410" s="33">
        <f t="shared" si="96"/>
        <v>0</v>
      </c>
      <c r="N410" s="33">
        <f t="shared" si="97"/>
        <v>0</v>
      </c>
      <c r="O410" s="28"/>
      <c r="P410" s="33">
        <f t="shared" si="98"/>
        <v>0</v>
      </c>
      <c r="Q410" s="35" t="str" cm="1">
        <f t="array" ref="Q410">IF(AF410&lt;&gt;"",IFERROR(INDEX('Group List B'!B:B,MATCH(AI410,'Group List B'!A:A,0),0),"-"),"")</f>
        <v/>
      </c>
      <c r="R410" s="36">
        <f t="shared" si="99"/>
        <v>0</v>
      </c>
      <c r="S410" s="36">
        <f t="shared" si="100"/>
        <v>0</v>
      </c>
      <c r="T410" s="36">
        <f t="shared" si="101"/>
        <v>0</v>
      </c>
      <c r="U410" s="28"/>
      <c r="V410" s="37">
        <f t="shared" si="102"/>
        <v>0</v>
      </c>
      <c r="W410" s="41"/>
      <c r="X410" s="27"/>
      <c r="Y410" s="27"/>
      <c r="Z410" s="27"/>
      <c r="AA410" s="15"/>
      <c r="AB410" s="17"/>
      <c r="AC410" s="17"/>
      <c r="AD410" s="17"/>
      <c r="AE410" s="90"/>
      <c r="AF410" s="82" t="str">
        <f t="shared" si="103"/>
        <v/>
      </c>
      <c r="AG410" s="83" t="str">
        <f t="shared" si="104"/>
        <v/>
      </c>
      <c r="AH410" s="82" t="str">
        <f t="shared" si="105"/>
        <v/>
      </c>
      <c r="AI410" s="82" t="str">
        <f t="shared" si="106"/>
        <v/>
      </c>
      <c r="AJ410" s="90"/>
      <c r="AP410" s="88"/>
    </row>
    <row r="411" spans="1:42" x14ac:dyDescent="0.25">
      <c r="A411" s="2"/>
      <c r="C411" s="68" t="str" cm="1">
        <f t="array" ref="C411">IF(AF411&lt;&gt;"",
IFERROR(INDEX('LaunchPad Markbook'!A:A,MATCH(AH411,'LaunchPad Markbook'!D:D,0),0),"-"),"")</f>
        <v/>
      </c>
      <c r="D411" s="27"/>
      <c r="E411" s="27"/>
      <c r="F411" s="27"/>
      <c r="G411" s="14">
        <f>IF(OR(H411&gt;AB$2,I411&gt;AC$2,J411&gt;AD$2,
P411&gt;1,V411&gt;1,
L411&gt;'Group List A'!E$2,M411&gt;'Group List A'!F$2,N411&gt;'Group List A'!G$2,
R411&gt;'Group List B'!E$2,S411&gt;'Group List B'!F$2,T411&gt;'Group List B'!G$2),"Exceed",
IF(OR(H411=AB$2,I411=AC$2,J411=AD$2,
P411=1,V411=1,
L411='Group List A'!E$2,M411='Group List A'!F$2,N411='Group List A'!G$2,
R411='Group List B'!E$2,S411='Group List B'!F$2,T411='Group List B'!G$2),"Limit",0))</f>
        <v>0</v>
      </c>
      <c r="H411" s="29">
        <f t="shared" si="92"/>
        <v>0</v>
      </c>
      <c r="I411" s="29">
        <f t="shared" si="93"/>
        <v>0</v>
      </c>
      <c r="J411" s="29">
        <f t="shared" si="94"/>
        <v>0</v>
      </c>
      <c r="K411" s="32" t="str" cm="1">
        <f t="array" ref="K411">IF(AF411&lt;&gt;"",IFERROR(INDEX('Group List A'!B:B,MATCH(AI411,'Group List A'!A:A,0),0),"-"),"")</f>
        <v/>
      </c>
      <c r="L411" s="33">
        <f t="shared" si="95"/>
        <v>0</v>
      </c>
      <c r="M411" s="33">
        <f t="shared" si="96"/>
        <v>0</v>
      </c>
      <c r="N411" s="33">
        <f t="shared" si="97"/>
        <v>0</v>
      </c>
      <c r="O411" s="28"/>
      <c r="P411" s="33">
        <f t="shared" si="98"/>
        <v>0</v>
      </c>
      <c r="Q411" s="35" t="str" cm="1">
        <f t="array" ref="Q411">IF(AF411&lt;&gt;"",IFERROR(INDEX('Group List B'!B:B,MATCH(AI411,'Group List B'!A:A,0),0),"-"),"")</f>
        <v/>
      </c>
      <c r="R411" s="36">
        <f t="shared" si="99"/>
        <v>0</v>
      </c>
      <c r="S411" s="36">
        <f t="shared" si="100"/>
        <v>0</v>
      </c>
      <c r="T411" s="36">
        <f t="shared" si="101"/>
        <v>0</v>
      </c>
      <c r="U411" s="28"/>
      <c r="V411" s="37">
        <f t="shared" si="102"/>
        <v>0</v>
      </c>
      <c r="W411" s="41"/>
      <c r="X411" s="27"/>
      <c r="Y411" s="27"/>
      <c r="Z411" s="27"/>
      <c r="AA411" s="15"/>
      <c r="AB411" s="17"/>
      <c r="AC411" s="17"/>
      <c r="AD411" s="17"/>
      <c r="AE411" s="90"/>
      <c r="AF411" s="82" t="str">
        <f t="shared" si="103"/>
        <v/>
      </c>
      <c r="AG411" s="83" t="str">
        <f t="shared" si="104"/>
        <v/>
      </c>
      <c r="AH411" s="82" t="str">
        <f t="shared" si="105"/>
        <v/>
      </c>
      <c r="AI411" s="82" t="str">
        <f t="shared" si="106"/>
        <v/>
      </c>
      <c r="AJ411" s="90"/>
      <c r="AP411" s="88"/>
    </row>
    <row r="412" spans="1:42" x14ac:dyDescent="0.25">
      <c r="A412" s="2"/>
      <c r="C412" s="68" t="str" cm="1">
        <f t="array" ref="C412">IF(AF412&lt;&gt;"",
IFERROR(INDEX('LaunchPad Markbook'!A:A,MATCH(AH412,'LaunchPad Markbook'!D:D,0),0),"-"),"")</f>
        <v/>
      </c>
      <c r="D412" s="27"/>
      <c r="E412" s="27"/>
      <c r="F412" s="27"/>
      <c r="G412" s="14">
        <f>IF(OR(H412&gt;AB$2,I412&gt;AC$2,J412&gt;AD$2,
P412&gt;1,V412&gt;1,
L412&gt;'Group List A'!E$2,M412&gt;'Group List A'!F$2,N412&gt;'Group List A'!G$2,
R412&gt;'Group List B'!E$2,S412&gt;'Group List B'!F$2,T412&gt;'Group List B'!G$2),"Exceed",
IF(OR(H412=AB$2,I412=AC$2,J412=AD$2,
P412=1,V412=1,
L412='Group List A'!E$2,M412='Group List A'!F$2,N412='Group List A'!G$2,
R412='Group List B'!E$2,S412='Group List B'!F$2,T412='Group List B'!G$2),"Limit",0))</f>
        <v>0</v>
      </c>
      <c r="H412" s="29">
        <f t="shared" si="92"/>
        <v>0</v>
      </c>
      <c r="I412" s="29">
        <f t="shared" si="93"/>
        <v>0</v>
      </c>
      <c r="J412" s="29">
        <f t="shared" si="94"/>
        <v>0</v>
      </c>
      <c r="K412" s="32" t="str" cm="1">
        <f t="array" ref="K412">IF(AF412&lt;&gt;"",IFERROR(INDEX('Group List A'!B:B,MATCH(AI412,'Group List A'!A:A,0),0),"-"),"")</f>
        <v/>
      </c>
      <c r="L412" s="33">
        <f t="shared" si="95"/>
        <v>0</v>
      </c>
      <c r="M412" s="33">
        <f t="shared" si="96"/>
        <v>0</v>
      </c>
      <c r="N412" s="33">
        <f t="shared" si="97"/>
        <v>0</v>
      </c>
      <c r="O412" s="28"/>
      <c r="P412" s="33">
        <f t="shared" si="98"/>
        <v>0</v>
      </c>
      <c r="Q412" s="35" t="str" cm="1">
        <f t="array" ref="Q412">IF(AF412&lt;&gt;"",IFERROR(INDEX('Group List B'!B:B,MATCH(AI412,'Group List B'!A:A,0),0),"-"),"")</f>
        <v/>
      </c>
      <c r="R412" s="36">
        <f t="shared" si="99"/>
        <v>0</v>
      </c>
      <c r="S412" s="36">
        <f t="shared" si="100"/>
        <v>0</v>
      </c>
      <c r="T412" s="36">
        <f t="shared" si="101"/>
        <v>0</v>
      </c>
      <c r="U412" s="28"/>
      <c r="V412" s="37">
        <f t="shared" si="102"/>
        <v>0</v>
      </c>
      <c r="W412" s="41"/>
      <c r="X412" s="27"/>
      <c r="Y412" s="27"/>
      <c r="Z412" s="27"/>
      <c r="AA412" s="15"/>
      <c r="AB412" s="17"/>
      <c r="AC412" s="17"/>
      <c r="AD412" s="17"/>
      <c r="AE412" s="90"/>
      <c r="AF412" s="82" t="str">
        <f t="shared" si="103"/>
        <v/>
      </c>
      <c r="AG412" s="83" t="str">
        <f t="shared" si="104"/>
        <v/>
      </c>
      <c r="AH412" s="82" t="str">
        <f t="shared" si="105"/>
        <v/>
      </c>
      <c r="AI412" s="82" t="str">
        <f t="shared" si="106"/>
        <v/>
      </c>
      <c r="AJ412" s="90"/>
      <c r="AP412" s="88"/>
    </row>
    <row r="413" spans="1:42" x14ac:dyDescent="0.25">
      <c r="A413" s="2"/>
      <c r="C413" s="68" t="str" cm="1">
        <f t="array" ref="C413">IF(AF413&lt;&gt;"",
IFERROR(INDEX('LaunchPad Markbook'!A:A,MATCH(AH413,'LaunchPad Markbook'!D:D,0),0),"-"),"")</f>
        <v/>
      </c>
      <c r="D413" s="27"/>
      <c r="E413" s="27"/>
      <c r="F413" s="27"/>
      <c r="G413" s="14">
        <f>IF(OR(H413&gt;AB$2,I413&gt;AC$2,J413&gt;AD$2,
P413&gt;1,V413&gt;1,
L413&gt;'Group List A'!E$2,M413&gt;'Group List A'!F$2,N413&gt;'Group List A'!G$2,
R413&gt;'Group List B'!E$2,S413&gt;'Group List B'!F$2,T413&gt;'Group List B'!G$2),"Exceed",
IF(OR(H413=AB$2,I413=AC$2,J413=AD$2,
P413=1,V413=1,
L413='Group List A'!E$2,M413='Group List A'!F$2,N413='Group List A'!G$2,
R413='Group List B'!E$2,S413='Group List B'!F$2,T413='Group List B'!G$2),"Limit",0))</f>
        <v>0</v>
      </c>
      <c r="H413" s="29">
        <f t="shared" si="92"/>
        <v>0</v>
      </c>
      <c r="I413" s="29">
        <f t="shared" si="93"/>
        <v>0</v>
      </c>
      <c r="J413" s="29">
        <f t="shared" si="94"/>
        <v>0</v>
      </c>
      <c r="K413" s="32" t="str" cm="1">
        <f t="array" ref="K413">IF(AF413&lt;&gt;"",IFERROR(INDEX('Group List A'!B:B,MATCH(AI413,'Group List A'!A:A,0),0),"-"),"")</f>
        <v/>
      </c>
      <c r="L413" s="33">
        <f t="shared" si="95"/>
        <v>0</v>
      </c>
      <c r="M413" s="33">
        <f t="shared" si="96"/>
        <v>0</v>
      </c>
      <c r="N413" s="33">
        <f t="shared" si="97"/>
        <v>0</v>
      </c>
      <c r="O413" s="28"/>
      <c r="P413" s="33">
        <f t="shared" si="98"/>
        <v>0</v>
      </c>
      <c r="Q413" s="35" t="str" cm="1">
        <f t="array" ref="Q413">IF(AF413&lt;&gt;"",IFERROR(INDEX('Group List B'!B:B,MATCH(AI413,'Group List B'!A:A,0),0),"-"),"")</f>
        <v/>
      </c>
      <c r="R413" s="36">
        <f t="shared" si="99"/>
        <v>0</v>
      </c>
      <c r="S413" s="36">
        <f t="shared" si="100"/>
        <v>0</v>
      </c>
      <c r="T413" s="36">
        <f t="shared" si="101"/>
        <v>0</v>
      </c>
      <c r="U413" s="28"/>
      <c r="V413" s="37">
        <f t="shared" si="102"/>
        <v>0</v>
      </c>
      <c r="W413" s="41"/>
      <c r="X413" s="27"/>
      <c r="Y413" s="27"/>
      <c r="Z413" s="27"/>
      <c r="AA413" s="15"/>
      <c r="AB413" s="17"/>
      <c r="AC413" s="17"/>
      <c r="AD413" s="17"/>
      <c r="AE413" s="90"/>
      <c r="AF413" s="82" t="str">
        <f t="shared" si="103"/>
        <v/>
      </c>
      <c r="AG413" s="83" t="str">
        <f t="shared" si="104"/>
        <v/>
      </c>
      <c r="AH413" s="82" t="str">
        <f t="shared" si="105"/>
        <v/>
      </c>
      <c r="AI413" s="82" t="str">
        <f t="shared" si="106"/>
        <v/>
      </c>
      <c r="AJ413" s="90"/>
      <c r="AP413" s="88"/>
    </row>
    <row r="414" spans="1:42" x14ac:dyDescent="0.25">
      <c r="A414" s="2"/>
      <c r="C414" s="68" t="str" cm="1">
        <f t="array" ref="C414">IF(AF414&lt;&gt;"",
IFERROR(INDEX('LaunchPad Markbook'!A:A,MATCH(AH414,'LaunchPad Markbook'!D:D,0),0),"-"),"")</f>
        <v/>
      </c>
      <c r="D414" s="27"/>
      <c r="E414" s="27"/>
      <c r="F414" s="27"/>
      <c r="G414" s="14">
        <f>IF(OR(H414&gt;AB$2,I414&gt;AC$2,J414&gt;AD$2,
P414&gt;1,V414&gt;1,
L414&gt;'Group List A'!E$2,M414&gt;'Group List A'!F$2,N414&gt;'Group List A'!G$2,
R414&gt;'Group List B'!E$2,S414&gt;'Group List B'!F$2,T414&gt;'Group List B'!G$2),"Exceed",
IF(OR(H414=AB$2,I414=AC$2,J414=AD$2,
P414=1,V414=1,
L414='Group List A'!E$2,M414='Group List A'!F$2,N414='Group List A'!G$2,
R414='Group List B'!E$2,S414='Group List B'!F$2,T414='Group List B'!G$2),"Limit",0))</f>
        <v>0</v>
      </c>
      <c r="H414" s="29">
        <f t="shared" si="92"/>
        <v>0</v>
      </c>
      <c r="I414" s="29">
        <f t="shared" si="93"/>
        <v>0</v>
      </c>
      <c r="J414" s="29">
        <f t="shared" si="94"/>
        <v>0</v>
      </c>
      <c r="K414" s="32" t="str" cm="1">
        <f t="array" ref="K414">IF(AF414&lt;&gt;"",IFERROR(INDEX('Group List A'!B:B,MATCH(AI414,'Group List A'!A:A,0),0),"-"),"")</f>
        <v/>
      </c>
      <c r="L414" s="33">
        <f t="shared" si="95"/>
        <v>0</v>
      </c>
      <c r="M414" s="33">
        <f t="shared" si="96"/>
        <v>0</v>
      </c>
      <c r="N414" s="33">
        <f t="shared" si="97"/>
        <v>0</v>
      </c>
      <c r="O414" s="28"/>
      <c r="P414" s="33">
        <f t="shared" si="98"/>
        <v>0</v>
      </c>
      <c r="Q414" s="35" t="str" cm="1">
        <f t="array" ref="Q414">IF(AF414&lt;&gt;"",IFERROR(INDEX('Group List B'!B:B,MATCH(AI414,'Group List B'!A:A,0),0),"-"),"")</f>
        <v/>
      </c>
      <c r="R414" s="36">
        <f t="shared" si="99"/>
        <v>0</v>
      </c>
      <c r="S414" s="36">
        <f t="shared" si="100"/>
        <v>0</v>
      </c>
      <c r="T414" s="36">
        <f t="shared" si="101"/>
        <v>0</v>
      </c>
      <c r="U414" s="28"/>
      <c r="V414" s="37">
        <f t="shared" si="102"/>
        <v>0</v>
      </c>
      <c r="W414" s="41"/>
      <c r="X414" s="27"/>
      <c r="Y414" s="27"/>
      <c r="Z414" s="27"/>
      <c r="AA414" s="15"/>
      <c r="AB414" s="17"/>
      <c r="AC414" s="17"/>
      <c r="AD414" s="17"/>
      <c r="AE414" s="90"/>
      <c r="AF414" s="82" t="str">
        <f t="shared" si="103"/>
        <v/>
      </c>
      <c r="AG414" s="83" t="str">
        <f t="shared" si="104"/>
        <v/>
      </c>
      <c r="AH414" s="82" t="str">
        <f t="shared" si="105"/>
        <v/>
      </c>
      <c r="AI414" s="82" t="str">
        <f t="shared" si="106"/>
        <v/>
      </c>
      <c r="AJ414" s="90"/>
      <c r="AP414" s="88"/>
    </row>
    <row r="415" spans="1:42" x14ac:dyDescent="0.25">
      <c r="A415" s="2"/>
      <c r="C415" s="68" t="str" cm="1">
        <f t="array" ref="C415">IF(AF415&lt;&gt;"",
IFERROR(INDEX('LaunchPad Markbook'!A:A,MATCH(AH415,'LaunchPad Markbook'!D:D,0),0),"-"),"")</f>
        <v/>
      </c>
      <c r="D415" s="27"/>
      <c r="E415" s="27"/>
      <c r="F415" s="27"/>
      <c r="G415" s="14">
        <f>IF(OR(H415&gt;AB$2,I415&gt;AC$2,J415&gt;AD$2,
P415&gt;1,V415&gt;1,
L415&gt;'Group List A'!E$2,M415&gt;'Group List A'!F$2,N415&gt;'Group List A'!G$2,
R415&gt;'Group List B'!E$2,S415&gt;'Group List B'!F$2,T415&gt;'Group List B'!G$2),"Exceed",
IF(OR(H415=AB$2,I415=AC$2,J415=AD$2,
P415=1,V415=1,
L415='Group List A'!E$2,M415='Group List A'!F$2,N415='Group List A'!G$2,
R415='Group List B'!E$2,S415='Group List B'!F$2,T415='Group List B'!G$2),"Limit",0))</f>
        <v>0</v>
      </c>
      <c r="H415" s="29">
        <f t="shared" si="92"/>
        <v>0</v>
      </c>
      <c r="I415" s="29">
        <f t="shared" si="93"/>
        <v>0</v>
      </c>
      <c r="J415" s="29">
        <f t="shared" si="94"/>
        <v>0</v>
      </c>
      <c r="K415" s="32" t="str" cm="1">
        <f t="array" ref="K415">IF(AF415&lt;&gt;"",IFERROR(INDEX('Group List A'!B:B,MATCH(AI415,'Group List A'!A:A,0),0),"-"),"")</f>
        <v/>
      </c>
      <c r="L415" s="33">
        <f t="shared" si="95"/>
        <v>0</v>
      </c>
      <c r="M415" s="33">
        <f t="shared" si="96"/>
        <v>0</v>
      </c>
      <c r="N415" s="33">
        <f t="shared" si="97"/>
        <v>0</v>
      </c>
      <c r="O415" s="28"/>
      <c r="P415" s="33">
        <f t="shared" si="98"/>
        <v>0</v>
      </c>
      <c r="Q415" s="35" t="str" cm="1">
        <f t="array" ref="Q415">IF(AF415&lt;&gt;"",IFERROR(INDEX('Group List B'!B:B,MATCH(AI415,'Group List B'!A:A,0),0),"-"),"")</f>
        <v/>
      </c>
      <c r="R415" s="36">
        <f t="shared" si="99"/>
        <v>0</v>
      </c>
      <c r="S415" s="36">
        <f t="shared" si="100"/>
        <v>0</v>
      </c>
      <c r="T415" s="36">
        <f t="shared" si="101"/>
        <v>0</v>
      </c>
      <c r="U415" s="28"/>
      <c r="V415" s="37">
        <f t="shared" si="102"/>
        <v>0</v>
      </c>
      <c r="W415" s="41"/>
      <c r="X415" s="27"/>
      <c r="Y415" s="27"/>
      <c r="Z415" s="27"/>
      <c r="AA415" s="15"/>
      <c r="AB415" s="17"/>
      <c r="AC415" s="17"/>
      <c r="AD415" s="17"/>
      <c r="AE415" s="90"/>
      <c r="AF415" s="82" t="str">
        <f t="shared" si="103"/>
        <v/>
      </c>
      <c r="AG415" s="83" t="str">
        <f t="shared" si="104"/>
        <v/>
      </c>
      <c r="AH415" s="82" t="str">
        <f t="shared" si="105"/>
        <v/>
      </c>
      <c r="AI415" s="82" t="str">
        <f t="shared" si="106"/>
        <v/>
      </c>
      <c r="AJ415" s="90"/>
      <c r="AP415" s="88"/>
    </row>
    <row r="416" spans="1:42" x14ac:dyDescent="0.25">
      <c r="A416" s="2"/>
      <c r="C416" s="68" t="str" cm="1">
        <f t="array" ref="C416">IF(AF416&lt;&gt;"",
IFERROR(INDEX('LaunchPad Markbook'!A:A,MATCH(AH416,'LaunchPad Markbook'!D:D,0),0),"-"),"")</f>
        <v/>
      </c>
      <c r="D416" s="27"/>
      <c r="E416" s="27"/>
      <c r="F416" s="27"/>
      <c r="G416" s="14">
        <f>IF(OR(H416&gt;AB$2,I416&gt;AC$2,J416&gt;AD$2,
P416&gt;1,V416&gt;1,
L416&gt;'Group List A'!E$2,M416&gt;'Group List A'!F$2,N416&gt;'Group List A'!G$2,
R416&gt;'Group List B'!E$2,S416&gt;'Group List B'!F$2,T416&gt;'Group List B'!G$2),"Exceed",
IF(OR(H416=AB$2,I416=AC$2,J416=AD$2,
P416=1,V416=1,
L416='Group List A'!E$2,M416='Group List A'!F$2,N416='Group List A'!G$2,
R416='Group List B'!E$2,S416='Group List B'!F$2,T416='Group List B'!G$2),"Limit",0))</f>
        <v>0</v>
      </c>
      <c r="H416" s="29">
        <f t="shared" si="92"/>
        <v>0</v>
      </c>
      <c r="I416" s="29">
        <f t="shared" si="93"/>
        <v>0</v>
      </c>
      <c r="J416" s="29">
        <f t="shared" si="94"/>
        <v>0</v>
      </c>
      <c r="K416" s="32" t="str" cm="1">
        <f t="array" ref="K416">IF(AF416&lt;&gt;"",IFERROR(INDEX('Group List A'!B:B,MATCH(AI416,'Group List A'!A:A,0),0),"-"),"")</f>
        <v/>
      </c>
      <c r="L416" s="33">
        <f t="shared" si="95"/>
        <v>0</v>
      </c>
      <c r="M416" s="33">
        <f t="shared" si="96"/>
        <v>0</v>
      </c>
      <c r="N416" s="33">
        <f t="shared" si="97"/>
        <v>0</v>
      </c>
      <c r="O416" s="28"/>
      <c r="P416" s="33">
        <f t="shared" si="98"/>
        <v>0</v>
      </c>
      <c r="Q416" s="35" t="str" cm="1">
        <f t="array" ref="Q416">IF(AF416&lt;&gt;"",IFERROR(INDEX('Group List B'!B:B,MATCH(AI416,'Group List B'!A:A,0),0),"-"),"")</f>
        <v/>
      </c>
      <c r="R416" s="36">
        <f t="shared" si="99"/>
        <v>0</v>
      </c>
      <c r="S416" s="36">
        <f t="shared" si="100"/>
        <v>0</v>
      </c>
      <c r="T416" s="36">
        <f t="shared" si="101"/>
        <v>0</v>
      </c>
      <c r="U416" s="28"/>
      <c r="V416" s="37">
        <f t="shared" si="102"/>
        <v>0</v>
      </c>
      <c r="W416" s="41"/>
      <c r="X416" s="27"/>
      <c r="Y416" s="27"/>
      <c r="Z416" s="27"/>
      <c r="AA416" s="15"/>
      <c r="AB416" s="17"/>
      <c r="AC416" s="17"/>
      <c r="AD416" s="17"/>
      <c r="AE416" s="90"/>
      <c r="AF416" s="82" t="str">
        <f t="shared" si="103"/>
        <v/>
      </c>
      <c r="AG416" s="83" t="str">
        <f t="shared" si="104"/>
        <v/>
      </c>
      <c r="AH416" s="82" t="str">
        <f t="shared" si="105"/>
        <v/>
      </c>
      <c r="AI416" s="82" t="str">
        <f t="shared" si="106"/>
        <v/>
      </c>
      <c r="AJ416" s="90"/>
      <c r="AP416" s="88"/>
    </row>
    <row r="417" spans="1:42" x14ac:dyDescent="0.25">
      <c r="A417" s="2"/>
      <c r="C417" s="68" t="str" cm="1">
        <f t="array" ref="C417">IF(AF417&lt;&gt;"",
IFERROR(INDEX('LaunchPad Markbook'!A:A,MATCH(AH417,'LaunchPad Markbook'!D:D,0),0),"-"),"")</f>
        <v/>
      </c>
      <c r="D417" s="27"/>
      <c r="E417" s="27"/>
      <c r="F417" s="27"/>
      <c r="G417" s="14">
        <f>IF(OR(H417&gt;AB$2,I417&gt;AC$2,J417&gt;AD$2,
P417&gt;1,V417&gt;1,
L417&gt;'Group List A'!E$2,M417&gt;'Group List A'!F$2,N417&gt;'Group List A'!G$2,
R417&gt;'Group List B'!E$2,S417&gt;'Group List B'!F$2,T417&gt;'Group List B'!G$2),"Exceed",
IF(OR(H417=AB$2,I417=AC$2,J417=AD$2,
P417=1,V417=1,
L417='Group List A'!E$2,M417='Group List A'!F$2,N417='Group List A'!G$2,
R417='Group List B'!E$2,S417='Group List B'!F$2,T417='Group List B'!G$2),"Limit",0))</f>
        <v>0</v>
      </c>
      <c r="H417" s="29">
        <f t="shared" si="92"/>
        <v>0</v>
      </c>
      <c r="I417" s="29">
        <f t="shared" si="93"/>
        <v>0</v>
      </c>
      <c r="J417" s="29">
        <f t="shared" si="94"/>
        <v>0</v>
      </c>
      <c r="K417" s="32" t="str" cm="1">
        <f t="array" ref="K417">IF(AF417&lt;&gt;"",IFERROR(INDEX('Group List A'!B:B,MATCH(AI417,'Group List A'!A:A,0),0),"-"),"")</f>
        <v/>
      </c>
      <c r="L417" s="33">
        <f t="shared" si="95"/>
        <v>0</v>
      </c>
      <c r="M417" s="33">
        <f t="shared" si="96"/>
        <v>0</v>
      </c>
      <c r="N417" s="33">
        <f t="shared" si="97"/>
        <v>0</v>
      </c>
      <c r="O417" s="28"/>
      <c r="P417" s="33">
        <f t="shared" si="98"/>
        <v>0</v>
      </c>
      <c r="Q417" s="35" t="str" cm="1">
        <f t="array" ref="Q417">IF(AF417&lt;&gt;"",IFERROR(INDEX('Group List B'!B:B,MATCH(AI417,'Group List B'!A:A,0),0),"-"),"")</f>
        <v/>
      </c>
      <c r="R417" s="36">
        <f t="shared" si="99"/>
        <v>0</v>
      </c>
      <c r="S417" s="36">
        <f t="shared" si="100"/>
        <v>0</v>
      </c>
      <c r="T417" s="36">
        <f t="shared" si="101"/>
        <v>0</v>
      </c>
      <c r="U417" s="28"/>
      <c r="V417" s="37">
        <f t="shared" si="102"/>
        <v>0</v>
      </c>
      <c r="W417" s="41"/>
      <c r="X417" s="27"/>
      <c r="Y417" s="27"/>
      <c r="Z417" s="27"/>
      <c r="AA417" s="15"/>
      <c r="AB417" s="17"/>
      <c r="AC417" s="17"/>
      <c r="AD417" s="17"/>
      <c r="AE417" s="90"/>
      <c r="AF417" s="82" t="str">
        <f t="shared" si="103"/>
        <v/>
      </c>
      <c r="AG417" s="83" t="str">
        <f t="shared" si="104"/>
        <v/>
      </c>
      <c r="AH417" s="82" t="str">
        <f t="shared" si="105"/>
        <v/>
      </c>
      <c r="AI417" s="82" t="str">
        <f t="shared" si="106"/>
        <v/>
      </c>
      <c r="AJ417" s="90"/>
      <c r="AP417" s="88"/>
    </row>
    <row r="418" spans="1:42" x14ac:dyDescent="0.25">
      <c r="A418" s="2"/>
      <c r="C418" s="68" t="str" cm="1">
        <f t="array" ref="C418">IF(AF418&lt;&gt;"",
IFERROR(INDEX('LaunchPad Markbook'!A:A,MATCH(AH418,'LaunchPad Markbook'!D:D,0),0),"-"),"")</f>
        <v/>
      </c>
      <c r="D418" s="27"/>
      <c r="E418" s="27"/>
      <c r="F418" s="27"/>
      <c r="G418" s="14">
        <f>IF(OR(H418&gt;AB$2,I418&gt;AC$2,J418&gt;AD$2,
P418&gt;1,V418&gt;1,
L418&gt;'Group List A'!E$2,M418&gt;'Group List A'!F$2,N418&gt;'Group List A'!G$2,
R418&gt;'Group List B'!E$2,S418&gt;'Group List B'!F$2,T418&gt;'Group List B'!G$2),"Exceed",
IF(OR(H418=AB$2,I418=AC$2,J418=AD$2,
P418=1,V418=1,
L418='Group List A'!E$2,M418='Group List A'!F$2,N418='Group List A'!G$2,
R418='Group List B'!E$2,S418='Group List B'!F$2,T418='Group List B'!G$2),"Limit",0))</f>
        <v>0</v>
      </c>
      <c r="H418" s="29">
        <f t="shared" si="92"/>
        <v>0</v>
      </c>
      <c r="I418" s="29">
        <f t="shared" si="93"/>
        <v>0</v>
      </c>
      <c r="J418" s="29">
        <f t="shared" si="94"/>
        <v>0</v>
      </c>
      <c r="K418" s="32" t="str" cm="1">
        <f t="array" ref="K418">IF(AF418&lt;&gt;"",IFERROR(INDEX('Group List A'!B:B,MATCH(AI418,'Group List A'!A:A,0),0),"-"),"")</f>
        <v/>
      </c>
      <c r="L418" s="33">
        <f t="shared" si="95"/>
        <v>0</v>
      </c>
      <c r="M418" s="33">
        <f t="shared" si="96"/>
        <v>0</v>
      </c>
      <c r="N418" s="33">
        <f t="shared" si="97"/>
        <v>0</v>
      </c>
      <c r="O418" s="28"/>
      <c r="P418" s="33">
        <f t="shared" si="98"/>
        <v>0</v>
      </c>
      <c r="Q418" s="35" t="str" cm="1">
        <f t="array" ref="Q418">IF(AF418&lt;&gt;"",IFERROR(INDEX('Group List B'!B:B,MATCH(AI418,'Group List B'!A:A,0),0),"-"),"")</f>
        <v/>
      </c>
      <c r="R418" s="36">
        <f t="shared" si="99"/>
        <v>0</v>
      </c>
      <c r="S418" s="36">
        <f t="shared" si="100"/>
        <v>0</v>
      </c>
      <c r="T418" s="36">
        <f t="shared" si="101"/>
        <v>0</v>
      </c>
      <c r="U418" s="28"/>
      <c r="V418" s="37">
        <f t="shared" si="102"/>
        <v>0</v>
      </c>
      <c r="W418" s="41"/>
      <c r="X418" s="27"/>
      <c r="Y418" s="27"/>
      <c r="Z418" s="27"/>
      <c r="AA418" s="15"/>
      <c r="AB418" s="17"/>
      <c r="AC418" s="17"/>
      <c r="AD418" s="17"/>
      <c r="AE418" s="90"/>
      <c r="AF418" s="82" t="str">
        <f t="shared" si="103"/>
        <v/>
      </c>
      <c r="AG418" s="83" t="str">
        <f t="shared" si="104"/>
        <v/>
      </c>
      <c r="AH418" s="82" t="str">
        <f t="shared" si="105"/>
        <v/>
      </c>
      <c r="AI418" s="82" t="str">
        <f t="shared" si="106"/>
        <v/>
      </c>
      <c r="AJ418" s="90"/>
      <c r="AP418" s="88"/>
    </row>
    <row r="419" spans="1:42" x14ac:dyDescent="0.25">
      <c r="A419" s="2"/>
      <c r="C419" s="68" t="str" cm="1">
        <f t="array" ref="C419">IF(AF419&lt;&gt;"",
IFERROR(INDEX('LaunchPad Markbook'!A:A,MATCH(AH419,'LaunchPad Markbook'!D:D,0),0),"-"),"")</f>
        <v/>
      </c>
      <c r="D419" s="27"/>
      <c r="E419" s="27"/>
      <c r="F419" s="27"/>
      <c r="G419" s="14">
        <f>IF(OR(H419&gt;AB$2,I419&gt;AC$2,J419&gt;AD$2,
P419&gt;1,V419&gt;1,
L419&gt;'Group List A'!E$2,M419&gt;'Group List A'!F$2,N419&gt;'Group List A'!G$2,
R419&gt;'Group List B'!E$2,S419&gt;'Group List B'!F$2,T419&gt;'Group List B'!G$2),"Exceed",
IF(OR(H419=AB$2,I419=AC$2,J419=AD$2,
P419=1,V419=1,
L419='Group List A'!E$2,M419='Group List A'!F$2,N419='Group List A'!G$2,
R419='Group List B'!E$2,S419='Group List B'!F$2,T419='Group List B'!G$2),"Limit",0))</f>
        <v>0</v>
      </c>
      <c r="H419" s="29">
        <f t="shared" si="92"/>
        <v>0</v>
      </c>
      <c r="I419" s="29">
        <f t="shared" si="93"/>
        <v>0</v>
      </c>
      <c r="J419" s="29">
        <f t="shared" si="94"/>
        <v>0</v>
      </c>
      <c r="K419" s="32" t="str" cm="1">
        <f t="array" ref="K419">IF(AF419&lt;&gt;"",IFERROR(INDEX('Group List A'!B:B,MATCH(AI419,'Group List A'!A:A,0),0),"-"),"")</f>
        <v/>
      </c>
      <c r="L419" s="33">
        <f t="shared" si="95"/>
        <v>0</v>
      </c>
      <c r="M419" s="33">
        <f t="shared" si="96"/>
        <v>0</v>
      </c>
      <c r="N419" s="33">
        <f t="shared" si="97"/>
        <v>0</v>
      </c>
      <c r="O419" s="28"/>
      <c r="P419" s="33">
        <f t="shared" si="98"/>
        <v>0</v>
      </c>
      <c r="Q419" s="35" t="str" cm="1">
        <f t="array" ref="Q419">IF(AF419&lt;&gt;"",IFERROR(INDEX('Group List B'!B:B,MATCH(AI419,'Group List B'!A:A,0),0),"-"),"")</f>
        <v/>
      </c>
      <c r="R419" s="36">
        <f t="shared" si="99"/>
        <v>0</v>
      </c>
      <c r="S419" s="36">
        <f t="shared" si="100"/>
        <v>0</v>
      </c>
      <c r="T419" s="36">
        <f t="shared" si="101"/>
        <v>0</v>
      </c>
      <c r="U419" s="28"/>
      <c r="V419" s="37">
        <f t="shared" si="102"/>
        <v>0</v>
      </c>
      <c r="W419" s="41"/>
      <c r="X419" s="27"/>
      <c r="Y419" s="27"/>
      <c r="Z419" s="27"/>
      <c r="AA419" s="15"/>
      <c r="AB419" s="17"/>
      <c r="AC419" s="17"/>
      <c r="AD419" s="17"/>
      <c r="AE419" s="90"/>
      <c r="AF419" s="82" t="str">
        <f t="shared" si="103"/>
        <v/>
      </c>
      <c r="AG419" s="83" t="str">
        <f t="shared" si="104"/>
        <v/>
      </c>
      <c r="AH419" s="82" t="str">
        <f t="shared" si="105"/>
        <v/>
      </c>
      <c r="AI419" s="82" t="str">
        <f t="shared" si="106"/>
        <v/>
      </c>
      <c r="AJ419" s="90"/>
      <c r="AP419" s="88"/>
    </row>
    <row r="420" spans="1:42" x14ac:dyDescent="0.25">
      <c r="A420" s="2"/>
      <c r="C420" s="68" t="str" cm="1">
        <f t="array" ref="C420">IF(AF420&lt;&gt;"",
IFERROR(INDEX('LaunchPad Markbook'!A:A,MATCH(AH420,'LaunchPad Markbook'!D:D,0),0),"-"),"")</f>
        <v/>
      </c>
      <c r="D420" s="27"/>
      <c r="E420" s="27"/>
      <c r="F420" s="27"/>
      <c r="G420" s="14">
        <f>IF(OR(H420&gt;AB$2,I420&gt;AC$2,J420&gt;AD$2,
P420&gt;1,V420&gt;1,
L420&gt;'Group List A'!E$2,M420&gt;'Group List A'!F$2,N420&gt;'Group List A'!G$2,
R420&gt;'Group List B'!E$2,S420&gt;'Group List B'!F$2,T420&gt;'Group List B'!G$2),"Exceed",
IF(OR(H420=AB$2,I420=AC$2,J420=AD$2,
P420=1,V420=1,
L420='Group List A'!E$2,M420='Group List A'!F$2,N420='Group List A'!G$2,
R420='Group List B'!E$2,S420='Group List B'!F$2,T420='Group List B'!G$2),"Limit",0))</f>
        <v>0</v>
      </c>
      <c r="H420" s="29">
        <f t="shared" si="92"/>
        <v>0</v>
      </c>
      <c r="I420" s="29">
        <f t="shared" si="93"/>
        <v>0</v>
      </c>
      <c r="J420" s="29">
        <f t="shared" si="94"/>
        <v>0</v>
      </c>
      <c r="K420" s="32" t="str" cm="1">
        <f t="array" ref="K420">IF(AF420&lt;&gt;"",IFERROR(INDEX('Group List A'!B:B,MATCH(AI420,'Group List A'!A:A,0),0),"-"),"")</f>
        <v/>
      </c>
      <c r="L420" s="33">
        <f t="shared" si="95"/>
        <v>0</v>
      </c>
      <c r="M420" s="33">
        <f t="shared" si="96"/>
        <v>0</v>
      </c>
      <c r="N420" s="33">
        <f t="shared" si="97"/>
        <v>0</v>
      </c>
      <c r="O420" s="28"/>
      <c r="P420" s="33">
        <f t="shared" si="98"/>
        <v>0</v>
      </c>
      <c r="Q420" s="35" t="str" cm="1">
        <f t="array" ref="Q420">IF(AF420&lt;&gt;"",IFERROR(INDEX('Group List B'!B:B,MATCH(AI420,'Group List B'!A:A,0),0),"-"),"")</f>
        <v/>
      </c>
      <c r="R420" s="36">
        <f t="shared" si="99"/>
        <v>0</v>
      </c>
      <c r="S420" s="36">
        <f t="shared" si="100"/>
        <v>0</v>
      </c>
      <c r="T420" s="36">
        <f t="shared" si="101"/>
        <v>0</v>
      </c>
      <c r="U420" s="28"/>
      <c r="V420" s="37">
        <f t="shared" si="102"/>
        <v>0</v>
      </c>
      <c r="W420" s="41"/>
      <c r="X420" s="27"/>
      <c r="Y420" s="27"/>
      <c r="Z420" s="27"/>
      <c r="AA420" s="15"/>
      <c r="AB420" s="17"/>
      <c r="AC420" s="17"/>
      <c r="AD420" s="17"/>
      <c r="AE420" s="90"/>
      <c r="AF420" s="82" t="str">
        <f t="shared" si="103"/>
        <v/>
      </c>
      <c r="AG420" s="83" t="str">
        <f t="shared" si="104"/>
        <v/>
      </c>
      <c r="AH420" s="82" t="str">
        <f t="shared" si="105"/>
        <v/>
      </c>
      <c r="AI420" s="82" t="str">
        <f t="shared" si="106"/>
        <v/>
      </c>
      <c r="AJ420" s="90"/>
      <c r="AP420" s="88"/>
    </row>
    <row r="421" spans="1:42" x14ac:dyDescent="0.25">
      <c r="A421" s="2"/>
      <c r="C421" s="68" t="str" cm="1">
        <f t="array" ref="C421">IF(AF421&lt;&gt;"",
IFERROR(INDEX('LaunchPad Markbook'!A:A,MATCH(AH421,'LaunchPad Markbook'!D:D,0),0),"-"),"")</f>
        <v/>
      </c>
      <c r="D421" s="27"/>
      <c r="E421" s="27"/>
      <c r="F421" s="27"/>
      <c r="G421" s="14">
        <f>IF(OR(H421&gt;AB$2,I421&gt;AC$2,J421&gt;AD$2,
P421&gt;1,V421&gt;1,
L421&gt;'Group List A'!E$2,M421&gt;'Group List A'!F$2,N421&gt;'Group List A'!G$2,
R421&gt;'Group List B'!E$2,S421&gt;'Group List B'!F$2,T421&gt;'Group List B'!G$2),"Exceed",
IF(OR(H421=AB$2,I421=AC$2,J421=AD$2,
P421=1,V421=1,
L421='Group List A'!E$2,M421='Group List A'!F$2,N421='Group List A'!G$2,
R421='Group List B'!E$2,S421='Group List B'!F$2,T421='Group List B'!G$2),"Limit",0))</f>
        <v>0</v>
      </c>
      <c r="H421" s="29">
        <f t="shared" si="92"/>
        <v>0</v>
      </c>
      <c r="I421" s="29">
        <f t="shared" si="93"/>
        <v>0</v>
      </c>
      <c r="J421" s="29">
        <f t="shared" si="94"/>
        <v>0</v>
      </c>
      <c r="K421" s="32" t="str" cm="1">
        <f t="array" ref="K421">IF(AF421&lt;&gt;"",IFERROR(INDEX('Group List A'!B:B,MATCH(AI421,'Group List A'!A:A,0),0),"-"),"")</f>
        <v/>
      </c>
      <c r="L421" s="33">
        <f t="shared" si="95"/>
        <v>0</v>
      </c>
      <c r="M421" s="33">
        <f t="shared" si="96"/>
        <v>0</v>
      </c>
      <c r="N421" s="33">
        <f t="shared" si="97"/>
        <v>0</v>
      </c>
      <c r="O421" s="28"/>
      <c r="P421" s="33">
        <f t="shared" si="98"/>
        <v>0</v>
      </c>
      <c r="Q421" s="35" t="str" cm="1">
        <f t="array" ref="Q421">IF(AF421&lt;&gt;"",IFERROR(INDEX('Group List B'!B:B,MATCH(AI421,'Group List B'!A:A,0),0),"-"),"")</f>
        <v/>
      </c>
      <c r="R421" s="36">
        <f t="shared" si="99"/>
        <v>0</v>
      </c>
      <c r="S421" s="36">
        <f t="shared" si="100"/>
        <v>0</v>
      </c>
      <c r="T421" s="36">
        <f t="shared" si="101"/>
        <v>0</v>
      </c>
      <c r="U421" s="28"/>
      <c r="V421" s="37">
        <f t="shared" si="102"/>
        <v>0</v>
      </c>
      <c r="W421" s="41"/>
      <c r="X421" s="27"/>
      <c r="Y421" s="27"/>
      <c r="Z421" s="27"/>
      <c r="AA421" s="15"/>
      <c r="AB421" s="17"/>
      <c r="AC421" s="17"/>
      <c r="AD421" s="17"/>
      <c r="AE421" s="90"/>
      <c r="AF421" s="82" t="str">
        <f t="shared" si="103"/>
        <v/>
      </c>
      <c r="AG421" s="83" t="str">
        <f t="shared" si="104"/>
        <v/>
      </c>
      <c r="AH421" s="82" t="str">
        <f t="shared" si="105"/>
        <v/>
      </c>
      <c r="AI421" s="82" t="str">
        <f t="shared" si="106"/>
        <v/>
      </c>
      <c r="AJ421" s="90"/>
      <c r="AP421" s="88"/>
    </row>
    <row r="422" spans="1:42" x14ac:dyDescent="0.25">
      <c r="A422" s="2"/>
      <c r="C422" s="68" t="str" cm="1">
        <f t="array" ref="C422">IF(AF422&lt;&gt;"",
IFERROR(INDEX('LaunchPad Markbook'!A:A,MATCH(AH422,'LaunchPad Markbook'!D:D,0),0),"-"),"")</f>
        <v/>
      </c>
      <c r="D422" s="27"/>
      <c r="E422" s="27"/>
      <c r="F422" s="27"/>
      <c r="G422" s="14">
        <f>IF(OR(H422&gt;AB$2,I422&gt;AC$2,J422&gt;AD$2,
P422&gt;1,V422&gt;1,
L422&gt;'Group List A'!E$2,M422&gt;'Group List A'!F$2,N422&gt;'Group List A'!G$2,
R422&gt;'Group List B'!E$2,S422&gt;'Group List B'!F$2,T422&gt;'Group List B'!G$2),"Exceed",
IF(OR(H422=AB$2,I422=AC$2,J422=AD$2,
P422=1,V422=1,
L422='Group List A'!E$2,M422='Group List A'!F$2,N422='Group List A'!G$2,
R422='Group List B'!E$2,S422='Group List B'!F$2,T422='Group List B'!G$2),"Limit",0))</f>
        <v>0</v>
      </c>
      <c r="H422" s="29">
        <f t="shared" si="92"/>
        <v>0</v>
      </c>
      <c r="I422" s="29">
        <f t="shared" si="93"/>
        <v>0</v>
      </c>
      <c r="J422" s="29">
        <f t="shared" si="94"/>
        <v>0</v>
      </c>
      <c r="K422" s="32" t="str" cm="1">
        <f t="array" ref="K422">IF(AF422&lt;&gt;"",IFERROR(INDEX('Group List A'!B:B,MATCH(AI422,'Group List A'!A:A,0),0),"-"),"")</f>
        <v/>
      </c>
      <c r="L422" s="33">
        <f t="shared" si="95"/>
        <v>0</v>
      </c>
      <c r="M422" s="33">
        <f t="shared" si="96"/>
        <v>0</v>
      </c>
      <c r="N422" s="33">
        <f t="shared" si="97"/>
        <v>0</v>
      </c>
      <c r="O422" s="28"/>
      <c r="P422" s="33">
        <f t="shared" si="98"/>
        <v>0</v>
      </c>
      <c r="Q422" s="35" t="str" cm="1">
        <f t="array" ref="Q422">IF(AF422&lt;&gt;"",IFERROR(INDEX('Group List B'!B:B,MATCH(AI422,'Group List B'!A:A,0),0),"-"),"")</f>
        <v/>
      </c>
      <c r="R422" s="36">
        <f t="shared" si="99"/>
        <v>0</v>
      </c>
      <c r="S422" s="36">
        <f t="shared" si="100"/>
        <v>0</v>
      </c>
      <c r="T422" s="36">
        <f t="shared" si="101"/>
        <v>0</v>
      </c>
      <c r="U422" s="28"/>
      <c r="V422" s="37">
        <f t="shared" si="102"/>
        <v>0</v>
      </c>
      <c r="W422" s="41"/>
      <c r="X422" s="27"/>
      <c r="Y422" s="27"/>
      <c r="Z422" s="27"/>
      <c r="AA422" s="15"/>
      <c r="AB422" s="17"/>
      <c r="AC422" s="17"/>
      <c r="AD422" s="17"/>
      <c r="AE422" s="90"/>
      <c r="AF422" s="82" t="str">
        <f t="shared" si="103"/>
        <v/>
      </c>
      <c r="AG422" s="83" t="str">
        <f t="shared" si="104"/>
        <v/>
      </c>
      <c r="AH422" s="82" t="str">
        <f t="shared" si="105"/>
        <v/>
      </c>
      <c r="AI422" s="82" t="str">
        <f t="shared" si="106"/>
        <v/>
      </c>
      <c r="AJ422" s="90"/>
      <c r="AP422" s="88"/>
    </row>
    <row r="423" spans="1:42" x14ac:dyDescent="0.25">
      <c r="A423" s="2"/>
      <c r="C423" s="68" t="str" cm="1">
        <f t="array" ref="C423">IF(AF423&lt;&gt;"",
IFERROR(INDEX('LaunchPad Markbook'!A:A,MATCH(AH423,'LaunchPad Markbook'!D:D,0),0),"-"),"")</f>
        <v/>
      </c>
      <c r="D423" s="27"/>
      <c r="E423" s="27"/>
      <c r="F423" s="27"/>
      <c r="G423" s="14">
        <f>IF(OR(H423&gt;AB$2,I423&gt;AC$2,J423&gt;AD$2,
P423&gt;1,V423&gt;1,
L423&gt;'Group List A'!E$2,M423&gt;'Group List A'!F$2,N423&gt;'Group List A'!G$2,
R423&gt;'Group List B'!E$2,S423&gt;'Group List B'!F$2,T423&gt;'Group List B'!G$2),"Exceed",
IF(OR(H423=AB$2,I423=AC$2,J423=AD$2,
P423=1,V423=1,
L423='Group List A'!E$2,M423='Group List A'!F$2,N423='Group List A'!G$2,
R423='Group List B'!E$2,S423='Group List B'!F$2,T423='Group List B'!G$2),"Limit",0))</f>
        <v>0</v>
      </c>
      <c r="H423" s="29">
        <f t="shared" si="92"/>
        <v>0</v>
      </c>
      <c r="I423" s="29">
        <f t="shared" si="93"/>
        <v>0</v>
      </c>
      <c r="J423" s="29">
        <f t="shared" si="94"/>
        <v>0</v>
      </c>
      <c r="K423" s="32" t="str" cm="1">
        <f t="array" ref="K423">IF(AF423&lt;&gt;"",IFERROR(INDEX('Group List A'!B:B,MATCH(AI423,'Group List A'!A:A,0),0),"-"),"")</f>
        <v/>
      </c>
      <c r="L423" s="33">
        <f t="shared" si="95"/>
        <v>0</v>
      </c>
      <c r="M423" s="33">
        <f t="shared" si="96"/>
        <v>0</v>
      </c>
      <c r="N423" s="33">
        <f t="shared" si="97"/>
        <v>0</v>
      </c>
      <c r="O423" s="28"/>
      <c r="P423" s="33">
        <f t="shared" si="98"/>
        <v>0</v>
      </c>
      <c r="Q423" s="35" t="str" cm="1">
        <f t="array" ref="Q423">IF(AF423&lt;&gt;"",IFERROR(INDEX('Group List B'!B:B,MATCH(AI423,'Group List B'!A:A,0),0),"-"),"")</f>
        <v/>
      </c>
      <c r="R423" s="36">
        <f t="shared" si="99"/>
        <v>0</v>
      </c>
      <c r="S423" s="36">
        <f t="shared" si="100"/>
        <v>0</v>
      </c>
      <c r="T423" s="36">
        <f t="shared" si="101"/>
        <v>0</v>
      </c>
      <c r="U423" s="28"/>
      <c r="V423" s="37">
        <f t="shared" si="102"/>
        <v>0</v>
      </c>
      <c r="W423" s="41"/>
      <c r="X423" s="27"/>
      <c r="Y423" s="27"/>
      <c r="Z423" s="27"/>
      <c r="AA423" s="15"/>
      <c r="AB423" s="17"/>
      <c r="AC423" s="17"/>
      <c r="AD423" s="17"/>
      <c r="AE423" s="90"/>
      <c r="AF423" s="82" t="str">
        <f t="shared" si="103"/>
        <v/>
      </c>
      <c r="AG423" s="83" t="str">
        <f t="shared" si="104"/>
        <v/>
      </c>
      <c r="AH423" s="82" t="str">
        <f t="shared" si="105"/>
        <v/>
      </c>
      <c r="AI423" s="82" t="str">
        <f t="shared" si="106"/>
        <v/>
      </c>
      <c r="AJ423" s="90"/>
      <c r="AP423" s="88"/>
    </row>
    <row r="424" spans="1:42" x14ac:dyDescent="0.25">
      <c r="A424" s="2"/>
      <c r="C424" s="68" t="str" cm="1">
        <f t="array" ref="C424">IF(AF424&lt;&gt;"",
IFERROR(INDEX('LaunchPad Markbook'!A:A,MATCH(AH424,'LaunchPad Markbook'!D:D,0),0),"-"),"")</f>
        <v/>
      </c>
      <c r="D424" s="27"/>
      <c r="E424" s="27"/>
      <c r="F424" s="27"/>
      <c r="G424" s="14">
        <f>IF(OR(H424&gt;AB$2,I424&gt;AC$2,J424&gt;AD$2,
P424&gt;1,V424&gt;1,
L424&gt;'Group List A'!E$2,M424&gt;'Group List A'!F$2,N424&gt;'Group List A'!G$2,
R424&gt;'Group List B'!E$2,S424&gt;'Group List B'!F$2,T424&gt;'Group List B'!G$2),"Exceed",
IF(OR(H424=AB$2,I424=AC$2,J424=AD$2,
P424=1,V424=1,
L424='Group List A'!E$2,M424='Group List A'!F$2,N424='Group List A'!G$2,
R424='Group List B'!E$2,S424='Group List B'!F$2,T424='Group List B'!G$2),"Limit",0))</f>
        <v>0</v>
      </c>
      <c r="H424" s="29">
        <f t="shared" si="92"/>
        <v>0</v>
      </c>
      <c r="I424" s="29">
        <f t="shared" si="93"/>
        <v>0</v>
      </c>
      <c r="J424" s="29">
        <f t="shared" si="94"/>
        <v>0</v>
      </c>
      <c r="K424" s="32" t="str" cm="1">
        <f t="array" ref="K424">IF(AF424&lt;&gt;"",IFERROR(INDEX('Group List A'!B:B,MATCH(AI424,'Group List A'!A:A,0),0),"-"),"")</f>
        <v/>
      </c>
      <c r="L424" s="33">
        <f t="shared" si="95"/>
        <v>0</v>
      </c>
      <c r="M424" s="33">
        <f t="shared" si="96"/>
        <v>0</v>
      </c>
      <c r="N424" s="33">
        <f t="shared" si="97"/>
        <v>0</v>
      </c>
      <c r="O424" s="28"/>
      <c r="P424" s="33">
        <f t="shared" si="98"/>
        <v>0</v>
      </c>
      <c r="Q424" s="35" t="str" cm="1">
        <f t="array" ref="Q424">IF(AF424&lt;&gt;"",IFERROR(INDEX('Group List B'!B:B,MATCH(AI424,'Group List B'!A:A,0),0),"-"),"")</f>
        <v/>
      </c>
      <c r="R424" s="36">
        <f t="shared" si="99"/>
        <v>0</v>
      </c>
      <c r="S424" s="36">
        <f t="shared" si="100"/>
        <v>0</v>
      </c>
      <c r="T424" s="36">
        <f t="shared" si="101"/>
        <v>0</v>
      </c>
      <c r="U424" s="28"/>
      <c r="V424" s="37">
        <f t="shared" si="102"/>
        <v>0</v>
      </c>
      <c r="W424" s="41"/>
      <c r="X424" s="27"/>
      <c r="Y424" s="27"/>
      <c r="Z424" s="27"/>
      <c r="AA424" s="15"/>
      <c r="AB424" s="17"/>
      <c r="AC424" s="17"/>
      <c r="AD424" s="17"/>
      <c r="AE424" s="90"/>
      <c r="AF424" s="82" t="str">
        <f t="shared" si="103"/>
        <v/>
      </c>
      <c r="AG424" s="83" t="str">
        <f t="shared" si="104"/>
        <v/>
      </c>
      <c r="AH424" s="82" t="str">
        <f t="shared" si="105"/>
        <v/>
      </c>
      <c r="AI424" s="82" t="str">
        <f t="shared" si="106"/>
        <v/>
      </c>
      <c r="AJ424" s="90"/>
      <c r="AP424" s="88"/>
    </row>
    <row r="425" spans="1:42" x14ac:dyDescent="0.25">
      <c r="A425" s="2"/>
      <c r="C425" s="68" t="str" cm="1">
        <f t="array" ref="C425">IF(AF425&lt;&gt;"",
IFERROR(INDEX('LaunchPad Markbook'!A:A,MATCH(AH425,'LaunchPad Markbook'!D:D,0),0),"-"),"")</f>
        <v/>
      </c>
      <c r="D425" s="27"/>
      <c r="E425" s="27"/>
      <c r="F425" s="27"/>
      <c r="G425" s="14">
        <f>IF(OR(H425&gt;AB$2,I425&gt;AC$2,J425&gt;AD$2,
P425&gt;1,V425&gt;1,
L425&gt;'Group List A'!E$2,M425&gt;'Group List A'!F$2,N425&gt;'Group List A'!G$2,
R425&gt;'Group List B'!E$2,S425&gt;'Group List B'!F$2,T425&gt;'Group List B'!G$2),"Exceed",
IF(OR(H425=AB$2,I425=AC$2,J425=AD$2,
P425=1,V425=1,
L425='Group List A'!E$2,M425='Group List A'!F$2,N425='Group List A'!G$2,
R425='Group List B'!E$2,S425='Group List B'!F$2,T425='Group List B'!G$2),"Limit",0))</f>
        <v>0</v>
      </c>
      <c r="H425" s="29">
        <f t="shared" si="92"/>
        <v>0</v>
      </c>
      <c r="I425" s="29">
        <f t="shared" si="93"/>
        <v>0</v>
      </c>
      <c r="J425" s="29">
        <f t="shared" si="94"/>
        <v>0</v>
      </c>
      <c r="K425" s="32" t="str" cm="1">
        <f t="array" ref="K425">IF(AF425&lt;&gt;"",IFERROR(INDEX('Group List A'!B:B,MATCH(AI425,'Group List A'!A:A,0),0),"-"),"")</f>
        <v/>
      </c>
      <c r="L425" s="33">
        <f t="shared" si="95"/>
        <v>0</v>
      </c>
      <c r="M425" s="33">
        <f t="shared" si="96"/>
        <v>0</v>
      </c>
      <c r="N425" s="33">
        <f t="shared" si="97"/>
        <v>0</v>
      </c>
      <c r="O425" s="28"/>
      <c r="P425" s="33">
        <f t="shared" si="98"/>
        <v>0</v>
      </c>
      <c r="Q425" s="35" t="str" cm="1">
        <f t="array" ref="Q425">IF(AF425&lt;&gt;"",IFERROR(INDEX('Group List B'!B:B,MATCH(AI425,'Group List B'!A:A,0),0),"-"),"")</f>
        <v/>
      </c>
      <c r="R425" s="36">
        <f t="shared" si="99"/>
        <v>0</v>
      </c>
      <c r="S425" s="36">
        <f t="shared" si="100"/>
        <v>0</v>
      </c>
      <c r="T425" s="36">
        <f t="shared" si="101"/>
        <v>0</v>
      </c>
      <c r="U425" s="28"/>
      <c r="V425" s="37">
        <f t="shared" si="102"/>
        <v>0</v>
      </c>
      <c r="W425" s="41"/>
      <c r="X425" s="27"/>
      <c r="Y425" s="27"/>
      <c r="Z425" s="27"/>
      <c r="AA425" s="15"/>
      <c r="AB425" s="17"/>
      <c r="AC425" s="17"/>
      <c r="AD425" s="17"/>
      <c r="AE425" s="90"/>
      <c r="AF425" s="82" t="str">
        <f t="shared" si="103"/>
        <v/>
      </c>
      <c r="AG425" s="83" t="str">
        <f t="shared" si="104"/>
        <v/>
      </c>
      <c r="AH425" s="82" t="str">
        <f t="shared" si="105"/>
        <v/>
      </c>
      <c r="AI425" s="82" t="str">
        <f t="shared" si="106"/>
        <v/>
      </c>
      <c r="AJ425" s="90"/>
      <c r="AP425" s="88"/>
    </row>
    <row r="426" spans="1:42" x14ac:dyDescent="0.25">
      <c r="A426" s="2"/>
      <c r="C426" s="68" t="str" cm="1">
        <f t="array" ref="C426">IF(AF426&lt;&gt;"",
IFERROR(INDEX('LaunchPad Markbook'!A:A,MATCH(AH426,'LaunchPad Markbook'!D:D,0),0),"-"),"")</f>
        <v/>
      </c>
      <c r="D426" s="27"/>
      <c r="E426" s="27"/>
      <c r="F426" s="27"/>
      <c r="G426" s="14">
        <f>IF(OR(H426&gt;AB$2,I426&gt;AC$2,J426&gt;AD$2,
P426&gt;1,V426&gt;1,
L426&gt;'Group List A'!E$2,M426&gt;'Group List A'!F$2,N426&gt;'Group List A'!G$2,
R426&gt;'Group List B'!E$2,S426&gt;'Group List B'!F$2,T426&gt;'Group List B'!G$2),"Exceed",
IF(OR(H426=AB$2,I426=AC$2,J426=AD$2,
P426=1,V426=1,
L426='Group List A'!E$2,M426='Group List A'!F$2,N426='Group List A'!G$2,
R426='Group List B'!E$2,S426='Group List B'!F$2,T426='Group List B'!G$2),"Limit",0))</f>
        <v>0</v>
      </c>
      <c r="H426" s="29">
        <f t="shared" si="92"/>
        <v>0</v>
      </c>
      <c r="I426" s="29">
        <f t="shared" si="93"/>
        <v>0</v>
      </c>
      <c r="J426" s="29">
        <f t="shared" si="94"/>
        <v>0</v>
      </c>
      <c r="K426" s="32" t="str" cm="1">
        <f t="array" ref="K426">IF(AF426&lt;&gt;"",IFERROR(INDEX('Group List A'!B:B,MATCH(AI426,'Group List A'!A:A,0),0),"-"),"")</f>
        <v/>
      </c>
      <c r="L426" s="33">
        <f t="shared" si="95"/>
        <v>0</v>
      </c>
      <c r="M426" s="33">
        <f t="shared" si="96"/>
        <v>0</v>
      </c>
      <c r="N426" s="33">
        <f t="shared" si="97"/>
        <v>0</v>
      </c>
      <c r="O426" s="28"/>
      <c r="P426" s="33">
        <f t="shared" si="98"/>
        <v>0</v>
      </c>
      <c r="Q426" s="35" t="str" cm="1">
        <f t="array" ref="Q426">IF(AF426&lt;&gt;"",IFERROR(INDEX('Group List B'!B:B,MATCH(AI426,'Group List B'!A:A,0),0),"-"),"")</f>
        <v/>
      </c>
      <c r="R426" s="36">
        <f t="shared" si="99"/>
        <v>0</v>
      </c>
      <c r="S426" s="36">
        <f t="shared" si="100"/>
        <v>0</v>
      </c>
      <c r="T426" s="36">
        <f t="shared" si="101"/>
        <v>0</v>
      </c>
      <c r="U426" s="28"/>
      <c r="V426" s="37">
        <f t="shared" si="102"/>
        <v>0</v>
      </c>
      <c r="W426" s="41"/>
      <c r="X426" s="27"/>
      <c r="Y426" s="27"/>
      <c r="Z426" s="27"/>
      <c r="AA426" s="15"/>
      <c r="AB426" s="17"/>
      <c r="AC426" s="17"/>
      <c r="AD426" s="17"/>
      <c r="AE426" s="90"/>
      <c r="AF426" s="82" t="str">
        <f t="shared" si="103"/>
        <v/>
      </c>
      <c r="AG426" s="83" t="str">
        <f t="shared" si="104"/>
        <v/>
      </c>
      <c r="AH426" s="82" t="str">
        <f t="shared" si="105"/>
        <v/>
      </c>
      <c r="AI426" s="82" t="str">
        <f t="shared" si="106"/>
        <v/>
      </c>
      <c r="AJ426" s="90"/>
      <c r="AP426" s="88"/>
    </row>
    <row r="427" spans="1:42" x14ac:dyDescent="0.25">
      <c r="A427" s="2"/>
      <c r="C427" s="68" t="str" cm="1">
        <f t="array" ref="C427">IF(AF427&lt;&gt;"",
IFERROR(INDEX('LaunchPad Markbook'!A:A,MATCH(AH427,'LaunchPad Markbook'!D:D,0),0),"-"),"")</f>
        <v/>
      </c>
      <c r="D427" s="27"/>
      <c r="E427" s="27"/>
      <c r="F427" s="27"/>
      <c r="G427" s="14">
        <f>IF(OR(H427&gt;AB$2,I427&gt;AC$2,J427&gt;AD$2,
P427&gt;1,V427&gt;1,
L427&gt;'Group List A'!E$2,M427&gt;'Group List A'!F$2,N427&gt;'Group List A'!G$2,
R427&gt;'Group List B'!E$2,S427&gt;'Group List B'!F$2,T427&gt;'Group List B'!G$2),"Exceed",
IF(OR(H427=AB$2,I427=AC$2,J427=AD$2,
P427=1,V427=1,
L427='Group List A'!E$2,M427='Group List A'!F$2,N427='Group List A'!G$2,
R427='Group List B'!E$2,S427='Group List B'!F$2,T427='Group List B'!G$2),"Limit",0))</f>
        <v>0</v>
      </c>
      <c r="H427" s="29">
        <f t="shared" si="92"/>
        <v>0</v>
      </c>
      <c r="I427" s="29">
        <f t="shared" si="93"/>
        <v>0</v>
      </c>
      <c r="J427" s="29">
        <f t="shared" si="94"/>
        <v>0</v>
      </c>
      <c r="K427" s="32" t="str" cm="1">
        <f t="array" ref="K427">IF(AF427&lt;&gt;"",IFERROR(INDEX('Group List A'!B:B,MATCH(AI427,'Group List A'!A:A,0),0),"-"),"")</f>
        <v/>
      </c>
      <c r="L427" s="33">
        <f t="shared" si="95"/>
        <v>0</v>
      </c>
      <c r="M427" s="33">
        <f t="shared" si="96"/>
        <v>0</v>
      </c>
      <c r="N427" s="33">
        <f t="shared" si="97"/>
        <v>0</v>
      </c>
      <c r="O427" s="28"/>
      <c r="P427" s="33">
        <f t="shared" si="98"/>
        <v>0</v>
      </c>
      <c r="Q427" s="35" t="str" cm="1">
        <f t="array" ref="Q427">IF(AF427&lt;&gt;"",IFERROR(INDEX('Group List B'!B:B,MATCH(AI427,'Group List B'!A:A,0),0),"-"),"")</f>
        <v/>
      </c>
      <c r="R427" s="36">
        <f t="shared" si="99"/>
        <v>0</v>
      </c>
      <c r="S427" s="36">
        <f t="shared" si="100"/>
        <v>0</v>
      </c>
      <c r="T427" s="36">
        <f t="shared" si="101"/>
        <v>0</v>
      </c>
      <c r="U427" s="28"/>
      <c r="V427" s="37">
        <f t="shared" si="102"/>
        <v>0</v>
      </c>
      <c r="W427" s="41"/>
      <c r="X427" s="27"/>
      <c r="Y427" s="27"/>
      <c r="Z427" s="27"/>
      <c r="AA427" s="15"/>
      <c r="AB427" s="17"/>
      <c r="AC427" s="17"/>
      <c r="AD427" s="17"/>
      <c r="AE427" s="90"/>
      <c r="AF427" s="82" t="str">
        <f t="shared" si="103"/>
        <v/>
      </c>
      <c r="AG427" s="83" t="str">
        <f t="shared" si="104"/>
        <v/>
      </c>
      <c r="AH427" s="82" t="str">
        <f t="shared" si="105"/>
        <v/>
      </c>
      <c r="AI427" s="82" t="str">
        <f t="shared" si="106"/>
        <v/>
      </c>
      <c r="AJ427" s="90"/>
      <c r="AP427" s="88"/>
    </row>
    <row r="428" spans="1:42" x14ac:dyDescent="0.25">
      <c r="A428" s="2"/>
      <c r="C428" s="68" t="str" cm="1">
        <f t="array" ref="C428">IF(AF428&lt;&gt;"",
IFERROR(INDEX('LaunchPad Markbook'!A:A,MATCH(AH428,'LaunchPad Markbook'!D:D,0),0),"-"),"")</f>
        <v/>
      </c>
      <c r="D428" s="27"/>
      <c r="E428" s="27"/>
      <c r="F428" s="27"/>
      <c r="G428" s="14">
        <f>IF(OR(H428&gt;AB$2,I428&gt;AC$2,J428&gt;AD$2,
P428&gt;1,V428&gt;1,
L428&gt;'Group List A'!E$2,M428&gt;'Group List A'!F$2,N428&gt;'Group List A'!G$2,
R428&gt;'Group List B'!E$2,S428&gt;'Group List B'!F$2,T428&gt;'Group List B'!G$2),"Exceed",
IF(OR(H428=AB$2,I428=AC$2,J428=AD$2,
P428=1,V428=1,
L428='Group List A'!E$2,M428='Group List A'!F$2,N428='Group List A'!G$2,
R428='Group List B'!E$2,S428='Group List B'!F$2,T428='Group List B'!G$2),"Limit",0))</f>
        <v>0</v>
      </c>
      <c r="H428" s="29">
        <f t="shared" si="92"/>
        <v>0</v>
      </c>
      <c r="I428" s="29">
        <f t="shared" si="93"/>
        <v>0</v>
      </c>
      <c r="J428" s="29">
        <f t="shared" si="94"/>
        <v>0</v>
      </c>
      <c r="K428" s="32" t="str" cm="1">
        <f t="array" ref="K428">IF(AF428&lt;&gt;"",IFERROR(INDEX('Group List A'!B:B,MATCH(AI428,'Group List A'!A:A,0),0),"-"),"")</f>
        <v/>
      </c>
      <c r="L428" s="33">
        <f t="shared" si="95"/>
        <v>0</v>
      </c>
      <c r="M428" s="33">
        <f t="shared" si="96"/>
        <v>0</v>
      </c>
      <c r="N428" s="33">
        <f t="shared" si="97"/>
        <v>0</v>
      </c>
      <c r="O428" s="28"/>
      <c r="P428" s="33">
        <f t="shared" si="98"/>
        <v>0</v>
      </c>
      <c r="Q428" s="35" t="str" cm="1">
        <f t="array" ref="Q428">IF(AF428&lt;&gt;"",IFERROR(INDEX('Group List B'!B:B,MATCH(AI428,'Group List B'!A:A,0),0),"-"),"")</f>
        <v/>
      </c>
      <c r="R428" s="36">
        <f t="shared" si="99"/>
        <v>0</v>
      </c>
      <c r="S428" s="36">
        <f t="shared" si="100"/>
        <v>0</v>
      </c>
      <c r="T428" s="36">
        <f t="shared" si="101"/>
        <v>0</v>
      </c>
      <c r="U428" s="28"/>
      <c r="V428" s="37">
        <f t="shared" si="102"/>
        <v>0</v>
      </c>
      <c r="W428" s="41"/>
      <c r="X428" s="27"/>
      <c r="Y428" s="27"/>
      <c r="Z428" s="27"/>
      <c r="AA428" s="15"/>
      <c r="AB428" s="17"/>
      <c r="AC428" s="17"/>
      <c r="AD428" s="17"/>
      <c r="AE428" s="90"/>
      <c r="AF428" s="82" t="str">
        <f t="shared" si="103"/>
        <v/>
      </c>
      <c r="AG428" s="83" t="str">
        <f t="shared" si="104"/>
        <v/>
      </c>
      <c r="AH428" s="82" t="str">
        <f t="shared" si="105"/>
        <v/>
      </c>
      <c r="AI428" s="82" t="str">
        <f t="shared" si="106"/>
        <v/>
      </c>
      <c r="AJ428" s="90"/>
      <c r="AP428" s="88"/>
    </row>
    <row r="429" spans="1:42" x14ac:dyDescent="0.25">
      <c r="A429" s="2"/>
      <c r="C429" s="68" t="str" cm="1">
        <f t="array" ref="C429">IF(AF429&lt;&gt;"",
IFERROR(INDEX('LaunchPad Markbook'!A:A,MATCH(AH429,'LaunchPad Markbook'!D:D,0),0),"-"),"")</f>
        <v/>
      </c>
      <c r="D429" s="27"/>
      <c r="E429" s="27"/>
      <c r="F429" s="27"/>
      <c r="G429" s="14">
        <f>IF(OR(H429&gt;AB$2,I429&gt;AC$2,J429&gt;AD$2,
P429&gt;1,V429&gt;1,
L429&gt;'Group List A'!E$2,M429&gt;'Group List A'!F$2,N429&gt;'Group List A'!G$2,
R429&gt;'Group List B'!E$2,S429&gt;'Group List B'!F$2,T429&gt;'Group List B'!G$2),"Exceed",
IF(OR(H429=AB$2,I429=AC$2,J429=AD$2,
P429=1,V429=1,
L429='Group List A'!E$2,M429='Group List A'!F$2,N429='Group List A'!G$2,
R429='Group List B'!E$2,S429='Group List B'!F$2,T429='Group List B'!G$2),"Limit",0))</f>
        <v>0</v>
      </c>
      <c r="H429" s="29">
        <f t="shared" si="92"/>
        <v>0</v>
      </c>
      <c r="I429" s="29">
        <f t="shared" si="93"/>
        <v>0</v>
      </c>
      <c r="J429" s="29">
        <f t="shared" si="94"/>
        <v>0</v>
      </c>
      <c r="K429" s="32" t="str" cm="1">
        <f t="array" ref="K429">IF(AF429&lt;&gt;"",IFERROR(INDEX('Group List A'!B:B,MATCH(AI429,'Group List A'!A:A,0),0),"-"),"")</f>
        <v/>
      </c>
      <c r="L429" s="33">
        <f t="shared" si="95"/>
        <v>0</v>
      </c>
      <c r="M429" s="33">
        <f t="shared" si="96"/>
        <v>0</v>
      </c>
      <c r="N429" s="33">
        <f t="shared" si="97"/>
        <v>0</v>
      </c>
      <c r="O429" s="28"/>
      <c r="P429" s="33">
        <f t="shared" si="98"/>
        <v>0</v>
      </c>
      <c r="Q429" s="35" t="str" cm="1">
        <f t="array" ref="Q429">IF(AF429&lt;&gt;"",IFERROR(INDEX('Group List B'!B:B,MATCH(AI429,'Group List B'!A:A,0),0),"-"),"")</f>
        <v/>
      </c>
      <c r="R429" s="36">
        <f t="shared" si="99"/>
        <v>0</v>
      </c>
      <c r="S429" s="36">
        <f t="shared" si="100"/>
        <v>0</v>
      </c>
      <c r="T429" s="36">
        <f t="shared" si="101"/>
        <v>0</v>
      </c>
      <c r="U429" s="28"/>
      <c r="V429" s="37">
        <f t="shared" si="102"/>
        <v>0</v>
      </c>
      <c r="W429" s="41"/>
      <c r="X429" s="27"/>
      <c r="Y429" s="27"/>
      <c r="Z429" s="27"/>
      <c r="AA429" s="15"/>
      <c r="AB429" s="17"/>
      <c r="AC429" s="17"/>
      <c r="AD429" s="17"/>
      <c r="AE429" s="90"/>
      <c r="AF429" s="82" t="str">
        <f t="shared" si="103"/>
        <v/>
      </c>
      <c r="AG429" s="83" t="str">
        <f t="shared" si="104"/>
        <v/>
      </c>
      <c r="AH429" s="82" t="str">
        <f t="shared" si="105"/>
        <v/>
      </c>
      <c r="AI429" s="82" t="str">
        <f t="shared" si="106"/>
        <v/>
      </c>
      <c r="AJ429" s="90"/>
      <c r="AP429" s="88"/>
    </row>
    <row r="430" spans="1:42" x14ac:dyDescent="0.25">
      <c r="A430" s="2"/>
      <c r="C430" s="68" t="str" cm="1">
        <f t="array" ref="C430">IF(AF430&lt;&gt;"",
IFERROR(INDEX('LaunchPad Markbook'!A:A,MATCH(AH430,'LaunchPad Markbook'!D:D,0),0),"-"),"")</f>
        <v/>
      </c>
      <c r="D430" s="27"/>
      <c r="E430" s="27"/>
      <c r="F430" s="27"/>
      <c r="G430" s="14">
        <f>IF(OR(H430&gt;AB$2,I430&gt;AC$2,J430&gt;AD$2,
P430&gt;1,V430&gt;1,
L430&gt;'Group List A'!E$2,M430&gt;'Group List A'!F$2,N430&gt;'Group List A'!G$2,
R430&gt;'Group List B'!E$2,S430&gt;'Group List B'!F$2,T430&gt;'Group List B'!G$2),"Exceed",
IF(OR(H430=AB$2,I430=AC$2,J430=AD$2,
P430=1,V430=1,
L430='Group List A'!E$2,M430='Group List A'!F$2,N430='Group List A'!G$2,
R430='Group List B'!E$2,S430='Group List B'!F$2,T430='Group List B'!G$2),"Limit",0))</f>
        <v>0</v>
      </c>
      <c r="H430" s="29">
        <f t="shared" si="92"/>
        <v>0</v>
      </c>
      <c r="I430" s="29">
        <f t="shared" si="93"/>
        <v>0</v>
      </c>
      <c r="J430" s="29">
        <f t="shared" si="94"/>
        <v>0</v>
      </c>
      <c r="K430" s="32" t="str" cm="1">
        <f t="array" ref="K430">IF(AF430&lt;&gt;"",IFERROR(INDEX('Group List A'!B:B,MATCH(AI430,'Group List A'!A:A,0),0),"-"),"")</f>
        <v/>
      </c>
      <c r="L430" s="33">
        <f t="shared" si="95"/>
        <v>0</v>
      </c>
      <c r="M430" s="33">
        <f t="shared" si="96"/>
        <v>0</v>
      </c>
      <c r="N430" s="33">
        <f t="shared" si="97"/>
        <v>0</v>
      </c>
      <c r="O430" s="28"/>
      <c r="P430" s="33">
        <f t="shared" si="98"/>
        <v>0</v>
      </c>
      <c r="Q430" s="35" t="str" cm="1">
        <f t="array" ref="Q430">IF(AF430&lt;&gt;"",IFERROR(INDEX('Group List B'!B:B,MATCH(AI430,'Group List B'!A:A,0),0),"-"),"")</f>
        <v/>
      </c>
      <c r="R430" s="36">
        <f t="shared" si="99"/>
        <v>0</v>
      </c>
      <c r="S430" s="36">
        <f t="shared" si="100"/>
        <v>0</v>
      </c>
      <c r="T430" s="36">
        <f t="shared" si="101"/>
        <v>0</v>
      </c>
      <c r="U430" s="28"/>
      <c r="V430" s="37">
        <f t="shared" si="102"/>
        <v>0</v>
      </c>
      <c r="W430" s="41"/>
      <c r="X430" s="27"/>
      <c r="Y430" s="27"/>
      <c r="Z430" s="27"/>
      <c r="AA430" s="15"/>
      <c r="AB430" s="17"/>
      <c r="AC430" s="17"/>
      <c r="AD430" s="17"/>
      <c r="AE430" s="90"/>
      <c r="AF430" s="82" t="str">
        <f t="shared" si="103"/>
        <v/>
      </c>
      <c r="AG430" s="83" t="str">
        <f t="shared" si="104"/>
        <v/>
      </c>
      <c r="AH430" s="82" t="str">
        <f t="shared" si="105"/>
        <v/>
      </c>
      <c r="AI430" s="82" t="str">
        <f t="shared" si="106"/>
        <v/>
      </c>
      <c r="AJ430" s="90"/>
      <c r="AP430" s="88"/>
    </row>
    <row r="431" spans="1:42" x14ac:dyDescent="0.25">
      <c r="A431" s="2"/>
      <c r="C431" s="68" t="str" cm="1">
        <f t="array" ref="C431">IF(AF431&lt;&gt;"",
IFERROR(INDEX('LaunchPad Markbook'!A:A,MATCH(AH431,'LaunchPad Markbook'!D:D,0),0),"-"),"")</f>
        <v/>
      </c>
      <c r="D431" s="27"/>
      <c r="E431" s="27"/>
      <c r="F431" s="27"/>
      <c r="G431" s="14">
        <f>IF(OR(H431&gt;AB$2,I431&gt;AC$2,J431&gt;AD$2,
P431&gt;1,V431&gt;1,
L431&gt;'Group List A'!E$2,M431&gt;'Group List A'!F$2,N431&gt;'Group List A'!G$2,
R431&gt;'Group List B'!E$2,S431&gt;'Group List B'!F$2,T431&gt;'Group List B'!G$2),"Exceed",
IF(OR(H431=AB$2,I431=AC$2,J431=AD$2,
P431=1,V431=1,
L431='Group List A'!E$2,M431='Group List A'!F$2,N431='Group List A'!G$2,
R431='Group List B'!E$2,S431='Group List B'!F$2,T431='Group List B'!G$2),"Limit",0))</f>
        <v>0</v>
      </c>
      <c r="H431" s="29">
        <f t="shared" si="92"/>
        <v>0</v>
      </c>
      <c r="I431" s="29">
        <f t="shared" si="93"/>
        <v>0</v>
      </c>
      <c r="J431" s="29">
        <f t="shared" si="94"/>
        <v>0</v>
      </c>
      <c r="K431" s="32" t="str" cm="1">
        <f t="array" ref="K431">IF(AF431&lt;&gt;"",IFERROR(INDEX('Group List A'!B:B,MATCH(AI431,'Group List A'!A:A,0),0),"-"),"")</f>
        <v/>
      </c>
      <c r="L431" s="33">
        <f t="shared" si="95"/>
        <v>0</v>
      </c>
      <c r="M431" s="33">
        <f t="shared" si="96"/>
        <v>0</v>
      </c>
      <c r="N431" s="33">
        <f t="shared" si="97"/>
        <v>0</v>
      </c>
      <c r="O431" s="28"/>
      <c r="P431" s="33">
        <f t="shared" si="98"/>
        <v>0</v>
      </c>
      <c r="Q431" s="35" t="str" cm="1">
        <f t="array" ref="Q431">IF(AF431&lt;&gt;"",IFERROR(INDEX('Group List B'!B:B,MATCH(AI431,'Group List B'!A:A,0),0),"-"),"")</f>
        <v/>
      </c>
      <c r="R431" s="36">
        <f t="shared" si="99"/>
        <v>0</v>
      </c>
      <c r="S431" s="36">
        <f t="shared" si="100"/>
        <v>0</v>
      </c>
      <c r="T431" s="36">
        <f t="shared" si="101"/>
        <v>0</v>
      </c>
      <c r="U431" s="28"/>
      <c r="V431" s="37">
        <f t="shared" si="102"/>
        <v>0</v>
      </c>
      <c r="W431" s="41"/>
      <c r="X431" s="27"/>
      <c r="Y431" s="27"/>
      <c r="Z431" s="27"/>
      <c r="AA431" s="15"/>
      <c r="AB431" s="17"/>
      <c r="AC431" s="17"/>
      <c r="AD431" s="17"/>
      <c r="AE431" s="90"/>
      <c r="AF431" s="82" t="str">
        <f t="shared" si="103"/>
        <v/>
      </c>
      <c r="AG431" s="83" t="str">
        <f t="shared" si="104"/>
        <v/>
      </c>
      <c r="AH431" s="82" t="str">
        <f t="shared" si="105"/>
        <v/>
      </c>
      <c r="AI431" s="82" t="str">
        <f t="shared" si="106"/>
        <v/>
      </c>
      <c r="AJ431" s="90"/>
      <c r="AP431" s="88"/>
    </row>
    <row r="432" spans="1:42" x14ac:dyDescent="0.25">
      <c r="A432" s="2"/>
      <c r="C432" s="68" t="str" cm="1">
        <f t="array" ref="C432">IF(AF432&lt;&gt;"",
IFERROR(INDEX('LaunchPad Markbook'!A:A,MATCH(AH432,'LaunchPad Markbook'!D:D,0),0),"-"),"")</f>
        <v/>
      </c>
      <c r="D432" s="27"/>
      <c r="E432" s="27"/>
      <c r="F432" s="27"/>
      <c r="G432" s="14">
        <f>IF(OR(H432&gt;AB$2,I432&gt;AC$2,J432&gt;AD$2,
P432&gt;1,V432&gt;1,
L432&gt;'Group List A'!E$2,M432&gt;'Group List A'!F$2,N432&gt;'Group List A'!G$2,
R432&gt;'Group List B'!E$2,S432&gt;'Group List B'!F$2,T432&gt;'Group List B'!G$2),"Exceed",
IF(OR(H432=AB$2,I432=AC$2,J432=AD$2,
P432=1,V432=1,
L432='Group List A'!E$2,M432='Group List A'!F$2,N432='Group List A'!G$2,
R432='Group List B'!E$2,S432='Group List B'!F$2,T432='Group List B'!G$2),"Limit",0))</f>
        <v>0</v>
      </c>
      <c r="H432" s="29">
        <f t="shared" si="92"/>
        <v>0</v>
      </c>
      <c r="I432" s="29">
        <f t="shared" si="93"/>
        <v>0</v>
      </c>
      <c r="J432" s="29">
        <f t="shared" si="94"/>
        <v>0</v>
      </c>
      <c r="K432" s="32" t="str" cm="1">
        <f t="array" ref="K432">IF(AF432&lt;&gt;"",IFERROR(INDEX('Group List A'!B:B,MATCH(AI432,'Group List A'!A:A,0),0),"-"),"")</f>
        <v/>
      </c>
      <c r="L432" s="33">
        <f t="shared" si="95"/>
        <v>0</v>
      </c>
      <c r="M432" s="33">
        <f t="shared" si="96"/>
        <v>0</v>
      </c>
      <c r="N432" s="33">
        <f t="shared" si="97"/>
        <v>0</v>
      </c>
      <c r="O432" s="28"/>
      <c r="P432" s="33">
        <f t="shared" si="98"/>
        <v>0</v>
      </c>
      <c r="Q432" s="35" t="str" cm="1">
        <f t="array" ref="Q432">IF(AF432&lt;&gt;"",IFERROR(INDEX('Group List B'!B:B,MATCH(AI432,'Group List B'!A:A,0),0),"-"),"")</f>
        <v/>
      </c>
      <c r="R432" s="36">
        <f t="shared" si="99"/>
        <v>0</v>
      </c>
      <c r="S432" s="36">
        <f t="shared" si="100"/>
        <v>0</v>
      </c>
      <c r="T432" s="36">
        <f t="shared" si="101"/>
        <v>0</v>
      </c>
      <c r="U432" s="28"/>
      <c r="V432" s="37">
        <f t="shared" si="102"/>
        <v>0</v>
      </c>
      <c r="W432" s="41"/>
      <c r="X432" s="27"/>
      <c r="Y432" s="27"/>
      <c r="Z432" s="27"/>
      <c r="AA432" s="15"/>
      <c r="AB432" s="17"/>
      <c r="AC432" s="17"/>
      <c r="AD432" s="17"/>
      <c r="AE432" s="90"/>
      <c r="AF432" s="82" t="str">
        <f t="shared" si="103"/>
        <v/>
      </c>
      <c r="AG432" s="83" t="str">
        <f t="shared" si="104"/>
        <v/>
      </c>
      <c r="AH432" s="82" t="str">
        <f t="shared" si="105"/>
        <v/>
      </c>
      <c r="AI432" s="82" t="str">
        <f t="shared" si="106"/>
        <v/>
      </c>
      <c r="AJ432" s="90"/>
      <c r="AP432" s="88"/>
    </row>
    <row r="433" spans="1:42" x14ac:dyDescent="0.25">
      <c r="A433" s="2"/>
      <c r="C433" s="68" t="str" cm="1">
        <f t="array" ref="C433">IF(AF433&lt;&gt;"",
IFERROR(INDEX('LaunchPad Markbook'!A:A,MATCH(AH433,'LaunchPad Markbook'!D:D,0),0),"-"),"")</f>
        <v/>
      </c>
      <c r="D433" s="27"/>
      <c r="E433" s="27"/>
      <c r="F433" s="27"/>
      <c r="G433" s="14">
        <f>IF(OR(H433&gt;AB$2,I433&gt;AC$2,J433&gt;AD$2,
P433&gt;1,V433&gt;1,
L433&gt;'Group List A'!E$2,M433&gt;'Group List A'!F$2,N433&gt;'Group List A'!G$2,
R433&gt;'Group List B'!E$2,S433&gt;'Group List B'!F$2,T433&gt;'Group List B'!G$2),"Exceed",
IF(OR(H433=AB$2,I433=AC$2,J433=AD$2,
P433=1,V433=1,
L433='Group List A'!E$2,M433='Group List A'!F$2,N433='Group List A'!G$2,
R433='Group List B'!E$2,S433='Group List B'!F$2,T433='Group List B'!G$2),"Limit",0))</f>
        <v>0</v>
      </c>
      <c r="H433" s="29">
        <f t="shared" si="92"/>
        <v>0</v>
      </c>
      <c r="I433" s="29">
        <f t="shared" si="93"/>
        <v>0</v>
      </c>
      <c r="J433" s="29">
        <f t="shared" si="94"/>
        <v>0</v>
      </c>
      <c r="K433" s="32" t="str" cm="1">
        <f t="array" ref="K433">IF(AF433&lt;&gt;"",IFERROR(INDEX('Group List A'!B:B,MATCH(AI433,'Group List A'!A:A,0),0),"-"),"")</f>
        <v/>
      </c>
      <c r="L433" s="33">
        <f t="shared" si="95"/>
        <v>0</v>
      </c>
      <c r="M433" s="33">
        <f t="shared" si="96"/>
        <v>0</v>
      </c>
      <c r="N433" s="33">
        <f t="shared" si="97"/>
        <v>0</v>
      </c>
      <c r="O433" s="28"/>
      <c r="P433" s="33">
        <f t="shared" si="98"/>
        <v>0</v>
      </c>
      <c r="Q433" s="35" t="str" cm="1">
        <f t="array" ref="Q433">IF(AF433&lt;&gt;"",IFERROR(INDEX('Group List B'!B:B,MATCH(AI433,'Group List B'!A:A,0),0),"-"),"")</f>
        <v/>
      </c>
      <c r="R433" s="36">
        <f t="shared" si="99"/>
        <v>0</v>
      </c>
      <c r="S433" s="36">
        <f t="shared" si="100"/>
        <v>0</v>
      </c>
      <c r="T433" s="36">
        <f t="shared" si="101"/>
        <v>0</v>
      </c>
      <c r="U433" s="28"/>
      <c r="V433" s="37">
        <f t="shared" si="102"/>
        <v>0</v>
      </c>
      <c r="W433" s="41"/>
      <c r="X433" s="27"/>
      <c r="Y433" s="27"/>
      <c r="Z433" s="27"/>
      <c r="AA433" s="15"/>
      <c r="AB433" s="17"/>
      <c r="AC433" s="17"/>
      <c r="AD433" s="17"/>
      <c r="AE433" s="90"/>
      <c r="AF433" s="82" t="str">
        <f t="shared" si="103"/>
        <v/>
      </c>
      <c r="AG433" s="83" t="str">
        <f t="shared" si="104"/>
        <v/>
      </c>
      <c r="AH433" s="82" t="str">
        <f t="shared" si="105"/>
        <v/>
      </c>
      <c r="AI433" s="82" t="str">
        <f t="shared" si="106"/>
        <v/>
      </c>
      <c r="AJ433" s="90"/>
      <c r="AP433" s="88"/>
    </row>
    <row r="434" spans="1:42" x14ac:dyDescent="0.25">
      <c r="A434" s="2"/>
      <c r="C434" s="68" t="str" cm="1">
        <f t="array" ref="C434">IF(AF434&lt;&gt;"",
IFERROR(INDEX('LaunchPad Markbook'!A:A,MATCH(AH434,'LaunchPad Markbook'!D:D,0),0),"-"),"")</f>
        <v/>
      </c>
      <c r="D434" s="27"/>
      <c r="E434" s="27"/>
      <c r="F434" s="27"/>
      <c r="G434" s="14">
        <f>IF(OR(H434&gt;AB$2,I434&gt;AC$2,J434&gt;AD$2,
P434&gt;1,V434&gt;1,
L434&gt;'Group List A'!E$2,M434&gt;'Group List A'!F$2,N434&gt;'Group List A'!G$2,
R434&gt;'Group List B'!E$2,S434&gt;'Group List B'!F$2,T434&gt;'Group List B'!G$2),"Exceed",
IF(OR(H434=AB$2,I434=AC$2,J434=AD$2,
P434=1,V434=1,
L434='Group List A'!E$2,M434='Group List A'!F$2,N434='Group List A'!G$2,
R434='Group List B'!E$2,S434='Group List B'!F$2,T434='Group List B'!G$2),"Limit",0))</f>
        <v>0</v>
      </c>
      <c r="H434" s="29">
        <f t="shared" si="92"/>
        <v>0</v>
      </c>
      <c r="I434" s="29">
        <f t="shared" si="93"/>
        <v>0</v>
      </c>
      <c r="J434" s="29">
        <f t="shared" si="94"/>
        <v>0</v>
      </c>
      <c r="K434" s="32" t="str" cm="1">
        <f t="array" ref="K434">IF(AF434&lt;&gt;"",IFERROR(INDEX('Group List A'!B:B,MATCH(AI434,'Group List A'!A:A,0),0),"-"),"")</f>
        <v/>
      </c>
      <c r="L434" s="33">
        <f t="shared" si="95"/>
        <v>0</v>
      </c>
      <c r="M434" s="33">
        <f t="shared" si="96"/>
        <v>0</v>
      </c>
      <c r="N434" s="33">
        <f t="shared" si="97"/>
        <v>0</v>
      </c>
      <c r="O434" s="28"/>
      <c r="P434" s="33">
        <f t="shared" si="98"/>
        <v>0</v>
      </c>
      <c r="Q434" s="35" t="str" cm="1">
        <f t="array" ref="Q434">IF(AF434&lt;&gt;"",IFERROR(INDEX('Group List B'!B:B,MATCH(AI434,'Group List B'!A:A,0),0),"-"),"")</f>
        <v/>
      </c>
      <c r="R434" s="36">
        <f t="shared" si="99"/>
        <v>0</v>
      </c>
      <c r="S434" s="36">
        <f t="shared" si="100"/>
        <v>0</v>
      </c>
      <c r="T434" s="36">
        <f t="shared" si="101"/>
        <v>0</v>
      </c>
      <c r="U434" s="28"/>
      <c r="V434" s="37">
        <f t="shared" si="102"/>
        <v>0</v>
      </c>
      <c r="W434" s="41"/>
      <c r="X434" s="27"/>
      <c r="Y434" s="27"/>
      <c r="Z434" s="27"/>
      <c r="AA434" s="15"/>
      <c r="AB434" s="17"/>
      <c r="AC434" s="17"/>
      <c r="AD434" s="17"/>
      <c r="AE434" s="90"/>
      <c r="AF434" s="82" t="str">
        <f t="shared" si="103"/>
        <v/>
      </c>
      <c r="AG434" s="83" t="str">
        <f t="shared" si="104"/>
        <v/>
      </c>
      <c r="AH434" s="82" t="str">
        <f t="shared" si="105"/>
        <v/>
      </c>
      <c r="AI434" s="82" t="str">
        <f t="shared" si="106"/>
        <v/>
      </c>
      <c r="AJ434" s="90"/>
      <c r="AP434" s="88"/>
    </row>
    <row r="435" spans="1:42" x14ac:dyDescent="0.25">
      <c r="A435" s="2"/>
      <c r="C435" s="68" t="str" cm="1">
        <f t="array" ref="C435">IF(AF435&lt;&gt;"",
IFERROR(INDEX('LaunchPad Markbook'!A:A,MATCH(AH435,'LaunchPad Markbook'!D:D,0),0),"-"),"")</f>
        <v/>
      </c>
      <c r="D435" s="27"/>
      <c r="E435" s="27"/>
      <c r="F435" s="27"/>
      <c r="G435" s="14">
        <f>IF(OR(H435&gt;AB$2,I435&gt;AC$2,J435&gt;AD$2,
P435&gt;1,V435&gt;1,
L435&gt;'Group List A'!E$2,M435&gt;'Group List A'!F$2,N435&gt;'Group List A'!G$2,
R435&gt;'Group List B'!E$2,S435&gt;'Group List B'!F$2,T435&gt;'Group List B'!G$2),"Exceed",
IF(OR(H435=AB$2,I435=AC$2,J435=AD$2,
P435=1,V435=1,
L435='Group List A'!E$2,M435='Group List A'!F$2,N435='Group List A'!G$2,
R435='Group List B'!E$2,S435='Group List B'!F$2,T435='Group List B'!G$2),"Limit",0))</f>
        <v>0</v>
      </c>
      <c r="H435" s="29">
        <f t="shared" si="92"/>
        <v>0</v>
      </c>
      <c r="I435" s="29">
        <f t="shared" si="93"/>
        <v>0</v>
      </c>
      <c r="J435" s="29">
        <f t="shared" si="94"/>
        <v>0</v>
      </c>
      <c r="K435" s="32" t="str" cm="1">
        <f t="array" ref="K435">IF(AF435&lt;&gt;"",IFERROR(INDEX('Group List A'!B:B,MATCH(AI435,'Group List A'!A:A,0),0),"-"),"")</f>
        <v/>
      </c>
      <c r="L435" s="33">
        <f t="shared" si="95"/>
        <v>0</v>
      </c>
      <c r="M435" s="33">
        <f t="shared" si="96"/>
        <v>0</v>
      </c>
      <c r="N435" s="33">
        <f t="shared" si="97"/>
        <v>0</v>
      </c>
      <c r="O435" s="28"/>
      <c r="P435" s="33">
        <f t="shared" si="98"/>
        <v>0</v>
      </c>
      <c r="Q435" s="35" t="str" cm="1">
        <f t="array" ref="Q435">IF(AF435&lt;&gt;"",IFERROR(INDEX('Group List B'!B:B,MATCH(AI435,'Group List B'!A:A,0),0),"-"),"")</f>
        <v/>
      </c>
      <c r="R435" s="36">
        <f t="shared" si="99"/>
        <v>0</v>
      </c>
      <c r="S435" s="36">
        <f t="shared" si="100"/>
        <v>0</v>
      </c>
      <c r="T435" s="36">
        <f t="shared" si="101"/>
        <v>0</v>
      </c>
      <c r="U435" s="28"/>
      <c r="V435" s="37">
        <f t="shared" si="102"/>
        <v>0</v>
      </c>
      <c r="W435" s="41"/>
      <c r="X435" s="27"/>
      <c r="Y435" s="27"/>
      <c r="Z435" s="27"/>
      <c r="AA435" s="15"/>
      <c r="AB435" s="17"/>
      <c r="AC435" s="17"/>
      <c r="AD435" s="17"/>
      <c r="AE435" s="90"/>
      <c r="AF435" s="82" t="str">
        <f t="shared" si="103"/>
        <v/>
      </c>
      <c r="AG435" s="83" t="str">
        <f t="shared" si="104"/>
        <v/>
      </c>
      <c r="AH435" s="82" t="str">
        <f t="shared" si="105"/>
        <v/>
      </c>
      <c r="AI435" s="82" t="str">
        <f t="shared" si="106"/>
        <v/>
      </c>
      <c r="AJ435" s="90"/>
      <c r="AP435" s="88"/>
    </row>
    <row r="436" spans="1:42" x14ac:dyDescent="0.25">
      <c r="A436" s="2"/>
      <c r="C436" s="68" t="str" cm="1">
        <f t="array" ref="C436">IF(AF436&lt;&gt;"",
IFERROR(INDEX('LaunchPad Markbook'!A:A,MATCH(AH436,'LaunchPad Markbook'!D:D,0),0),"-"),"")</f>
        <v/>
      </c>
      <c r="D436" s="27"/>
      <c r="E436" s="27"/>
      <c r="F436" s="27"/>
      <c r="G436" s="14">
        <f>IF(OR(H436&gt;AB$2,I436&gt;AC$2,J436&gt;AD$2,
P436&gt;1,V436&gt;1,
L436&gt;'Group List A'!E$2,M436&gt;'Group List A'!F$2,N436&gt;'Group List A'!G$2,
R436&gt;'Group List B'!E$2,S436&gt;'Group List B'!F$2,T436&gt;'Group List B'!G$2),"Exceed",
IF(OR(H436=AB$2,I436=AC$2,J436=AD$2,
P436=1,V436=1,
L436='Group List A'!E$2,M436='Group List A'!F$2,N436='Group List A'!G$2,
R436='Group List B'!E$2,S436='Group List B'!F$2,T436='Group List B'!G$2),"Limit",0))</f>
        <v>0</v>
      </c>
      <c r="H436" s="29">
        <f t="shared" si="92"/>
        <v>0</v>
      </c>
      <c r="I436" s="29">
        <f t="shared" si="93"/>
        <v>0</v>
      </c>
      <c r="J436" s="29">
        <f t="shared" si="94"/>
        <v>0</v>
      </c>
      <c r="K436" s="32" t="str" cm="1">
        <f t="array" ref="K436">IF(AF436&lt;&gt;"",IFERROR(INDEX('Group List A'!B:B,MATCH(AI436,'Group List A'!A:A,0),0),"-"),"")</f>
        <v/>
      </c>
      <c r="L436" s="33">
        <f t="shared" si="95"/>
        <v>0</v>
      </c>
      <c r="M436" s="33">
        <f t="shared" si="96"/>
        <v>0</v>
      </c>
      <c r="N436" s="33">
        <f t="shared" si="97"/>
        <v>0</v>
      </c>
      <c r="O436" s="28"/>
      <c r="P436" s="33">
        <f t="shared" si="98"/>
        <v>0</v>
      </c>
      <c r="Q436" s="35" t="str" cm="1">
        <f t="array" ref="Q436">IF(AF436&lt;&gt;"",IFERROR(INDEX('Group List B'!B:B,MATCH(AI436,'Group List B'!A:A,0),0),"-"),"")</f>
        <v/>
      </c>
      <c r="R436" s="36">
        <f t="shared" si="99"/>
        <v>0</v>
      </c>
      <c r="S436" s="36">
        <f t="shared" si="100"/>
        <v>0</v>
      </c>
      <c r="T436" s="36">
        <f t="shared" si="101"/>
        <v>0</v>
      </c>
      <c r="U436" s="28"/>
      <c r="V436" s="37">
        <f t="shared" si="102"/>
        <v>0</v>
      </c>
      <c r="W436" s="41"/>
      <c r="X436" s="27"/>
      <c r="Y436" s="27"/>
      <c r="Z436" s="27"/>
      <c r="AA436" s="15"/>
      <c r="AB436" s="17"/>
      <c r="AC436" s="17"/>
      <c r="AD436" s="17"/>
      <c r="AE436" s="90"/>
      <c r="AF436" s="82" t="str">
        <f t="shared" si="103"/>
        <v/>
      </c>
      <c r="AG436" s="83" t="str">
        <f t="shared" si="104"/>
        <v/>
      </c>
      <c r="AH436" s="82" t="str">
        <f t="shared" si="105"/>
        <v/>
      </c>
      <c r="AI436" s="82" t="str">
        <f t="shared" si="106"/>
        <v/>
      </c>
      <c r="AJ436" s="90"/>
      <c r="AP436" s="88"/>
    </row>
    <row r="437" spans="1:42" x14ac:dyDescent="0.25">
      <c r="A437" s="2"/>
      <c r="C437" s="68" t="str" cm="1">
        <f t="array" ref="C437">IF(AF437&lt;&gt;"",
IFERROR(INDEX('LaunchPad Markbook'!A:A,MATCH(AH437,'LaunchPad Markbook'!D:D,0),0),"-"),"")</f>
        <v/>
      </c>
      <c r="D437" s="27"/>
      <c r="E437" s="27"/>
      <c r="F437" s="27"/>
      <c r="G437" s="14">
        <f>IF(OR(H437&gt;AB$2,I437&gt;AC$2,J437&gt;AD$2,
P437&gt;1,V437&gt;1,
L437&gt;'Group List A'!E$2,M437&gt;'Group List A'!F$2,N437&gt;'Group List A'!G$2,
R437&gt;'Group List B'!E$2,S437&gt;'Group List B'!F$2,T437&gt;'Group List B'!G$2),"Exceed",
IF(OR(H437=AB$2,I437=AC$2,J437=AD$2,
P437=1,V437=1,
L437='Group List A'!E$2,M437='Group List A'!F$2,N437='Group List A'!G$2,
R437='Group List B'!E$2,S437='Group List B'!F$2,T437='Group List B'!G$2),"Limit",0))</f>
        <v>0</v>
      </c>
      <c r="H437" s="29">
        <f t="shared" si="92"/>
        <v>0</v>
      </c>
      <c r="I437" s="29">
        <f t="shared" si="93"/>
        <v>0</v>
      </c>
      <c r="J437" s="29">
        <f t="shared" si="94"/>
        <v>0</v>
      </c>
      <c r="K437" s="32" t="str" cm="1">
        <f t="array" ref="K437">IF(AF437&lt;&gt;"",IFERROR(INDEX('Group List A'!B:B,MATCH(AI437,'Group List A'!A:A,0),0),"-"),"")</f>
        <v/>
      </c>
      <c r="L437" s="33">
        <f t="shared" si="95"/>
        <v>0</v>
      </c>
      <c r="M437" s="33">
        <f t="shared" si="96"/>
        <v>0</v>
      </c>
      <c r="N437" s="33">
        <f t="shared" si="97"/>
        <v>0</v>
      </c>
      <c r="O437" s="28"/>
      <c r="P437" s="33">
        <f t="shared" si="98"/>
        <v>0</v>
      </c>
      <c r="Q437" s="35" t="str" cm="1">
        <f t="array" ref="Q437">IF(AF437&lt;&gt;"",IFERROR(INDEX('Group List B'!B:B,MATCH(AI437,'Group List B'!A:A,0),0),"-"),"")</f>
        <v/>
      </c>
      <c r="R437" s="36">
        <f t="shared" si="99"/>
        <v>0</v>
      </c>
      <c r="S437" s="36">
        <f t="shared" si="100"/>
        <v>0</v>
      </c>
      <c r="T437" s="36">
        <f t="shared" si="101"/>
        <v>0</v>
      </c>
      <c r="U437" s="28"/>
      <c r="V437" s="37">
        <f t="shared" si="102"/>
        <v>0</v>
      </c>
      <c r="W437" s="41"/>
      <c r="X437" s="27"/>
      <c r="Y437" s="27"/>
      <c r="Z437" s="27"/>
      <c r="AA437" s="15"/>
      <c r="AB437" s="17"/>
      <c r="AC437" s="17"/>
      <c r="AD437" s="17"/>
      <c r="AE437" s="90"/>
      <c r="AF437" s="82" t="str">
        <f t="shared" si="103"/>
        <v/>
      </c>
      <c r="AG437" s="83" t="str">
        <f t="shared" si="104"/>
        <v/>
      </c>
      <c r="AH437" s="82" t="str">
        <f t="shared" si="105"/>
        <v/>
      </c>
      <c r="AI437" s="82" t="str">
        <f t="shared" si="106"/>
        <v/>
      </c>
      <c r="AJ437" s="90"/>
      <c r="AP437" s="88"/>
    </row>
    <row r="438" spans="1:42" x14ac:dyDescent="0.25">
      <c r="A438" s="2"/>
      <c r="C438" s="68" t="str" cm="1">
        <f t="array" ref="C438">IF(AF438&lt;&gt;"",
IFERROR(INDEX('LaunchPad Markbook'!A:A,MATCH(AH438,'LaunchPad Markbook'!D:D,0),0),"-"),"")</f>
        <v/>
      </c>
      <c r="D438" s="27"/>
      <c r="E438" s="27"/>
      <c r="F438" s="27"/>
      <c r="G438" s="14">
        <f>IF(OR(H438&gt;AB$2,I438&gt;AC$2,J438&gt;AD$2,
P438&gt;1,V438&gt;1,
L438&gt;'Group List A'!E$2,M438&gt;'Group List A'!F$2,N438&gt;'Group List A'!G$2,
R438&gt;'Group List B'!E$2,S438&gt;'Group List B'!F$2,T438&gt;'Group List B'!G$2),"Exceed",
IF(OR(H438=AB$2,I438=AC$2,J438=AD$2,
P438=1,V438=1,
L438='Group List A'!E$2,M438='Group List A'!F$2,N438='Group List A'!G$2,
R438='Group List B'!E$2,S438='Group List B'!F$2,T438='Group List B'!G$2),"Limit",0))</f>
        <v>0</v>
      </c>
      <c r="H438" s="29">
        <f t="shared" si="92"/>
        <v>0</v>
      </c>
      <c r="I438" s="29">
        <f t="shared" si="93"/>
        <v>0</v>
      </c>
      <c r="J438" s="29">
        <f t="shared" si="94"/>
        <v>0</v>
      </c>
      <c r="K438" s="32" t="str" cm="1">
        <f t="array" ref="K438">IF(AF438&lt;&gt;"",IFERROR(INDEX('Group List A'!B:B,MATCH(AI438,'Group List A'!A:A,0),0),"-"),"")</f>
        <v/>
      </c>
      <c r="L438" s="33">
        <f t="shared" si="95"/>
        <v>0</v>
      </c>
      <c r="M438" s="33">
        <f t="shared" si="96"/>
        <v>0</v>
      </c>
      <c r="N438" s="33">
        <f t="shared" si="97"/>
        <v>0</v>
      </c>
      <c r="O438" s="28"/>
      <c r="P438" s="33">
        <f t="shared" si="98"/>
        <v>0</v>
      </c>
      <c r="Q438" s="35" t="str" cm="1">
        <f t="array" ref="Q438">IF(AF438&lt;&gt;"",IFERROR(INDEX('Group List B'!B:B,MATCH(AI438,'Group List B'!A:A,0),0),"-"),"")</f>
        <v/>
      </c>
      <c r="R438" s="36">
        <f t="shared" si="99"/>
        <v>0</v>
      </c>
      <c r="S438" s="36">
        <f t="shared" si="100"/>
        <v>0</v>
      </c>
      <c r="T438" s="36">
        <f t="shared" si="101"/>
        <v>0</v>
      </c>
      <c r="U438" s="28"/>
      <c r="V438" s="37">
        <f t="shared" si="102"/>
        <v>0</v>
      </c>
      <c r="W438" s="41"/>
      <c r="X438" s="27"/>
      <c r="Y438" s="27"/>
      <c r="Z438" s="27"/>
      <c r="AA438" s="15"/>
      <c r="AB438" s="17"/>
      <c r="AC438" s="17"/>
      <c r="AD438" s="17"/>
      <c r="AE438" s="90"/>
      <c r="AF438" s="82" t="str">
        <f t="shared" si="103"/>
        <v/>
      </c>
      <c r="AG438" s="83" t="str">
        <f t="shared" si="104"/>
        <v/>
      </c>
      <c r="AH438" s="82" t="str">
        <f t="shared" si="105"/>
        <v/>
      </c>
      <c r="AI438" s="82" t="str">
        <f t="shared" si="106"/>
        <v/>
      </c>
      <c r="AJ438" s="90"/>
      <c r="AP438" s="88"/>
    </row>
    <row r="439" spans="1:42" x14ac:dyDescent="0.25">
      <c r="A439" s="2"/>
      <c r="C439" s="68" t="str" cm="1">
        <f t="array" ref="C439">IF(AF439&lt;&gt;"",
IFERROR(INDEX('LaunchPad Markbook'!A:A,MATCH(AH439,'LaunchPad Markbook'!D:D,0),0),"-"),"")</f>
        <v/>
      </c>
      <c r="D439" s="27"/>
      <c r="E439" s="27"/>
      <c r="F439" s="27"/>
      <c r="G439" s="14">
        <f>IF(OR(H439&gt;AB$2,I439&gt;AC$2,J439&gt;AD$2,
P439&gt;1,V439&gt;1,
L439&gt;'Group List A'!E$2,M439&gt;'Group List A'!F$2,N439&gt;'Group List A'!G$2,
R439&gt;'Group List B'!E$2,S439&gt;'Group List B'!F$2,T439&gt;'Group List B'!G$2),"Exceed",
IF(OR(H439=AB$2,I439=AC$2,J439=AD$2,
P439=1,V439=1,
L439='Group List A'!E$2,M439='Group List A'!F$2,N439='Group List A'!G$2,
R439='Group List B'!E$2,S439='Group List B'!F$2,T439='Group List B'!G$2),"Limit",0))</f>
        <v>0</v>
      </c>
      <c r="H439" s="29">
        <f t="shared" si="92"/>
        <v>0</v>
      </c>
      <c r="I439" s="29">
        <f t="shared" si="93"/>
        <v>0</v>
      </c>
      <c r="J439" s="29">
        <f t="shared" si="94"/>
        <v>0</v>
      </c>
      <c r="K439" s="32" t="str" cm="1">
        <f t="array" ref="K439">IF(AF439&lt;&gt;"",IFERROR(INDEX('Group List A'!B:B,MATCH(AI439,'Group List A'!A:A,0),0),"-"),"")</f>
        <v/>
      </c>
      <c r="L439" s="33">
        <f t="shared" si="95"/>
        <v>0</v>
      </c>
      <c r="M439" s="33">
        <f t="shared" si="96"/>
        <v>0</v>
      </c>
      <c r="N439" s="33">
        <f t="shared" si="97"/>
        <v>0</v>
      </c>
      <c r="O439" s="28"/>
      <c r="P439" s="33">
        <f t="shared" si="98"/>
        <v>0</v>
      </c>
      <c r="Q439" s="35" t="str" cm="1">
        <f t="array" ref="Q439">IF(AF439&lt;&gt;"",IFERROR(INDEX('Group List B'!B:B,MATCH(AI439,'Group List B'!A:A,0),0),"-"),"")</f>
        <v/>
      </c>
      <c r="R439" s="36">
        <f t="shared" si="99"/>
        <v>0</v>
      </c>
      <c r="S439" s="36">
        <f t="shared" si="100"/>
        <v>0</v>
      </c>
      <c r="T439" s="36">
        <f t="shared" si="101"/>
        <v>0</v>
      </c>
      <c r="U439" s="28"/>
      <c r="V439" s="37">
        <f t="shared" si="102"/>
        <v>0</v>
      </c>
      <c r="W439" s="41"/>
      <c r="X439" s="27"/>
      <c r="Y439" s="27"/>
      <c r="Z439" s="27"/>
      <c r="AA439" s="15"/>
      <c r="AB439" s="17"/>
      <c r="AC439" s="17"/>
      <c r="AD439" s="17"/>
      <c r="AE439" s="90"/>
      <c r="AF439" s="82" t="str">
        <f t="shared" si="103"/>
        <v/>
      </c>
      <c r="AG439" s="83" t="str">
        <f t="shared" si="104"/>
        <v/>
      </c>
      <c r="AH439" s="82" t="str">
        <f t="shared" si="105"/>
        <v/>
      </c>
      <c r="AI439" s="82" t="str">
        <f t="shared" si="106"/>
        <v/>
      </c>
      <c r="AJ439" s="90"/>
      <c r="AP439" s="88"/>
    </row>
    <row r="440" spans="1:42" x14ac:dyDescent="0.25">
      <c r="A440" s="2"/>
      <c r="C440" s="68" t="str" cm="1">
        <f t="array" ref="C440">IF(AF440&lt;&gt;"",
IFERROR(INDEX('LaunchPad Markbook'!A:A,MATCH(AH440,'LaunchPad Markbook'!D:D,0),0),"-"),"")</f>
        <v/>
      </c>
      <c r="D440" s="27"/>
      <c r="E440" s="27"/>
      <c r="F440" s="27"/>
      <c r="G440" s="14">
        <f>IF(OR(H440&gt;AB$2,I440&gt;AC$2,J440&gt;AD$2,
P440&gt;1,V440&gt;1,
L440&gt;'Group List A'!E$2,M440&gt;'Group List A'!F$2,N440&gt;'Group List A'!G$2,
R440&gt;'Group List B'!E$2,S440&gt;'Group List B'!F$2,T440&gt;'Group List B'!G$2),"Exceed",
IF(OR(H440=AB$2,I440=AC$2,J440=AD$2,
P440=1,V440=1,
L440='Group List A'!E$2,M440='Group List A'!F$2,N440='Group List A'!G$2,
R440='Group List B'!E$2,S440='Group List B'!F$2,T440='Group List B'!G$2),"Limit",0))</f>
        <v>0</v>
      </c>
      <c r="H440" s="29">
        <f t="shared" si="92"/>
        <v>0</v>
      </c>
      <c r="I440" s="29">
        <f t="shared" si="93"/>
        <v>0</v>
      </c>
      <c r="J440" s="29">
        <f t="shared" si="94"/>
        <v>0</v>
      </c>
      <c r="K440" s="32" t="str" cm="1">
        <f t="array" ref="K440">IF(AF440&lt;&gt;"",IFERROR(INDEX('Group List A'!B:B,MATCH(AI440,'Group List A'!A:A,0),0),"-"),"")</f>
        <v/>
      </c>
      <c r="L440" s="33">
        <f t="shared" si="95"/>
        <v>0</v>
      </c>
      <c r="M440" s="33">
        <f t="shared" si="96"/>
        <v>0</v>
      </c>
      <c r="N440" s="33">
        <f t="shared" si="97"/>
        <v>0</v>
      </c>
      <c r="O440" s="28"/>
      <c r="P440" s="33">
        <f t="shared" si="98"/>
        <v>0</v>
      </c>
      <c r="Q440" s="35" t="str" cm="1">
        <f t="array" ref="Q440">IF(AF440&lt;&gt;"",IFERROR(INDEX('Group List B'!B:B,MATCH(AI440,'Group List B'!A:A,0),0),"-"),"")</f>
        <v/>
      </c>
      <c r="R440" s="36">
        <f t="shared" si="99"/>
        <v>0</v>
      </c>
      <c r="S440" s="36">
        <f t="shared" si="100"/>
        <v>0</v>
      </c>
      <c r="T440" s="36">
        <f t="shared" si="101"/>
        <v>0</v>
      </c>
      <c r="U440" s="28"/>
      <c r="V440" s="37">
        <f t="shared" si="102"/>
        <v>0</v>
      </c>
      <c r="W440" s="41"/>
      <c r="X440" s="27"/>
      <c r="Y440" s="27"/>
      <c r="Z440" s="27"/>
      <c r="AA440" s="15"/>
      <c r="AB440" s="17"/>
      <c r="AC440" s="17"/>
      <c r="AD440" s="17"/>
      <c r="AE440" s="90"/>
      <c r="AF440" s="82" t="str">
        <f t="shared" si="103"/>
        <v/>
      </c>
      <c r="AG440" s="83" t="str">
        <f t="shared" si="104"/>
        <v/>
      </c>
      <c r="AH440" s="82" t="str">
        <f t="shared" si="105"/>
        <v/>
      </c>
      <c r="AI440" s="82" t="str">
        <f t="shared" si="106"/>
        <v/>
      </c>
      <c r="AJ440" s="90"/>
      <c r="AP440" s="88"/>
    </row>
    <row r="441" spans="1:42" x14ac:dyDescent="0.25">
      <c r="A441" s="2"/>
      <c r="C441" s="68" t="str" cm="1">
        <f t="array" ref="C441">IF(AF441&lt;&gt;"",
IFERROR(INDEX('LaunchPad Markbook'!A:A,MATCH(AH441,'LaunchPad Markbook'!D:D,0),0),"-"),"")</f>
        <v/>
      </c>
      <c r="D441" s="27"/>
      <c r="E441" s="27"/>
      <c r="F441" s="27"/>
      <c r="G441" s="14">
        <f>IF(OR(H441&gt;AB$2,I441&gt;AC$2,J441&gt;AD$2,
P441&gt;1,V441&gt;1,
L441&gt;'Group List A'!E$2,M441&gt;'Group List A'!F$2,N441&gt;'Group List A'!G$2,
R441&gt;'Group List B'!E$2,S441&gt;'Group List B'!F$2,T441&gt;'Group List B'!G$2),"Exceed",
IF(OR(H441=AB$2,I441=AC$2,J441=AD$2,
P441=1,V441=1,
L441='Group List A'!E$2,M441='Group List A'!F$2,N441='Group List A'!G$2,
R441='Group List B'!E$2,S441='Group List B'!F$2,T441='Group List B'!G$2),"Limit",0))</f>
        <v>0</v>
      </c>
      <c r="H441" s="29">
        <f t="shared" si="92"/>
        <v>0</v>
      </c>
      <c r="I441" s="29">
        <f t="shared" si="93"/>
        <v>0</v>
      </c>
      <c r="J441" s="29">
        <f t="shared" si="94"/>
        <v>0</v>
      </c>
      <c r="K441" s="32" t="str" cm="1">
        <f t="array" ref="K441">IF(AF441&lt;&gt;"",IFERROR(INDEX('Group List A'!B:B,MATCH(AI441,'Group List A'!A:A,0),0),"-"),"")</f>
        <v/>
      </c>
      <c r="L441" s="33">
        <f t="shared" si="95"/>
        <v>0</v>
      </c>
      <c r="M441" s="33">
        <f t="shared" si="96"/>
        <v>0</v>
      </c>
      <c r="N441" s="33">
        <f t="shared" si="97"/>
        <v>0</v>
      </c>
      <c r="O441" s="28"/>
      <c r="P441" s="33">
        <f t="shared" si="98"/>
        <v>0</v>
      </c>
      <c r="Q441" s="35" t="str" cm="1">
        <f t="array" ref="Q441">IF(AF441&lt;&gt;"",IFERROR(INDEX('Group List B'!B:B,MATCH(AI441,'Group List B'!A:A,0),0),"-"),"")</f>
        <v/>
      </c>
      <c r="R441" s="36">
        <f t="shared" si="99"/>
        <v>0</v>
      </c>
      <c r="S441" s="36">
        <f t="shared" si="100"/>
        <v>0</v>
      </c>
      <c r="T441" s="36">
        <f t="shared" si="101"/>
        <v>0</v>
      </c>
      <c r="U441" s="28"/>
      <c r="V441" s="37">
        <f t="shared" si="102"/>
        <v>0</v>
      </c>
      <c r="W441" s="41"/>
      <c r="X441" s="27"/>
      <c r="Y441" s="27"/>
      <c r="Z441" s="27"/>
      <c r="AA441" s="15"/>
      <c r="AB441" s="17"/>
      <c r="AC441" s="17"/>
      <c r="AD441" s="17"/>
      <c r="AE441" s="90"/>
      <c r="AF441" s="82" t="str">
        <f t="shared" si="103"/>
        <v/>
      </c>
      <c r="AG441" s="83" t="str">
        <f t="shared" si="104"/>
        <v/>
      </c>
      <c r="AH441" s="82" t="str">
        <f t="shared" si="105"/>
        <v/>
      </c>
      <c r="AI441" s="82" t="str">
        <f t="shared" si="106"/>
        <v/>
      </c>
      <c r="AJ441" s="90"/>
      <c r="AP441" s="88"/>
    </row>
    <row r="442" spans="1:42" x14ac:dyDescent="0.25">
      <c r="A442" s="2"/>
      <c r="C442" s="68" t="str" cm="1">
        <f t="array" ref="C442">IF(AF442&lt;&gt;"",
IFERROR(INDEX('LaunchPad Markbook'!A:A,MATCH(AH442,'LaunchPad Markbook'!D:D,0),0),"-"),"")</f>
        <v/>
      </c>
      <c r="D442" s="27"/>
      <c r="E442" s="27"/>
      <c r="F442" s="27"/>
      <c r="G442" s="14">
        <f>IF(OR(H442&gt;AB$2,I442&gt;AC$2,J442&gt;AD$2,
P442&gt;1,V442&gt;1,
L442&gt;'Group List A'!E$2,M442&gt;'Group List A'!F$2,N442&gt;'Group List A'!G$2,
R442&gt;'Group List B'!E$2,S442&gt;'Group List B'!F$2,T442&gt;'Group List B'!G$2),"Exceed",
IF(OR(H442=AB$2,I442=AC$2,J442=AD$2,
P442=1,V442=1,
L442='Group List A'!E$2,M442='Group List A'!F$2,N442='Group List A'!G$2,
R442='Group List B'!E$2,S442='Group List B'!F$2,T442='Group List B'!G$2),"Limit",0))</f>
        <v>0</v>
      </c>
      <c r="H442" s="29">
        <f t="shared" si="92"/>
        <v>0</v>
      </c>
      <c r="I442" s="29">
        <f t="shared" si="93"/>
        <v>0</v>
      </c>
      <c r="J442" s="29">
        <f t="shared" si="94"/>
        <v>0</v>
      </c>
      <c r="K442" s="32" t="str" cm="1">
        <f t="array" ref="K442">IF(AF442&lt;&gt;"",IFERROR(INDEX('Group List A'!B:B,MATCH(AI442,'Group List A'!A:A,0),0),"-"),"")</f>
        <v/>
      </c>
      <c r="L442" s="33">
        <f t="shared" si="95"/>
        <v>0</v>
      </c>
      <c r="M442" s="33">
        <f t="shared" si="96"/>
        <v>0</v>
      </c>
      <c r="N442" s="33">
        <f t="shared" si="97"/>
        <v>0</v>
      </c>
      <c r="O442" s="28"/>
      <c r="P442" s="33">
        <f t="shared" si="98"/>
        <v>0</v>
      </c>
      <c r="Q442" s="35" t="str" cm="1">
        <f t="array" ref="Q442">IF(AF442&lt;&gt;"",IFERROR(INDEX('Group List B'!B:B,MATCH(AI442,'Group List B'!A:A,0),0),"-"),"")</f>
        <v/>
      </c>
      <c r="R442" s="36">
        <f t="shared" si="99"/>
        <v>0</v>
      </c>
      <c r="S442" s="36">
        <f t="shared" si="100"/>
        <v>0</v>
      </c>
      <c r="T442" s="36">
        <f t="shared" si="101"/>
        <v>0</v>
      </c>
      <c r="U442" s="28"/>
      <c r="V442" s="37">
        <f t="shared" si="102"/>
        <v>0</v>
      </c>
      <c r="W442" s="41"/>
      <c r="X442" s="27"/>
      <c r="Y442" s="27"/>
      <c r="Z442" s="27"/>
      <c r="AA442" s="15"/>
      <c r="AB442" s="17"/>
      <c r="AC442" s="17"/>
      <c r="AD442" s="17"/>
      <c r="AE442" s="90"/>
      <c r="AF442" s="82" t="str">
        <f t="shared" si="103"/>
        <v/>
      </c>
      <c r="AG442" s="83" t="str">
        <f t="shared" si="104"/>
        <v/>
      </c>
      <c r="AH442" s="82" t="str">
        <f t="shared" si="105"/>
        <v/>
      </c>
      <c r="AI442" s="82" t="str">
        <f t="shared" si="106"/>
        <v/>
      </c>
      <c r="AJ442" s="90"/>
      <c r="AP442" s="88"/>
    </row>
    <row r="443" spans="1:42" x14ac:dyDescent="0.25">
      <c r="A443" s="2"/>
      <c r="C443" s="68" t="str" cm="1">
        <f t="array" ref="C443">IF(AF443&lt;&gt;"",
IFERROR(INDEX('LaunchPad Markbook'!A:A,MATCH(AH443,'LaunchPad Markbook'!D:D,0),0),"-"),"")</f>
        <v/>
      </c>
      <c r="D443" s="27"/>
      <c r="E443" s="27"/>
      <c r="F443" s="27"/>
      <c r="G443" s="14">
        <f>IF(OR(H443&gt;AB$2,I443&gt;AC$2,J443&gt;AD$2,
P443&gt;1,V443&gt;1,
L443&gt;'Group List A'!E$2,M443&gt;'Group List A'!F$2,N443&gt;'Group List A'!G$2,
R443&gt;'Group List B'!E$2,S443&gt;'Group List B'!F$2,T443&gt;'Group List B'!G$2),"Exceed",
IF(OR(H443=AB$2,I443=AC$2,J443=AD$2,
P443=1,V443=1,
L443='Group List A'!E$2,M443='Group List A'!F$2,N443='Group List A'!G$2,
R443='Group List B'!E$2,S443='Group List B'!F$2,T443='Group List B'!G$2),"Limit",0))</f>
        <v>0</v>
      </c>
      <c r="H443" s="29">
        <f t="shared" si="92"/>
        <v>0</v>
      </c>
      <c r="I443" s="29">
        <f t="shared" si="93"/>
        <v>0</v>
      </c>
      <c r="J443" s="29">
        <f t="shared" si="94"/>
        <v>0</v>
      </c>
      <c r="K443" s="32" t="str" cm="1">
        <f t="array" ref="K443">IF(AF443&lt;&gt;"",IFERROR(INDEX('Group List A'!B:B,MATCH(AI443,'Group List A'!A:A,0),0),"-"),"")</f>
        <v/>
      </c>
      <c r="L443" s="33">
        <f t="shared" si="95"/>
        <v>0</v>
      </c>
      <c r="M443" s="33">
        <f t="shared" si="96"/>
        <v>0</v>
      </c>
      <c r="N443" s="33">
        <f t="shared" si="97"/>
        <v>0</v>
      </c>
      <c r="O443" s="28"/>
      <c r="P443" s="33">
        <f t="shared" si="98"/>
        <v>0</v>
      </c>
      <c r="Q443" s="35" t="str" cm="1">
        <f t="array" ref="Q443">IF(AF443&lt;&gt;"",IFERROR(INDEX('Group List B'!B:B,MATCH(AI443,'Group List B'!A:A,0),0),"-"),"")</f>
        <v/>
      </c>
      <c r="R443" s="36">
        <f t="shared" si="99"/>
        <v>0</v>
      </c>
      <c r="S443" s="36">
        <f t="shared" si="100"/>
        <v>0</v>
      </c>
      <c r="T443" s="36">
        <f t="shared" si="101"/>
        <v>0</v>
      </c>
      <c r="U443" s="28"/>
      <c r="V443" s="37">
        <f t="shared" si="102"/>
        <v>0</v>
      </c>
      <c r="W443" s="41"/>
      <c r="X443" s="27"/>
      <c r="Y443" s="27"/>
      <c r="Z443" s="27"/>
      <c r="AA443" s="15"/>
      <c r="AB443" s="17"/>
      <c r="AC443" s="17"/>
      <c r="AD443" s="17"/>
      <c r="AE443" s="90"/>
      <c r="AF443" s="82" t="str">
        <f t="shared" si="103"/>
        <v/>
      </c>
      <c r="AG443" s="83" t="str">
        <f t="shared" si="104"/>
        <v/>
      </c>
      <c r="AH443" s="82" t="str">
        <f t="shared" si="105"/>
        <v/>
      </c>
      <c r="AI443" s="82" t="str">
        <f t="shared" si="106"/>
        <v/>
      </c>
      <c r="AJ443" s="90"/>
      <c r="AP443" s="88"/>
    </row>
    <row r="444" spans="1:42" x14ac:dyDescent="0.25">
      <c r="A444" s="2"/>
      <c r="C444" s="68" t="str" cm="1">
        <f t="array" ref="C444">IF(AF444&lt;&gt;"",
IFERROR(INDEX('LaunchPad Markbook'!A:A,MATCH(AH444,'LaunchPad Markbook'!D:D,0),0),"-"),"")</f>
        <v/>
      </c>
      <c r="D444" s="27"/>
      <c r="E444" s="27"/>
      <c r="F444" s="27"/>
      <c r="G444" s="14">
        <f>IF(OR(H444&gt;AB$2,I444&gt;AC$2,J444&gt;AD$2,
P444&gt;1,V444&gt;1,
L444&gt;'Group List A'!E$2,M444&gt;'Group List A'!F$2,N444&gt;'Group List A'!G$2,
R444&gt;'Group List B'!E$2,S444&gt;'Group List B'!F$2,T444&gt;'Group List B'!G$2),"Exceed",
IF(OR(H444=AB$2,I444=AC$2,J444=AD$2,
P444=1,V444=1,
L444='Group List A'!E$2,M444='Group List A'!F$2,N444='Group List A'!G$2,
R444='Group List B'!E$2,S444='Group List B'!F$2,T444='Group List B'!G$2),"Limit",0))</f>
        <v>0</v>
      </c>
      <c r="H444" s="29">
        <f t="shared" si="92"/>
        <v>0</v>
      </c>
      <c r="I444" s="29">
        <f t="shared" si="93"/>
        <v>0</v>
      </c>
      <c r="J444" s="29">
        <f t="shared" si="94"/>
        <v>0</v>
      </c>
      <c r="K444" s="32" t="str" cm="1">
        <f t="array" ref="K444">IF(AF444&lt;&gt;"",IFERROR(INDEX('Group List A'!B:B,MATCH(AI444,'Group List A'!A:A,0),0),"-"),"")</f>
        <v/>
      </c>
      <c r="L444" s="33">
        <f t="shared" si="95"/>
        <v>0</v>
      </c>
      <c r="M444" s="33">
        <f t="shared" si="96"/>
        <v>0</v>
      </c>
      <c r="N444" s="33">
        <f t="shared" si="97"/>
        <v>0</v>
      </c>
      <c r="O444" s="28"/>
      <c r="P444" s="33">
        <f t="shared" si="98"/>
        <v>0</v>
      </c>
      <c r="Q444" s="35" t="str" cm="1">
        <f t="array" ref="Q444">IF(AF444&lt;&gt;"",IFERROR(INDEX('Group List B'!B:B,MATCH(AI444,'Group List B'!A:A,0),0),"-"),"")</f>
        <v/>
      </c>
      <c r="R444" s="36">
        <f t="shared" si="99"/>
        <v>0</v>
      </c>
      <c r="S444" s="36">
        <f t="shared" si="100"/>
        <v>0</v>
      </c>
      <c r="T444" s="36">
        <f t="shared" si="101"/>
        <v>0</v>
      </c>
      <c r="U444" s="28"/>
      <c r="V444" s="37">
        <f t="shared" si="102"/>
        <v>0</v>
      </c>
      <c r="W444" s="41"/>
      <c r="X444" s="27"/>
      <c r="Y444" s="27"/>
      <c r="Z444" s="27"/>
      <c r="AA444" s="15"/>
      <c r="AB444" s="17"/>
      <c r="AC444" s="17"/>
      <c r="AD444" s="17"/>
      <c r="AE444" s="90"/>
      <c r="AF444" s="82" t="str">
        <f t="shared" si="103"/>
        <v/>
      </c>
      <c r="AG444" s="83" t="str">
        <f t="shared" si="104"/>
        <v/>
      </c>
      <c r="AH444" s="82" t="str">
        <f t="shared" si="105"/>
        <v/>
      </c>
      <c r="AI444" s="82" t="str">
        <f t="shared" si="106"/>
        <v/>
      </c>
      <c r="AJ444" s="90"/>
      <c r="AP444" s="88"/>
    </row>
    <row r="445" spans="1:42" x14ac:dyDescent="0.25">
      <c r="A445" s="2"/>
      <c r="C445" s="68" t="str" cm="1">
        <f t="array" ref="C445">IF(AF445&lt;&gt;"",
IFERROR(INDEX('LaunchPad Markbook'!A:A,MATCH(AH445,'LaunchPad Markbook'!D:D,0),0),"-"),"")</f>
        <v/>
      </c>
      <c r="D445" s="27"/>
      <c r="E445" s="27"/>
      <c r="F445" s="27"/>
      <c r="G445" s="14">
        <f>IF(OR(H445&gt;AB$2,I445&gt;AC$2,J445&gt;AD$2,
P445&gt;1,V445&gt;1,
L445&gt;'Group List A'!E$2,M445&gt;'Group List A'!F$2,N445&gt;'Group List A'!G$2,
R445&gt;'Group List B'!E$2,S445&gt;'Group List B'!F$2,T445&gt;'Group List B'!G$2),"Exceed",
IF(OR(H445=AB$2,I445=AC$2,J445=AD$2,
P445=1,V445=1,
L445='Group List A'!E$2,M445='Group List A'!F$2,N445='Group List A'!G$2,
R445='Group List B'!E$2,S445='Group List B'!F$2,T445='Group List B'!G$2),"Limit",0))</f>
        <v>0</v>
      </c>
      <c r="H445" s="29">
        <f t="shared" si="92"/>
        <v>0</v>
      </c>
      <c r="I445" s="29">
        <f t="shared" si="93"/>
        <v>0</v>
      </c>
      <c r="J445" s="29">
        <f t="shared" si="94"/>
        <v>0</v>
      </c>
      <c r="K445" s="32" t="str" cm="1">
        <f t="array" ref="K445">IF(AF445&lt;&gt;"",IFERROR(INDEX('Group List A'!B:B,MATCH(AI445,'Group List A'!A:A,0),0),"-"),"")</f>
        <v/>
      </c>
      <c r="L445" s="33">
        <f t="shared" si="95"/>
        <v>0</v>
      </c>
      <c r="M445" s="33">
        <f t="shared" si="96"/>
        <v>0</v>
      </c>
      <c r="N445" s="33">
        <f t="shared" si="97"/>
        <v>0</v>
      </c>
      <c r="O445" s="28"/>
      <c r="P445" s="33">
        <f t="shared" si="98"/>
        <v>0</v>
      </c>
      <c r="Q445" s="35" t="str" cm="1">
        <f t="array" ref="Q445">IF(AF445&lt;&gt;"",IFERROR(INDEX('Group List B'!B:B,MATCH(AI445,'Group List B'!A:A,0),0),"-"),"")</f>
        <v/>
      </c>
      <c r="R445" s="36">
        <f t="shared" si="99"/>
        <v>0</v>
      </c>
      <c r="S445" s="36">
        <f t="shared" si="100"/>
        <v>0</v>
      </c>
      <c r="T445" s="36">
        <f t="shared" si="101"/>
        <v>0</v>
      </c>
      <c r="U445" s="28"/>
      <c r="V445" s="37">
        <f t="shared" si="102"/>
        <v>0</v>
      </c>
      <c r="W445" s="41"/>
      <c r="X445" s="27"/>
      <c r="Y445" s="27"/>
      <c r="Z445" s="27"/>
      <c r="AA445" s="15"/>
      <c r="AB445" s="17"/>
      <c r="AC445" s="17"/>
      <c r="AD445" s="17"/>
      <c r="AE445" s="90"/>
      <c r="AF445" s="82" t="str">
        <f t="shared" si="103"/>
        <v/>
      </c>
      <c r="AG445" s="83" t="str">
        <f t="shared" si="104"/>
        <v/>
      </c>
      <c r="AH445" s="82" t="str">
        <f t="shared" si="105"/>
        <v/>
      </c>
      <c r="AI445" s="82" t="str">
        <f t="shared" si="106"/>
        <v/>
      </c>
      <c r="AJ445" s="90"/>
      <c r="AP445" s="88"/>
    </row>
    <row r="446" spans="1:42" x14ac:dyDescent="0.25">
      <c r="A446" s="2"/>
      <c r="C446" s="68" t="str" cm="1">
        <f t="array" ref="C446">IF(AF446&lt;&gt;"",
IFERROR(INDEX('LaunchPad Markbook'!A:A,MATCH(AH446,'LaunchPad Markbook'!D:D,0),0),"-"),"")</f>
        <v/>
      </c>
      <c r="D446" s="27"/>
      <c r="E446" s="27"/>
      <c r="F446" s="27"/>
      <c r="G446" s="14">
        <f>IF(OR(H446&gt;AB$2,I446&gt;AC$2,J446&gt;AD$2,
P446&gt;1,V446&gt;1,
L446&gt;'Group List A'!E$2,M446&gt;'Group List A'!F$2,N446&gt;'Group List A'!G$2,
R446&gt;'Group List B'!E$2,S446&gt;'Group List B'!F$2,T446&gt;'Group List B'!G$2),"Exceed",
IF(OR(H446=AB$2,I446=AC$2,J446=AD$2,
P446=1,V446=1,
L446='Group List A'!E$2,M446='Group List A'!F$2,N446='Group List A'!G$2,
R446='Group List B'!E$2,S446='Group List B'!F$2,T446='Group List B'!G$2),"Limit",0))</f>
        <v>0</v>
      </c>
      <c r="H446" s="29">
        <f t="shared" si="92"/>
        <v>0</v>
      </c>
      <c r="I446" s="29">
        <f t="shared" si="93"/>
        <v>0</v>
      </c>
      <c r="J446" s="29">
        <f t="shared" si="94"/>
        <v>0</v>
      </c>
      <c r="K446" s="32" t="str" cm="1">
        <f t="array" ref="K446">IF(AF446&lt;&gt;"",IFERROR(INDEX('Group List A'!B:B,MATCH(AI446,'Group List A'!A:A,0),0),"-"),"")</f>
        <v/>
      </c>
      <c r="L446" s="33">
        <f t="shared" si="95"/>
        <v>0</v>
      </c>
      <c r="M446" s="33">
        <f t="shared" si="96"/>
        <v>0</v>
      </c>
      <c r="N446" s="33">
        <f t="shared" si="97"/>
        <v>0</v>
      </c>
      <c r="O446" s="28"/>
      <c r="P446" s="33">
        <f t="shared" si="98"/>
        <v>0</v>
      </c>
      <c r="Q446" s="35" t="str" cm="1">
        <f t="array" ref="Q446">IF(AF446&lt;&gt;"",IFERROR(INDEX('Group List B'!B:B,MATCH(AI446,'Group List B'!A:A,0),0),"-"),"")</f>
        <v/>
      </c>
      <c r="R446" s="36">
        <f t="shared" si="99"/>
        <v>0</v>
      </c>
      <c r="S446" s="36">
        <f t="shared" si="100"/>
        <v>0</v>
      </c>
      <c r="T446" s="36">
        <f t="shared" si="101"/>
        <v>0</v>
      </c>
      <c r="U446" s="28"/>
      <c r="V446" s="37">
        <f t="shared" si="102"/>
        <v>0</v>
      </c>
      <c r="W446" s="41"/>
      <c r="X446" s="27"/>
      <c r="Y446" s="27"/>
      <c r="Z446" s="27"/>
      <c r="AA446" s="15"/>
      <c r="AB446" s="17"/>
      <c r="AC446" s="17"/>
      <c r="AD446" s="17"/>
      <c r="AE446" s="90"/>
      <c r="AF446" s="82" t="str">
        <f t="shared" si="103"/>
        <v/>
      </c>
      <c r="AG446" s="83" t="str">
        <f t="shared" si="104"/>
        <v/>
      </c>
      <c r="AH446" s="82" t="str">
        <f t="shared" si="105"/>
        <v/>
      </c>
      <c r="AI446" s="82" t="str">
        <f t="shared" si="106"/>
        <v/>
      </c>
      <c r="AJ446" s="90"/>
      <c r="AP446" s="88"/>
    </row>
    <row r="447" spans="1:42" x14ac:dyDescent="0.25">
      <c r="A447" s="2"/>
      <c r="C447" s="68" t="str" cm="1">
        <f t="array" ref="C447">IF(AF447&lt;&gt;"",
IFERROR(INDEX('LaunchPad Markbook'!A:A,MATCH(AH447,'LaunchPad Markbook'!D:D,0),0),"-"),"")</f>
        <v/>
      </c>
      <c r="D447" s="27"/>
      <c r="E447" s="27"/>
      <c r="F447" s="27"/>
      <c r="G447" s="14">
        <f>IF(OR(H447&gt;AB$2,I447&gt;AC$2,J447&gt;AD$2,
P447&gt;1,V447&gt;1,
L447&gt;'Group List A'!E$2,M447&gt;'Group List A'!F$2,N447&gt;'Group List A'!G$2,
R447&gt;'Group List B'!E$2,S447&gt;'Group List B'!F$2,T447&gt;'Group List B'!G$2),"Exceed",
IF(OR(H447=AB$2,I447=AC$2,J447=AD$2,
P447=1,V447=1,
L447='Group List A'!E$2,M447='Group List A'!F$2,N447='Group List A'!G$2,
R447='Group List B'!E$2,S447='Group List B'!F$2,T447='Group List B'!G$2),"Limit",0))</f>
        <v>0</v>
      </c>
      <c r="H447" s="29">
        <f t="shared" si="92"/>
        <v>0</v>
      </c>
      <c r="I447" s="29">
        <f t="shared" si="93"/>
        <v>0</v>
      </c>
      <c r="J447" s="29">
        <f t="shared" si="94"/>
        <v>0</v>
      </c>
      <c r="K447" s="32" t="str" cm="1">
        <f t="array" ref="K447">IF(AF447&lt;&gt;"",IFERROR(INDEX('Group List A'!B:B,MATCH(AI447,'Group List A'!A:A,0),0),"-"),"")</f>
        <v/>
      </c>
      <c r="L447" s="33">
        <f t="shared" si="95"/>
        <v>0</v>
      </c>
      <c r="M447" s="33">
        <f t="shared" si="96"/>
        <v>0</v>
      </c>
      <c r="N447" s="33">
        <f t="shared" si="97"/>
        <v>0</v>
      </c>
      <c r="O447" s="28"/>
      <c r="P447" s="33">
        <f t="shared" si="98"/>
        <v>0</v>
      </c>
      <c r="Q447" s="35" t="str" cm="1">
        <f t="array" ref="Q447">IF(AF447&lt;&gt;"",IFERROR(INDEX('Group List B'!B:B,MATCH(AI447,'Group List B'!A:A,0),0),"-"),"")</f>
        <v/>
      </c>
      <c r="R447" s="36">
        <f t="shared" si="99"/>
        <v>0</v>
      </c>
      <c r="S447" s="36">
        <f t="shared" si="100"/>
        <v>0</v>
      </c>
      <c r="T447" s="36">
        <f t="shared" si="101"/>
        <v>0</v>
      </c>
      <c r="U447" s="28"/>
      <c r="V447" s="37">
        <f t="shared" si="102"/>
        <v>0</v>
      </c>
      <c r="W447" s="41"/>
      <c r="X447" s="27"/>
      <c r="Y447" s="27"/>
      <c r="Z447" s="27"/>
      <c r="AA447" s="15"/>
      <c r="AB447" s="17"/>
      <c r="AC447" s="17"/>
      <c r="AD447" s="17"/>
      <c r="AE447" s="90"/>
      <c r="AF447" s="82" t="str">
        <f t="shared" si="103"/>
        <v/>
      </c>
      <c r="AG447" s="83" t="str">
        <f t="shared" si="104"/>
        <v/>
      </c>
      <c r="AH447" s="82" t="str">
        <f t="shared" si="105"/>
        <v/>
      </c>
      <c r="AI447" s="82" t="str">
        <f t="shared" si="106"/>
        <v/>
      </c>
      <c r="AJ447" s="90"/>
      <c r="AP447" s="88"/>
    </row>
    <row r="448" spans="1:42" x14ac:dyDescent="0.25">
      <c r="A448" s="2"/>
      <c r="C448" s="68" t="str" cm="1">
        <f t="array" ref="C448">IF(AF448&lt;&gt;"",
IFERROR(INDEX('LaunchPad Markbook'!A:A,MATCH(AH448,'LaunchPad Markbook'!D:D,0),0),"-"),"")</f>
        <v/>
      </c>
      <c r="D448" s="27"/>
      <c r="E448" s="27"/>
      <c r="F448" s="27"/>
      <c r="G448" s="14">
        <f>IF(OR(H448&gt;AB$2,I448&gt;AC$2,J448&gt;AD$2,
P448&gt;1,V448&gt;1,
L448&gt;'Group List A'!E$2,M448&gt;'Group List A'!F$2,N448&gt;'Group List A'!G$2,
R448&gt;'Group List B'!E$2,S448&gt;'Group List B'!F$2,T448&gt;'Group List B'!G$2),"Exceed",
IF(OR(H448=AB$2,I448=AC$2,J448=AD$2,
P448=1,V448=1,
L448='Group List A'!E$2,M448='Group List A'!F$2,N448='Group List A'!G$2,
R448='Group List B'!E$2,S448='Group List B'!F$2,T448='Group List B'!G$2),"Limit",0))</f>
        <v>0</v>
      </c>
      <c r="H448" s="29">
        <f t="shared" si="92"/>
        <v>0</v>
      </c>
      <c r="I448" s="29">
        <f t="shared" si="93"/>
        <v>0</v>
      </c>
      <c r="J448" s="29">
        <f t="shared" si="94"/>
        <v>0</v>
      </c>
      <c r="K448" s="32" t="str" cm="1">
        <f t="array" ref="K448">IF(AF448&lt;&gt;"",IFERROR(INDEX('Group List A'!B:B,MATCH(AI448,'Group List A'!A:A,0),0),"-"),"")</f>
        <v/>
      </c>
      <c r="L448" s="33">
        <f t="shared" si="95"/>
        <v>0</v>
      </c>
      <c r="M448" s="33">
        <f t="shared" si="96"/>
        <v>0</v>
      </c>
      <c r="N448" s="33">
        <f t="shared" si="97"/>
        <v>0</v>
      </c>
      <c r="O448" s="28"/>
      <c r="P448" s="33">
        <f t="shared" si="98"/>
        <v>0</v>
      </c>
      <c r="Q448" s="35" t="str" cm="1">
        <f t="array" ref="Q448">IF(AF448&lt;&gt;"",IFERROR(INDEX('Group List B'!B:B,MATCH(AI448,'Group List B'!A:A,0),0),"-"),"")</f>
        <v/>
      </c>
      <c r="R448" s="36">
        <f t="shared" si="99"/>
        <v>0</v>
      </c>
      <c r="S448" s="36">
        <f t="shared" si="100"/>
        <v>0</v>
      </c>
      <c r="T448" s="36">
        <f t="shared" si="101"/>
        <v>0</v>
      </c>
      <c r="U448" s="28"/>
      <c r="V448" s="37">
        <f t="shared" si="102"/>
        <v>0</v>
      </c>
      <c r="W448" s="41"/>
      <c r="X448" s="27"/>
      <c r="Y448" s="27"/>
      <c r="Z448" s="27"/>
      <c r="AA448" s="15"/>
      <c r="AB448" s="17"/>
      <c r="AC448" s="17"/>
      <c r="AD448" s="17"/>
      <c r="AE448" s="90"/>
      <c r="AF448" s="82" t="str">
        <f t="shared" si="103"/>
        <v/>
      </c>
      <c r="AG448" s="83" t="str">
        <f t="shared" si="104"/>
        <v/>
      </c>
      <c r="AH448" s="82" t="str">
        <f t="shared" si="105"/>
        <v/>
      </c>
      <c r="AI448" s="82" t="str">
        <f t="shared" si="106"/>
        <v/>
      </c>
      <c r="AJ448" s="90"/>
      <c r="AP448" s="88"/>
    </row>
    <row r="449" spans="1:42" x14ac:dyDescent="0.25">
      <c r="A449" s="2"/>
      <c r="C449" s="68" t="str" cm="1">
        <f t="array" ref="C449">IF(AF449&lt;&gt;"",
IFERROR(INDEX('LaunchPad Markbook'!A:A,MATCH(AH449,'LaunchPad Markbook'!D:D,0),0),"-"),"")</f>
        <v/>
      </c>
      <c r="D449" s="27"/>
      <c r="E449" s="27"/>
      <c r="F449" s="27"/>
      <c r="G449" s="14">
        <f>IF(OR(H449&gt;AB$2,I449&gt;AC$2,J449&gt;AD$2,
P449&gt;1,V449&gt;1,
L449&gt;'Group List A'!E$2,M449&gt;'Group List A'!F$2,N449&gt;'Group List A'!G$2,
R449&gt;'Group List B'!E$2,S449&gt;'Group List B'!F$2,T449&gt;'Group List B'!G$2),"Exceed",
IF(OR(H449=AB$2,I449=AC$2,J449=AD$2,
P449=1,V449=1,
L449='Group List A'!E$2,M449='Group List A'!F$2,N449='Group List A'!G$2,
R449='Group List B'!E$2,S449='Group List B'!F$2,T449='Group List B'!G$2),"Limit",0))</f>
        <v>0</v>
      </c>
      <c r="H449" s="29">
        <f t="shared" si="92"/>
        <v>0</v>
      </c>
      <c r="I449" s="29">
        <f t="shared" si="93"/>
        <v>0</v>
      </c>
      <c r="J449" s="29">
        <f t="shared" si="94"/>
        <v>0</v>
      </c>
      <c r="K449" s="32" t="str" cm="1">
        <f t="array" ref="K449">IF(AF449&lt;&gt;"",IFERROR(INDEX('Group List A'!B:B,MATCH(AI449,'Group List A'!A:A,0),0),"-"),"")</f>
        <v/>
      </c>
      <c r="L449" s="33">
        <f t="shared" si="95"/>
        <v>0</v>
      </c>
      <c r="M449" s="33">
        <f t="shared" si="96"/>
        <v>0</v>
      </c>
      <c r="N449" s="33">
        <f t="shared" si="97"/>
        <v>0</v>
      </c>
      <c r="O449" s="28"/>
      <c r="P449" s="33">
        <f t="shared" si="98"/>
        <v>0</v>
      </c>
      <c r="Q449" s="35" t="str" cm="1">
        <f t="array" ref="Q449">IF(AF449&lt;&gt;"",IFERROR(INDEX('Group List B'!B:B,MATCH(AI449,'Group List B'!A:A,0),0),"-"),"")</f>
        <v/>
      </c>
      <c r="R449" s="36">
        <f t="shared" si="99"/>
        <v>0</v>
      </c>
      <c r="S449" s="36">
        <f t="shared" si="100"/>
        <v>0</v>
      </c>
      <c r="T449" s="36">
        <f t="shared" si="101"/>
        <v>0</v>
      </c>
      <c r="U449" s="28"/>
      <c r="V449" s="37">
        <f t="shared" si="102"/>
        <v>0</v>
      </c>
      <c r="W449" s="41"/>
      <c r="X449" s="27"/>
      <c r="Y449" s="27"/>
      <c r="Z449" s="27"/>
      <c r="AA449" s="15"/>
      <c r="AB449" s="17"/>
      <c r="AC449" s="17"/>
      <c r="AD449" s="17"/>
      <c r="AE449" s="90"/>
      <c r="AF449" s="82" t="str">
        <f t="shared" si="103"/>
        <v/>
      </c>
      <c r="AG449" s="83" t="str">
        <f t="shared" si="104"/>
        <v/>
      </c>
      <c r="AH449" s="82" t="str">
        <f t="shared" si="105"/>
        <v/>
      </c>
      <c r="AI449" s="82" t="str">
        <f t="shared" si="106"/>
        <v/>
      </c>
      <c r="AJ449" s="90"/>
      <c r="AP449" s="88"/>
    </row>
    <row r="450" spans="1:42" x14ac:dyDescent="0.25">
      <c r="A450" s="2"/>
      <c r="C450" s="68" t="str" cm="1">
        <f t="array" ref="C450">IF(AF450&lt;&gt;"",
IFERROR(INDEX('LaunchPad Markbook'!A:A,MATCH(AH450,'LaunchPad Markbook'!D:D,0),0),"-"),"")</f>
        <v/>
      </c>
      <c r="D450" s="27"/>
      <c r="E450" s="27"/>
      <c r="F450" s="27"/>
      <c r="G450" s="14">
        <f>IF(OR(H450&gt;AB$2,I450&gt;AC$2,J450&gt;AD$2,
P450&gt;1,V450&gt;1,
L450&gt;'Group List A'!E$2,M450&gt;'Group List A'!F$2,N450&gt;'Group List A'!G$2,
R450&gt;'Group List B'!E$2,S450&gt;'Group List B'!F$2,T450&gt;'Group List B'!G$2),"Exceed",
IF(OR(H450=AB$2,I450=AC$2,J450=AD$2,
P450=1,V450=1,
L450='Group List A'!E$2,M450='Group List A'!F$2,N450='Group List A'!G$2,
R450='Group List B'!E$2,S450='Group List B'!F$2,T450='Group List B'!G$2),"Limit",0))</f>
        <v>0</v>
      </c>
      <c r="H450" s="29">
        <f t="shared" si="92"/>
        <v>0</v>
      </c>
      <c r="I450" s="29">
        <f t="shared" si="93"/>
        <v>0</v>
      </c>
      <c r="J450" s="29">
        <f t="shared" si="94"/>
        <v>0</v>
      </c>
      <c r="K450" s="32" t="str" cm="1">
        <f t="array" ref="K450">IF(AF450&lt;&gt;"",IFERROR(INDEX('Group List A'!B:B,MATCH(AI450,'Group List A'!A:A,0),0),"-"),"")</f>
        <v/>
      </c>
      <c r="L450" s="33">
        <f t="shared" si="95"/>
        <v>0</v>
      </c>
      <c r="M450" s="33">
        <f t="shared" si="96"/>
        <v>0</v>
      </c>
      <c r="N450" s="33">
        <f t="shared" si="97"/>
        <v>0</v>
      </c>
      <c r="O450" s="28"/>
      <c r="P450" s="33">
        <f t="shared" si="98"/>
        <v>0</v>
      </c>
      <c r="Q450" s="35" t="str" cm="1">
        <f t="array" ref="Q450">IF(AF450&lt;&gt;"",IFERROR(INDEX('Group List B'!B:B,MATCH(AI450,'Group List B'!A:A,0),0),"-"),"")</f>
        <v/>
      </c>
      <c r="R450" s="36">
        <f t="shared" si="99"/>
        <v>0</v>
      </c>
      <c r="S450" s="36">
        <f t="shared" si="100"/>
        <v>0</v>
      </c>
      <c r="T450" s="36">
        <f t="shared" si="101"/>
        <v>0</v>
      </c>
      <c r="U450" s="28"/>
      <c r="V450" s="37">
        <f t="shared" si="102"/>
        <v>0</v>
      </c>
      <c r="W450" s="41"/>
      <c r="X450" s="27"/>
      <c r="Y450" s="27"/>
      <c r="Z450" s="27"/>
      <c r="AA450" s="15"/>
      <c r="AB450" s="17"/>
      <c r="AC450" s="17"/>
      <c r="AD450" s="17"/>
      <c r="AE450" s="90"/>
      <c r="AF450" s="82" t="str">
        <f t="shared" si="103"/>
        <v/>
      </c>
      <c r="AG450" s="83" t="str">
        <f t="shared" si="104"/>
        <v/>
      </c>
      <c r="AH450" s="82" t="str">
        <f t="shared" si="105"/>
        <v/>
      </c>
      <c r="AI450" s="82" t="str">
        <f t="shared" si="106"/>
        <v/>
      </c>
      <c r="AJ450" s="90"/>
      <c r="AP450" s="88"/>
    </row>
    <row r="451" spans="1:42" x14ac:dyDescent="0.25">
      <c r="A451" s="2"/>
      <c r="C451" s="68" t="str" cm="1">
        <f t="array" ref="C451">IF(AF451&lt;&gt;"",
IFERROR(INDEX('LaunchPad Markbook'!A:A,MATCH(AH451,'LaunchPad Markbook'!D:D,0),0),"-"),"")</f>
        <v/>
      </c>
      <c r="D451" s="27"/>
      <c r="E451" s="27"/>
      <c r="F451" s="27"/>
      <c r="G451" s="14">
        <f>IF(OR(H451&gt;AB$2,I451&gt;AC$2,J451&gt;AD$2,
P451&gt;1,V451&gt;1,
L451&gt;'Group List A'!E$2,M451&gt;'Group List A'!F$2,N451&gt;'Group List A'!G$2,
R451&gt;'Group List B'!E$2,S451&gt;'Group List B'!F$2,T451&gt;'Group List B'!G$2),"Exceed",
IF(OR(H451=AB$2,I451=AC$2,J451=AD$2,
P451=1,V451=1,
L451='Group List A'!E$2,M451='Group List A'!F$2,N451='Group List A'!G$2,
R451='Group List B'!E$2,S451='Group List B'!F$2,T451='Group List B'!G$2),"Limit",0))</f>
        <v>0</v>
      </c>
      <c r="H451" s="29">
        <f t="shared" ref="H451:H514" si="107">IF(AND(K451="-",Q451="-"),
SUMIFS(D$2:D$2000,$AH$2:$AH$2000,$AH451),0)</f>
        <v>0</v>
      </c>
      <c r="I451" s="29">
        <f t="shared" ref="I451:I514" si="108">IF(AND(K451="-",Q451="-"),
SUMIFS(E$2:E$2000,$AH$2:$AH$2000,$AH451),0)</f>
        <v>0</v>
      </c>
      <c r="J451" s="29">
        <f t="shared" ref="J451:J514" si="109">IF(AND(K451="-",Q451="-"),
SUMIFS(F$2:F$2000,$AH$2:$AH$2000,$AH451),0)</f>
        <v>0</v>
      </c>
      <c r="K451" s="32" t="str" cm="1">
        <f t="array" ref="K451">IF(AF451&lt;&gt;"",IFERROR(INDEX('Group List A'!B:B,MATCH(AI451,'Group List A'!A:A,0),0),"-"),"")</f>
        <v/>
      </c>
      <c r="L451" s="33">
        <f t="shared" ref="L451:L514" si="110">IF($K451&lt;&gt;"-",SUMIFS(D$2:D$2000,$K$2:$K$2000,$K451),0)</f>
        <v>0</v>
      </c>
      <c r="M451" s="33">
        <f t="shared" ref="M451:M514" si="111">IF($K451&lt;&gt;"-",SUMIFS(E$2:E$2000,$K$2:$K$2000,$K451),0)</f>
        <v>0</v>
      </c>
      <c r="N451" s="33">
        <f t="shared" ref="N451:N514" si="112">IF($K451&lt;&gt;"-",SUMIFS(F$2:F$2000,$K$2:$K$2000,$K451),0)</f>
        <v>0</v>
      </c>
      <c r="O451" s="28"/>
      <c r="P451" s="33">
        <f t="shared" ref="P451:P514" si="113">SUMIFS(O$2:O$2000,$AH$2:$AH$2000,$AH451)</f>
        <v>0</v>
      </c>
      <c r="Q451" s="35" t="str" cm="1">
        <f t="array" ref="Q451">IF(AF451&lt;&gt;"",IFERROR(INDEX('Group List B'!B:B,MATCH(AI451,'Group List B'!A:A,0),0),"-"),"")</f>
        <v/>
      </c>
      <c r="R451" s="36">
        <f t="shared" ref="R451:R514" si="114">IF($Q451&lt;&gt;"-",SUMIFS(D$2:D$2000,$Q$2:$Q$2000,$Q451),0)</f>
        <v>0</v>
      </c>
      <c r="S451" s="36">
        <f t="shared" ref="S451:S514" si="115">IF($Q451&lt;&gt;"-",SUMIFS(E$2:E$2000,$Q$2:$Q$2000,$Q451),0)</f>
        <v>0</v>
      </c>
      <c r="T451" s="36">
        <f t="shared" ref="T451:T514" si="116">IF($Q451&lt;&gt;"-",SUMIFS(F$2:F$2000,$Q$2:$Q$2000,$Q451),0)</f>
        <v>0</v>
      </c>
      <c r="U451" s="28"/>
      <c r="V451" s="37">
        <f t="shared" ref="V451:V514" si="117">SUMIFS(U$2:U$2000,$AH$2:$AH$2000,$AH451)</f>
        <v>0</v>
      </c>
      <c r="W451" s="41"/>
      <c r="X451" s="27"/>
      <c r="Y451" s="27"/>
      <c r="Z451" s="27"/>
      <c r="AA451" s="15"/>
      <c r="AB451" s="17"/>
      <c r="AC451" s="17"/>
      <c r="AD451" s="17"/>
      <c r="AE451" s="90"/>
      <c r="AF451" s="82" t="str">
        <f t="shared" ref="AF451:AF514" si="118">IF(A451&lt;&gt;"",A451,"")</f>
        <v/>
      </c>
      <c r="AG451" s="83" t="str">
        <f t="shared" ref="AG451:AG514" si="119">IF(MID(AF451,1,1)="N","STUDENT",
IF(MID(AF451,1,1)="S","STAFF",
IF(MID(AF451,1,1)="V","VISITOR",
IF(AF451&lt;&gt;"","ERROR",""))))</f>
        <v/>
      </c>
      <c r="AH451" s="82" t="str">
        <f t="shared" ref="AH451:AH514" si="120">IF(AG451="STUDENT","N"&amp;(MID(AF451,2,8)-0),
IF(AG451="STAFF","S"&amp;MID(AF451,2,8),""))</f>
        <v/>
      </c>
      <c r="AI451" s="82" t="str">
        <f t="shared" ref="AI451:AI514" si="121">IF(AG451="STUDENT",(MID(AF451,2,8)-0),
IF(AG451="STAFF","STAFF",""))</f>
        <v/>
      </c>
      <c r="AJ451" s="90"/>
      <c r="AP451" s="88"/>
    </row>
    <row r="452" spans="1:42" x14ac:dyDescent="0.25">
      <c r="A452" s="2"/>
      <c r="C452" s="68" t="str" cm="1">
        <f t="array" ref="C452">IF(AF452&lt;&gt;"",
IFERROR(INDEX('LaunchPad Markbook'!A:A,MATCH(AH452,'LaunchPad Markbook'!D:D,0),0),"-"),"")</f>
        <v/>
      </c>
      <c r="D452" s="27"/>
      <c r="E452" s="27"/>
      <c r="F452" s="27"/>
      <c r="G452" s="14">
        <f>IF(OR(H452&gt;AB$2,I452&gt;AC$2,J452&gt;AD$2,
P452&gt;1,V452&gt;1,
L452&gt;'Group List A'!E$2,M452&gt;'Group List A'!F$2,N452&gt;'Group List A'!G$2,
R452&gt;'Group List B'!E$2,S452&gt;'Group List B'!F$2,T452&gt;'Group List B'!G$2),"Exceed",
IF(OR(H452=AB$2,I452=AC$2,J452=AD$2,
P452=1,V452=1,
L452='Group List A'!E$2,M452='Group List A'!F$2,N452='Group List A'!G$2,
R452='Group List B'!E$2,S452='Group List B'!F$2,T452='Group List B'!G$2),"Limit",0))</f>
        <v>0</v>
      </c>
      <c r="H452" s="29">
        <f t="shared" si="107"/>
        <v>0</v>
      </c>
      <c r="I452" s="29">
        <f t="shared" si="108"/>
        <v>0</v>
      </c>
      <c r="J452" s="29">
        <f t="shared" si="109"/>
        <v>0</v>
      </c>
      <c r="K452" s="32" t="str" cm="1">
        <f t="array" ref="K452">IF(AF452&lt;&gt;"",IFERROR(INDEX('Group List A'!B:B,MATCH(AI452,'Group List A'!A:A,0),0),"-"),"")</f>
        <v/>
      </c>
      <c r="L452" s="33">
        <f t="shared" si="110"/>
        <v>0</v>
      </c>
      <c r="M452" s="33">
        <f t="shared" si="111"/>
        <v>0</v>
      </c>
      <c r="N452" s="33">
        <f t="shared" si="112"/>
        <v>0</v>
      </c>
      <c r="O452" s="28"/>
      <c r="P452" s="33">
        <f t="shared" si="113"/>
        <v>0</v>
      </c>
      <c r="Q452" s="35" t="str" cm="1">
        <f t="array" ref="Q452">IF(AF452&lt;&gt;"",IFERROR(INDEX('Group List B'!B:B,MATCH(AI452,'Group List B'!A:A,0),0),"-"),"")</f>
        <v/>
      </c>
      <c r="R452" s="36">
        <f t="shared" si="114"/>
        <v>0</v>
      </c>
      <c r="S452" s="36">
        <f t="shared" si="115"/>
        <v>0</v>
      </c>
      <c r="T452" s="36">
        <f t="shared" si="116"/>
        <v>0</v>
      </c>
      <c r="U452" s="28"/>
      <c r="V452" s="37">
        <f t="shared" si="117"/>
        <v>0</v>
      </c>
      <c r="W452" s="41"/>
      <c r="X452" s="27"/>
      <c r="Y452" s="27"/>
      <c r="Z452" s="27"/>
      <c r="AA452" s="15"/>
      <c r="AB452" s="17"/>
      <c r="AC452" s="17"/>
      <c r="AD452" s="17"/>
      <c r="AE452" s="90"/>
      <c r="AF452" s="82" t="str">
        <f t="shared" si="118"/>
        <v/>
      </c>
      <c r="AG452" s="83" t="str">
        <f t="shared" si="119"/>
        <v/>
      </c>
      <c r="AH452" s="82" t="str">
        <f t="shared" si="120"/>
        <v/>
      </c>
      <c r="AI452" s="82" t="str">
        <f t="shared" si="121"/>
        <v/>
      </c>
      <c r="AJ452" s="90"/>
      <c r="AP452" s="88"/>
    </row>
    <row r="453" spans="1:42" x14ac:dyDescent="0.25">
      <c r="A453" s="2"/>
      <c r="C453" s="68" t="str" cm="1">
        <f t="array" ref="C453">IF(AF453&lt;&gt;"",
IFERROR(INDEX('LaunchPad Markbook'!A:A,MATCH(AH453,'LaunchPad Markbook'!D:D,0),0),"-"),"")</f>
        <v/>
      </c>
      <c r="D453" s="27"/>
      <c r="E453" s="27"/>
      <c r="F453" s="27"/>
      <c r="G453" s="14">
        <f>IF(OR(H453&gt;AB$2,I453&gt;AC$2,J453&gt;AD$2,
P453&gt;1,V453&gt;1,
L453&gt;'Group List A'!E$2,M453&gt;'Group List A'!F$2,N453&gt;'Group List A'!G$2,
R453&gt;'Group List B'!E$2,S453&gt;'Group List B'!F$2,T453&gt;'Group List B'!G$2),"Exceed",
IF(OR(H453=AB$2,I453=AC$2,J453=AD$2,
P453=1,V453=1,
L453='Group List A'!E$2,M453='Group List A'!F$2,N453='Group List A'!G$2,
R453='Group List B'!E$2,S453='Group List B'!F$2,T453='Group List B'!G$2),"Limit",0))</f>
        <v>0</v>
      </c>
      <c r="H453" s="29">
        <f t="shared" si="107"/>
        <v>0</v>
      </c>
      <c r="I453" s="29">
        <f t="shared" si="108"/>
        <v>0</v>
      </c>
      <c r="J453" s="29">
        <f t="shared" si="109"/>
        <v>0</v>
      </c>
      <c r="K453" s="32" t="str" cm="1">
        <f t="array" ref="K453">IF(AF453&lt;&gt;"",IFERROR(INDEX('Group List A'!B:B,MATCH(AI453,'Group List A'!A:A,0),0),"-"),"")</f>
        <v/>
      </c>
      <c r="L453" s="33">
        <f t="shared" si="110"/>
        <v>0</v>
      </c>
      <c r="M453" s="33">
        <f t="shared" si="111"/>
        <v>0</v>
      </c>
      <c r="N453" s="33">
        <f t="shared" si="112"/>
        <v>0</v>
      </c>
      <c r="O453" s="28"/>
      <c r="P453" s="33">
        <f t="shared" si="113"/>
        <v>0</v>
      </c>
      <c r="Q453" s="35" t="str" cm="1">
        <f t="array" ref="Q453">IF(AF453&lt;&gt;"",IFERROR(INDEX('Group List B'!B:B,MATCH(AI453,'Group List B'!A:A,0),0),"-"),"")</f>
        <v/>
      </c>
      <c r="R453" s="36">
        <f t="shared" si="114"/>
        <v>0</v>
      </c>
      <c r="S453" s="36">
        <f t="shared" si="115"/>
        <v>0</v>
      </c>
      <c r="T453" s="36">
        <f t="shared" si="116"/>
        <v>0</v>
      </c>
      <c r="U453" s="28"/>
      <c r="V453" s="37">
        <f t="shared" si="117"/>
        <v>0</v>
      </c>
      <c r="W453" s="41"/>
      <c r="X453" s="27"/>
      <c r="Y453" s="27"/>
      <c r="Z453" s="27"/>
      <c r="AA453" s="15"/>
      <c r="AB453" s="17"/>
      <c r="AC453" s="17"/>
      <c r="AD453" s="17"/>
      <c r="AE453" s="90"/>
      <c r="AF453" s="82" t="str">
        <f t="shared" si="118"/>
        <v/>
      </c>
      <c r="AG453" s="83" t="str">
        <f t="shared" si="119"/>
        <v/>
      </c>
      <c r="AH453" s="82" t="str">
        <f t="shared" si="120"/>
        <v/>
      </c>
      <c r="AI453" s="82" t="str">
        <f t="shared" si="121"/>
        <v/>
      </c>
      <c r="AJ453" s="90"/>
      <c r="AP453" s="88"/>
    </row>
    <row r="454" spans="1:42" x14ac:dyDescent="0.25">
      <c r="A454" s="2"/>
      <c r="C454" s="68" t="str" cm="1">
        <f t="array" ref="C454">IF(AF454&lt;&gt;"",
IFERROR(INDEX('LaunchPad Markbook'!A:A,MATCH(AH454,'LaunchPad Markbook'!D:D,0),0),"-"),"")</f>
        <v/>
      </c>
      <c r="D454" s="27"/>
      <c r="E454" s="27"/>
      <c r="F454" s="27"/>
      <c r="G454" s="14">
        <f>IF(OR(H454&gt;AB$2,I454&gt;AC$2,J454&gt;AD$2,
P454&gt;1,V454&gt;1,
L454&gt;'Group List A'!E$2,M454&gt;'Group List A'!F$2,N454&gt;'Group List A'!G$2,
R454&gt;'Group List B'!E$2,S454&gt;'Group List B'!F$2,T454&gt;'Group List B'!G$2),"Exceed",
IF(OR(H454=AB$2,I454=AC$2,J454=AD$2,
P454=1,V454=1,
L454='Group List A'!E$2,M454='Group List A'!F$2,N454='Group List A'!G$2,
R454='Group List B'!E$2,S454='Group List B'!F$2,T454='Group List B'!G$2),"Limit",0))</f>
        <v>0</v>
      </c>
      <c r="H454" s="29">
        <f t="shared" si="107"/>
        <v>0</v>
      </c>
      <c r="I454" s="29">
        <f t="shared" si="108"/>
        <v>0</v>
      </c>
      <c r="J454" s="29">
        <f t="shared" si="109"/>
        <v>0</v>
      </c>
      <c r="K454" s="32" t="str" cm="1">
        <f t="array" ref="K454">IF(AF454&lt;&gt;"",IFERROR(INDEX('Group List A'!B:B,MATCH(AI454,'Group List A'!A:A,0),0),"-"),"")</f>
        <v/>
      </c>
      <c r="L454" s="33">
        <f t="shared" si="110"/>
        <v>0</v>
      </c>
      <c r="M454" s="33">
        <f t="shared" si="111"/>
        <v>0</v>
      </c>
      <c r="N454" s="33">
        <f t="shared" si="112"/>
        <v>0</v>
      </c>
      <c r="O454" s="28"/>
      <c r="P454" s="33">
        <f t="shared" si="113"/>
        <v>0</v>
      </c>
      <c r="Q454" s="35" t="str" cm="1">
        <f t="array" ref="Q454">IF(AF454&lt;&gt;"",IFERROR(INDEX('Group List B'!B:B,MATCH(AI454,'Group List B'!A:A,0),0),"-"),"")</f>
        <v/>
      </c>
      <c r="R454" s="36">
        <f t="shared" si="114"/>
        <v>0</v>
      </c>
      <c r="S454" s="36">
        <f t="shared" si="115"/>
        <v>0</v>
      </c>
      <c r="T454" s="36">
        <f t="shared" si="116"/>
        <v>0</v>
      </c>
      <c r="U454" s="28"/>
      <c r="V454" s="37">
        <f t="shared" si="117"/>
        <v>0</v>
      </c>
      <c r="W454" s="41"/>
      <c r="X454" s="27"/>
      <c r="Y454" s="27"/>
      <c r="Z454" s="27"/>
      <c r="AA454" s="15"/>
      <c r="AB454" s="17"/>
      <c r="AC454" s="17"/>
      <c r="AD454" s="17"/>
      <c r="AE454" s="90"/>
      <c r="AF454" s="82" t="str">
        <f t="shared" si="118"/>
        <v/>
      </c>
      <c r="AG454" s="83" t="str">
        <f t="shared" si="119"/>
        <v/>
      </c>
      <c r="AH454" s="82" t="str">
        <f t="shared" si="120"/>
        <v/>
      </c>
      <c r="AI454" s="82" t="str">
        <f t="shared" si="121"/>
        <v/>
      </c>
      <c r="AJ454" s="90"/>
      <c r="AP454" s="88"/>
    </row>
    <row r="455" spans="1:42" x14ac:dyDescent="0.25">
      <c r="A455" s="2"/>
      <c r="C455" s="68" t="str" cm="1">
        <f t="array" ref="C455">IF(AF455&lt;&gt;"",
IFERROR(INDEX('LaunchPad Markbook'!A:A,MATCH(AH455,'LaunchPad Markbook'!D:D,0),0),"-"),"")</f>
        <v/>
      </c>
      <c r="D455" s="27"/>
      <c r="E455" s="27"/>
      <c r="F455" s="27"/>
      <c r="G455" s="14">
        <f>IF(OR(H455&gt;AB$2,I455&gt;AC$2,J455&gt;AD$2,
P455&gt;1,V455&gt;1,
L455&gt;'Group List A'!E$2,M455&gt;'Group List A'!F$2,N455&gt;'Group List A'!G$2,
R455&gt;'Group List B'!E$2,S455&gt;'Group List B'!F$2,T455&gt;'Group List B'!G$2),"Exceed",
IF(OR(H455=AB$2,I455=AC$2,J455=AD$2,
P455=1,V455=1,
L455='Group List A'!E$2,M455='Group List A'!F$2,N455='Group List A'!G$2,
R455='Group List B'!E$2,S455='Group List B'!F$2,T455='Group List B'!G$2),"Limit",0))</f>
        <v>0</v>
      </c>
      <c r="H455" s="29">
        <f t="shared" si="107"/>
        <v>0</v>
      </c>
      <c r="I455" s="29">
        <f t="shared" si="108"/>
        <v>0</v>
      </c>
      <c r="J455" s="29">
        <f t="shared" si="109"/>
        <v>0</v>
      </c>
      <c r="K455" s="32" t="str" cm="1">
        <f t="array" ref="K455">IF(AF455&lt;&gt;"",IFERROR(INDEX('Group List A'!B:B,MATCH(AI455,'Group List A'!A:A,0),0),"-"),"")</f>
        <v/>
      </c>
      <c r="L455" s="33">
        <f t="shared" si="110"/>
        <v>0</v>
      </c>
      <c r="M455" s="33">
        <f t="shared" si="111"/>
        <v>0</v>
      </c>
      <c r="N455" s="33">
        <f t="shared" si="112"/>
        <v>0</v>
      </c>
      <c r="O455" s="28"/>
      <c r="P455" s="33">
        <f t="shared" si="113"/>
        <v>0</v>
      </c>
      <c r="Q455" s="35" t="str" cm="1">
        <f t="array" ref="Q455">IF(AF455&lt;&gt;"",IFERROR(INDEX('Group List B'!B:B,MATCH(AI455,'Group List B'!A:A,0),0),"-"),"")</f>
        <v/>
      </c>
      <c r="R455" s="36">
        <f t="shared" si="114"/>
        <v>0</v>
      </c>
      <c r="S455" s="36">
        <f t="shared" si="115"/>
        <v>0</v>
      </c>
      <c r="T455" s="36">
        <f t="shared" si="116"/>
        <v>0</v>
      </c>
      <c r="U455" s="28"/>
      <c r="V455" s="37">
        <f t="shared" si="117"/>
        <v>0</v>
      </c>
      <c r="W455" s="41"/>
      <c r="X455" s="27"/>
      <c r="Y455" s="27"/>
      <c r="Z455" s="27"/>
      <c r="AA455" s="15"/>
      <c r="AB455" s="17"/>
      <c r="AC455" s="17"/>
      <c r="AD455" s="17"/>
      <c r="AE455" s="90"/>
      <c r="AF455" s="82" t="str">
        <f t="shared" si="118"/>
        <v/>
      </c>
      <c r="AG455" s="83" t="str">
        <f t="shared" si="119"/>
        <v/>
      </c>
      <c r="AH455" s="82" t="str">
        <f t="shared" si="120"/>
        <v/>
      </c>
      <c r="AI455" s="82" t="str">
        <f t="shared" si="121"/>
        <v/>
      </c>
      <c r="AJ455" s="90"/>
      <c r="AP455" s="88"/>
    </row>
    <row r="456" spans="1:42" x14ac:dyDescent="0.25">
      <c r="A456" s="2"/>
      <c r="C456" s="68" t="str" cm="1">
        <f t="array" ref="C456">IF(AF456&lt;&gt;"",
IFERROR(INDEX('LaunchPad Markbook'!A:A,MATCH(AH456,'LaunchPad Markbook'!D:D,0),0),"-"),"")</f>
        <v/>
      </c>
      <c r="D456" s="27"/>
      <c r="E456" s="27"/>
      <c r="F456" s="27"/>
      <c r="G456" s="14">
        <f>IF(OR(H456&gt;AB$2,I456&gt;AC$2,J456&gt;AD$2,
P456&gt;1,V456&gt;1,
L456&gt;'Group List A'!E$2,M456&gt;'Group List A'!F$2,N456&gt;'Group List A'!G$2,
R456&gt;'Group List B'!E$2,S456&gt;'Group List B'!F$2,T456&gt;'Group List B'!G$2),"Exceed",
IF(OR(H456=AB$2,I456=AC$2,J456=AD$2,
P456=1,V456=1,
L456='Group List A'!E$2,M456='Group List A'!F$2,N456='Group List A'!G$2,
R456='Group List B'!E$2,S456='Group List B'!F$2,T456='Group List B'!G$2),"Limit",0))</f>
        <v>0</v>
      </c>
      <c r="H456" s="29">
        <f t="shared" si="107"/>
        <v>0</v>
      </c>
      <c r="I456" s="29">
        <f t="shared" si="108"/>
        <v>0</v>
      </c>
      <c r="J456" s="29">
        <f t="shared" si="109"/>
        <v>0</v>
      </c>
      <c r="K456" s="32" t="str" cm="1">
        <f t="array" ref="K456">IF(AF456&lt;&gt;"",IFERROR(INDEX('Group List A'!B:B,MATCH(AI456,'Group List A'!A:A,0),0),"-"),"")</f>
        <v/>
      </c>
      <c r="L456" s="33">
        <f t="shared" si="110"/>
        <v>0</v>
      </c>
      <c r="M456" s="33">
        <f t="shared" si="111"/>
        <v>0</v>
      </c>
      <c r="N456" s="33">
        <f t="shared" si="112"/>
        <v>0</v>
      </c>
      <c r="O456" s="28"/>
      <c r="P456" s="33">
        <f t="shared" si="113"/>
        <v>0</v>
      </c>
      <c r="Q456" s="35" t="str" cm="1">
        <f t="array" ref="Q456">IF(AF456&lt;&gt;"",IFERROR(INDEX('Group List B'!B:B,MATCH(AI456,'Group List B'!A:A,0),0),"-"),"")</f>
        <v/>
      </c>
      <c r="R456" s="36">
        <f t="shared" si="114"/>
        <v>0</v>
      </c>
      <c r="S456" s="36">
        <f t="shared" si="115"/>
        <v>0</v>
      </c>
      <c r="T456" s="36">
        <f t="shared" si="116"/>
        <v>0</v>
      </c>
      <c r="U456" s="28"/>
      <c r="V456" s="37">
        <f t="shared" si="117"/>
        <v>0</v>
      </c>
      <c r="W456" s="41"/>
      <c r="X456" s="27"/>
      <c r="Y456" s="27"/>
      <c r="Z456" s="27"/>
      <c r="AA456" s="15"/>
      <c r="AB456" s="17"/>
      <c r="AC456" s="17"/>
      <c r="AD456" s="17"/>
      <c r="AE456" s="90"/>
      <c r="AF456" s="82" t="str">
        <f t="shared" si="118"/>
        <v/>
      </c>
      <c r="AG456" s="83" t="str">
        <f t="shared" si="119"/>
        <v/>
      </c>
      <c r="AH456" s="82" t="str">
        <f t="shared" si="120"/>
        <v/>
      </c>
      <c r="AI456" s="82" t="str">
        <f t="shared" si="121"/>
        <v/>
      </c>
      <c r="AJ456" s="90"/>
      <c r="AP456" s="88"/>
    </row>
    <row r="457" spans="1:42" x14ac:dyDescent="0.25">
      <c r="A457" s="2"/>
      <c r="C457" s="68" t="str" cm="1">
        <f t="array" ref="C457">IF(AF457&lt;&gt;"",
IFERROR(INDEX('LaunchPad Markbook'!A:A,MATCH(AH457,'LaunchPad Markbook'!D:D,0),0),"-"),"")</f>
        <v/>
      </c>
      <c r="D457" s="27"/>
      <c r="E457" s="27"/>
      <c r="F457" s="27"/>
      <c r="G457" s="14">
        <f>IF(OR(H457&gt;AB$2,I457&gt;AC$2,J457&gt;AD$2,
P457&gt;1,V457&gt;1,
L457&gt;'Group List A'!E$2,M457&gt;'Group List A'!F$2,N457&gt;'Group List A'!G$2,
R457&gt;'Group List B'!E$2,S457&gt;'Group List B'!F$2,T457&gt;'Group List B'!G$2),"Exceed",
IF(OR(H457=AB$2,I457=AC$2,J457=AD$2,
P457=1,V457=1,
L457='Group List A'!E$2,M457='Group List A'!F$2,N457='Group List A'!G$2,
R457='Group List B'!E$2,S457='Group List B'!F$2,T457='Group List B'!G$2),"Limit",0))</f>
        <v>0</v>
      </c>
      <c r="H457" s="29">
        <f t="shared" si="107"/>
        <v>0</v>
      </c>
      <c r="I457" s="29">
        <f t="shared" si="108"/>
        <v>0</v>
      </c>
      <c r="J457" s="29">
        <f t="shared" si="109"/>
        <v>0</v>
      </c>
      <c r="K457" s="32" t="str" cm="1">
        <f t="array" ref="K457">IF(AF457&lt;&gt;"",IFERROR(INDEX('Group List A'!B:B,MATCH(AI457,'Group List A'!A:A,0),0),"-"),"")</f>
        <v/>
      </c>
      <c r="L457" s="33">
        <f t="shared" si="110"/>
        <v>0</v>
      </c>
      <c r="M457" s="33">
        <f t="shared" si="111"/>
        <v>0</v>
      </c>
      <c r="N457" s="33">
        <f t="shared" si="112"/>
        <v>0</v>
      </c>
      <c r="O457" s="28"/>
      <c r="P457" s="33">
        <f t="shared" si="113"/>
        <v>0</v>
      </c>
      <c r="Q457" s="35" t="str" cm="1">
        <f t="array" ref="Q457">IF(AF457&lt;&gt;"",IFERROR(INDEX('Group List B'!B:B,MATCH(AI457,'Group List B'!A:A,0),0),"-"),"")</f>
        <v/>
      </c>
      <c r="R457" s="36">
        <f t="shared" si="114"/>
        <v>0</v>
      </c>
      <c r="S457" s="36">
        <f t="shared" si="115"/>
        <v>0</v>
      </c>
      <c r="T457" s="36">
        <f t="shared" si="116"/>
        <v>0</v>
      </c>
      <c r="U457" s="28"/>
      <c r="V457" s="37">
        <f t="shared" si="117"/>
        <v>0</v>
      </c>
      <c r="W457" s="41"/>
      <c r="X457" s="27"/>
      <c r="Y457" s="27"/>
      <c r="Z457" s="27"/>
      <c r="AA457" s="15"/>
      <c r="AB457" s="17"/>
      <c r="AC457" s="17"/>
      <c r="AD457" s="17"/>
      <c r="AE457" s="90"/>
      <c r="AF457" s="82" t="str">
        <f t="shared" si="118"/>
        <v/>
      </c>
      <c r="AG457" s="83" t="str">
        <f t="shared" si="119"/>
        <v/>
      </c>
      <c r="AH457" s="82" t="str">
        <f t="shared" si="120"/>
        <v/>
      </c>
      <c r="AI457" s="82" t="str">
        <f t="shared" si="121"/>
        <v/>
      </c>
      <c r="AJ457" s="90"/>
      <c r="AP457" s="88"/>
    </row>
    <row r="458" spans="1:42" x14ac:dyDescent="0.25">
      <c r="A458" s="2"/>
      <c r="C458" s="68" t="str" cm="1">
        <f t="array" ref="C458">IF(AF458&lt;&gt;"",
IFERROR(INDEX('LaunchPad Markbook'!A:A,MATCH(AH458,'LaunchPad Markbook'!D:D,0),0),"-"),"")</f>
        <v/>
      </c>
      <c r="D458" s="27"/>
      <c r="E458" s="27"/>
      <c r="F458" s="27"/>
      <c r="G458" s="14">
        <f>IF(OR(H458&gt;AB$2,I458&gt;AC$2,J458&gt;AD$2,
P458&gt;1,V458&gt;1,
L458&gt;'Group List A'!E$2,M458&gt;'Group List A'!F$2,N458&gt;'Group List A'!G$2,
R458&gt;'Group List B'!E$2,S458&gt;'Group List B'!F$2,T458&gt;'Group List B'!G$2),"Exceed",
IF(OR(H458=AB$2,I458=AC$2,J458=AD$2,
P458=1,V458=1,
L458='Group List A'!E$2,M458='Group List A'!F$2,N458='Group List A'!G$2,
R458='Group List B'!E$2,S458='Group List B'!F$2,T458='Group List B'!G$2),"Limit",0))</f>
        <v>0</v>
      </c>
      <c r="H458" s="29">
        <f t="shared" si="107"/>
        <v>0</v>
      </c>
      <c r="I458" s="29">
        <f t="shared" si="108"/>
        <v>0</v>
      </c>
      <c r="J458" s="29">
        <f t="shared" si="109"/>
        <v>0</v>
      </c>
      <c r="K458" s="32" t="str" cm="1">
        <f t="array" ref="K458">IF(AF458&lt;&gt;"",IFERROR(INDEX('Group List A'!B:B,MATCH(AI458,'Group List A'!A:A,0),0),"-"),"")</f>
        <v/>
      </c>
      <c r="L458" s="33">
        <f t="shared" si="110"/>
        <v>0</v>
      </c>
      <c r="M458" s="33">
        <f t="shared" si="111"/>
        <v>0</v>
      </c>
      <c r="N458" s="33">
        <f t="shared" si="112"/>
        <v>0</v>
      </c>
      <c r="O458" s="28"/>
      <c r="P458" s="33">
        <f t="shared" si="113"/>
        <v>0</v>
      </c>
      <c r="Q458" s="35" t="str" cm="1">
        <f t="array" ref="Q458">IF(AF458&lt;&gt;"",IFERROR(INDEX('Group List B'!B:B,MATCH(AI458,'Group List B'!A:A,0),0),"-"),"")</f>
        <v/>
      </c>
      <c r="R458" s="36">
        <f t="shared" si="114"/>
        <v>0</v>
      </c>
      <c r="S458" s="36">
        <f t="shared" si="115"/>
        <v>0</v>
      </c>
      <c r="T458" s="36">
        <f t="shared" si="116"/>
        <v>0</v>
      </c>
      <c r="U458" s="28"/>
      <c r="V458" s="37">
        <f t="shared" si="117"/>
        <v>0</v>
      </c>
      <c r="W458" s="41"/>
      <c r="X458" s="27"/>
      <c r="Y458" s="27"/>
      <c r="Z458" s="27"/>
      <c r="AA458" s="15"/>
      <c r="AB458" s="17"/>
      <c r="AC458" s="17"/>
      <c r="AD458" s="17"/>
      <c r="AE458" s="90"/>
      <c r="AF458" s="82" t="str">
        <f t="shared" si="118"/>
        <v/>
      </c>
      <c r="AG458" s="83" t="str">
        <f t="shared" si="119"/>
        <v/>
      </c>
      <c r="AH458" s="82" t="str">
        <f t="shared" si="120"/>
        <v/>
      </c>
      <c r="AI458" s="82" t="str">
        <f t="shared" si="121"/>
        <v/>
      </c>
      <c r="AJ458" s="90"/>
      <c r="AP458" s="88"/>
    </row>
    <row r="459" spans="1:42" x14ac:dyDescent="0.25">
      <c r="A459" s="2"/>
      <c r="C459" s="68" t="str" cm="1">
        <f t="array" ref="C459">IF(AF459&lt;&gt;"",
IFERROR(INDEX('LaunchPad Markbook'!A:A,MATCH(AH459,'LaunchPad Markbook'!D:D,0),0),"-"),"")</f>
        <v/>
      </c>
      <c r="D459" s="27"/>
      <c r="E459" s="27"/>
      <c r="F459" s="27"/>
      <c r="G459" s="14">
        <f>IF(OR(H459&gt;AB$2,I459&gt;AC$2,J459&gt;AD$2,
P459&gt;1,V459&gt;1,
L459&gt;'Group List A'!E$2,M459&gt;'Group List A'!F$2,N459&gt;'Group List A'!G$2,
R459&gt;'Group List B'!E$2,S459&gt;'Group List B'!F$2,T459&gt;'Group List B'!G$2),"Exceed",
IF(OR(H459=AB$2,I459=AC$2,J459=AD$2,
P459=1,V459=1,
L459='Group List A'!E$2,M459='Group List A'!F$2,N459='Group List A'!G$2,
R459='Group List B'!E$2,S459='Group List B'!F$2,T459='Group List B'!G$2),"Limit",0))</f>
        <v>0</v>
      </c>
      <c r="H459" s="29">
        <f t="shared" si="107"/>
        <v>0</v>
      </c>
      <c r="I459" s="29">
        <f t="shared" si="108"/>
        <v>0</v>
      </c>
      <c r="J459" s="29">
        <f t="shared" si="109"/>
        <v>0</v>
      </c>
      <c r="K459" s="32" t="str" cm="1">
        <f t="array" ref="K459">IF(AF459&lt;&gt;"",IFERROR(INDEX('Group List A'!B:B,MATCH(AI459,'Group List A'!A:A,0),0),"-"),"")</f>
        <v/>
      </c>
      <c r="L459" s="33">
        <f t="shared" si="110"/>
        <v>0</v>
      </c>
      <c r="M459" s="33">
        <f t="shared" si="111"/>
        <v>0</v>
      </c>
      <c r="N459" s="33">
        <f t="shared" si="112"/>
        <v>0</v>
      </c>
      <c r="O459" s="28"/>
      <c r="P459" s="33">
        <f t="shared" si="113"/>
        <v>0</v>
      </c>
      <c r="Q459" s="35" t="str" cm="1">
        <f t="array" ref="Q459">IF(AF459&lt;&gt;"",IFERROR(INDEX('Group List B'!B:B,MATCH(AI459,'Group List B'!A:A,0),0),"-"),"")</f>
        <v/>
      </c>
      <c r="R459" s="36">
        <f t="shared" si="114"/>
        <v>0</v>
      </c>
      <c r="S459" s="36">
        <f t="shared" si="115"/>
        <v>0</v>
      </c>
      <c r="T459" s="36">
        <f t="shared" si="116"/>
        <v>0</v>
      </c>
      <c r="U459" s="28"/>
      <c r="V459" s="37">
        <f t="shared" si="117"/>
        <v>0</v>
      </c>
      <c r="W459" s="41"/>
      <c r="X459" s="27"/>
      <c r="Y459" s="27"/>
      <c r="Z459" s="27"/>
      <c r="AA459" s="15"/>
      <c r="AB459" s="17"/>
      <c r="AC459" s="17"/>
      <c r="AD459" s="17"/>
      <c r="AE459" s="90"/>
      <c r="AF459" s="82" t="str">
        <f t="shared" si="118"/>
        <v/>
      </c>
      <c r="AG459" s="83" t="str">
        <f t="shared" si="119"/>
        <v/>
      </c>
      <c r="AH459" s="82" t="str">
        <f t="shared" si="120"/>
        <v/>
      </c>
      <c r="AI459" s="82" t="str">
        <f t="shared" si="121"/>
        <v/>
      </c>
      <c r="AJ459" s="90"/>
      <c r="AP459" s="88"/>
    </row>
    <row r="460" spans="1:42" x14ac:dyDescent="0.25">
      <c r="A460" s="2"/>
      <c r="C460" s="68" t="str" cm="1">
        <f t="array" ref="C460">IF(AF460&lt;&gt;"",
IFERROR(INDEX('LaunchPad Markbook'!A:A,MATCH(AH460,'LaunchPad Markbook'!D:D,0),0),"-"),"")</f>
        <v/>
      </c>
      <c r="D460" s="27"/>
      <c r="E460" s="27"/>
      <c r="F460" s="27"/>
      <c r="G460" s="14">
        <f>IF(OR(H460&gt;AB$2,I460&gt;AC$2,J460&gt;AD$2,
P460&gt;1,V460&gt;1,
L460&gt;'Group List A'!E$2,M460&gt;'Group List A'!F$2,N460&gt;'Group List A'!G$2,
R460&gt;'Group List B'!E$2,S460&gt;'Group List B'!F$2,T460&gt;'Group List B'!G$2),"Exceed",
IF(OR(H460=AB$2,I460=AC$2,J460=AD$2,
P460=1,V460=1,
L460='Group List A'!E$2,M460='Group List A'!F$2,N460='Group List A'!G$2,
R460='Group List B'!E$2,S460='Group List B'!F$2,T460='Group List B'!G$2),"Limit",0))</f>
        <v>0</v>
      </c>
      <c r="H460" s="29">
        <f t="shared" si="107"/>
        <v>0</v>
      </c>
      <c r="I460" s="29">
        <f t="shared" si="108"/>
        <v>0</v>
      </c>
      <c r="J460" s="29">
        <f t="shared" si="109"/>
        <v>0</v>
      </c>
      <c r="K460" s="32" t="str" cm="1">
        <f t="array" ref="K460">IF(AF460&lt;&gt;"",IFERROR(INDEX('Group List A'!B:B,MATCH(AI460,'Group List A'!A:A,0),0),"-"),"")</f>
        <v/>
      </c>
      <c r="L460" s="33">
        <f t="shared" si="110"/>
        <v>0</v>
      </c>
      <c r="M460" s="33">
        <f t="shared" si="111"/>
        <v>0</v>
      </c>
      <c r="N460" s="33">
        <f t="shared" si="112"/>
        <v>0</v>
      </c>
      <c r="O460" s="28"/>
      <c r="P460" s="33">
        <f t="shared" si="113"/>
        <v>0</v>
      </c>
      <c r="Q460" s="35" t="str" cm="1">
        <f t="array" ref="Q460">IF(AF460&lt;&gt;"",IFERROR(INDEX('Group List B'!B:B,MATCH(AI460,'Group List B'!A:A,0),0),"-"),"")</f>
        <v/>
      </c>
      <c r="R460" s="36">
        <f t="shared" si="114"/>
        <v>0</v>
      </c>
      <c r="S460" s="36">
        <f t="shared" si="115"/>
        <v>0</v>
      </c>
      <c r="T460" s="36">
        <f t="shared" si="116"/>
        <v>0</v>
      </c>
      <c r="U460" s="28"/>
      <c r="V460" s="37">
        <f t="shared" si="117"/>
        <v>0</v>
      </c>
      <c r="W460" s="41"/>
      <c r="X460" s="27"/>
      <c r="Y460" s="27"/>
      <c r="Z460" s="27"/>
      <c r="AA460" s="15"/>
      <c r="AB460" s="17"/>
      <c r="AC460" s="17"/>
      <c r="AD460" s="17"/>
      <c r="AE460" s="90"/>
      <c r="AF460" s="82" t="str">
        <f t="shared" si="118"/>
        <v/>
      </c>
      <c r="AG460" s="83" t="str">
        <f t="shared" si="119"/>
        <v/>
      </c>
      <c r="AH460" s="82" t="str">
        <f t="shared" si="120"/>
        <v/>
      </c>
      <c r="AI460" s="82" t="str">
        <f t="shared" si="121"/>
        <v/>
      </c>
      <c r="AJ460" s="90"/>
      <c r="AP460" s="88"/>
    </row>
    <row r="461" spans="1:42" x14ac:dyDescent="0.25">
      <c r="A461" s="2"/>
      <c r="C461" s="68" t="str" cm="1">
        <f t="array" ref="C461">IF(AF461&lt;&gt;"",
IFERROR(INDEX('LaunchPad Markbook'!A:A,MATCH(AH461,'LaunchPad Markbook'!D:D,0),0),"-"),"")</f>
        <v/>
      </c>
      <c r="D461" s="27"/>
      <c r="E461" s="27"/>
      <c r="F461" s="27"/>
      <c r="G461" s="14">
        <f>IF(OR(H461&gt;AB$2,I461&gt;AC$2,J461&gt;AD$2,
P461&gt;1,V461&gt;1,
L461&gt;'Group List A'!E$2,M461&gt;'Group List A'!F$2,N461&gt;'Group List A'!G$2,
R461&gt;'Group List B'!E$2,S461&gt;'Group List B'!F$2,T461&gt;'Group List B'!G$2),"Exceed",
IF(OR(H461=AB$2,I461=AC$2,J461=AD$2,
P461=1,V461=1,
L461='Group List A'!E$2,M461='Group List A'!F$2,N461='Group List A'!G$2,
R461='Group List B'!E$2,S461='Group List B'!F$2,T461='Group List B'!G$2),"Limit",0))</f>
        <v>0</v>
      </c>
      <c r="H461" s="29">
        <f t="shared" si="107"/>
        <v>0</v>
      </c>
      <c r="I461" s="29">
        <f t="shared" si="108"/>
        <v>0</v>
      </c>
      <c r="J461" s="29">
        <f t="shared" si="109"/>
        <v>0</v>
      </c>
      <c r="K461" s="32" t="str" cm="1">
        <f t="array" ref="K461">IF(AF461&lt;&gt;"",IFERROR(INDEX('Group List A'!B:B,MATCH(AI461,'Group List A'!A:A,0),0),"-"),"")</f>
        <v/>
      </c>
      <c r="L461" s="33">
        <f t="shared" si="110"/>
        <v>0</v>
      </c>
      <c r="M461" s="33">
        <f t="shared" si="111"/>
        <v>0</v>
      </c>
      <c r="N461" s="33">
        <f t="shared" si="112"/>
        <v>0</v>
      </c>
      <c r="O461" s="28"/>
      <c r="P461" s="33">
        <f t="shared" si="113"/>
        <v>0</v>
      </c>
      <c r="Q461" s="35" t="str" cm="1">
        <f t="array" ref="Q461">IF(AF461&lt;&gt;"",IFERROR(INDEX('Group List B'!B:B,MATCH(AI461,'Group List B'!A:A,0),0),"-"),"")</f>
        <v/>
      </c>
      <c r="R461" s="36">
        <f t="shared" si="114"/>
        <v>0</v>
      </c>
      <c r="S461" s="36">
        <f t="shared" si="115"/>
        <v>0</v>
      </c>
      <c r="T461" s="36">
        <f t="shared" si="116"/>
        <v>0</v>
      </c>
      <c r="U461" s="28"/>
      <c r="V461" s="37">
        <f t="shared" si="117"/>
        <v>0</v>
      </c>
      <c r="W461" s="41"/>
      <c r="X461" s="27"/>
      <c r="Y461" s="27"/>
      <c r="Z461" s="27"/>
      <c r="AA461" s="15"/>
      <c r="AB461" s="17"/>
      <c r="AC461" s="17"/>
      <c r="AD461" s="17"/>
      <c r="AE461" s="90"/>
      <c r="AF461" s="82" t="str">
        <f t="shared" si="118"/>
        <v/>
      </c>
      <c r="AG461" s="83" t="str">
        <f t="shared" si="119"/>
        <v/>
      </c>
      <c r="AH461" s="82" t="str">
        <f t="shared" si="120"/>
        <v/>
      </c>
      <c r="AI461" s="82" t="str">
        <f t="shared" si="121"/>
        <v/>
      </c>
      <c r="AJ461" s="90"/>
      <c r="AP461" s="88"/>
    </row>
    <row r="462" spans="1:42" x14ac:dyDescent="0.25">
      <c r="A462" s="2"/>
      <c r="C462" s="68" t="str" cm="1">
        <f t="array" ref="C462">IF(AF462&lt;&gt;"",
IFERROR(INDEX('LaunchPad Markbook'!A:A,MATCH(AH462,'LaunchPad Markbook'!D:D,0),0),"-"),"")</f>
        <v/>
      </c>
      <c r="D462" s="27"/>
      <c r="E462" s="27"/>
      <c r="F462" s="27"/>
      <c r="G462" s="14">
        <f>IF(OR(H462&gt;AB$2,I462&gt;AC$2,J462&gt;AD$2,
P462&gt;1,V462&gt;1,
L462&gt;'Group List A'!E$2,M462&gt;'Group List A'!F$2,N462&gt;'Group List A'!G$2,
R462&gt;'Group List B'!E$2,S462&gt;'Group List B'!F$2,T462&gt;'Group List B'!G$2),"Exceed",
IF(OR(H462=AB$2,I462=AC$2,J462=AD$2,
P462=1,V462=1,
L462='Group List A'!E$2,M462='Group List A'!F$2,N462='Group List A'!G$2,
R462='Group List B'!E$2,S462='Group List B'!F$2,T462='Group List B'!G$2),"Limit",0))</f>
        <v>0</v>
      </c>
      <c r="H462" s="29">
        <f t="shared" si="107"/>
        <v>0</v>
      </c>
      <c r="I462" s="29">
        <f t="shared" si="108"/>
        <v>0</v>
      </c>
      <c r="J462" s="29">
        <f t="shared" si="109"/>
        <v>0</v>
      </c>
      <c r="K462" s="32" t="str" cm="1">
        <f t="array" ref="K462">IF(AF462&lt;&gt;"",IFERROR(INDEX('Group List A'!B:B,MATCH(AI462,'Group List A'!A:A,0),0),"-"),"")</f>
        <v/>
      </c>
      <c r="L462" s="33">
        <f t="shared" si="110"/>
        <v>0</v>
      </c>
      <c r="M462" s="33">
        <f t="shared" si="111"/>
        <v>0</v>
      </c>
      <c r="N462" s="33">
        <f t="shared" si="112"/>
        <v>0</v>
      </c>
      <c r="O462" s="28"/>
      <c r="P462" s="33">
        <f t="shared" si="113"/>
        <v>0</v>
      </c>
      <c r="Q462" s="35" t="str" cm="1">
        <f t="array" ref="Q462">IF(AF462&lt;&gt;"",IFERROR(INDEX('Group List B'!B:B,MATCH(AI462,'Group List B'!A:A,0),0),"-"),"")</f>
        <v/>
      </c>
      <c r="R462" s="36">
        <f t="shared" si="114"/>
        <v>0</v>
      </c>
      <c r="S462" s="36">
        <f t="shared" si="115"/>
        <v>0</v>
      </c>
      <c r="T462" s="36">
        <f t="shared" si="116"/>
        <v>0</v>
      </c>
      <c r="U462" s="28"/>
      <c r="V462" s="37">
        <f t="shared" si="117"/>
        <v>0</v>
      </c>
      <c r="W462" s="41"/>
      <c r="X462" s="27"/>
      <c r="Y462" s="27"/>
      <c r="Z462" s="27"/>
      <c r="AA462" s="15"/>
      <c r="AB462" s="17"/>
      <c r="AC462" s="17"/>
      <c r="AD462" s="17"/>
      <c r="AE462" s="90"/>
      <c r="AF462" s="82" t="str">
        <f t="shared" si="118"/>
        <v/>
      </c>
      <c r="AG462" s="83" t="str">
        <f t="shared" si="119"/>
        <v/>
      </c>
      <c r="AH462" s="82" t="str">
        <f t="shared" si="120"/>
        <v/>
      </c>
      <c r="AI462" s="82" t="str">
        <f t="shared" si="121"/>
        <v/>
      </c>
      <c r="AJ462" s="90"/>
      <c r="AP462" s="88"/>
    </row>
    <row r="463" spans="1:42" x14ac:dyDescent="0.25">
      <c r="A463" s="2"/>
      <c r="C463" s="68" t="str" cm="1">
        <f t="array" ref="C463">IF(AF463&lt;&gt;"",
IFERROR(INDEX('LaunchPad Markbook'!A:A,MATCH(AH463,'LaunchPad Markbook'!D:D,0),0),"-"),"")</f>
        <v/>
      </c>
      <c r="D463" s="27"/>
      <c r="E463" s="27"/>
      <c r="F463" s="27"/>
      <c r="G463" s="14">
        <f>IF(OR(H463&gt;AB$2,I463&gt;AC$2,J463&gt;AD$2,
P463&gt;1,V463&gt;1,
L463&gt;'Group List A'!E$2,M463&gt;'Group List A'!F$2,N463&gt;'Group List A'!G$2,
R463&gt;'Group List B'!E$2,S463&gt;'Group List B'!F$2,T463&gt;'Group List B'!G$2),"Exceed",
IF(OR(H463=AB$2,I463=AC$2,J463=AD$2,
P463=1,V463=1,
L463='Group List A'!E$2,M463='Group List A'!F$2,N463='Group List A'!G$2,
R463='Group List B'!E$2,S463='Group List B'!F$2,T463='Group List B'!G$2),"Limit",0))</f>
        <v>0</v>
      </c>
      <c r="H463" s="29">
        <f t="shared" si="107"/>
        <v>0</v>
      </c>
      <c r="I463" s="29">
        <f t="shared" si="108"/>
        <v>0</v>
      </c>
      <c r="J463" s="29">
        <f t="shared" si="109"/>
        <v>0</v>
      </c>
      <c r="K463" s="32" t="str" cm="1">
        <f t="array" ref="K463">IF(AF463&lt;&gt;"",IFERROR(INDEX('Group List A'!B:B,MATCH(AI463,'Group List A'!A:A,0),0),"-"),"")</f>
        <v/>
      </c>
      <c r="L463" s="33">
        <f t="shared" si="110"/>
        <v>0</v>
      </c>
      <c r="M463" s="33">
        <f t="shared" si="111"/>
        <v>0</v>
      </c>
      <c r="N463" s="33">
        <f t="shared" si="112"/>
        <v>0</v>
      </c>
      <c r="O463" s="28"/>
      <c r="P463" s="33">
        <f t="shared" si="113"/>
        <v>0</v>
      </c>
      <c r="Q463" s="35" t="str" cm="1">
        <f t="array" ref="Q463">IF(AF463&lt;&gt;"",IFERROR(INDEX('Group List B'!B:B,MATCH(AI463,'Group List B'!A:A,0),0),"-"),"")</f>
        <v/>
      </c>
      <c r="R463" s="36">
        <f t="shared" si="114"/>
        <v>0</v>
      </c>
      <c r="S463" s="36">
        <f t="shared" si="115"/>
        <v>0</v>
      </c>
      <c r="T463" s="36">
        <f t="shared" si="116"/>
        <v>0</v>
      </c>
      <c r="U463" s="28"/>
      <c r="V463" s="37">
        <f t="shared" si="117"/>
        <v>0</v>
      </c>
      <c r="W463" s="41"/>
      <c r="X463" s="27"/>
      <c r="Y463" s="27"/>
      <c r="Z463" s="27"/>
      <c r="AA463" s="15"/>
      <c r="AB463" s="17"/>
      <c r="AC463" s="17"/>
      <c r="AD463" s="17"/>
      <c r="AE463" s="90"/>
      <c r="AF463" s="82" t="str">
        <f t="shared" si="118"/>
        <v/>
      </c>
      <c r="AG463" s="83" t="str">
        <f t="shared" si="119"/>
        <v/>
      </c>
      <c r="AH463" s="82" t="str">
        <f t="shared" si="120"/>
        <v/>
      </c>
      <c r="AI463" s="82" t="str">
        <f t="shared" si="121"/>
        <v/>
      </c>
      <c r="AJ463" s="90"/>
      <c r="AP463" s="88"/>
    </row>
    <row r="464" spans="1:42" x14ac:dyDescent="0.25">
      <c r="A464" s="2"/>
      <c r="C464" s="68" t="str" cm="1">
        <f t="array" ref="C464">IF(AF464&lt;&gt;"",
IFERROR(INDEX('LaunchPad Markbook'!A:A,MATCH(AH464,'LaunchPad Markbook'!D:D,0),0),"-"),"")</f>
        <v/>
      </c>
      <c r="D464" s="27"/>
      <c r="E464" s="27"/>
      <c r="F464" s="27"/>
      <c r="G464" s="14">
        <f>IF(OR(H464&gt;AB$2,I464&gt;AC$2,J464&gt;AD$2,
P464&gt;1,V464&gt;1,
L464&gt;'Group List A'!E$2,M464&gt;'Group List A'!F$2,N464&gt;'Group List A'!G$2,
R464&gt;'Group List B'!E$2,S464&gt;'Group List B'!F$2,T464&gt;'Group List B'!G$2),"Exceed",
IF(OR(H464=AB$2,I464=AC$2,J464=AD$2,
P464=1,V464=1,
L464='Group List A'!E$2,M464='Group List A'!F$2,N464='Group List A'!G$2,
R464='Group List B'!E$2,S464='Group List B'!F$2,T464='Group List B'!G$2),"Limit",0))</f>
        <v>0</v>
      </c>
      <c r="H464" s="29">
        <f t="shared" si="107"/>
        <v>0</v>
      </c>
      <c r="I464" s="29">
        <f t="shared" si="108"/>
        <v>0</v>
      </c>
      <c r="J464" s="29">
        <f t="shared" si="109"/>
        <v>0</v>
      </c>
      <c r="K464" s="32" t="str" cm="1">
        <f t="array" ref="K464">IF(AF464&lt;&gt;"",IFERROR(INDEX('Group List A'!B:B,MATCH(AI464,'Group List A'!A:A,0),0),"-"),"")</f>
        <v/>
      </c>
      <c r="L464" s="33">
        <f t="shared" si="110"/>
        <v>0</v>
      </c>
      <c r="M464" s="33">
        <f t="shared" si="111"/>
        <v>0</v>
      </c>
      <c r="N464" s="33">
        <f t="shared" si="112"/>
        <v>0</v>
      </c>
      <c r="O464" s="28"/>
      <c r="P464" s="33">
        <f t="shared" si="113"/>
        <v>0</v>
      </c>
      <c r="Q464" s="35" t="str" cm="1">
        <f t="array" ref="Q464">IF(AF464&lt;&gt;"",IFERROR(INDEX('Group List B'!B:B,MATCH(AI464,'Group List B'!A:A,0),0),"-"),"")</f>
        <v/>
      </c>
      <c r="R464" s="36">
        <f t="shared" si="114"/>
        <v>0</v>
      </c>
      <c r="S464" s="36">
        <f t="shared" si="115"/>
        <v>0</v>
      </c>
      <c r="T464" s="36">
        <f t="shared" si="116"/>
        <v>0</v>
      </c>
      <c r="U464" s="28"/>
      <c r="V464" s="37">
        <f t="shared" si="117"/>
        <v>0</v>
      </c>
      <c r="W464" s="41"/>
      <c r="X464" s="27"/>
      <c r="Y464" s="27"/>
      <c r="Z464" s="27"/>
      <c r="AA464" s="15"/>
      <c r="AB464" s="17"/>
      <c r="AC464" s="17"/>
      <c r="AD464" s="17"/>
      <c r="AE464" s="90"/>
      <c r="AF464" s="82" t="str">
        <f t="shared" si="118"/>
        <v/>
      </c>
      <c r="AG464" s="83" t="str">
        <f t="shared" si="119"/>
        <v/>
      </c>
      <c r="AH464" s="82" t="str">
        <f t="shared" si="120"/>
        <v/>
      </c>
      <c r="AI464" s="82" t="str">
        <f t="shared" si="121"/>
        <v/>
      </c>
      <c r="AJ464" s="90"/>
      <c r="AP464" s="88"/>
    </row>
    <row r="465" spans="1:42" x14ac:dyDescent="0.25">
      <c r="A465" s="2"/>
      <c r="C465" s="68" t="str" cm="1">
        <f t="array" ref="C465">IF(AF465&lt;&gt;"",
IFERROR(INDEX('LaunchPad Markbook'!A:A,MATCH(AH465,'LaunchPad Markbook'!D:D,0),0),"-"),"")</f>
        <v/>
      </c>
      <c r="D465" s="27"/>
      <c r="E465" s="27"/>
      <c r="F465" s="27"/>
      <c r="G465" s="14">
        <f>IF(OR(H465&gt;AB$2,I465&gt;AC$2,J465&gt;AD$2,
P465&gt;1,V465&gt;1,
L465&gt;'Group List A'!E$2,M465&gt;'Group List A'!F$2,N465&gt;'Group List A'!G$2,
R465&gt;'Group List B'!E$2,S465&gt;'Group List B'!F$2,T465&gt;'Group List B'!G$2),"Exceed",
IF(OR(H465=AB$2,I465=AC$2,J465=AD$2,
P465=1,V465=1,
L465='Group List A'!E$2,M465='Group List A'!F$2,N465='Group List A'!G$2,
R465='Group List B'!E$2,S465='Group List B'!F$2,T465='Group List B'!G$2),"Limit",0))</f>
        <v>0</v>
      </c>
      <c r="H465" s="29">
        <f t="shared" si="107"/>
        <v>0</v>
      </c>
      <c r="I465" s="29">
        <f t="shared" si="108"/>
        <v>0</v>
      </c>
      <c r="J465" s="29">
        <f t="shared" si="109"/>
        <v>0</v>
      </c>
      <c r="K465" s="32" t="str" cm="1">
        <f t="array" ref="K465">IF(AF465&lt;&gt;"",IFERROR(INDEX('Group List A'!B:B,MATCH(AI465,'Group List A'!A:A,0),0),"-"),"")</f>
        <v/>
      </c>
      <c r="L465" s="33">
        <f t="shared" si="110"/>
        <v>0</v>
      </c>
      <c r="M465" s="33">
        <f t="shared" si="111"/>
        <v>0</v>
      </c>
      <c r="N465" s="33">
        <f t="shared" si="112"/>
        <v>0</v>
      </c>
      <c r="O465" s="28"/>
      <c r="P465" s="33">
        <f t="shared" si="113"/>
        <v>0</v>
      </c>
      <c r="Q465" s="35" t="str" cm="1">
        <f t="array" ref="Q465">IF(AF465&lt;&gt;"",IFERROR(INDEX('Group List B'!B:B,MATCH(AI465,'Group List B'!A:A,0),0),"-"),"")</f>
        <v/>
      </c>
      <c r="R465" s="36">
        <f t="shared" si="114"/>
        <v>0</v>
      </c>
      <c r="S465" s="36">
        <f t="shared" si="115"/>
        <v>0</v>
      </c>
      <c r="T465" s="36">
        <f t="shared" si="116"/>
        <v>0</v>
      </c>
      <c r="U465" s="28"/>
      <c r="V465" s="37">
        <f t="shared" si="117"/>
        <v>0</v>
      </c>
      <c r="W465" s="41"/>
      <c r="X465" s="27"/>
      <c r="Y465" s="27"/>
      <c r="Z465" s="27"/>
      <c r="AA465" s="15"/>
      <c r="AB465" s="17"/>
      <c r="AC465" s="17"/>
      <c r="AD465" s="17"/>
      <c r="AE465" s="90"/>
      <c r="AF465" s="82" t="str">
        <f t="shared" si="118"/>
        <v/>
      </c>
      <c r="AG465" s="83" t="str">
        <f t="shared" si="119"/>
        <v/>
      </c>
      <c r="AH465" s="82" t="str">
        <f t="shared" si="120"/>
        <v/>
      </c>
      <c r="AI465" s="82" t="str">
        <f t="shared" si="121"/>
        <v/>
      </c>
      <c r="AJ465" s="90"/>
      <c r="AP465" s="88"/>
    </row>
    <row r="466" spans="1:42" x14ac:dyDescent="0.25">
      <c r="A466" s="2"/>
      <c r="C466" s="68" t="str" cm="1">
        <f t="array" ref="C466">IF(AF466&lt;&gt;"",
IFERROR(INDEX('LaunchPad Markbook'!A:A,MATCH(AH466,'LaunchPad Markbook'!D:D,0),0),"-"),"")</f>
        <v/>
      </c>
      <c r="D466" s="27"/>
      <c r="E466" s="27"/>
      <c r="F466" s="27"/>
      <c r="G466" s="14">
        <f>IF(OR(H466&gt;AB$2,I466&gt;AC$2,J466&gt;AD$2,
P466&gt;1,V466&gt;1,
L466&gt;'Group List A'!E$2,M466&gt;'Group List A'!F$2,N466&gt;'Group List A'!G$2,
R466&gt;'Group List B'!E$2,S466&gt;'Group List B'!F$2,T466&gt;'Group List B'!G$2),"Exceed",
IF(OR(H466=AB$2,I466=AC$2,J466=AD$2,
P466=1,V466=1,
L466='Group List A'!E$2,M466='Group List A'!F$2,N466='Group List A'!G$2,
R466='Group List B'!E$2,S466='Group List B'!F$2,T466='Group List B'!G$2),"Limit",0))</f>
        <v>0</v>
      </c>
      <c r="H466" s="29">
        <f t="shared" si="107"/>
        <v>0</v>
      </c>
      <c r="I466" s="29">
        <f t="shared" si="108"/>
        <v>0</v>
      </c>
      <c r="J466" s="29">
        <f t="shared" si="109"/>
        <v>0</v>
      </c>
      <c r="K466" s="32" t="str" cm="1">
        <f t="array" ref="K466">IF(AF466&lt;&gt;"",IFERROR(INDEX('Group List A'!B:B,MATCH(AI466,'Group List A'!A:A,0),0),"-"),"")</f>
        <v/>
      </c>
      <c r="L466" s="33">
        <f t="shared" si="110"/>
        <v>0</v>
      </c>
      <c r="M466" s="33">
        <f t="shared" si="111"/>
        <v>0</v>
      </c>
      <c r="N466" s="33">
        <f t="shared" si="112"/>
        <v>0</v>
      </c>
      <c r="O466" s="28"/>
      <c r="P466" s="33">
        <f t="shared" si="113"/>
        <v>0</v>
      </c>
      <c r="Q466" s="35" t="str" cm="1">
        <f t="array" ref="Q466">IF(AF466&lt;&gt;"",IFERROR(INDEX('Group List B'!B:B,MATCH(AI466,'Group List B'!A:A,0),0),"-"),"")</f>
        <v/>
      </c>
      <c r="R466" s="36">
        <f t="shared" si="114"/>
        <v>0</v>
      </c>
      <c r="S466" s="36">
        <f t="shared" si="115"/>
        <v>0</v>
      </c>
      <c r="T466" s="36">
        <f t="shared" si="116"/>
        <v>0</v>
      </c>
      <c r="U466" s="28"/>
      <c r="V466" s="37">
        <f t="shared" si="117"/>
        <v>0</v>
      </c>
      <c r="W466" s="41"/>
      <c r="X466" s="27"/>
      <c r="Y466" s="27"/>
      <c r="Z466" s="27"/>
      <c r="AA466" s="15"/>
      <c r="AB466" s="17"/>
      <c r="AC466" s="17"/>
      <c r="AD466" s="17"/>
      <c r="AE466" s="90"/>
      <c r="AF466" s="82" t="str">
        <f t="shared" si="118"/>
        <v/>
      </c>
      <c r="AG466" s="83" t="str">
        <f t="shared" si="119"/>
        <v/>
      </c>
      <c r="AH466" s="82" t="str">
        <f t="shared" si="120"/>
        <v/>
      </c>
      <c r="AI466" s="82" t="str">
        <f t="shared" si="121"/>
        <v/>
      </c>
      <c r="AJ466" s="90"/>
      <c r="AP466" s="88"/>
    </row>
    <row r="467" spans="1:42" x14ac:dyDescent="0.25">
      <c r="A467" s="2"/>
      <c r="C467" s="68" t="str" cm="1">
        <f t="array" ref="C467">IF(AF467&lt;&gt;"",
IFERROR(INDEX('LaunchPad Markbook'!A:A,MATCH(AH467,'LaunchPad Markbook'!D:D,0),0),"-"),"")</f>
        <v/>
      </c>
      <c r="D467" s="27"/>
      <c r="E467" s="27"/>
      <c r="F467" s="27"/>
      <c r="G467" s="14">
        <f>IF(OR(H467&gt;AB$2,I467&gt;AC$2,J467&gt;AD$2,
P467&gt;1,V467&gt;1,
L467&gt;'Group List A'!E$2,M467&gt;'Group List A'!F$2,N467&gt;'Group List A'!G$2,
R467&gt;'Group List B'!E$2,S467&gt;'Group List B'!F$2,T467&gt;'Group List B'!G$2),"Exceed",
IF(OR(H467=AB$2,I467=AC$2,J467=AD$2,
P467=1,V467=1,
L467='Group List A'!E$2,M467='Group List A'!F$2,N467='Group List A'!G$2,
R467='Group List B'!E$2,S467='Group List B'!F$2,T467='Group List B'!G$2),"Limit",0))</f>
        <v>0</v>
      </c>
      <c r="H467" s="29">
        <f t="shared" si="107"/>
        <v>0</v>
      </c>
      <c r="I467" s="29">
        <f t="shared" si="108"/>
        <v>0</v>
      </c>
      <c r="J467" s="29">
        <f t="shared" si="109"/>
        <v>0</v>
      </c>
      <c r="K467" s="32" t="str" cm="1">
        <f t="array" ref="K467">IF(AF467&lt;&gt;"",IFERROR(INDEX('Group List A'!B:B,MATCH(AI467,'Group List A'!A:A,0),0),"-"),"")</f>
        <v/>
      </c>
      <c r="L467" s="33">
        <f t="shared" si="110"/>
        <v>0</v>
      </c>
      <c r="M467" s="33">
        <f t="shared" si="111"/>
        <v>0</v>
      </c>
      <c r="N467" s="33">
        <f t="shared" si="112"/>
        <v>0</v>
      </c>
      <c r="O467" s="28"/>
      <c r="P467" s="33">
        <f t="shared" si="113"/>
        <v>0</v>
      </c>
      <c r="Q467" s="35" t="str" cm="1">
        <f t="array" ref="Q467">IF(AF467&lt;&gt;"",IFERROR(INDEX('Group List B'!B:B,MATCH(AI467,'Group List B'!A:A,0),0),"-"),"")</f>
        <v/>
      </c>
      <c r="R467" s="36">
        <f t="shared" si="114"/>
        <v>0</v>
      </c>
      <c r="S467" s="36">
        <f t="shared" si="115"/>
        <v>0</v>
      </c>
      <c r="T467" s="36">
        <f t="shared" si="116"/>
        <v>0</v>
      </c>
      <c r="U467" s="28"/>
      <c r="V467" s="37">
        <f t="shared" si="117"/>
        <v>0</v>
      </c>
      <c r="W467" s="41"/>
      <c r="X467" s="27"/>
      <c r="Y467" s="27"/>
      <c r="Z467" s="27"/>
      <c r="AA467" s="15"/>
      <c r="AB467" s="17"/>
      <c r="AC467" s="17"/>
      <c r="AD467" s="17"/>
      <c r="AE467" s="90"/>
      <c r="AF467" s="82" t="str">
        <f t="shared" si="118"/>
        <v/>
      </c>
      <c r="AG467" s="83" t="str">
        <f t="shared" si="119"/>
        <v/>
      </c>
      <c r="AH467" s="82" t="str">
        <f t="shared" si="120"/>
        <v/>
      </c>
      <c r="AI467" s="82" t="str">
        <f t="shared" si="121"/>
        <v/>
      </c>
      <c r="AJ467" s="90"/>
      <c r="AP467" s="88"/>
    </row>
    <row r="468" spans="1:42" x14ac:dyDescent="0.25">
      <c r="A468" s="2"/>
      <c r="C468" s="68" t="str" cm="1">
        <f t="array" ref="C468">IF(AF468&lt;&gt;"",
IFERROR(INDEX('LaunchPad Markbook'!A:A,MATCH(AH468,'LaunchPad Markbook'!D:D,0),0),"-"),"")</f>
        <v/>
      </c>
      <c r="D468" s="27"/>
      <c r="E468" s="27"/>
      <c r="F468" s="27"/>
      <c r="G468" s="14">
        <f>IF(OR(H468&gt;AB$2,I468&gt;AC$2,J468&gt;AD$2,
P468&gt;1,V468&gt;1,
L468&gt;'Group List A'!E$2,M468&gt;'Group List A'!F$2,N468&gt;'Group List A'!G$2,
R468&gt;'Group List B'!E$2,S468&gt;'Group List B'!F$2,T468&gt;'Group List B'!G$2),"Exceed",
IF(OR(H468=AB$2,I468=AC$2,J468=AD$2,
P468=1,V468=1,
L468='Group List A'!E$2,M468='Group List A'!F$2,N468='Group List A'!G$2,
R468='Group List B'!E$2,S468='Group List B'!F$2,T468='Group List B'!G$2),"Limit",0))</f>
        <v>0</v>
      </c>
      <c r="H468" s="29">
        <f t="shared" si="107"/>
        <v>0</v>
      </c>
      <c r="I468" s="29">
        <f t="shared" si="108"/>
        <v>0</v>
      </c>
      <c r="J468" s="29">
        <f t="shared" si="109"/>
        <v>0</v>
      </c>
      <c r="K468" s="32" t="str" cm="1">
        <f t="array" ref="K468">IF(AF468&lt;&gt;"",IFERROR(INDEX('Group List A'!B:B,MATCH(AI468,'Group List A'!A:A,0),0),"-"),"")</f>
        <v/>
      </c>
      <c r="L468" s="33">
        <f t="shared" si="110"/>
        <v>0</v>
      </c>
      <c r="M468" s="33">
        <f t="shared" si="111"/>
        <v>0</v>
      </c>
      <c r="N468" s="33">
        <f t="shared" si="112"/>
        <v>0</v>
      </c>
      <c r="O468" s="28"/>
      <c r="P468" s="33">
        <f t="shared" si="113"/>
        <v>0</v>
      </c>
      <c r="Q468" s="35" t="str" cm="1">
        <f t="array" ref="Q468">IF(AF468&lt;&gt;"",IFERROR(INDEX('Group List B'!B:B,MATCH(AI468,'Group List B'!A:A,0),0),"-"),"")</f>
        <v/>
      </c>
      <c r="R468" s="36">
        <f t="shared" si="114"/>
        <v>0</v>
      </c>
      <c r="S468" s="36">
        <f t="shared" si="115"/>
        <v>0</v>
      </c>
      <c r="T468" s="36">
        <f t="shared" si="116"/>
        <v>0</v>
      </c>
      <c r="U468" s="28"/>
      <c r="V468" s="37">
        <f t="shared" si="117"/>
        <v>0</v>
      </c>
      <c r="W468" s="41"/>
      <c r="X468" s="27"/>
      <c r="Y468" s="27"/>
      <c r="Z468" s="27"/>
      <c r="AA468" s="15"/>
      <c r="AB468" s="17"/>
      <c r="AC468" s="17"/>
      <c r="AD468" s="17"/>
      <c r="AE468" s="90"/>
      <c r="AF468" s="82" t="str">
        <f t="shared" si="118"/>
        <v/>
      </c>
      <c r="AG468" s="83" t="str">
        <f t="shared" si="119"/>
        <v/>
      </c>
      <c r="AH468" s="82" t="str">
        <f t="shared" si="120"/>
        <v/>
      </c>
      <c r="AI468" s="82" t="str">
        <f t="shared" si="121"/>
        <v/>
      </c>
      <c r="AJ468" s="90"/>
      <c r="AP468" s="88"/>
    </row>
    <row r="469" spans="1:42" x14ac:dyDescent="0.25">
      <c r="A469" s="2"/>
      <c r="C469" s="68" t="str" cm="1">
        <f t="array" ref="C469">IF(AF469&lt;&gt;"",
IFERROR(INDEX('LaunchPad Markbook'!A:A,MATCH(AH469,'LaunchPad Markbook'!D:D,0),0),"-"),"")</f>
        <v/>
      </c>
      <c r="D469" s="27"/>
      <c r="E469" s="27"/>
      <c r="F469" s="27"/>
      <c r="G469" s="14">
        <f>IF(OR(H469&gt;AB$2,I469&gt;AC$2,J469&gt;AD$2,
P469&gt;1,V469&gt;1,
L469&gt;'Group List A'!E$2,M469&gt;'Group List A'!F$2,N469&gt;'Group List A'!G$2,
R469&gt;'Group List B'!E$2,S469&gt;'Group List B'!F$2,T469&gt;'Group List B'!G$2),"Exceed",
IF(OR(H469=AB$2,I469=AC$2,J469=AD$2,
P469=1,V469=1,
L469='Group List A'!E$2,M469='Group List A'!F$2,N469='Group List A'!G$2,
R469='Group List B'!E$2,S469='Group List B'!F$2,T469='Group List B'!G$2),"Limit",0))</f>
        <v>0</v>
      </c>
      <c r="H469" s="29">
        <f t="shared" si="107"/>
        <v>0</v>
      </c>
      <c r="I469" s="29">
        <f t="shared" si="108"/>
        <v>0</v>
      </c>
      <c r="J469" s="29">
        <f t="shared" si="109"/>
        <v>0</v>
      </c>
      <c r="K469" s="32" t="str" cm="1">
        <f t="array" ref="K469">IF(AF469&lt;&gt;"",IFERROR(INDEX('Group List A'!B:B,MATCH(AI469,'Group List A'!A:A,0),0),"-"),"")</f>
        <v/>
      </c>
      <c r="L469" s="33">
        <f t="shared" si="110"/>
        <v>0</v>
      </c>
      <c r="M469" s="33">
        <f t="shared" si="111"/>
        <v>0</v>
      </c>
      <c r="N469" s="33">
        <f t="shared" si="112"/>
        <v>0</v>
      </c>
      <c r="O469" s="28"/>
      <c r="P469" s="33">
        <f t="shared" si="113"/>
        <v>0</v>
      </c>
      <c r="Q469" s="35" t="str" cm="1">
        <f t="array" ref="Q469">IF(AF469&lt;&gt;"",IFERROR(INDEX('Group List B'!B:B,MATCH(AI469,'Group List B'!A:A,0),0),"-"),"")</f>
        <v/>
      </c>
      <c r="R469" s="36">
        <f t="shared" si="114"/>
        <v>0</v>
      </c>
      <c r="S469" s="36">
        <f t="shared" si="115"/>
        <v>0</v>
      </c>
      <c r="T469" s="36">
        <f t="shared" si="116"/>
        <v>0</v>
      </c>
      <c r="U469" s="28"/>
      <c r="V469" s="37">
        <f t="shared" si="117"/>
        <v>0</v>
      </c>
      <c r="W469" s="41"/>
      <c r="X469" s="27"/>
      <c r="Y469" s="27"/>
      <c r="Z469" s="27"/>
      <c r="AA469" s="15"/>
      <c r="AB469" s="17"/>
      <c r="AC469" s="17"/>
      <c r="AD469" s="17"/>
      <c r="AE469" s="90"/>
      <c r="AF469" s="82" t="str">
        <f t="shared" si="118"/>
        <v/>
      </c>
      <c r="AG469" s="83" t="str">
        <f t="shared" si="119"/>
        <v/>
      </c>
      <c r="AH469" s="82" t="str">
        <f t="shared" si="120"/>
        <v/>
      </c>
      <c r="AI469" s="82" t="str">
        <f t="shared" si="121"/>
        <v/>
      </c>
      <c r="AJ469" s="90"/>
      <c r="AP469" s="88"/>
    </row>
    <row r="470" spans="1:42" x14ac:dyDescent="0.25">
      <c r="A470" s="2"/>
      <c r="C470" s="68" t="str" cm="1">
        <f t="array" ref="C470">IF(AF470&lt;&gt;"",
IFERROR(INDEX('LaunchPad Markbook'!A:A,MATCH(AH470,'LaunchPad Markbook'!D:D,0),0),"-"),"")</f>
        <v/>
      </c>
      <c r="D470" s="27"/>
      <c r="E470" s="27"/>
      <c r="F470" s="27"/>
      <c r="G470" s="14">
        <f>IF(OR(H470&gt;AB$2,I470&gt;AC$2,J470&gt;AD$2,
P470&gt;1,V470&gt;1,
L470&gt;'Group List A'!E$2,M470&gt;'Group List A'!F$2,N470&gt;'Group List A'!G$2,
R470&gt;'Group List B'!E$2,S470&gt;'Group List B'!F$2,T470&gt;'Group List B'!G$2),"Exceed",
IF(OR(H470=AB$2,I470=AC$2,J470=AD$2,
P470=1,V470=1,
L470='Group List A'!E$2,M470='Group List A'!F$2,N470='Group List A'!G$2,
R470='Group List B'!E$2,S470='Group List B'!F$2,T470='Group List B'!G$2),"Limit",0))</f>
        <v>0</v>
      </c>
      <c r="H470" s="29">
        <f t="shared" si="107"/>
        <v>0</v>
      </c>
      <c r="I470" s="29">
        <f t="shared" si="108"/>
        <v>0</v>
      </c>
      <c r="J470" s="29">
        <f t="shared" si="109"/>
        <v>0</v>
      </c>
      <c r="K470" s="32" t="str" cm="1">
        <f t="array" ref="K470">IF(AF470&lt;&gt;"",IFERROR(INDEX('Group List A'!B:B,MATCH(AI470,'Group List A'!A:A,0),0),"-"),"")</f>
        <v/>
      </c>
      <c r="L470" s="33">
        <f t="shared" si="110"/>
        <v>0</v>
      </c>
      <c r="M470" s="33">
        <f t="shared" si="111"/>
        <v>0</v>
      </c>
      <c r="N470" s="33">
        <f t="shared" si="112"/>
        <v>0</v>
      </c>
      <c r="O470" s="28"/>
      <c r="P470" s="33">
        <f t="shared" si="113"/>
        <v>0</v>
      </c>
      <c r="Q470" s="35" t="str" cm="1">
        <f t="array" ref="Q470">IF(AF470&lt;&gt;"",IFERROR(INDEX('Group List B'!B:B,MATCH(AI470,'Group List B'!A:A,0),0),"-"),"")</f>
        <v/>
      </c>
      <c r="R470" s="36">
        <f t="shared" si="114"/>
        <v>0</v>
      </c>
      <c r="S470" s="36">
        <f t="shared" si="115"/>
        <v>0</v>
      </c>
      <c r="T470" s="36">
        <f t="shared" si="116"/>
        <v>0</v>
      </c>
      <c r="U470" s="28"/>
      <c r="V470" s="37">
        <f t="shared" si="117"/>
        <v>0</v>
      </c>
      <c r="W470" s="41"/>
      <c r="X470" s="27"/>
      <c r="Y470" s="27"/>
      <c r="Z470" s="27"/>
      <c r="AA470" s="15"/>
      <c r="AB470" s="17"/>
      <c r="AC470" s="17"/>
      <c r="AD470" s="17"/>
      <c r="AE470" s="90"/>
      <c r="AF470" s="82" t="str">
        <f t="shared" si="118"/>
        <v/>
      </c>
      <c r="AG470" s="83" t="str">
        <f t="shared" si="119"/>
        <v/>
      </c>
      <c r="AH470" s="82" t="str">
        <f t="shared" si="120"/>
        <v/>
      </c>
      <c r="AI470" s="82" t="str">
        <f t="shared" si="121"/>
        <v/>
      </c>
      <c r="AJ470" s="90"/>
      <c r="AP470" s="88"/>
    </row>
    <row r="471" spans="1:42" x14ac:dyDescent="0.25">
      <c r="A471" s="2"/>
      <c r="C471" s="68" t="str" cm="1">
        <f t="array" ref="C471">IF(AF471&lt;&gt;"",
IFERROR(INDEX('LaunchPad Markbook'!A:A,MATCH(AH471,'LaunchPad Markbook'!D:D,0),0),"-"),"")</f>
        <v/>
      </c>
      <c r="D471" s="27"/>
      <c r="E471" s="27"/>
      <c r="F471" s="27"/>
      <c r="G471" s="14">
        <f>IF(OR(H471&gt;AB$2,I471&gt;AC$2,J471&gt;AD$2,
P471&gt;1,V471&gt;1,
L471&gt;'Group List A'!E$2,M471&gt;'Group List A'!F$2,N471&gt;'Group List A'!G$2,
R471&gt;'Group List B'!E$2,S471&gt;'Group List B'!F$2,T471&gt;'Group List B'!G$2),"Exceed",
IF(OR(H471=AB$2,I471=AC$2,J471=AD$2,
P471=1,V471=1,
L471='Group List A'!E$2,M471='Group List A'!F$2,N471='Group List A'!G$2,
R471='Group List B'!E$2,S471='Group List B'!F$2,T471='Group List B'!G$2),"Limit",0))</f>
        <v>0</v>
      </c>
      <c r="H471" s="29">
        <f t="shared" si="107"/>
        <v>0</v>
      </c>
      <c r="I471" s="29">
        <f t="shared" si="108"/>
        <v>0</v>
      </c>
      <c r="J471" s="29">
        <f t="shared" si="109"/>
        <v>0</v>
      </c>
      <c r="K471" s="32" t="str" cm="1">
        <f t="array" ref="K471">IF(AF471&lt;&gt;"",IFERROR(INDEX('Group List A'!B:B,MATCH(AI471,'Group List A'!A:A,0),0),"-"),"")</f>
        <v/>
      </c>
      <c r="L471" s="33">
        <f t="shared" si="110"/>
        <v>0</v>
      </c>
      <c r="M471" s="33">
        <f t="shared" si="111"/>
        <v>0</v>
      </c>
      <c r="N471" s="33">
        <f t="shared" si="112"/>
        <v>0</v>
      </c>
      <c r="O471" s="28"/>
      <c r="P471" s="33">
        <f t="shared" si="113"/>
        <v>0</v>
      </c>
      <c r="Q471" s="35" t="str" cm="1">
        <f t="array" ref="Q471">IF(AF471&lt;&gt;"",IFERROR(INDEX('Group List B'!B:B,MATCH(AI471,'Group List B'!A:A,0),0),"-"),"")</f>
        <v/>
      </c>
      <c r="R471" s="36">
        <f t="shared" si="114"/>
        <v>0</v>
      </c>
      <c r="S471" s="36">
        <f t="shared" si="115"/>
        <v>0</v>
      </c>
      <c r="T471" s="36">
        <f t="shared" si="116"/>
        <v>0</v>
      </c>
      <c r="U471" s="28"/>
      <c r="V471" s="37">
        <f t="shared" si="117"/>
        <v>0</v>
      </c>
      <c r="W471" s="41"/>
      <c r="X471" s="27"/>
      <c r="Y471" s="27"/>
      <c r="Z471" s="27"/>
      <c r="AA471" s="15"/>
      <c r="AB471" s="17"/>
      <c r="AC471" s="17"/>
      <c r="AD471" s="17"/>
      <c r="AE471" s="90"/>
      <c r="AF471" s="82" t="str">
        <f t="shared" si="118"/>
        <v/>
      </c>
      <c r="AG471" s="83" t="str">
        <f t="shared" si="119"/>
        <v/>
      </c>
      <c r="AH471" s="82" t="str">
        <f t="shared" si="120"/>
        <v/>
      </c>
      <c r="AI471" s="82" t="str">
        <f t="shared" si="121"/>
        <v/>
      </c>
      <c r="AJ471" s="90"/>
      <c r="AP471" s="88"/>
    </row>
    <row r="472" spans="1:42" x14ac:dyDescent="0.25">
      <c r="A472" s="2"/>
      <c r="C472" s="68" t="str" cm="1">
        <f t="array" ref="C472">IF(AF472&lt;&gt;"",
IFERROR(INDEX('LaunchPad Markbook'!A:A,MATCH(AH472,'LaunchPad Markbook'!D:D,0),0),"-"),"")</f>
        <v/>
      </c>
      <c r="D472" s="27"/>
      <c r="E472" s="27"/>
      <c r="F472" s="27"/>
      <c r="G472" s="14">
        <f>IF(OR(H472&gt;AB$2,I472&gt;AC$2,J472&gt;AD$2,
P472&gt;1,V472&gt;1,
L472&gt;'Group List A'!E$2,M472&gt;'Group List A'!F$2,N472&gt;'Group List A'!G$2,
R472&gt;'Group List B'!E$2,S472&gt;'Group List B'!F$2,T472&gt;'Group List B'!G$2),"Exceed",
IF(OR(H472=AB$2,I472=AC$2,J472=AD$2,
P472=1,V472=1,
L472='Group List A'!E$2,M472='Group List A'!F$2,N472='Group List A'!G$2,
R472='Group List B'!E$2,S472='Group List B'!F$2,T472='Group List B'!G$2),"Limit",0))</f>
        <v>0</v>
      </c>
      <c r="H472" s="29">
        <f t="shared" si="107"/>
        <v>0</v>
      </c>
      <c r="I472" s="29">
        <f t="shared" si="108"/>
        <v>0</v>
      </c>
      <c r="J472" s="29">
        <f t="shared" si="109"/>
        <v>0</v>
      </c>
      <c r="K472" s="32" t="str" cm="1">
        <f t="array" ref="K472">IF(AF472&lt;&gt;"",IFERROR(INDEX('Group List A'!B:B,MATCH(AI472,'Group List A'!A:A,0),0),"-"),"")</f>
        <v/>
      </c>
      <c r="L472" s="33">
        <f t="shared" si="110"/>
        <v>0</v>
      </c>
      <c r="M472" s="33">
        <f t="shared" si="111"/>
        <v>0</v>
      </c>
      <c r="N472" s="33">
        <f t="shared" si="112"/>
        <v>0</v>
      </c>
      <c r="O472" s="28"/>
      <c r="P472" s="33">
        <f t="shared" si="113"/>
        <v>0</v>
      </c>
      <c r="Q472" s="35" t="str" cm="1">
        <f t="array" ref="Q472">IF(AF472&lt;&gt;"",IFERROR(INDEX('Group List B'!B:B,MATCH(AI472,'Group List B'!A:A,0),0),"-"),"")</f>
        <v/>
      </c>
      <c r="R472" s="36">
        <f t="shared" si="114"/>
        <v>0</v>
      </c>
      <c r="S472" s="36">
        <f t="shared" si="115"/>
        <v>0</v>
      </c>
      <c r="T472" s="36">
        <f t="shared" si="116"/>
        <v>0</v>
      </c>
      <c r="U472" s="28"/>
      <c r="V472" s="37">
        <f t="shared" si="117"/>
        <v>0</v>
      </c>
      <c r="W472" s="41"/>
      <c r="X472" s="27"/>
      <c r="Y472" s="27"/>
      <c r="Z472" s="27"/>
      <c r="AA472" s="15"/>
      <c r="AB472" s="17"/>
      <c r="AC472" s="17"/>
      <c r="AD472" s="17"/>
      <c r="AE472" s="90"/>
      <c r="AF472" s="82" t="str">
        <f t="shared" si="118"/>
        <v/>
      </c>
      <c r="AG472" s="83" t="str">
        <f t="shared" si="119"/>
        <v/>
      </c>
      <c r="AH472" s="82" t="str">
        <f t="shared" si="120"/>
        <v/>
      </c>
      <c r="AI472" s="82" t="str">
        <f t="shared" si="121"/>
        <v/>
      </c>
      <c r="AJ472" s="90"/>
      <c r="AP472" s="88"/>
    </row>
    <row r="473" spans="1:42" x14ac:dyDescent="0.25">
      <c r="A473" s="2"/>
      <c r="C473" s="68" t="str" cm="1">
        <f t="array" ref="C473">IF(AF473&lt;&gt;"",
IFERROR(INDEX('LaunchPad Markbook'!A:A,MATCH(AH473,'LaunchPad Markbook'!D:D,0),0),"-"),"")</f>
        <v/>
      </c>
      <c r="D473" s="27"/>
      <c r="E473" s="27"/>
      <c r="F473" s="27"/>
      <c r="G473" s="14">
        <f>IF(OR(H473&gt;AB$2,I473&gt;AC$2,J473&gt;AD$2,
P473&gt;1,V473&gt;1,
L473&gt;'Group List A'!E$2,M473&gt;'Group List A'!F$2,N473&gt;'Group List A'!G$2,
R473&gt;'Group List B'!E$2,S473&gt;'Group List B'!F$2,T473&gt;'Group List B'!G$2),"Exceed",
IF(OR(H473=AB$2,I473=AC$2,J473=AD$2,
P473=1,V473=1,
L473='Group List A'!E$2,M473='Group List A'!F$2,N473='Group List A'!G$2,
R473='Group List B'!E$2,S473='Group List B'!F$2,T473='Group List B'!G$2),"Limit",0))</f>
        <v>0</v>
      </c>
      <c r="H473" s="29">
        <f t="shared" si="107"/>
        <v>0</v>
      </c>
      <c r="I473" s="29">
        <f t="shared" si="108"/>
        <v>0</v>
      </c>
      <c r="J473" s="29">
        <f t="shared" si="109"/>
        <v>0</v>
      </c>
      <c r="K473" s="32" t="str" cm="1">
        <f t="array" ref="K473">IF(AF473&lt;&gt;"",IFERROR(INDEX('Group List A'!B:B,MATCH(AI473,'Group List A'!A:A,0),0),"-"),"")</f>
        <v/>
      </c>
      <c r="L473" s="33">
        <f t="shared" si="110"/>
        <v>0</v>
      </c>
      <c r="M473" s="33">
        <f t="shared" si="111"/>
        <v>0</v>
      </c>
      <c r="N473" s="33">
        <f t="shared" si="112"/>
        <v>0</v>
      </c>
      <c r="O473" s="28"/>
      <c r="P473" s="33">
        <f t="shared" si="113"/>
        <v>0</v>
      </c>
      <c r="Q473" s="35" t="str" cm="1">
        <f t="array" ref="Q473">IF(AF473&lt;&gt;"",IFERROR(INDEX('Group List B'!B:B,MATCH(AI473,'Group List B'!A:A,0),0),"-"),"")</f>
        <v/>
      </c>
      <c r="R473" s="36">
        <f t="shared" si="114"/>
        <v>0</v>
      </c>
      <c r="S473" s="36">
        <f t="shared" si="115"/>
        <v>0</v>
      </c>
      <c r="T473" s="36">
        <f t="shared" si="116"/>
        <v>0</v>
      </c>
      <c r="U473" s="28"/>
      <c r="V473" s="37">
        <f t="shared" si="117"/>
        <v>0</v>
      </c>
      <c r="W473" s="41"/>
      <c r="X473" s="27"/>
      <c r="Y473" s="27"/>
      <c r="Z473" s="27"/>
      <c r="AA473" s="15"/>
      <c r="AB473" s="17"/>
      <c r="AC473" s="17"/>
      <c r="AD473" s="17"/>
      <c r="AE473" s="90"/>
      <c r="AF473" s="82" t="str">
        <f t="shared" si="118"/>
        <v/>
      </c>
      <c r="AG473" s="83" t="str">
        <f t="shared" si="119"/>
        <v/>
      </c>
      <c r="AH473" s="82" t="str">
        <f t="shared" si="120"/>
        <v/>
      </c>
      <c r="AI473" s="82" t="str">
        <f t="shared" si="121"/>
        <v/>
      </c>
      <c r="AJ473" s="90"/>
      <c r="AP473" s="88"/>
    </row>
    <row r="474" spans="1:42" x14ac:dyDescent="0.25">
      <c r="A474" s="2"/>
      <c r="C474" s="68" t="str" cm="1">
        <f t="array" ref="C474">IF(AF474&lt;&gt;"",
IFERROR(INDEX('LaunchPad Markbook'!A:A,MATCH(AH474,'LaunchPad Markbook'!D:D,0),0),"-"),"")</f>
        <v/>
      </c>
      <c r="D474" s="27"/>
      <c r="E474" s="27"/>
      <c r="F474" s="27"/>
      <c r="G474" s="14">
        <f>IF(OR(H474&gt;AB$2,I474&gt;AC$2,J474&gt;AD$2,
P474&gt;1,V474&gt;1,
L474&gt;'Group List A'!E$2,M474&gt;'Group List A'!F$2,N474&gt;'Group List A'!G$2,
R474&gt;'Group List B'!E$2,S474&gt;'Group List B'!F$2,T474&gt;'Group List B'!G$2),"Exceed",
IF(OR(H474=AB$2,I474=AC$2,J474=AD$2,
P474=1,V474=1,
L474='Group List A'!E$2,M474='Group List A'!F$2,N474='Group List A'!G$2,
R474='Group List B'!E$2,S474='Group List B'!F$2,T474='Group List B'!G$2),"Limit",0))</f>
        <v>0</v>
      </c>
      <c r="H474" s="29">
        <f t="shared" si="107"/>
        <v>0</v>
      </c>
      <c r="I474" s="29">
        <f t="shared" si="108"/>
        <v>0</v>
      </c>
      <c r="J474" s="29">
        <f t="shared" si="109"/>
        <v>0</v>
      </c>
      <c r="K474" s="32" t="str" cm="1">
        <f t="array" ref="K474">IF(AF474&lt;&gt;"",IFERROR(INDEX('Group List A'!B:B,MATCH(AI474,'Group List A'!A:A,0),0),"-"),"")</f>
        <v/>
      </c>
      <c r="L474" s="33">
        <f t="shared" si="110"/>
        <v>0</v>
      </c>
      <c r="M474" s="33">
        <f t="shared" si="111"/>
        <v>0</v>
      </c>
      <c r="N474" s="33">
        <f t="shared" si="112"/>
        <v>0</v>
      </c>
      <c r="O474" s="28"/>
      <c r="P474" s="33">
        <f t="shared" si="113"/>
        <v>0</v>
      </c>
      <c r="Q474" s="35" t="str" cm="1">
        <f t="array" ref="Q474">IF(AF474&lt;&gt;"",IFERROR(INDEX('Group List B'!B:B,MATCH(AI474,'Group List B'!A:A,0),0),"-"),"")</f>
        <v/>
      </c>
      <c r="R474" s="36">
        <f t="shared" si="114"/>
        <v>0</v>
      </c>
      <c r="S474" s="36">
        <f t="shared" si="115"/>
        <v>0</v>
      </c>
      <c r="T474" s="36">
        <f t="shared" si="116"/>
        <v>0</v>
      </c>
      <c r="U474" s="28"/>
      <c r="V474" s="37">
        <f t="shared" si="117"/>
        <v>0</v>
      </c>
      <c r="W474" s="41"/>
      <c r="X474" s="27"/>
      <c r="Y474" s="27"/>
      <c r="Z474" s="27"/>
      <c r="AA474" s="15"/>
      <c r="AB474" s="17"/>
      <c r="AC474" s="17"/>
      <c r="AD474" s="17"/>
      <c r="AE474" s="90"/>
      <c r="AF474" s="82" t="str">
        <f t="shared" si="118"/>
        <v/>
      </c>
      <c r="AG474" s="83" t="str">
        <f t="shared" si="119"/>
        <v/>
      </c>
      <c r="AH474" s="82" t="str">
        <f t="shared" si="120"/>
        <v/>
      </c>
      <c r="AI474" s="82" t="str">
        <f t="shared" si="121"/>
        <v/>
      </c>
      <c r="AJ474" s="90"/>
      <c r="AP474" s="88"/>
    </row>
    <row r="475" spans="1:42" x14ac:dyDescent="0.25">
      <c r="A475" s="2"/>
      <c r="C475" s="68" t="str" cm="1">
        <f t="array" ref="C475">IF(AF475&lt;&gt;"",
IFERROR(INDEX('LaunchPad Markbook'!A:A,MATCH(AH475,'LaunchPad Markbook'!D:D,0),0),"-"),"")</f>
        <v/>
      </c>
      <c r="D475" s="27"/>
      <c r="E475" s="27"/>
      <c r="F475" s="27"/>
      <c r="G475" s="14">
        <f>IF(OR(H475&gt;AB$2,I475&gt;AC$2,J475&gt;AD$2,
P475&gt;1,V475&gt;1,
L475&gt;'Group List A'!E$2,M475&gt;'Group List A'!F$2,N475&gt;'Group List A'!G$2,
R475&gt;'Group List B'!E$2,S475&gt;'Group List B'!F$2,T475&gt;'Group List B'!G$2),"Exceed",
IF(OR(H475=AB$2,I475=AC$2,J475=AD$2,
P475=1,V475=1,
L475='Group List A'!E$2,M475='Group List A'!F$2,N475='Group List A'!G$2,
R475='Group List B'!E$2,S475='Group List B'!F$2,T475='Group List B'!G$2),"Limit",0))</f>
        <v>0</v>
      </c>
      <c r="H475" s="29">
        <f t="shared" si="107"/>
        <v>0</v>
      </c>
      <c r="I475" s="29">
        <f t="shared" si="108"/>
        <v>0</v>
      </c>
      <c r="J475" s="29">
        <f t="shared" si="109"/>
        <v>0</v>
      </c>
      <c r="K475" s="32" t="str" cm="1">
        <f t="array" ref="K475">IF(AF475&lt;&gt;"",IFERROR(INDEX('Group List A'!B:B,MATCH(AI475,'Group List A'!A:A,0),0),"-"),"")</f>
        <v/>
      </c>
      <c r="L475" s="33">
        <f t="shared" si="110"/>
        <v>0</v>
      </c>
      <c r="M475" s="33">
        <f t="shared" si="111"/>
        <v>0</v>
      </c>
      <c r="N475" s="33">
        <f t="shared" si="112"/>
        <v>0</v>
      </c>
      <c r="O475" s="28"/>
      <c r="P475" s="33">
        <f t="shared" si="113"/>
        <v>0</v>
      </c>
      <c r="Q475" s="35" t="str" cm="1">
        <f t="array" ref="Q475">IF(AF475&lt;&gt;"",IFERROR(INDEX('Group List B'!B:B,MATCH(AI475,'Group List B'!A:A,0),0),"-"),"")</f>
        <v/>
      </c>
      <c r="R475" s="36">
        <f t="shared" si="114"/>
        <v>0</v>
      </c>
      <c r="S475" s="36">
        <f t="shared" si="115"/>
        <v>0</v>
      </c>
      <c r="T475" s="36">
        <f t="shared" si="116"/>
        <v>0</v>
      </c>
      <c r="U475" s="28"/>
      <c r="V475" s="37">
        <f t="shared" si="117"/>
        <v>0</v>
      </c>
      <c r="W475" s="41"/>
      <c r="X475" s="27"/>
      <c r="Y475" s="27"/>
      <c r="Z475" s="27"/>
      <c r="AA475" s="15"/>
      <c r="AB475" s="17"/>
      <c r="AC475" s="17"/>
      <c r="AD475" s="17"/>
      <c r="AE475" s="90"/>
      <c r="AF475" s="82" t="str">
        <f t="shared" si="118"/>
        <v/>
      </c>
      <c r="AG475" s="83" t="str">
        <f t="shared" si="119"/>
        <v/>
      </c>
      <c r="AH475" s="82" t="str">
        <f t="shared" si="120"/>
        <v/>
      </c>
      <c r="AI475" s="82" t="str">
        <f t="shared" si="121"/>
        <v/>
      </c>
      <c r="AJ475" s="90"/>
      <c r="AP475" s="88"/>
    </row>
    <row r="476" spans="1:42" x14ac:dyDescent="0.25">
      <c r="A476" s="2"/>
      <c r="C476" s="68" t="str" cm="1">
        <f t="array" ref="C476">IF(AF476&lt;&gt;"",
IFERROR(INDEX('LaunchPad Markbook'!A:A,MATCH(AH476,'LaunchPad Markbook'!D:D,0),0),"-"),"")</f>
        <v/>
      </c>
      <c r="D476" s="27"/>
      <c r="E476" s="27"/>
      <c r="F476" s="27"/>
      <c r="G476" s="14">
        <f>IF(OR(H476&gt;AB$2,I476&gt;AC$2,J476&gt;AD$2,
P476&gt;1,V476&gt;1,
L476&gt;'Group List A'!E$2,M476&gt;'Group List A'!F$2,N476&gt;'Group List A'!G$2,
R476&gt;'Group List B'!E$2,S476&gt;'Group List B'!F$2,T476&gt;'Group List B'!G$2),"Exceed",
IF(OR(H476=AB$2,I476=AC$2,J476=AD$2,
P476=1,V476=1,
L476='Group List A'!E$2,M476='Group List A'!F$2,N476='Group List A'!G$2,
R476='Group List B'!E$2,S476='Group List B'!F$2,T476='Group List B'!G$2),"Limit",0))</f>
        <v>0</v>
      </c>
      <c r="H476" s="29">
        <f t="shared" si="107"/>
        <v>0</v>
      </c>
      <c r="I476" s="29">
        <f t="shared" si="108"/>
        <v>0</v>
      </c>
      <c r="J476" s="29">
        <f t="shared" si="109"/>
        <v>0</v>
      </c>
      <c r="K476" s="32" t="str" cm="1">
        <f t="array" ref="K476">IF(AF476&lt;&gt;"",IFERROR(INDEX('Group List A'!B:B,MATCH(AI476,'Group List A'!A:A,0),0),"-"),"")</f>
        <v/>
      </c>
      <c r="L476" s="33">
        <f t="shared" si="110"/>
        <v>0</v>
      </c>
      <c r="M476" s="33">
        <f t="shared" si="111"/>
        <v>0</v>
      </c>
      <c r="N476" s="33">
        <f t="shared" si="112"/>
        <v>0</v>
      </c>
      <c r="O476" s="28"/>
      <c r="P476" s="33">
        <f t="shared" si="113"/>
        <v>0</v>
      </c>
      <c r="Q476" s="35" t="str" cm="1">
        <f t="array" ref="Q476">IF(AF476&lt;&gt;"",IFERROR(INDEX('Group List B'!B:B,MATCH(AI476,'Group List B'!A:A,0),0),"-"),"")</f>
        <v/>
      </c>
      <c r="R476" s="36">
        <f t="shared" si="114"/>
        <v>0</v>
      </c>
      <c r="S476" s="36">
        <f t="shared" si="115"/>
        <v>0</v>
      </c>
      <c r="T476" s="36">
        <f t="shared" si="116"/>
        <v>0</v>
      </c>
      <c r="U476" s="28"/>
      <c r="V476" s="37">
        <f t="shared" si="117"/>
        <v>0</v>
      </c>
      <c r="W476" s="41"/>
      <c r="X476" s="27"/>
      <c r="Y476" s="27"/>
      <c r="Z476" s="27"/>
      <c r="AA476" s="15"/>
      <c r="AB476" s="17"/>
      <c r="AC476" s="17"/>
      <c r="AD476" s="17"/>
      <c r="AE476" s="90"/>
      <c r="AF476" s="82" t="str">
        <f t="shared" si="118"/>
        <v/>
      </c>
      <c r="AG476" s="83" t="str">
        <f t="shared" si="119"/>
        <v/>
      </c>
      <c r="AH476" s="82" t="str">
        <f t="shared" si="120"/>
        <v/>
      </c>
      <c r="AI476" s="82" t="str">
        <f t="shared" si="121"/>
        <v/>
      </c>
      <c r="AJ476" s="90"/>
      <c r="AP476" s="88"/>
    </row>
    <row r="477" spans="1:42" x14ac:dyDescent="0.25">
      <c r="A477" s="2"/>
      <c r="C477" s="68" t="str" cm="1">
        <f t="array" ref="C477">IF(AF477&lt;&gt;"",
IFERROR(INDEX('LaunchPad Markbook'!A:A,MATCH(AH477,'LaunchPad Markbook'!D:D,0),0),"-"),"")</f>
        <v/>
      </c>
      <c r="D477" s="27"/>
      <c r="E477" s="27"/>
      <c r="F477" s="27"/>
      <c r="G477" s="14">
        <f>IF(OR(H477&gt;AB$2,I477&gt;AC$2,J477&gt;AD$2,
P477&gt;1,V477&gt;1,
L477&gt;'Group List A'!E$2,M477&gt;'Group List A'!F$2,N477&gt;'Group List A'!G$2,
R477&gt;'Group List B'!E$2,S477&gt;'Group List B'!F$2,T477&gt;'Group List B'!G$2),"Exceed",
IF(OR(H477=AB$2,I477=AC$2,J477=AD$2,
P477=1,V477=1,
L477='Group List A'!E$2,M477='Group List A'!F$2,N477='Group List A'!G$2,
R477='Group List B'!E$2,S477='Group List B'!F$2,T477='Group List B'!G$2),"Limit",0))</f>
        <v>0</v>
      </c>
      <c r="H477" s="29">
        <f t="shared" si="107"/>
        <v>0</v>
      </c>
      <c r="I477" s="29">
        <f t="shared" si="108"/>
        <v>0</v>
      </c>
      <c r="J477" s="29">
        <f t="shared" si="109"/>
        <v>0</v>
      </c>
      <c r="K477" s="32" t="str" cm="1">
        <f t="array" ref="K477">IF(AF477&lt;&gt;"",IFERROR(INDEX('Group List A'!B:B,MATCH(AI477,'Group List A'!A:A,0),0),"-"),"")</f>
        <v/>
      </c>
      <c r="L477" s="33">
        <f t="shared" si="110"/>
        <v>0</v>
      </c>
      <c r="M477" s="33">
        <f t="shared" si="111"/>
        <v>0</v>
      </c>
      <c r="N477" s="33">
        <f t="shared" si="112"/>
        <v>0</v>
      </c>
      <c r="O477" s="28"/>
      <c r="P477" s="33">
        <f t="shared" si="113"/>
        <v>0</v>
      </c>
      <c r="Q477" s="35" t="str" cm="1">
        <f t="array" ref="Q477">IF(AF477&lt;&gt;"",IFERROR(INDEX('Group List B'!B:B,MATCH(AI477,'Group List B'!A:A,0),0),"-"),"")</f>
        <v/>
      </c>
      <c r="R477" s="36">
        <f t="shared" si="114"/>
        <v>0</v>
      </c>
      <c r="S477" s="36">
        <f t="shared" si="115"/>
        <v>0</v>
      </c>
      <c r="T477" s="36">
        <f t="shared" si="116"/>
        <v>0</v>
      </c>
      <c r="U477" s="28"/>
      <c r="V477" s="37">
        <f t="shared" si="117"/>
        <v>0</v>
      </c>
      <c r="W477" s="41"/>
      <c r="X477" s="27"/>
      <c r="Y477" s="27"/>
      <c r="Z477" s="27"/>
      <c r="AA477" s="15"/>
      <c r="AB477" s="17"/>
      <c r="AC477" s="17"/>
      <c r="AD477" s="17"/>
      <c r="AE477" s="90"/>
      <c r="AF477" s="82" t="str">
        <f t="shared" si="118"/>
        <v/>
      </c>
      <c r="AG477" s="83" t="str">
        <f t="shared" si="119"/>
        <v/>
      </c>
      <c r="AH477" s="82" t="str">
        <f t="shared" si="120"/>
        <v/>
      </c>
      <c r="AI477" s="82" t="str">
        <f t="shared" si="121"/>
        <v/>
      </c>
      <c r="AJ477" s="90"/>
      <c r="AP477" s="88"/>
    </row>
    <row r="478" spans="1:42" x14ac:dyDescent="0.25">
      <c r="A478" s="2"/>
      <c r="C478" s="68" t="str" cm="1">
        <f t="array" ref="C478">IF(AF478&lt;&gt;"",
IFERROR(INDEX('LaunchPad Markbook'!A:A,MATCH(AH478,'LaunchPad Markbook'!D:D,0),0),"-"),"")</f>
        <v/>
      </c>
      <c r="D478" s="27"/>
      <c r="E478" s="27"/>
      <c r="F478" s="27"/>
      <c r="G478" s="14">
        <f>IF(OR(H478&gt;AB$2,I478&gt;AC$2,J478&gt;AD$2,
P478&gt;1,V478&gt;1,
L478&gt;'Group List A'!E$2,M478&gt;'Group List A'!F$2,N478&gt;'Group List A'!G$2,
R478&gt;'Group List B'!E$2,S478&gt;'Group List B'!F$2,T478&gt;'Group List B'!G$2),"Exceed",
IF(OR(H478=AB$2,I478=AC$2,J478=AD$2,
P478=1,V478=1,
L478='Group List A'!E$2,M478='Group List A'!F$2,N478='Group List A'!G$2,
R478='Group List B'!E$2,S478='Group List B'!F$2,T478='Group List B'!G$2),"Limit",0))</f>
        <v>0</v>
      </c>
      <c r="H478" s="29">
        <f t="shared" si="107"/>
        <v>0</v>
      </c>
      <c r="I478" s="29">
        <f t="shared" si="108"/>
        <v>0</v>
      </c>
      <c r="J478" s="29">
        <f t="shared" si="109"/>
        <v>0</v>
      </c>
      <c r="K478" s="32" t="str" cm="1">
        <f t="array" ref="K478">IF(AF478&lt;&gt;"",IFERROR(INDEX('Group List A'!B:B,MATCH(AI478,'Group List A'!A:A,0),0),"-"),"")</f>
        <v/>
      </c>
      <c r="L478" s="33">
        <f t="shared" si="110"/>
        <v>0</v>
      </c>
      <c r="M478" s="33">
        <f t="shared" si="111"/>
        <v>0</v>
      </c>
      <c r="N478" s="33">
        <f t="shared" si="112"/>
        <v>0</v>
      </c>
      <c r="O478" s="28"/>
      <c r="P478" s="33">
        <f t="shared" si="113"/>
        <v>0</v>
      </c>
      <c r="Q478" s="35" t="str" cm="1">
        <f t="array" ref="Q478">IF(AF478&lt;&gt;"",IFERROR(INDEX('Group List B'!B:B,MATCH(AI478,'Group List B'!A:A,0),0),"-"),"")</f>
        <v/>
      </c>
      <c r="R478" s="36">
        <f t="shared" si="114"/>
        <v>0</v>
      </c>
      <c r="S478" s="36">
        <f t="shared" si="115"/>
        <v>0</v>
      </c>
      <c r="T478" s="36">
        <f t="shared" si="116"/>
        <v>0</v>
      </c>
      <c r="U478" s="28"/>
      <c r="V478" s="37">
        <f t="shared" si="117"/>
        <v>0</v>
      </c>
      <c r="W478" s="41"/>
      <c r="X478" s="27"/>
      <c r="Y478" s="27"/>
      <c r="Z478" s="27"/>
      <c r="AA478" s="15"/>
      <c r="AB478" s="17"/>
      <c r="AC478" s="17"/>
      <c r="AD478" s="17"/>
      <c r="AE478" s="90"/>
      <c r="AF478" s="82" t="str">
        <f t="shared" si="118"/>
        <v/>
      </c>
      <c r="AG478" s="83" t="str">
        <f t="shared" si="119"/>
        <v/>
      </c>
      <c r="AH478" s="82" t="str">
        <f t="shared" si="120"/>
        <v/>
      </c>
      <c r="AI478" s="82" t="str">
        <f t="shared" si="121"/>
        <v/>
      </c>
      <c r="AJ478" s="90"/>
      <c r="AP478" s="88"/>
    </row>
    <row r="479" spans="1:42" x14ac:dyDescent="0.25">
      <c r="A479" s="2"/>
      <c r="C479" s="68" t="str" cm="1">
        <f t="array" ref="C479">IF(AF479&lt;&gt;"",
IFERROR(INDEX('LaunchPad Markbook'!A:A,MATCH(AH479,'LaunchPad Markbook'!D:D,0),0),"-"),"")</f>
        <v/>
      </c>
      <c r="D479" s="27"/>
      <c r="E479" s="27"/>
      <c r="F479" s="27"/>
      <c r="G479" s="14">
        <f>IF(OR(H479&gt;AB$2,I479&gt;AC$2,J479&gt;AD$2,
P479&gt;1,V479&gt;1,
L479&gt;'Group List A'!E$2,M479&gt;'Group List A'!F$2,N479&gt;'Group List A'!G$2,
R479&gt;'Group List B'!E$2,S479&gt;'Group List B'!F$2,T479&gt;'Group List B'!G$2),"Exceed",
IF(OR(H479=AB$2,I479=AC$2,J479=AD$2,
P479=1,V479=1,
L479='Group List A'!E$2,M479='Group List A'!F$2,N479='Group List A'!G$2,
R479='Group List B'!E$2,S479='Group List B'!F$2,T479='Group List B'!G$2),"Limit",0))</f>
        <v>0</v>
      </c>
      <c r="H479" s="29">
        <f t="shared" si="107"/>
        <v>0</v>
      </c>
      <c r="I479" s="29">
        <f t="shared" si="108"/>
        <v>0</v>
      </c>
      <c r="J479" s="29">
        <f t="shared" si="109"/>
        <v>0</v>
      </c>
      <c r="K479" s="32" t="str" cm="1">
        <f t="array" ref="K479">IF(AF479&lt;&gt;"",IFERROR(INDEX('Group List A'!B:B,MATCH(AI479,'Group List A'!A:A,0),0),"-"),"")</f>
        <v/>
      </c>
      <c r="L479" s="33">
        <f t="shared" si="110"/>
        <v>0</v>
      </c>
      <c r="M479" s="33">
        <f t="shared" si="111"/>
        <v>0</v>
      </c>
      <c r="N479" s="33">
        <f t="shared" si="112"/>
        <v>0</v>
      </c>
      <c r="O479" s="28"/>
      <c r="P479" s="33">
        <f t="shared" si="113"/>
        <v>0</v>
      </c>
      <c r="Q479" s="35" t="str" cm="1">
        <f t="array" ref="Q479">IF(AF479&lt;&gt;"",IFERROR(INDEX('Group List B'!B:B,MATCH(AI479,'Group List B'!A:A,0),0),"-"),"")</f>
        <v/>
      </c>
      <c r="R479" s="36">
        <f t="shared" si="114"/>
        <v>0</v>
      </c>
      <c r="S479" s="36">
        <f t="shared" si="115"/>
        <v>0</v>
      </c>
      <c r="T479" s="36">
        <f t="shared" si="116"/>
        <v>0</v>
      </c>
      <c r="U479" s="28"/>
      <c r="V479" s="37">
        <f t="shared" si="117"/>
        <v>0</v>
      </c>
      <c r="W479" s="41"/>
      <c r="X479" s="27"/>
      <c r="Y479" s="27"/>
      <c r="Z479" s="27"/>
      <c r="AA479" s="15"/>
      <c r="AB479" s="17"/>
      <c r="AC479" s="17"/>
      <c r="AD479" s="17"/>
      <c r="AE479" s="90"/>
      <c r="AF479" s="82" t="str">
        <f t="shared" si="118"/>
        <v/>
      </c>
      <c r="AG479" s="83" t="str">
        <f t="shared" si="119"/>
        <v/>
      </c>
      <c r="AH479" s="82" t="str">
        <f t="shared" si="120"/>
        <v/>
      </c>
      <c r="AI479" s="82" t="str">
        <f t="shared" si="121"/>
        <v/>
      </c>
      <c r="AJ479" s="90"/>
      <c r="AP479" s="88"/>
    </row>
    <row r="480" spans="1:42" x14ac:dyDescent="0.25">
      <c r="A480" s="2"/>
      <c r="C480" s="68" t="str" cm="1">
        <f t="array" ref="C480">IF(AF480&lt;&gt;"",
IFERROR(INDEX('LaunchPad Markbook'!A:A,MATCH(AH480,'LaunchPad Markbook'!D:D,0),0),"-"),"")</f>
        <v/>
      </c>
      <c r="D480" s="27"/>
      <c r="E480" s="27"/>
      <c r="F480" s="27"/>
      <c r="G480" s="14">
        <f>IF(OR(H480&gt;AB$2,I480&gt;AC$2,J480&gt;AD$2,
P480&gt;1,V480&gt;1,
L480&gt;'Group List A'!E$2,M480&gt;'Group List A'!F$2,N480&gt;'Group List A'!G$2,
R480&gt;'Group List B'!E$2,S480&gt;'Group List B'!F$2,T480&gt;'Group List B'!G$2),"Exceed",
IF(OR(H480=AB$2,I480=AC$2,J480=AD$2,
P480=1,V480=1,
L480='Group List A'!E$2,M480='Group List A'!F$2,N480='Group List A'!G$2,
R480='Group List B'!E$2,S480='Group List B'!F$2,T480='Group List B'!G$2),"Limit",0))</f>
        <v>0</v>
      </c>
      <c r="H480" s="29">
        <f t="shared" si="107"/>
        <v>0</v>
      </c>
      <c r="I480" s="29">
        <f t="shared" si="108"/>
        <v>0</v>
      </c>
      <c r="J480" s="29">
        <f t="shared" si="109"/>
        <v>0</v>
      </c>
      <c r="K480" s="32" t="str" cm="1">
        <f t="array" ref="K480">IF(AF480&lt;&gt;"",IFERROR(INDEX('Group List A'!B:B,MATCH(AI480,'Group List A'!A:A,0),0),"-"),"")</f>
        <v/>
      </c>
      <c r="L480" s="33">
        <f t="shared" si="110"/>
        <v>0</v>
      </c>
      <c r="M480" s="33">
        <f t="shared" si="111"/>
        <v>0</v>
      </c>
      <c r="N480" s="33">
        <f t="shared" si="112"/>
        <v>0</v>
      </c>
      <c r="O480" s="28"/>
      <c r="P480" s="33">
        <f t="shared" si="113"/>
        <v>0</v>
      </c>
      <c r="Q480" s="35" t="str" cm="1">
        <f t="array" ref="Q480">IF(AF480&lt;&gt;"",IFERROR(INDEX('Group List B'!B:B,MATCH(AI480,'Group List B'!A:A,0),0),"-"),"")</f>
        <v/>
      </c>
      <c r="R480" s="36">
        <f t="shared" si="114"/>
        <v>0</v>
      </c>
      <c r="S480" s="36">
        <f t="shared" si="115"/>
        <v>0</v>
      </c>
      <c r="T480" s="36">
        <f t="shared" si="116"/>
        <v>0</v>
      </c>
      <c r="U480" s="28"/>
      <c r="V480" s="37">
        <f t="shared" si="117"/>
        <v>0</v>
      </c>
      <c r="W480" s="41"/>
      <c r="X480" s="27"/>
      <c r="Y480" s="27"/>
      <c r="Z480" s="27"/>
      <c r="AA480" s="15"/>
      <c r="AB480" s="17"/>
      <c r="AC480" s="17"/>
      <c r="AD480" s="17"/>
      <c r="AE480" s="90"/>
      <c r="AF480" s="82" t="str">
        <f t="shared" si="118"/>
        <v/>
      </c>
      <c r="AG480" s="83" t="str">
        <f t="shared" si="119"/>
        <v/>
      </c>
      <c r="AH480" s="82" t="str">
        <f t="shared" si="120"/>
        <v/>
      </c>
      <c r="AI480" s="82" t="str">
        <f t="shared" si="121"/>
        <v/>
      </c>
      <c r="AJ480" s="90"/>
      <c r="AP480" s="88"/>
    </row>
    <row r="481" spans="1:42" x14ac:dyDescent="0.25">
      <c r="A481" s="2"/>
      <c r="C481" s="68" t="str" cm="1">
        <f t="array" ref="C481">IF(AF481&lt;&gt;"",
IFERROR(INDEX('LaunchPad Markbook'!A:A,MATCH(AH481,'LaunchPad Markbook'!D:D,0),0),"-"),"")</f>
        <v/>
      </c>
      <c r="D481" s="27"/>
      <c r="E481" s="27"/>
      <c r="F481" s="27"/>
      <c r="G481" s="14">
        <f>IF(OR(H481&gt;AB$2,I481&gt;AC$2,J481&gt;AD$2,
P481&gt;1,V481&gt;1,
L481&gt;'Group List A'!E$2,M481&gt;'Group List A'!F$2,N481&gt;'Group List A'!G$2,
R481&gt;'Group List B'!E$2,S481&gt;'Group List B'!F$2,T481&gt;'Group List B'!G$2),"Exceed",
IF(OR(H481=AB$2,I481=AC$2,J481=AD$2,
P481=1,V481=1,
L481='Group List A'!E$2,M481='Group List A'!F$2,N481='Group List A'!G$2,
R481='Group List B'!E$2,S481='Group List B'!F$2,T481='Group List B'!G$2),"Limit",0))</f>
        <v>0</v>
      </c>
      <c r="H481" s="29">
        <f t="shared" si="107"/>
        <v>0</v>
      </c>
      <c r="I481" s="29">
        <f t="shared" si="108"/>
        <v>0</v>
      </c>
      <c r="J481" s="29">
        <f t="shared" si="109"/>
        <v>0</v>
      </c>
      <c r="K481" s="32" t="str" cm="1">
        <f t="array" ref="K481">IF(AF481&lt;&gt;"",IFERROR(INDEX('Group List A'!B:B,MATCH(AI481,'Group List A'!A:A,0),0),"-"),"")</f>
        <v/>
      </c>
      <c r="L481" s="33">
        <f t="shared" si="110"/>
        <v>0</v>
      </c>
      <c r="M481" s="33">
        <f t="shared" si="111"/>
        <v>0</v>
      </c>
      <c r="N481" s="33">
        <f t="shared" si="112"/>
        <v>0</v>
      </c>
      <c r="O481" s="28"/>
      <c r="P481" s="33">
        <f t="shared" si="113"/>
        <v>0</v>
      </c>
      <c r="Q481" s="35" t="str" cm="1">
        <f t="array" ref="Q481">IF(AF481&lt;&gt;"",IFERROR(INDEX('Group List B'!B:B,MATCH(AI481,'Group List B'!A:A,0),0),"-"),"")</f>
        <v/>
      </c>
      <c r="R481" s="36">
        <f t="shared" si="114"/>
        <v>0</v>
      </c>
      <c r="S481" s="36">
        <f t="shared" si="115"/>
        <v>0</v>
      </c>
      <c r="T481" s="36">
        <f t="shared" si="116"/>
        <v>0</v>
      </c>
      <c r="U481" s="28"/>
      <c r="V481" s="37">
        <f t="shared" si="117"/>
        <v>0</v>
      </c>
      <c r="W481" s="41"/>
      <c r="X481" s="27"/>
      <c r="Y481" s="27"/>
      <c r="Z481" s="27"/>
      <c r="AA481" s="15"/>
      <c r="AB481" s="17"/>
      <c r="AC481" s="17"/>
      <c r="AD481" s="17"/>
      <c r="AE481" s="90"/>
      <c r="AF481" s="82" t="str">
        <f t="shared" si="118"/>
        <v/>
      </c>
      <c r="AG481" s="83" t="str">
        <f t="shared" si="119"/>
        <v/>
      </c>
      <c r="AH481" s="82" t="str">
        <f t="shared" si="120"/>
        <v/>
      </c>
      <c r="AI481" s="82" t="str">
        <f t="shared" si="121"/>
        <v/>
      </c>
      <c r="AJ481" s="90"/>
      <c r="AP481" s="88"/>
    </row>
    <row r="482" spans="1:42" x14ac:dyDescent="0.25">
      <c r="A482" s="2"/>
      <c r="C482" s="68" t="str" cm="1">
        <f t="array" ref="C482">IF(AF482&lt;&gt;"",
IFERROR(INDEX('LaunchPad Markbook'!A:A,MATCH(AH482,'LaunchPad Markbook'!D:D,0),0),"-"),"")</f>
        <v/>
      </c>
      <c r="D482" s="27"/>
      <c r="E482" s="27"/>
      <c r="F482" s="27"/>
      <c r="G482" s="14">
        <f>IF(OR(H482&gt;AB$2,I482&gt;AC$2,J482&gt;AD$2,
P482&gt;1,V482&gt;1,
L482&gt;'Group List A'!E$2,M482&gt;'Group List A'!F$2,N482&gt;'Group List A'!G$2,
R482&gt;'Group List B'!E$2,S482&gt;'Group List B'!F$2,T482&gt;'Group List B'!G$2),"Exceed",
IF(OR(H482=AB$2,I482=AC$2,J482=AD$2,
P482=1,V482=1,
L482='Group List A'!E$2,M482='Group List A'!F$2,N482='Group List A'!G$2,
R482='Group List B'!E$2,S482='Group List B'!F$2,T482='Group List B'!G$2),"Limit",0))</f>
        <v>0</v>
      </c>
      <c r="H482" s="29">
        <f t="shared" si="107"/>
        <v>0</v>
      </c>
      <c r="I482" s="29">
        <f t="shared" si="108"/>
        <v>0</v>
      </c>
      <c r="J482" s="29">
        <f t="shared" si="109"/>
        <v>0</v>
      </c>
      <c r="K482" s="32" t="str" cm="1">
        <f t="array" ref="K482">IF(AF482&lt;&gt;"",IFERROR(INDEX('Group List A'!B:B,MATCH(AI482,'Group List A'!A:A,0),0),"-"),"")</f>
        <v/>
      </c>
      <c r="L482" s="33">
        <f t="shared" si="110"/>
        <v>0</v>
      </c>
      <c r="M482" s="33">
        <f t="shared" si="111"/>
        <v>0</v>
      </c>
      <c r="N482" s="33">
        <f t="shared" si="112"/>
        <v>0</v>
      </c>
      <c r="O482" s="28"/>
      <c r="P482" s="33">
        <f t="shared" si="113"/>
        <v>0</v>
      </c>
      <c r="Q482" s="35" t="str" cm="1">
        <f t="array" ref="Q482">IF(AF482&lt;&gt;"",IFERROR(INDEX('Group List B'!B:B,MATCH(AI482,'Group List B'!A:A,0),0),"-"),"")</f>
        <v/>
      </c>
      <c r="R482" s="36">
        <f t="shared" si="114"/>
        <v>0</v>
      </c>
      <c r="S482" s="36">
        <f t="shared" si="115"/>
        <v>0</v>
      </c>
      <c r="T482" s="36">
        <f t="shared" si="116"/>
        <v>0</v>
      </c>
      <c r="U482" s="28"/>
      <c r="V482" s="37">
        <f t="shared" si="117"/>
        <v>0</v>
      </c>
      <c r="W482" s="41"/>
      <c r="X482" s="27"/>
      <c r="Y482" s="27"/>
      <c r="Z482" s="27"/>
      <c r="AA482" s="15"/>
      <c r="AB482" s="17"/>
      <c r="AC482" s="17"/>
      <c r="AD482" s="17"/>
      <c r="AE482" s="90"/>
      <c r="AF482" s="82" t="str">
        <f t="shared" si="118"/>
        <v/>
      </c>
      <c r="AG482" s="83" t="str">
        <f t="shared" si="119"/>
        <v/>
      </c>
      <c r="AH482" s="82" t="str">
        <f t="shared" si="120"/>
        <v/>
      </c>
      <c r="AI482" s="82" t="str">
        <f t="shared" si="121"/>
        <v/>
      </c>
      <c r="AJ482" s="90"/>
      <c r="AP482" s="88"/>
    </row>
    <row r="483" spans="1:42" x14ac:dyDescent="0.25">
      <c r="A483" s="2"/>
      <c r="C483" s="68" t="str" cm="1">
        <f t="array" ref="C483">IF(AF483&lt;&gt;"",
IFERROR(INDEX('LaunchPad Markbook'!A:A,MATCH(AH483,'LaunchPad Markbook'!D:D,0),0),"-"),"")</f>
        <v/>
      </c>
      <c r="D483" s="27"/>
      <c r="E483" s="27"/>
      <c r="F483" s="27"/>
      <c r="G483" s="14">
        <f>IF(OR(H483&gt;AB$2,I483&gt;AC$2,J483&gt;AD$2,
P483&gt;1,V483&gt;1,
L483&gt;'Group List A'!E$2,M483&gt;'Group List A'!F$2,N483&gt;'Group List A'!G$2,
R483&gt;'Group List B'!E$2,S483&gt;'Group List B'!F$2,T483&gt;'Group List B'!G$2),"Exceed",
IF(OR(H483=AB$2,I483=AC$2,J483=AD$2,
P483=1,V483=1,
L483='Group List A'!E$2,M483='Group List A'!F$2,N483='Group List A'!G$2,
R483='Group List B'!E$2,S483='Group List B'!F$2,T483='Group List B'!G$2),"Limit",0))</f>
        <v>0</v>
      </c>
      <c r="H483" s="29">
        <f t="shared" si="107"/>
        <v>0</v>
      </c>
      <c r="I483" s="29">
        <f t="shared" si="108"/>
        <v>0</v>
      </c>
      <c r="J483" s="29">
        <f t="shared" si="109"/>
        <v>0</v>
      </c>
      <c r="K483" s="32" t="str" cm="1">
        <f t="array" ref="K483">IF(AF483&lt;&gt;"",IFERROR(INDEX('Group List A'!B:B,MATCH(AI483,'Group List A'!A:A,0),0),"-"),"")</f>
        <v/>
      </c>
      <c r="L483" s="33">
        <f t="shared" si="110"/>
        <v>0</v>
      </c>
      <c r="M483" s="33">
        <f t="shared" si="111"/>
        <v>0</v>
      </c>
      <c r="N483" s="33">
        <f t="shared" si="112"/>
        <v>0</v>
      </c>
      <c r="O483" s="28"/>
      <c r="P483" s="33">
        <f t="shared" si="113"/>
        <v>0</v>
      </c>
      <c r="Q483" s="35" t="str" cm="1">
        <f t="array" ref="Q483">IF(AF483&lt;&gt;"",IFERROR(INDEX('Group List B'!B:B,MATCH(AI483,'Group List B'!A:A,0),0),"-"),"")</f>
        <v/>
      </c>
      <c r="R483" s="36">
        <f t="shared" si="114"/>
        <v>0</v>
      </c>
      <c r="S483" s="36">
        <f t="shared" si="115"/>
        <v>0</v>
      </c>
      <c r="T483" s="36">
        <f t="shared" si="116"/>
        <v>0</v>
      </c>
      <c r="U483" s="28"/>
      <c r="V483" s="37">
        <f t="shared" si="117"/>
        <v>0</v>
      </c>
      <c r="W483" s="41"/>
      <c r="X483" s="27"/>
      <c r="Y483" s="27"/>
      <c r="Z483" s="27"/>
      <c r="AA483" s="15"/>
      <c r="AB483" s="17"/>
      <c r="AC483" s="17"/>
      <c r="AD483" s="17"/>
      <c r="AE483" s="90"/>
      <c r="AF483" s="82" t="str">
        <f t="shared" si="118"/>
        <v/>
      </c>
      <c r="AG483" s="83" t="str">
        <f t="shared" si="119"/>
        <v/>
      </c>
      <c r="AH483" s="82" t="str">
        <f t="shared" si="120"/>
        <v/>
      </c>
      <c r="AI483" s="82" t="str">
        <f t="shared" si="121"/>
        <v/>
      </c>
      <c r="AJ483" s="90"/>
      <c r="AP483" s="88"/>
    </row>
    <row r="484" spans="1:42" x14ac:dyDescent="0.25">
      <c r="A484" s="2"/>
      <c r="C484" s="68" t="str" cm="1">
        <f t="array" ref="C484">IF(AF484&lt;&gt;"",
IFERROR(INDEX('LaunchPad Markbook'!A:A,MATCH(AH484,'LaunchPad Markbook'!D:D,0),0),"-"),"")</f>
        <v/>
      </c>
      <c r="D484" s="27"/>
      <c r="E484" s="27"/>
      <c r="F484" s="27"/>
      <c r="G484" s="14">
        <f>IF(OR(H484&gt;AB$2,I484&gt;AC$2,J484&gt;AD$2,
P484&gt;1,V484&gt;1,
L484&gt;'Group List A'!E$2,M484&gt;'Group List A'!F$2,N484&gt;'Group List A'!G$2,
R484&gt;'Group List B'!E$2,S484&gt;'Group List B'!F$2,T484&gt;'Group List B'!G$2),"Exceed",
IF(OR(H484=AB$2,I484=AC$2,J484=AD$2,
P484=1,V484=1,
L484='Group List A'!E$2,M484='Group List A'!F$2,N484='Group List A'!G$2,
R484='Group List B'!E$2,S484='Group List B'!F$2,T484='Group List B'!G$2),"Limit",0))</f>
        <v>0</v>
      </c>
      <c r="H484" s="29">
        <f t="shared" si="107"/>
        <v>0</v>
      </c>
      <c r="I484" s="29">
        <f t="shared" si="108"/>
        <v>0</v>
      </c>
      <c r="J484" s="29">
        <f t="shared" si="109"/>
        <v>0</v>
      </c>
      <c r="K484" s="32" t="str" cm="1">
        <f t="array" ref="K484">IF(AF484&lt;&gt;"",IFERROR(INDEX('Group List A'!B:B,MATCH(AI484,'Group List A'!A:A,0),0),"-"),"")</f>
        <v/>
      </c>
      <c r="L484" s="33">
        <f t="shared" si="110"/>
        <v>0</v>
      </c>
      <c r="M484" s="33">
        <f t="shared" si="111"/>
        <v>0</v>
      </c>
      <c r="N484" s="33">
        <f t="shared" si="112"/>
        <v>0</v>
      </c>
      <c r="O484" s="28"/>
      <c r="P484" s="33">
        <f t="shared" si="113"/>
        <v>0</v>
      </c>
      <c r="Q484" s="35" t="str" cm="1">
        <f t="array" ref="Q484">IF(AF484&lt;&gt;"",IFERROR(INDEX('Group List B'!B:B,MATCH(AI484,'Group List B'!A:A,0),0),"-"),"")</f>
        <v/>
      </c>
      <c r="R484" s="36">
        <f t="shared" si="114"/>
        <v>0</v>
      </c>
      <c r="S484" s="36">
        <f t="shared" si="115"/>
        <v>0</v>
      </c>
      <c r="T484" s="36">
        <f t="shared" si="116"/>
        <v>0</v>
      </c>
      <c r="U484" s="28"/>
      <c r="V484" s="37">
        <f t="shared" si="117"/>
        <v>0</v>
      </c>
      <c r="W484" s="41"/>
      <c r="X484" s="27"/>
      <c r="Y484" s="27"/>
      <c r="Z484" s="27"/>
      <c r="AA484" s="15"/>
      <c r="AB484" s="17"/>
      <c r="AC484" s="17"/>
      <c r="AD484" s="17"/>
      <c r="AE484" s="90"/>
      <c r="AF484" s="82" t="str">
        <f t="shared" si="118"/>
        <v/>
      </c>
      <c r="AG484" s="83" t="str">
        <f t="shared" si="119"/>
        <v/>
      </c>
      <c r="AH484" s="82" t="str">
        <f t="shared" si="120"/>
        <v/>
      </c>
      <c r="AI484" s="82" t="str">
        <f t="shared" si="121"/>
        <v/>
      </c>
      <c r="AJ484" s="90"/>
      <c r="AP484" s="88"/>
    </row>
    <row r="485" spans="1:42" x14ac:dyDescent="0.25">
      <c r="A485" s="2"/>
      <c r="C485" s="68" t="str" cm="1">
        <f t="array" ref="C485">IF(AF485&lt;&gt;"",
IFERROR(INDEX('LaunchPad Markbook'!A:A,MATCH(AH485,'LaunchPad Markbook'!D:D,0),0),"-"),"")</f>
        <v/>
      </c>
      <c r="D485" s="27"/>
      <c r="E485" s="27"/>
      <c r="F485" s="27"/>
      <c r="G485" s="14">
        <f>IF(OR(H485&gt;AB$2,I485&gt;AC$2,J485&gt;AD$2,
P485&gt;1,V485&gt;1,
L485&gt;'Group List A'!E$2,M485&gt;'Group List A'!F$2,N485&gt;'Group List A'!G$2,
R485&gt;'Group List B'!E$2,S485&gt;'Group List B'!F$2,T485&gt;'Group List B'!G$2),"Exceed",
IF(OR(H485=AB$2,I485=AC$2,J485=AD$2,
P485=1,V485=1,
L485='Group List A'!E$2,M485='Group List A'!F$2,N485='Group List A'!G$2,
R485='Group List B'!E$2,S485='Group List B'!F$2,T485='Group List B'!G$2),"Limit",0))</f>
        <v>0</v>
      </c>
      <c r="H485" s="29">
        <f t="shared" si="107"/>
        <v>0</v>
      </c>
      <c r="I485" s="29">
        <f t="shared" si="108"/>
        <v>0</v>
      </c>
      <c r="J485" s="29">
        <f t="shared" si="109"/>
        <v>0</v>
      </c>
      <c r="K485" s="32" t="str" cm="1">
        <f t="array" ref="K485">IF(AF485&lt;&gt;"",IFERROR(INDEX('Group List A'!B:B,MATCH(AI485,'Group List A'!A:A,0),0),"-"),"")</f>
        <v/>
      </c>
      <c r="L485" s="33">
        <f t="shared" si="110"/>
        <v>0</v>
      </c>
      <c r="M485" s="33">
        <f t="shared" si="111"/>
        <v>0</v>
      </c>
      <c r="N485" s="33">
        <f t="shared" si="112"/>
        <v>0</v>
      </c>
      <c r="O485" s="28"/>
      <c r="P485" s="33">
        <f t="shared" si="113"/>
        <v>0</v>
      </c>
      <c r="Q485" s="35" t="str" cm="1">
        <f t="array" ref="Q485">IF(AF485&lt;&gt;"",IFERROR(INDEX('Group List B'!B:B,MATCH(AI485,'Group List B'!A:A,0),0),"-"),"")</f>
        <v/>
      </c>
      <c r="R485" s="36">
        <f t="shared" si="114"/>
        <v>0</v>
      </c>
      <c r="S485" s="36">
        <f t="shared" si="115"/>
        <v>0</v>
      </c>
      <c r="T485" s="36">
        <f t="shared" si="116"/>
        <v>0</v>
      </c>
      <c r="U485" s="28"/>
      <c r="V485" s="37">
        <f t="shared" si="117"/>
        <v>0</v>
      </c>
      <c r="W485" s="41"/>
      <c r="X485" s="27"/>
      <c r="Y485" s="27"/>
      <c r="Z485" s="27"/>
      <c r="AA485" s="15"/>
      <c r="AB485" s="17"/>
      <c r="AC485" s="17"/>
      <c r="AD485" s="17"/>
      <c r="AE485" s="90"/>
      <c r="AF485" s="82" t="str">
        <f t="shared" si="118"/>
        <v/>
      </c>
      <c r="AG485" s="83" t="str">
        <f t="shared" si="119"/>
        <v/>
      </c>
      <c r="AH485" s="82" t="str">
        <f t="shared" si="120"/>
        <v/>
      </c>
      <c r="AI485" s="82" t="str">
        <f t="shared" si="121"/>
        <v/>
      </c>
      <c r="AJ485" s="90"/>
      <c r="AP485" s="88"/>
    </row>
    <row r="486" spans="1:42" x14ac:dyDescent="0.25">
      <c r="A486" s="2"/>
      <c r="C486" s="68" t="str" cm="1">
        <f t="array" ref="C486">IF(AF486&lt;&gt;"",
IFERROR(INDEX('LaunchPad Markbook'!A:A,MATCH(AH486,'LaunchPad Markbook'!D:D,0),0),"-"),"")</f>
        <v/>
      </c>
      <c r="D486" s="27"/>
      <c r="E486" s="27"/>
      <c r="F486" s="27"/>
      <c r="G486" s="14">
        <f>IF(OR(H486&gt;AB$2,I486&gt;AC$2,J486&gt;AD$2,
P486&gt;1,V486&gt;1,
L486&gt;'Group List A'!E$2,M486&gt;'Group List A'!F$2,N486&gt;'Group List A'!G$2,
R486&gt;'Group List B'!E$2,S486&gt;'Group List B'!F$2,T486&gt;'Group List B'!G$2),"Exceed",
IF(OR(H486=AB$2,I486=AC$2,J486=AD$2,
P486=1,V486=1,
L486='Group List A'!E$2,M486='Group List A'!F$2,N486='Group List A'!G$2,
R486='Group List B'!E$2,S486='Group List B'!F$2,T486='Group List B'!G$2),"Limit",0))</f>
        <v>0</v>
      </c>
      <c r="H486" s="29">
        <f t="shared" si="107"/>
        <v>0</v>
      </c>
      <c r="I486" s="29">
        <f t="shared" si="108"/>
        <v>0</v>
      </c>
      <c r="J486" s="29">
        <f t="shared" si="109"/>
        <v>0</v>
      </c>
      <c r="K486" s="32" t="str" cm="1">
        <f t="array" ref="K486">IF(AF486&lt;&gt;"",IFERROR(INDEX('Group List A'!B:B,MATCH(AI486,'Group List A'!A:A,0),0),"-"),"")</f>
        <v/>
      </c>
      <c r="L486" s="33">
        <f t="shared" si="110"/>
        <v>0</v>
      </c>
      <c r="M486" s="33">
        <f t="shared" si="111"/>
        <v>0</v>
      </c>
      <c r="N486" s="33">
        <f t="shared" si="112"/>
        <v>0</v>
      </c>
      <c r="O486" s="28"/>
      <c r="P486" s="33">
        <f t="shared" si="113"/>
        <v>0</v>
      </c>
      <c r="Q486" s="35" t="str" cm="1">
        <f t="array" ref="Q486">IF(AF486&lt;&gt;"",IFERROR(INDEX('Group List B'!B:B,MATCH(AI486,'Group List B'!A:A,0),0),"-"),"")</f>
        <v/>
      </c>
      <c r="R486" s="36">
        <f t="shared" si="114"/>
        <v>0</v>
      </c>
      <c r="S486" s="36">
        <f t="shared" si="115"/>
        <v>0</v>
      </c>
      <c r="T486" s="36">
        <f t="shared" si="116"/>
        <v>0</v>
      </c>
      <c r="U486" s="28"/>
      <c r="V486" s="37">
        <f t="shared" si="117"/>
        <v>0</v>
      </c>
      <c r="W486" s="41"/>
      <c r="X486" s="27"/>
      <c r="Y486" s="27"/>
      <c r="Z486" s="27"/>
      <c r="AA486" s="15"/>
      <c r="AB486" s="17"/>
      <c r="AC486" s="17"/>
      <c r="AD486" s="17"/>
      <c r="AE486" s="90"/>
      <c r="AF486" s="82" t="str">
        <f t="shared" si="118"/>
        <v/>
      </c>
      <c r="AG486" s="83" t="str">
        <f t="shared" si="119"/>
        <v/>
      </c>
      <c r="AH486" s="82" t="str">
        <f t="shared" si="120"/>
        <v/>
      </c>
      <c r="AI486" s="82" t="str">
        <f t="shared" si="121"/>
        <v/>
      </c>
      <c r="AJ486" s="90"/>
      <c r="AP486" s="88"/>
    </row>
    <row r="487" spans="1:42" x14ac:dyDescent="0.25">
      <c r="A487" s="2"/>
      <c r="C487" s="68" t="str" cm="1">
        <f t="array" ref="C487">IF(AF487&lt;&gt;"",
IFERROR(INDEX('LaunchPad Markbook'!A:A,MATCH(AH487,'LaunchPad Markbook'!D:D,0),0),"-"),"")</f>
        <v/>
      </c>
      <c r="D487" s="27"/>
      <c r="E487" s="27"/>
      <c r="F487" s="27"/>
      <c r="G487" s="14">
        <f>IF(OR(H487&gt;AB$2,I487&gt;AC$2,J487&gt;AD$2,
P487&gt;1,V487&gt;1,
L487&gt;'Group List A'!E$2,M487&gt;'Group List A'!F$2,N487&gt;'Group List A'!G$2,
R487&gt;'Group List B'!E$2,S487&gt;'Group List B'!F$2,T487&gt;'Group List B'!G$2),"Exceed",
IF(OR(H487=AB$2,I487=AC$2,J487=AD$2,
P487=1,V487=1,
L487='Group List A'!E$2,M487='Group List A'!F$2,N487='Group List A'!G$2,
R487='Group List B'!E$2,S487='Group List B'!F$2,T487='Group List B'!G$2),"Limit",0))</f>
        <v>0</v>
      </c>
      <c r="H487" s="29">
        <f t="shared" si="107"/>
        <v>0</v>
      </c>
      <c r="I487" s="29">
        <f t="shared" si="108"/>
        <v>0</v>
      </c>
      <c r="J487" s="29">
        <f t="shared" si="109"/>
        <v>0</v>
      </c>
      <c r="K487" s="32" t="str" cm="1">
        <f t="array" ref="K487">IF(AF487&lt;&gt;"",IFERROR(INDEX('Group List A'!B:B,MATCH(AI487,'Group List A'!A:A,0),0),"-"),"")</f>
        <v/>
      </c>
      <c r="L487" s="33">
        <f t="shared" si="110"/>
        <v>0</v>
      </c>
      <c r="M487" s="33">
        <f t="shared" si="111"/>
        <v>0</v>
      </c>
      <c r="N487" s="33">
        <f t="shared" si="112"/>
        <v>0</v>
      </c>
      <c r="O487" s="28"/>
      <c r="P487" s="33">
        <f t="shared" si="113"/>
        <v>0</v>
      </c>
      <c r="Q487" s="35" t="str" cm="1">
        <f t="array" ref="Q487">IF(AF487&lt;&gt;"",IFERROR(INDEX('Group List B'!B:B,MATCH(AI487,'Group List B'!A:A,0),0),"-"),"")</f>
        <v/>
      </c>
      <c r="R487" s="36">
        <f t="shared" si="114"/>
        <v>0</v>
      </c>
      <c r="S487" s="36">
        <f t="shared" si="115"/>
        <v>0</v>
      </c>
      <c r="T487" s="36">
        <f t="shared" si="116"/>
        <v>0</v>
      </c>
      <c r="U487" s="28"/>
      <c r="V487" s="37">
        <f t="shared" si="117"/>
        <v>0</v>
      </c>
      <c r="W487" s="41"/>
      <c r="X487" s="27"/>
      <c r="Y487" s="27"/>
      <c r="Z487" s="27"/>
      <c r="AA487" s="15"/>
      <c r="AB487" s="17"/>
      <c r="AC487" s="17"/>
      <c r="AD487" s="17"/>
      <c r="AE487" s="90"/>
      <c r="AF487" s="82" t="str">
        <f t="shared" si="118"/>
        <v/>
      </c>
      <c r="AG487" s="83" t="str">
        <f t="shared" si="119"/>
        <v/>
      </c>
      <c r="AH487" s="82" t="str">
        <f t="shared" si="120"/>
        <v/>
      </c>
      <c r="AI487" s="82" t="str">
        <f t="shared" si="121"/>
        <v/>
      </c>
      <c r="AJ487" s="90"/>
      <c r="AP487" s="88"/>
    </row>
    <row r="488" spans="1:42" x14ac:dyDescent="0.25">
      <c r="A488" s="2"/>
      <c r="C488" s="68" t="str" cm="1">
        <f t="array" ref="C488">IF(AF488&lt;&gt;"",
IFERROR(INDEX('LaunchPad Markbook'!A:A,MATCH(AH488,'LaunchPad Markbook'!D:D,0),0),"-"),"")</f>
        <v/>
      </c>
      <c r="D488" s="27"/>
      <c r="E488" s="27"/>
      <c r="F488" s="27"/>
      <c r="G488" s="14">
        <f>IF(OR(H488&gt;AB$2,I488&gt;AC$2,J488&gt;AD$2,
P488&gt;1,V488&gt;1,
L488&gt;'Group List A'!E$2,M488&gt;'Group List A'!F$2,N488&gt;'Group List A'!G$2,
R488&gt;'Group List B'!E$2,S488&gt;'Group List B'!F$2,T488&gt;'Group List B'!G$2),"Exceed",
IF(OR(H488=AB$2,I488=AC$2,J488=AD$2,
P488=1,V488=1,
L488='Group List A'!E$2,M488='Group List A'!F$2,N488='Group List A'!G$2,
R488='Group List B'!E$2,S488='Group List B'!F$2,T488='Group List B'!G$2),"Limit",0))</f>
        <v>0</v>
      </c>
      <c r="H488" s="29">
        <f t="shared" si="107"/>
        <v>0</v>
      </c>
      <c r="I488" s="29">
        <f t="shared" si="108"/>
        <v>0</v>
      </c>
      <c r="J488" s="29">
        <f t="shared" si="109"/>
        <v>0</v>
      </c>
      <c r="K488" s="32" t="str" cm="1">
        <f t="array" ref="K488">IF(AF488&lt;&gt;"",IFERROR(INDEX('Group List A'!B:B,MATCH(AI488,'Group List A'!A:A,0),0),"-"),"")</f>
        <v/>
      </c>
      <c r="L488" s="33">
        <f t="shared" si="110"/>
        <v>0</v>
      </c>
      <c r="M488" s="33">
        <f t="shared" si="111"/>
        <v>0</v>
      </c>
      <c r="N488" s="33">
        <f t="shared" si="112"/>
        <v>0</v>
      </c>
      <c r="O488" s="28"/>
      <c r="P488" s="33">
        <f t="shared" si="113"/>
        <v>0</v>
      </c>
      <c r="Q488" s="35" t="str" cm="1">
        <f t="array" ref="Q488">IF(AF488&lt;&gt;"",IFERROR(INDEX('Group List B'!B:B,MATCH(AI488,'Group List B'!A:A,0),0),"-"),"")</f>
        <v/>
      </c>
      <c r="R488" s="36">
        <f t="shared" si="114"/>
        <v>0</v>
      </c>
      <c r="S488" s="36">
        <f t="shared" si="115"/>
        <v>0</v>
      </c>
      <c r="T488" s="36">
        <f t="shared" si="116"/>
        <v>0</v>
      </c>
      <c r="U488" s="28"/>
      <c r="V488" s="37">
        <f t="shared" si="117"/>
        <v>0</v>
      </c>
      <c r="W488" s="41"/>
      <c r="X488" s="27"/>
      <c r="Y488" s="27"/>
      <c r="Z488" s="27"/>
      <c r="AA488" s="15"/>
      <c r="AB488" s="17"/>
      <c r="AC488" s="17"/>
      <c r="AD488" s="17"/>
      <c r="AE488" s="90"/>
      <c r="AF488" s="82" t="str">
        <f t="shared" si="118"/>
        <v/>
      </c>
      <c r="AG488" s="83" t="str">
        <f t="shared" si="119"/>
        <v/>
      </c>
      <c r="AH488" s="82" t="str">
        <f t="shared" si="120"/>
        <v/>
      </c>
      <c r="AI488" s="82" t="str">
        <f t="shared" si="121"/>
        <v/>
      </c>
      <c r="AJ488" s="90"/>
      <c r="AP488" s="88"/>
    </row>
    <row r="489" spans="1:42" x14ac:dyDescent="0.25">
      <c r="A489" s="2"/>
      <c r="C489" s="68" t="str" cm="1">
        <f t="array" ref="C489">IF(AF489&lt;&gt;"",
IFERROR(INDEX('LaunchPad Markbook'!A:A,MATCH(AH489,'LaunchPad Markbook'!D:D,0),0),"-"),"")</f>
        <v/>
      </c>
      <c r="D489" s="27"/>
      <c r="E489" s="27"/>
      <c r="F489" s="27"/>
      <c r="G489" s="14">
        <f>IF(OR(H489&gt;AB$2,I489&gt;AC$2,J489&gt;AD$2,
P489&gt;1,V489&gt;1,
L489&gt;'Group List A'!E$2,M489&gt;'Group List A'!F$2,N489&gt;'Group List A'!G$2,
R489&gt;'Group List B'!E$2,S489&gt;'Group List B'!F$2,T489&gt;'Group List B'!G$2),"Exceed",
IF(OR(H489=AB$2,I489=AC$2,J489=AD$2,
P489=1,V489=1,
L489='Group List A'!E$2,M489='Group List A'!F$2,N489='Group List A'!G$2,
R489='Group List B'!E$2,S489='Group List B'!F$2,T489='Group List B'!G$2),"Limit",0))</f>
        <v>0</v>
      </c>
      <c r="H489" s="29">
        <f t="shared" si="107"/>
        <v>0</v>
      </c>
      <c r="I489" s="29">
        <f t="shared" si="108"/>
        <v>0</v>
      </c>
      <c r="J489" s="29">
        <f t="shared" si="109"/>
        <v>0</v>
      </c>
      <c r="K489" s="32" t="str" cm="1">
        <f t="array" ref="K489">IF(AF489&lt;&gt;"",IFERROR(INDEX('Group List A'!B:B,MATCH(AI489,'Group List A'!A:A,0),0),"-"),"")</f>
        <v/>
      </c>
      <c r="L489" s="33">
        <f t="shared" si="110"/>
        <v>0</v>
      </c>
      <c r="M489" s="33">
        <f t="shared" si="111"/>
        <v>0</v>
      </c>
      <c r="N489" s="33">
        <f t="shared" si="112"/>
        <v>0</v>
      </c>
      <c r="O489" s="28"/>
      <c r="P489" s="33">
        <f t="shared" si="113"/>
        <v>0</v>
      </c>
      <c r="Q489" s="35" t="str" cm="1">
        <f t="array" ref="Q489">IF(AF489&lt;&gt;"",IFERROR(INDEX('Group List B'!B:B,MATCH(AI489,'Group List B'!A:A,0),0),"-"),"")</f>
        <v/>
      </c>
      <c r="R489" s="36">
        <f t="shared" si="114"/>
        <v>0</v>
      </c>
      <c r="S489" s="36">
        <f t="shared" si="115"/>
        <v>0</v>
      </c>
      <c r="T489" s="36">
        <f t="shared" si="116"/>
        <v>0</v>
      </c>
      <c r="U489" s="28"/>
      <c r="V489" s="37">
        <f t="shared" si="117"/>
        <v>0</v>
      </c>
      <c r="W489" s="41"/>
      <c r="X489" s="27"/>
      <c r="Y489" s="27"/>
      <c r="Z489" s="27"/>
      <c r="AA489" s="15"/>
      <c r="AB489" s="17"/>
      <c r="AC489" s="17"/>
      <c r="AD489" s="17"/>
      <c r="AE489" s="90"/>
      <c r="AF489" s="82" t="str">
        <f t="shared" si="118"/>
        <v/>
      </c>
      <c r="AG489" s="83" t="str">
        <f t="shared" si="119"/>
        <v/>
      </c>
      <c r="AH489" s="82" t="str">
        <f t="shared" si="120"/>
        <v/>
      </c>
      <c r="AI489" s="82" t="str">
        <f t="shared" si="121"/>
        <v/>
      </c>
      <c r="AJ489" s="90"/>
      <c r="AP489" s="88"/>
    </row>
    <row r="490" spans="1:42" x14ac:dyDescent="0.25">
      <c r="A490" s="2"/>
      <c r="C490" s="68" t="str" cm="1">
        <f t="array" ref="C490">IF(AF490&lt;&gt;"",
IFERROR(INDEX('LaunchPad Markbook'!A:A,MATCH(AH490,'LaunchPad Markbook'!D:D,0),0),"-"),"")</f>
        <v/>
      </c>
      <c r="D490" s="27"/>
      <c r="E490" s="27"/>
      <c r="F490" s="27"/>
      <c r="G490" s="14">
        <f>IF(OR(H490&gt;AB$2,I490&gt;AC$2,J490&gt;AD$2,
P490&gt;1,V490&gt;1,
L490&gt;'Group List A'!E$2,M490&gt;'Group List A'!F$2,N490&gt;'Group List A'!G$2,
R490&gt;'Group List B'!E$2,S490&gt;'Group List B'!F$2,T490&gt;'Group List B'!G$2),"Exceed",
IF(OR(H490=AB$2,I490=AC$2,J490=AD$2,
P490=1,V490=1,
L490='Group List A'!E$2,M490='Group List A'!F$2,N490='Group List A'!G$2,
R490='Group List B'!E$2,S490='Group List B'!F$2,T490='Group List B'!G$2),"Limit",0))</f>
        <v>0</v>
      </c>
      <c r="H490" s="29">
        <f t="shared" si="107"/>
        <v>0</v>
      </c>
      <c r="I490" s="29">
        <f t="shared" si="108"/>
        <v>0</v>
      </c>
      <c r="J490" s="29">
        <f t="shared" si="109"/>
        <v>0</v>
      </c>
      <c r="K490" s="32" t="str" cm="1">
        <f t="array" ref="K490">IF(AF490&lt;&gt;"",IFERROR(INDEX('Group List A'!B:B,MATCH(AI490,'Group List A'!A:A,0),0),"-"),"")</f>
        <v/>
      </c>
      <c r="L490" s="33">
        <f t="shared" si="110"/>
        <v>0</v>
      </c>
      <c r="M490" s="33">
        <f t="shared" si="111"/>
        <v>0</v>
      </c>
      <c r="N490" s="33">
        <f t="shared" si="112"/>
        <v>0</v>
      </c>
      <c r="O490" s="28"/>
      <c r="P490" s="33">
        <f t="shared" si="113"/>
        <v>0</v>
      </c>
      <c r="Q490" s="35" t="str" cm="1">
        <f t="array" ref="Q490">IF(AF490&lt;&gt;"",IFERROR(INDEX('Group List B'!B:B,MATCH(AI490,'Group List B'!A:A,0),0),"-"),"")</f>
        <v/>
      </c>
      <c r="R490" s="36">
        <f t="shared" si="114"/>
        <v>0</v>
      </c>
      <c r="S490" s="36">
        <f t="shared" si="115"/>
        <v>0</v>
      </c>
      <c r="T490" s="36">
        <f t="shared" si="116"/>
        <v>0</v>
      </c>
      <c r="U490" s="28"/>
      <c r="V490" s="37">
        <f t="shared" si="117"/>
        <v>0</v>
      </c>
      <c r="W490" s="41"/>
      <c r="X490" s="27"/>
      <c r="Y490" s="27"/>
      <c r="Z490" s="27"/>
      <c r="AA490" s="15"/>
      <c r="AB490" s="17"/>
      <c r="AC490" s="17"/>
      <c r="AD490" s="17"/>
      <c r="AE490" s="90"/>
      <c r="AF490" s="82" t="str">
        <f t="shared" si="118"/>
        <v/>
      </c>
      <c r="AG490" s="83" t="str">
        <f t="shared" si="119"/>
        <v/>
      </c>
      <c r="AH490" s="82" t="str">
        <f t="shared" si="120"/>
        <v/>
      </c>
      <c r="AI490" s="82" t="str">
        <f t="shared" si="121"/>
        <v/>
      </c>
      <c r="AJ490" s="90"/>
      <c r="AP490" s="88"/>
    </row>
    <row r="491" spans="1:42" x14ac:dyDescent="0.25">
      <c r="A491" s="2"/>
      <c r="C491" s="68" t="str" cm="1">
        <f t="array" ref="C491">IF(AF491&lt;&gt;"",
IFERROR(INDEX('LaunchPad Markbook'!A:A,MATCH(AH491,'LaunchPad Markbook'!D:D,0),0),"-"),"")</f>
        <v/>
      </c>
      <c r="D491" s="27"/>
      <c r="E491" s="27"/>
      <c r="F491" s="27"/>
      <c r="G491" s="14">
        <f>IF(OR(H491&gt;AB$2,I491&gt;AC$2,J491&gt;AD$2,
P491&gt;1,V491&gt;1,
L491&gt;'Group List A'!E$2,M491&gt;'Group List A'!F$2,N491&gt;'Group List A'!G$2,
R491&gt;'Group List B'!E$2,S491&gt;'Group List B'!F$2,T491&gt;'Group List B'!G$2),"Exceed",
IF(OR(H491=AB$2,I491=AC$2,J491=AD$2,
P491=1,V491=1,
L491='Group List A'!E$2,M491='Group List A'!F$2,N491='Group List A'!G$2,
R491='Group List B'!E$2,S491='Group List B'!F$2,T491='Group List B'!G$2),"Limit",0))</f>
        <v>0</v>
      </c>
      <c r="H491" s="29">
        <f t="shared" si="107"/>
        <v>0</v>
      </c>
      <c r="I491" s="29">
        <f t="shared" si="108"/>
        <v>0</v>
      </c>
      <c r="J491" s="29">
        <f t="shared" si="109"/>
        <v>0</v>
      </c>
      <c r="K491" s="32" t="str" cm="1">
        <f t="array" ref="K491">IF(AF491&lt;&gt;"",IFERROR(INDEX('Group List A'!B:B,MATCH(AI491,'Group List A'!A:A,0),0),"-"),"")</f>
        <v/>
      </c>
      <c r="L491" s="33">
        <f t="shared" si="110"/>
        <v>0</v>
      </c>
      <c r="M491" s="33">
        <f t="shared" si="111"/>
        <v>0</v>
      </c>
      <c r="N491" s="33">
        <f t="shared" si="112"/>
        <v>0</v>
      </c>
      <c r="O491" s="28"/>
      <c r="P491" s="33">
        <f t="shared" si="113"/>
        <v>0</v>
      </c>
      <c r="Q491" s="35" t="str" cm="1">
        <f t="array" ref="Q491">IF(AF491&lt;&gt;"",IFERROR(INDEX('Group List B'!B:B,MATCH(AI491,'Group List B'!A:A,0),0),"-"),"")</f>
        <v/>
      </c>
      <c r="R491" s="36">
        <f t="shared" si="114"/>
        <v>0</v>
      </c>
      <c r="S491" s="36">
        <f t="shared" si="115"/>
        <v>0</v>
      </c>
      <c r="T491" s="36">
        <f t="shared" si="116"/>
        <v>0</v>
      </c>
      <c r="U491" s="28"/>
      <c r="V491" s="37">
        <f t="shared" si="117"/>
        <v>0</v>
      </c>
      <c r="W491" s="41"/>
      <c r="X491" s="27"/>
      <c r="Y491" s="27"/>
      <c r="Z491" s="27"/>
      <c r="AA491" s="15"/>
      <c r="AB491" s="17"/>
      <c r="AC491" s="17"/>
      <c r="AD491" s="17"/>
      <c r="AE491" s="90"/>
      <c r="AF491" s="82" t="str">
        <f t="shared" si="118"/>
        <v/>
      </c>
      <c r="AG491" s="83" t="str">
        <f t="shared" si="119"/>
        <v/>
      </c>
      <c r="AH491" s="82" t="str">
        <f t="shared" si="120"/>
        <v/>
      </c>
      <c r="AI491" s="82" t="str">
        <f t="shared" si="121"/>
        <v/>
      </c>
      <c r="AJ491" s="90"/>
      <c r="AP491" s="88"/>
    </row>
    <row r="492" spans="1:42" x14ac:dyDescent="0.25">
      <c r="A492" s="2"/>
      <c r="C492" s="68" t="str" cm="1">
        <f t="array" ref="C492">IF(AF492&lt;&gt;"",
IFERROR(INDEX('LaunchPad Markbook'!A:A,MATCH(AH492,'LaunchPad Markbook'!D:D,0),0),"-"),"")</f>
        <v/>
      </c>
      <c r="D492" s="27"/>
      <c r="E492" s="27"/>
      <c r="F492" s="27"/>
      <c r="G492" s="14">
        <f>IF(OR(H492&gt;AB$2,I492&gt;AC$2,J492&gt;AD$2,
P492&gt;1,V492&gt;1,
L492&gt;'Group List A'!E$2,M492&gt;'Group List A'!F$2,N492&gt;'Group List A'!G$2,
R492&gt;'Group List B'!E$2,S492&gt;'Group List B'!F$2,T492&gt;'Group List B'!G$2),"Exceed",
IF(OR(H492=AB$2,I492=AC$2,J492=AD$2,
P492=1,V492=1,
L492='Group List A'!E$2,M492='Group List A'!F$2,N492='Group List A'!G$2,
R492='Group List B'!E$2,S492='Group List B'!F$2,T492='Group List B'!G$2),"Limit",0))</f>
        <v>0</v>
      </c>
      <c r="H492" s="29">
        <f t="shared" si="107"/>
        <v>0</v>
      </c>
      <c r="I492" s="29">
        <f t="shared" si="108"/>
        <v>0</v>
      </c>
      <c r="J492" s="29">
        <f t="shared" si="109"/>
        <v>0</v>
      </c>
      <c r="K492" s="32" t="str" cm="1">
        <f t="array" ref="K492">IF(AF492&lt;&gt;"",IFERROR(INDEX('Group List A'!B:B,MATCH(AI492,'Group List A'!A:A,0),0),"-"),"")</f>
        <v/>
      </c>
      <c r="L492" s="33">
        <f t="shared" si="110"/>
        <v>0</v>
      </c>
      <c r="M492" s="33">
        <f t="shared" si="111"/>
        <v>0</v>
      </c>
      <c r="N492" s="33">
        <f t="shared" si="112"/>
        <v>0</v>
      </c>
      <c r="O492" s="28"/>
      <c r="P492" s="33">
        <f t="shared" si="113"/>
        <v>0</v>
      </c>
      <c r="Q492" s="35" t="str" cm="1">
        <f t="array" ref="Q492">IF(AF492&lt;&gt;"",IFERROR(INDEX('Group List B'!B:B,MATCH(AI492,'Group List B'!A:A,0),0),"-"),"")</f>
        <v/>
      </c>
      <c r="R492" s="36">
        <f t="shared" si="114"/>
        <v>0</v>
      </c>
      <c r="S492" s="36">
        <f t="shared" si="115"/>
        <v>0</v>
      </c>
      <c r="T492" s="36">
        <f t="shared" si="116"/>
        <v>0</v>
      </c>
      <c r="U492" s="28"/>
      <c r="V492" s="37">
        <f t="shared" si="117"/>
        <v>0</v>
      </c>
      <c r="W492" s="41"/>
      <c r="X492" s="27"/>
      <c r="Y492" s="27"/>
      <c r="Z492" s="27"/>
      <c r="AA492" s="15"/>
      <c r="AB492" s="17"/>
      <c r="AC492" s="17"/>
      <c r="AD492" s="17"/>
      <c r="AE492" s="90"/>
      <c r="AF492" s="82" t="str">
        <f t="shared" si="118"/>
        <v/>
      </c>
      <c r="AG492" s="83" t="str">
        <f t="shared" si="119"/>
        <v/>
      </c>
      <c r="AH492" s="82" t="str">
        <f t="shared" si="120"/>
        <v/>
      </c>
      <c r="AI492" s="82" t="str">
        <f t="shared" si="121"/>
        <v/>
      </c>
      <c r="AJ492" s="90"/>
      <c r="AP492" s="88"/>
    </row>
    <row r="493" spans="1:42" x14ac:dyDescent="0.25">
      <c r="A493" s="2"/>
      <c r="C493" s="68" t="str" cm="1">
        <f t="array" ref="C493">IF(AF493&lt;&gt;"",
IFERROR(INDEX('LaunchPad Markbook'!A:A,MATCH(AH493,'LaunchPad Markbook'!D:D,0),0),"-"),"")</f>
        <v/>
      </c>
      <c r="D493" s="27"/>
      <c r="E493" s="27"/>
      <c r="F493" s="27"/>
      <c r="G493" s="14">
        <f>IF(OR(H493&gt;AB$2,I493&gt;AC$2,J493&gt;AD$2,
P493&gt;1,V493&gt;1,
L493&gt;'Group List A'!E$2,M493&gt;'Group List A'!F$2,N493&gt;'Group List A'!G$2,
R493&gt;'Group List B'!E$2,S493&gt;'Group List B'!F$2,T493&gt;'Group List B'!G$2),"Exceed",
IF(OR(H493=AB$2,I493=AC$2,J493=AD$2,
P493=1,V493=1,
L493='Group List A'!E$2,M493='Group List A'!F$2,N493='Group List A'!G$2,
R493='Group List B'!E$2,S493='Group List B'!F$2,T493='Group List B'!G$2),"Limit",0))</f>
        <v>0</v>
      </c>
      <c r="H493" s="29">
        <f t="shared" si="107"/>
        <v>0</v>
      </c>
      <c r="I493" s="29">
        <f t="shared" si="108"/>
        <v>0</v>
      </c>
      <c r="J493" s="29">
        <f t="shared" si="109"/>
        <v>0</v>
      </c>
      <c r="K493" s="32" t="str" cm="1">
        <f t="array" ref="K493">IF(AF493&lt;&gt;"",IFERROR(INDEX('Group List A'!B:B,MATCH(AI493,'Group List A'!A:A,0),0),"-"),"")</f>
        <v/>
      </c>
      <c r="L493" s="33">
        <f t="shared" si="110"/>
        <v>0</v>
      </c>
      <c r="M493" s="33">
        <f t="shared" si="111"/>
        <v>0</v>
      </c>
      <c r="N493" s="33">
        <f t="shared" si="112"/>
        <v>0</v>
      </c>
      <c r="O493" s="28"/>
      <c r="P493" s="33">
        <f t="shared" si="113"/>
        <v>0</v>
      </c>
      <c r="Q493" s="35" t="str" cm="1">
        <f t="array" ref="Q493">IF(AF493&lt;&gt;"",IFERROR(INDEX('Group List B'!B:B,MATCH(AI493,'Group List B'!A:A,0),0),"-"),"")</f>
        <v/>
      </c>
      <c r="R493" s="36">
        <f t="shared" si="114"/>
        <v>0</v>
      </c>
      <c r="S493" s="36">
        <f t="shared" si="115"/>
        <v>0</v>
      </c>
      <c r="T493" s="36">
        <f t="shared" si="116"/>
        <v>0</v>
      </c>
      <c r="U493" s="28"/>
      <c r="V493" s="37">
        <f t="shared" si="117"/>
        <v>0</v>
      </c>
      <c r="W493" s="41"/>
      <c r="X493" s="27"/>
      <c r="Y493" s="27"/>
      <c r="Z493" s="27"/>
      <c r="AA493" s="15"/>
      <c r="AB493" s="17"/>
      <c r="AC493" s="17"/>
      <c r="AD493" s="17"/>
      <c r="AE493" s="90"/>
      <c r="AF493" s="82" t="str">
        <f t="shared" si="118"/>
        <v/>
      </c>
      <c r="AG493" s="83" t="str">
        <f t="shared" si="119"/>
        <v/>
      </c>
      <c r="AH493" s="82" t="str">
        <f t="shared" si="120"/>
        <v/>
      </c>
      <c r="AI493" s="82" t="str">
        <f t="shared" si="121"/>
        <v/>
      </c>
      <c r="AJ493" s="90"/>
      <c r="AP493" s="88"/>
    </row>
    <row r="494" spans="1:42" x14ac:dyDescent="0.25">
      <c r="A494" s="2"/>
      <c r="C494" s="68" t="str" cm="1">
        <f t="array" ref="C494">IF(AF494&lt;&gt;"",
IFERROR(INDEX('LaunchPad Markbook'!A:A,MATCH(AH494,'LaunchPad Markbook'!D:D,0),0),"-"),"")</f>
        <v/>
      </c>
      <c r="D494" s="27"/>
      <c r="E494" s="27"/>
      <c r="F494" s="27"/>
      <c r="G494" s="14">
        <f>IF(OR(H494&gt;AB$2,I494&gt;AC$2,J494&gt;AD$2,
P494&gt;1,V494&gt;1,
L494&gt;'Group List A'!E$2,M494&gt;'Group List A'!F$2,N494&gt;'Group List A'!G$2,
R494&gt;'Group List B'!E$2,S494&gt;'Group List B'!F$2,T494&gt;'Group List B'!G$2),"Exceed",
IF(OR(H494=AB$2,I494=AC$2,J494=AD$2,
P494=1,V494=1,
L494='Group List A'!E$2,M494='Group List A'!F$2,N494='Group List A'!G$2,
R494='Group List B'!E$2,S494='Group List B'!F$2,T494='Group List B'!G$2),"Limit",0))</f>
        <v>0</v>
      </c>
      <c r="H494" s="29">
        <f t="shared" si="107"/>
        <v>0</v>
      </c>
      <c r="I494" s="29">
        <f t="shared" si="108"/>
        <v>0</v>
      </c>
      <c r="J494" s="29">
        <f t="shared" si="109"/>
        <v>0</v>
      </c>
      <c r="K494" s="32" t="str" cm="1">
        <f t="array" ref="K494">IF(AF494&lt;&gt;"",IFERROR(INDEX('Group List A'!B:B,MATCH(AI494,'Group List A'!A:A,0),0),"-"),"")</f>
        <v/>
      </c>
      <c r="L494" s="33">
        <f t="shared" si="110"/>
        <v>0</v>
      </c>
      <c r="M494" s="33">
        <f t="shared" si="111"/>
        <v>0</v>
      </c>
      <c r="N494" s="33">
        <f t="shared" si="112"/>
        <v>0</v>
      </c>
      <c r="O494" s="28"/>
      <c r="P494" s="33">
        <f t="shared" si="113"/>
        <v>0</v>
      </c>
      <c r="Q494" s="35" t="str" cm="1">
        <f t="array" ref="Q494">IF(AF494&lt;&gt;"",IFERROR(INDEX('Group List B'!B:B,MATCH(AI494,'Group List B'!A:A,0),0),"-"),"")</f>
        <v/>
      </c>
      <c r="R494" s="36">
        <f t="shared" si="114"/>
        <v>0</v>
      </c>
      <c r="S494" s="36">
        <f t="shared" si="115"/>
        <v>0</v>
      </c>
      <c r="T494" s="36">
        <f t="shared" si="116"/>
        <v>0</v>
      </c>
      <c r="U494" s="28"/>
      <c r="V494" s="37">
        <f t="shared" si="117"/>
        <v>0</v>
      </c>
      <c r="W494" s="41"/>
      <c r="X494" s="27"/>
      <c r="Y494" s="27"/>
      <c r="Z494" s="27"/>
      <c r="AA494" s="15"/>
      <c r="AB494" s="17"/>
      <c r="AC494" s="17"/>
      <c r="AD494" s="17"/>
      <c r="AE494" s="90"/>
      <c r="AF494" s="82" t="str">
        <f t="shared" si="118"/>
        <v/>
      </c>
      <c r="AG494" s="83" t="str">
        <f t="shared" si="119"/>
        <v/>
      </c>
      <c r="AH494" s="82" t="str">
        <f t="shared" si="120"/>
        <v/>
      </c>
      <c r="AI494" s="82" t="str">
        <f t="shared" si="121"/>
        <v/>
      </c>
      <c r="AJ494" s="90"/>
      <c r="AP494" s="88"/>
    </row>
    <row r="495" spans="1:42" x14ac:dyDescent="0.25">
      <c r="A495" s="2"/>
      <c r="C495" s="68" t="str" cm="1">
        <f t="array" ref="C495">IF(AF495&lt;&gt;"",
IFERROR(INDEX('LaunchPad Markbook'!A:A,MATCH(AH495,'LaunchPad Markbook'!D:D,0),0),"-"),"")</f>
        <v/>
      </c>
      <c r="D495" s="27"/>
      <c r="E495" s="27"/>
      <c r="F495" s="27"/>
      <c r="G495" s="14">
        <f>IF(OR(H495&gt;AB$2,I495&gt;AC$2,J495&gt;AD$2,
P495&gt;1,V495&gt;1,
L495&gt;'Group List A'!E$2,M495&gt;'Group List A'!F$2,N495&gt;'Group List A'!G$2,
R495&gt;'Group List B'!E$2,S495&gt;'Group List B'!F$2,T495&gt;'Group List B'!G$2),"Exceed",
IF(OR(H495=AB$2,I495=AC$2,J495=AD$2,
P495=1,V495=1,
L495='Group List A'!E$2,M495='Group List A'!F$2,N495='Group List A'!G$2,
R495='Group List B'!E$2,S495='Group List B'!F$2,T495='Group List B'!G$2),"Limit",0))</f>
        <v>0</v>
      </c>
      <c r="H495" s="29">
        <f t="shared" si="107"/>
        <v>0</v>
      </c>
      <c r="I495" s="29">
        <f t="shared" si="108"/>
        <v>0</v>
      </c>
      <c r="J495" s="29">
        <f t="shared" si="109"/>
        <v>0</v>
      </c>
      <c r="K495" s="32" t="str" cm="1">
        <f t="array" ref="K495">IF(AF495&lt;&gt;"",IFERROR(INDEX('Group List A'!B:B,MATCH(AI495,'Group List A'!A:A,0),0),"-"),"")</f>
        <v/>
      </c>
      <c r="L495" s="33">
        <f t="shared" si="110"/>
        <v>0</v>
      </c>
      <c r="M495" s="33">
        <f t="shared" si="111"/>
        <v>0</v>
      </c>
      <c r="N495" s="33">
        <f t="shared" si="112"/>
        <v>0</v>
      </c>
      <c r="O495" s="28"/>
      <c r="P495" s="33">
        <f t="shared" si="113"/>
        <v>0</v>
      </c>
      <c r="Q495" s="35" t="str" cm="1">
        <f t="array" ref="Q495">IF(AF495&lt;&gt;"",IFERROR(INDEX('Group List B'!B:B,MATCH(AI495,'Group List B'!A:A,0),0),"-"),"")</f>
        <v/>
      </c>
      <c r="R495" s="36">
        <f t="shared" si="114"/>
        <v>0</v>
      </c>
      <c r="S495" s="36">
        <f t="shared" si="115"/>
        <v>0</v>
      </c>
      <c r="T495" s="36">
        <f t="shared" si="116"/>
        <v>0</v>
      </c>
      <c r="U495" s="28"/>
      <c r="V495" s="37">
        <f t="shared" si="117"/>
        <v>0</v>
      </c>
      <c r="W495" s="41"/>
      <c r="X495" s="27"/>
      <c r="Y495" s="27"/>
      <c r="Z495" s="27"/>
      <c r="AA495" s="15"/>
      <c r="AB495" s="17"/>
      <c r="AC495" s="17"/>
      <c r="AD495" s="17"/>
      <c r="AE495" s="90"/>
      <c r="AF495" s="82" t="str">
        <f t="shared" si="118"/>
        <v/>
      </c>
      <c r="AG495" s="83" t="str">
        <f t="shared" si="119"/>
        <v/>
      </c>
      <c r="AH495" s="82" t="str">
        <f t="shared" si="120"/>
        <v/>
      </c>
      <c r="AI495" s="82" t="str">
        <f t="shared" si="121"/>
        <v/>
      </c>
      <c r="AJ495" s="90"/>
      <c r="AP495" s="88"/>
    </row>
    <row r="496" spans="1:42" x14ac:dyDescent="0.25">
      <c r="A496" s="2"/>
      <c r="C496" s="68" t="str" cm="1">
        <f t="array" ref="C496">IF(AF496&lt;&gt;"",
IFERROR(INDEX('LaunchPad Markbook'!A:A,MATCH(AH496,'LaunchPad Markbook'!D:D,0),0),"-"),"")</f>
        <v/>
      </c>
      <c r="D496" s="27"/>
      <c r="E496" s="27"/>
      <c r="F496" s="27"/>
      <c r="G496" s="14">
        <f>IF(OR(H496&gt;AB$2,I496&gt;AC$2,J496&gt;AD$2,
P496&gt;1,V496&gt;1,
L496&gt;'Group List A'!E$2,M496&gt;'Group List A'!F$2,N496&gt;'Group List A'!G$2,
R496&gt;'Group List B'!E$2,S496&gt;'Group List B'!F$2,T496&gt;'Group List B'!G$2),"Exceed",
IF(OR(H496=AB$2,I496=AC$2,J496=AD$2,
P496=1,V496=1,
L496='Group List A'!E$2,M496='Group List A'!F$2,N496='Group List A'!G$2,
R496='Group List B'!E$2,S496='Group List B'!F$2,T496='Group List B'!G$2),"Limit",0))</f>
        <v>0</v>
      </c>
      <c r="H496" s="29">
        <f t="shared" si="107"/>
        <v>0</v>
      </c>
      <c r="I496" s="29">
        <f t="shared" si="108"/>
        <v>0</v>
      </c>
      <c r="J496" s="29">
        <f t="shared" si="109"/>
        <v>0</v>
      </c>
      <c r="K496" s="32" t="str" cm="1">
        <f t="array" ref="K496">IF(AF496&lt;&gt;"",IFERROR(INDEX('Group List A'!B:B,MATCH(AI496,'Group List A'!A:A,0),0),"-"),"")</f>
        <v/>
      </c>
      <c r="L496" s="33">
        <f t="shared" si="110"/>
        <v>0</v>
      </c>
      <c r="M496" s="33">
        <f t="shared" si="111"/>
        <v>0</v>
      </c>
      <c r="N496" s="33">
        <f t="shared" si="112"/>
        <v>0</v>
      </c>
      <c r="O496" s="28"/>
      <c r="P496" s="33">
        <f t="shared" si="113"/>
        <v>0</v>
      </c>
      <c r="Q496" s="35" t="str" cm="1">
        <f t="array" ref="Q496">IF(AF496&lt;&gt;"",IFERROR(INDEX('Group List B'!B:B,MATCH(AI496,'Group List B'!A:A,0),0),"-"),"")</f>
        <v/>
      </c>
      <c r="R496" s="36">
        <f t="shared" si="114"/>
        <v>0</v>
      </c>
      <c r="S496" s="36">
        <f t="shared" si="115"/>
        <v>0</v>
      </c>
      <c r="T496" s="36">
        <f t="shared" si="116"/>
        <v>0</v>
      </c>
      <c r="U496" s="28"/>
      <c r="V496" s="37">
        <f t="shared" si="117"/>
        <v>0</v>
      </c>
      <c r="W496" s="41"/>
      <c r="X496" s="27"/>
      <c r="Y496" s="27"/>
      <c r="Z496" s="27"/>
      <c r="AA496" s="15"/>
      <c r="AB496" s="17"/>
      <c r="AC496" s="17"/>
      <c r="AD496" s="17"/>
      <c r="AE496" s="90"/>
      <c r="AF496" s="82" t="str">
        <f t="shared" si="118"/>
        <v/>
      </c>
      <c r="AG496" s="83" t="str">
        <f t="shared" si="119"/>
        <v/>
      </c>
      <c r="AH496" s="82" t="str">
        <f t="shared" si="120"/>
        <v/>
      </c>
      <c r="AI496" s="82" t="str">
        <f t="shared" si="121"/>
        <v/>
      </c>
      <c r="AJ496" s="90"/>
      <c r="AP496" s="88"/>
    </row>
    <row r="497" spans="1:42" x14ac:dyDescent="0.25">
      <c r="A497" s="2"/>
      <c r="C497" s="68" t="str" cm="1">
        <f t="array" ref="C497">IF(AF497&lt;&gt;"",
IFERROR(INDEX('LaunchPad Markbook'!A:A,MATCH(AH497,'LaunchPad Markbook'!D:D,0),0),"-"),"")</f>
        <v/>
      </c>
      <c r="D497" s="27"/>
      <c r="E497" s="27"/>
      <c r="F497" s="27"/>
      <c r="G497" s="14">
        <f>IF(OR(H497&gt;AB$2,I497&gt;AC$2,J497&gt;AD$2,
P497&gt;1,V497&gt;1,
L497&gt;'Group List A'!E$2,M497&gt;'Group List A'!F$2,N497&gt;'Group List A'!G$2,
R497&gt;'Group List B'!E$2,S497&gt;'Group List B'!F$2,T497&gt;'Group List B'!G$2),"Exceed",
IF(OR(H497=AB$2,I497=AC$2,J497=AD$2,
P497=1,V497=1,
L497='Group List A'!E$2,M497='Group List A'!F$2,N497='Group List A'!G$2,
R497='Group List B'!E$2,S497='Group List B'!F$2,T497='Group List B'!G$2),"Limit",0))</f>
        <v>0</v>
      </c>
      <c r="H497" s="29">
        <f t="shared" si="107"/>
        <v>0</v>
      </c>
      <c r="I497" s="29">
        <f t="shared" si="108"/>
        <v>0</v>
      </c>
      <c r="J497" s="29">
        <f t="shared" si="109"/>
        <v>0</v>
      </c>
      <c r="K497" s="32" t="str" cm="1">
        <f t="array" ref="K497">IF(AF497&lt;&gt;"",IFERROR(INDEX('Group List A'!B:B,MATCH(AI497,'Group List A'!A:A,0),0),"-"),"")</f>
        <v/>
      </c>
      <c r="L497" s="33">
        <f t="shared" si="110"/>
        <v>0</v>
      </c>
      <c r="M497" s="33">
        <f t="shared" si="111"/>
        <v>0</v>
      </c>
      <c r="N497" s="33">
        <f t="shared" si="112"/>
        <v>0</v>
      </c>
      <c r="O497" s="28"/>
      <c r="P497" s="33">
        <f t="shared" si="113"/>
        <v>0</v>
      </c>
      <c r="Q497" s="35" t="str" cm="1">
        <f t="array" ref="Q497">IF(AF497&lt;&gt;"",IFERROR(INDEX('Group List B'!B:B,MATCH(AI497,'Group List B'!A:A,0),0),"-"),"")</f>
        <v/>
      </c>
      <c r="R497" s="36">
        <f t="shared" si="114"/>
        <v>0</v>
      </c>
      <c r="S497" s="36">
        <f t="shared" si="115"/>
        <v>0</v>
      </c>
      <c r="T497" s="36">
        <f t="shared" si="116"/>
        <v>0</v>
      </c>
      <c r="U497" s="28"/>
      <c r="V497" s="37">
        <f t="shared" si="117"/>
        <v>0</v>
      </c>
      <c r="W497" s="41"/>
      <c r="X497" s="27"/>
      <c r="Y497" s="27"/>
      <c r="Z497" s="27"/>
      <c r="AA497" s="15"/>
      <c r="AB497" s="17"/>
      <c r="AC497" s="17"/>
      <c r="AD497" s="17"/>
      <c r="AE497" s="90"/>
      <c r="AF497" s="82" t="str">
        <f t="shared" si="118"/>
        <v/>
      </c>
      <c r="AG497" s="83" t="str">
        <f t="shared" si="119"/>
        <v/>
      </c>
      <c r="AH497" s="82" t="str">
        <f t="shared" si="120"/>
        <v/>
      </c>
      <c r="AI497" s="82" t="str">
        <f t="shared" si="121"/>
        <v/>
      </c>
      <c r="AJ497" s="90"/>
      <c r="AP497" s="88"/>
    </row>
    <row r="498" spans="1:42" x14ac:dyDescent="0.25">
      <c r="A498" s="2"/>
      <c r="C498" s="68" t="str" cm="1">
        <f t="array" ref="C498">IF(AF498&lt;&gt;"",
IFERROR(INDEX('LaunchPad Markbook'!A:A,MATCH(AH498,'LaunchPad Markbook'!D:D,0),0),"-"),"")</f>
        <v/>
      </c>
      <c r="D498" s="27"/>
      <c r="E498" s="27"/>
      <c r="F498" s="27"/>
      <c r="G498" s="14">
        <f>IF(OR(H498&gt;AB$2,I498&gt;AC$2,J498&gt;AD$2,
P498&gt;1,V498&gt;1,
L498&gt;'Group List A'!E$2,M498&gt;'Group List A'!F$2,N498&gt;'Group List A'!G$2,
R498&gt;'Group List B'!E$2,S498&gt;'Group List B'!F$2,T498&gt;'Group List B'!G$2),"Exceed",
IF(OR(H498=AB$2,I498=AC$2,J498=AD$2,
P498=1,V498=1,
L498='Group List A'!E$2,M498='Group List A'!F$2,N498='Group List A'!G$2,
R498='Group List B'!E$2,S498='Group List B'!F$2,T498='Group List B'!G$2),"Limit",0))</f>
        <v>0</v>
      </c>
      <c r="H498" s="29">
        <f t="shared" si="107"/>
        <v>0</v>
      </c>
      <c r="I498" s="29">
        <f t="shared" si="108"/>
        <v>0</v>
      </c>
      <c r="J498" s="29">
        <f t="shared" si="109"/>
        <v>0</v>
      </c>
      <c r="K498" s="32" t="str" cm="1">
        <f t="array" ref="K498">IF(AF498&lt;&gt;"",IFERROR(INDEX('Group List A'!B:B,MATCH(AI498,'Group List A'!A:A,0),0),"-"),"")</f>
        <v/>
      </c>
      <c r="L498" s="33">
        <f t="shared" si="110"/>
        <v>0</v>
      </c>
      <c r="M498" s="33">
        <f t="shared" si="111"/>
        <v>0</v>
      </c>
      <c r="N498" s="33">
        <f t="shared" si="112"/>
        <v>0</v>
      </c>
      <c r="O498" s="28"/>
      <c r="P498" s="33">
        <f t="shared" si="113"/>
        <v>0</v>
      </c>
      <c r="Q498" s="35" t="str" cm="1">
        <f t="array" ref="Q498">IF(AF498&lt;&gt;"",IFERROR(INDEX('Group List B'!B:B,MATCH(AI498,'Group List B'!A:A,0),0),"-"),"")</f>
        <v/>
      </c>
      <c r="R498" s="36">
        <f t="shared" si="114"/>
        <v>0</v>
      </c>
      <c r="S498" s="36">
        <f t="shared" si="115"/>
        <v>0</v>
      </c>
      <c r="T498" s="36">
        <f t="shared" si="116"/>
        <v>0</v>
      </c>
      <c r="U498" s="28"/>
      <c r="V498" s="37">
        <f t="shared" si="117"/>
        <v>0</v>
      </c>
      <c r="W498" s="41"/>
      <c r="X498" s="27"/>
      <c r="Y498" s="27"/>
      <c r="Z498" s="27"/>
      <c r="AA498" s="15"/>
      <c r="AB498" s="17"/>
      <c r="AC498" s="17"/>
      <c r="AD498" s="17"/>
      <c r="AE498" s="90"/>
      <c r="AF498" s="82" t="str">
        <f t="shared" si="118"/>
        <v/>
      </c>
      <c r="AG498" s="83" t="str">
        <f t="shared" si="119"/>
        <v/>
      </c>
      <c r="AH498" s="82" t="str">
        <f t="shared" si="120"/>
        <v/>
      </c>
      <c r="AI498" s="82" t="str">
        <f t="shared" si="121"/>
        <v/>
      </c>
      <c r="AJ498" s="90"/>
      <c r="AP498" s="88"/>
    </row>
    <row r="499" spans="1:42" x14ac:dyDescent="0.25">
      <c r="A499" s="2"/>
      <c r="C499" s="68" t="str" cm="1">
        <f t="array" ref="C499">IF(AF499&lt;&gt;"",
IFERROR(INDEX('LaunchPad Markbook'!A:A,MATCH(AH499,'LaunchPad Markbook'!D:D,0),0),"-"),"")</f>
        <v/>
      </c>
      <c r="D499" s="27"/>
      <c r="E499" s="27"/>
      <c r="F499" s="27"/>
      <c r="G499" s="14">
        <f>IF(OR(H499&gt;AB$2,I499&gt;AC$2,J499&gt;AD$2,
P499&gt;1,V499&gt;1,
L499&gt;'Group List A'!E$2,M499&gt;'Group List A'!F$2,N499&gt;'Group List A'!G$2,
R499&gt;'Group List B'!E$2,S499&gt;'Group List B'!F$2,T499&gt;'Group List B'!G$2),"Exceed",
IF(OR(H499=AB$2,I499=AC$2,J499=AD$2,
P499=1,V499=1,
L499='Group List A'!E$2,M499='Group List A'!F$2,N499='Group List A'!G$2,
R499='Group List B'!E$2,S499='Group List B'!F$2,T499='Group List B'!G$2),"Limit",0))</f>
        <v>0</v>
      </c>
      <c r="H499" s="29">
        <f t="shared" si="107"/>
        <v>0</v>
      </c>
      <c r="I499" s="29">
        <f t="shared" si="108"/>
        <v>0</v>
      </c>
      <c r="J499" s="29">
        <f t="shared" si="109"/>
        <v>0</v>
      </c>
      <c r="K499" s="32" t="str" cm="1">
        <f t="array" ref="K499">IF(AF499&lt;&gt;"",IFERROR(INDEX('Group List A'!B:B,MATCH(AI499,'Group List A'!A:A,0),0),"-"),"")</f>
        <v/>
      </c>
      <c r="L499" s="33">
        <f t="shared" si="110"/>
        <v>0</v>
      </c>
      <c r="M499" s="33">
        <f t="shared" si="111"/>
        <v>0</v>
      </c>
      <c r="N499" s="33">
        <f t="shared" si="112"/>
        <v>0</v>
      </c>
      <c r="O499" s="28"/>
      <c r="P499" s="33">
        <f t="shared" si="113"/>
        <v>0</v>
      </c>
      <c r="Q499" s="35" t="str" cm="1">
        <f t="array" ref="Q499">IF(AF499&lt;&gt;"",IFERROR(INDEX('Group List B'!B:B,MATCH(AI499,'Group List B'!A:A,0),0),"-"),"")</f>
        <v/>
      </c>
      <c r="R499" s="36">
        <f t="shared" si="114"/>
        <v>0</v>
      </c>
      <c r="S499" s="36">
        <f t="shared" si="115"/>
        <v>0</v>
      </c>
      <c r="T499" s="36">
        <f t="shared" si="116"/>
        <v>0</v>
      </c>
      <c r="U499" s="28"/>
      <c r="V499" s="37">
        <f t="shared" si="117"/>
        <v>0</v>
      </c>
      <c r="W499" s="41"/>
      <c r="X499" s="27"/>
      <c r="Y499" s="27"/>
      <c r="Z499" s="27"/>
      <c r="AA499" s="15"/>
      <c r="AB499" s="17"/>
      <c r="AC499" s="17"/>
      <c r="AD499" s="17"/>
      <c r="AE499" s="90"/>
      <c r="AF499" s="82" t="str">
        <f t="shared" si="118"/>
        <v/>
      </c>
      <c r="AG499" s="83" t="str">
        <f t="shared" si="119"/>
        <v/>
      </c>
      <c r="AH499" s="82" t="str">
        <f t="shared" si="120"/>
        <v/>
      </c>
      <c r="AI499" s="82" t="str">
        <f t="shared" si="121"/>
        <v/>
      </c>
      <c r="AJ499" s="90"/>
      <c r="AP499" s="88"/>
    </row>
    <row r="500" spans="1:42" x14ac:dyDescent="0.25">
      <c r="A500" s="2"/>
      <c r="C500" s="68" t="str" cm="1">
        <f t="array" ref="C500">IF(AF500&lt;&gt;"",
IFERROR(INDEX('LaunchPad Markbook'!A:A,MATCH(AH500,'LaunchPad Markbook'!D:D,0),0),"-"),"")</f>
        <v/>
      </c>
      <c r="D500" s="27"/>
      <c r="E500" s="27"/>
      <c r="F500" s="27"/>
      <c r="G500" s="14">
        <f>IF(OR(H500&gt;AB$2,I500&gt;AC$2,J500&gt;AD$2,
P500&gt;1,V500&gt;1,
L500&gt;'Group List A'!E$2,M500&gt;'Group List A'!F$2,N500&gt;'Group List A'!G$2,
R500&gt;'Group List B'!E$2,S500&gt;'Group List B'!F$2,T500&gt;'Group List B'!G$2),"Exceed",
IF(OR(H500=AB$2,I500=AC$2,J500=AD$2,
P500=1,V500=1,
L500='Group List A'!E$2,M500='Group List A'!F$2,N500='Group List A'!G$2,
R500='Group List B'!E$2,S500='Group List B'!F$2,T500='Group List B'!G$2),"Limit",0))</f>
        <v>0</v>
      </c>
      <c r="H500" s="29">
        <f t="shared" si="107"/>
        <v>0</v>
      </c>
      <c r="I500" s="29">
        <f t="shared" si="108"/>
        <v>0</v>
      </c>
      <c r="J500" s="29">
        <f t="shared" si="109"/>
        <v>0</v>
      </c>
      <c r="K500" s="32" t="str" cm="1">
        <f t="array" ref="K500">IF(AF500&lt;&gt;"",IFERROR(INDEX('Group List A'!B:B,MATCH(AI500,'Group List A'!A:A,0),0),"-"),"")</f>
        <v/>
      </c>
      <c r="L500" s="33">
        <f t="shared" si="110"/>
        <v>0</v>
      </c>
      <c r="M500" s="33">
        <f t="shared" si="111"/>
        <v>0</v>
      </c>
      <c r="N500" s="33">
        <f t="shared" si="112"/>
        <v>0</v>
      </c>
      <c r="O500" s="28"/>
      <c r="P500" s="33">
        <f t="shared" si="113"/>
        <v>0</v>
      </c>
      <c r="Q500" s="35" t="str" cm="1">
        <f t="array" ref="Q500">IF(AF500&lt;&gt;"",IFERROR(INDEX('Group List B'!B:B,MATCH(AI500,'Group List B'!A:A,0),0),"-"),"")</f>
        <v/>
      </c>
      <c r="R500" s="36">
        <f t="shared" si="114"/>
        <v>0</v>
      </c>
      <c r="S500" s="36">
        <f t="shared" si="115"/>
        <v>0</v>
      </c>
      <c r="T500" s="36">
        <f t="shared" si="116"/>
        <v>0</v>
      </c>
      <c r="U500" s="28"/>
      <c r="V500" s="37">
        <f t="shared" si="117"/>
        <v>0</v>
      </c>
      <c r="W500" s="41"/>
      <c r="X500" s="27"/>
      <c r="Y500" s="27"/>
      <c r="Z500" s="27"/>
      <c r="AA500" s="15"/>
      <c r="AB500" s="17"/>
      <c r="AC500" s="17"/>
      <c r="AD500" s="17"/>
      <c r="AE500" s="90"/>
      <c r="AF500" s="82" t="str">
        <f t="shared" si="118"/>
        <v/>
      </c>
      <c r="AG500" s="83" t="str">
        <f t="shared" si="119"/>
        <v/>
      </c>
      <c r="AH500" s="82" t="str">
        <f t="shared" si="120"/>
        <v/>
      </c>
      <c r="AI500" s="82" t="str">
        <f t="shared" si="121"/>
        <v/>
      </c>
      <c r="AJ500" s="90"/>
      <c r="AP500" s="88"/>
    </row>
    <row r="501" spans="1:42" x14ac:dyDescent="0.25">
      <c r="A501" s="2"/>
      <c r="C501" s="68" t="str" cm="1">
        <f t="array" ref="C501">IF(AF501&lt;&gt;"",
IFERROR(INDEX('LaunchPad Markbook'!A:A,MATCH(AH501,'LaunchPad Markbook'!D:D,0),0),"-"),"")</f>
        <v/>
      </c>
      <c r="D501" s="27"/>
      <c r="E501" s="27"/>
      <c r="F501" s="27"/>
      <c r="G501" s="14">
        <f>IF(OR(H501&gt;AB$2,I501&gt;AC$2,J501&gt;AD$2,
P501&gt;1,V501&gt;1,
L501&gt;'Group List A'!E$2,M501&gt;'Group List A'!F$2,N501&gt;'Group List A'!G$2,
R501&gt;'Group List B'!E$2,S501&gt;'Group List B'!F$2,T501&gt;'Group List B'!G$2),"Exceed",
IF(OR(H501=AB$2,I501=AC$2,J501=AD$2,
P501=1,V501=1,
L501='Group List A'!E$2,M501='Group List A'!F$2,N501='Group List A'!G$2,
R501='Group List B'!E$2,S501='Group List B'!F$2,T501='Group List B'!G$2),"Limit",0))</f>
        <v>0</v>
      </c>
      <c r="H501" s="29">
        <f t="shared" si="107"/>
        <v>0</v>
      </c>
      <c r="I501" s="29">
        <f t="shared" si="108"/>
        <v>0</v>
      </c>
      <c r="J501" s="29">
        <f t="shared" si="109"/>
        <v>0</v>
      </c>
      <c r="K501" s="32" t="str" cm="1">
        <f t="array" ref="K501">IF(AF501&lt;&gt;"",IFERROR(INDEX('Group List A'!B:B,MATCH(AI501,'Group List A'!A:A,0),0),"-"),"")</f>
        <v/>
      </c>
      <c r="L501" s="33">
        <f t="shared" si="110"/>
        <v>0</v>
      </c>
      <c r="M501" s="33">
        <f t="shared" si="111"/>
        <v>0</v>
      </c>
      <c r="N501" s="33">
        <f t="shared" si="112"/>
        <v>0</v>
      </c>
      <c r="O501" s="28"/>
      <c r="P501" s="33">
        <f t="shared" si="113"/>
        <v>0</v>
      </c>
      <c r="Q501" s="35" t="str" cm="1">
        <f t="array" ref="Q501">IF(AF501&lt;&gt;"",IFERROR(INDEX('Group List B'!B:B,MATCH(AI501,'Group List B'!A:A,0),0),"-"),"")</f>
        <v/>
      </c>
      <c r="R501" s="36">
        <f t="shared" si="114"/>
        <v>0</v>
      </c>
      <c r="S501" s="36">
        <f t="shared" si="115"/>
        <v>0</v>
      </c>
      <c r="T501" s="36">
        <f t="shared" si="116"/>
        <v>0</v>
      </c>
      <c r="U501" s="28"/>
      <c r="V501" s="37">
        <f t="shared" si="117"/>
        <v>0</v>
      </c>
      <c r="W501" s="41"/>
      <c r="X501" s="27"/>
      <c r="Y501" s="27"/>
      <c r="Z501" s="27"/>
      <c r="AA501" s="15"/>
      <c r="AB501" s="17"/>
      <c r="AC501" s="17"/>
      <c r="AD501" s="17"/>
      <c r="AE501" s="90"/>
      <c r="AF501" s="82" t="str">
        <f t="shared" si="118"/>
        <v/>
      </c>
      <c r="AG501" s="83" t="str">
        <f t="shared" si="119"/>
        <v/>
      </c>
      <c r="AH501" s="82" t="str">
        <f t="shared" si="120"/>
        <v/>
      </c>
      <c r="AI501" s="82" t="str">
        <f t="shared" si="121"/>
        <v/>
      </c>
      <c r="AJ501" s="90"/>
      <c r="AP501" s="88"/>
    </row>
    <row r="502" spans="1:42" x14ac:dyDescent="0.25">
      <c r="A502" s="2"/>
      <c r="C502" s="68" t="str" cm="1">
        <f t="array" ref="C502">IF(AF502&lt;&gt;"",
IFERROR(INDEX('LaunchPad Markbook'!A:A,MATCH(AH502,'LaunchPad Markbook'!D:D,0),0),"-"),"")</f>
        <v/>
      </c>
      <c r="D502" s="27"/>
      <c r="E502" s="27"/>
      <c r="F502" s="27"/>
      <c r="G502" s="14">
        <f>IF(OR(H502&gt;AB$2,I502&gt;AC$2,J502&gt;AD$2,
P502&gt;1,V502&gt;1,
L502&gt;'Group List A'!E$2,M502&gt;'Group List A'!F$2,N502&gt;'Group List A'!G$2,
R502&gt;'Group List B'!E$2,S502&gt;'Group List B'!F$2,T502&gt;'Group List B'!G$2),"Exceed",
IF(OR(H502=AB$2,I502=AC$2,J502=AD$2,
P502=1,V502=1,
L502='Group List A'!E$2,M502='Group List A'!F$2,N502='Group List A'!G$2,
R502='Group List B'!E$2,S502='Group List B'!F$2,T502='Group List B'!G$2),"Limit",0))</f>
        <v>0</v>
      </c>
      <c r="H502" s="29">
        <f t="shared" si="107"/>
        <v>0</v>
      </c>
      <c r="I502" s="29">
        <f t="shared" si="108"/>
        <v>0</v>
      </c>
      <c r="J502" s="29">
        <f t="shared" si="109"/>
        <v>0</v>
      </c>
      <c r="K502" s="32" t="str" cm="1">
        <f t="array" ref="K502">IF(AF502&lt;&gt;"",IFERROR(INDEX('Group List A'!B:B,MATCH(AI502,'Group List A'!A:A,0),0),"-"),"")</f>
        <v/>
      </c>
      <c r="L502" s="33">
        <f t="shared" si="110"/>
        <v>0</v>
      </c>
      <c r="M502" s="33">
        <f t="shared" si="111"/>
        <v>0</v>
      </c>
      <c r="N502" s="33">
        <f t="shared" si="112"/>
        <v>0</v>
      </c>
      <c r="O502" s="28"/>
      <c r="P502" s="33">
        <f t="shared" si="113"/>
        <v>0</v>
      </c>
      <c r="Q502" s="35" t="str" cm="1">
        <f t="array" ref="Q502">IF(AF502&lt;&gt;"",IFERROR(INDEX('Group List B'!B:B,MATCH(AI502,'Group List B'!A:A,0),0),"-"),"")</f>
        <v/>
      </c>
      <c r="R502" s="36">
        <f t="shared" si="114"/>
        <v>0</v>
      </c>
      <c r="S502" s="36">
        <f t="shared" si="115"/>
        <v>0</v>
      </c>
      <c r="T502" s="36">
        <f t="shared" si="116"/>
        <v>0</v>
      </c>
      <c r="U502" s="28"/>
      <c r="V502" s="37">
        <f t="shared" si="117"/>
        <v>0</v>
      </c>
      <c r="W502" s="41"/>
      <c r="X502" s="27"/>
      <c r="Y502" s="27"/>
      <c r="Z502" s="27"/>
      <c r="AA502" s="15"/>
      <c r="AB502" s="17"/>
      <c r="AC502" s="17"/>
      <c r="AD502" s="17"/>
      <c r="AE502" s="90"/>
      <c r="AF502" s="82" t="str">
        <f t="shared" si="118"/>
        <v/>
      </c>
      <c r="AG502" s="83" t="str">
        <f t="shared" si="119"/>
        <v/>
      </c>
      <c r="AH502" s="82" t="str">
        <f t="shared" si="120"/>
        <v/>
      </c>
      <c r="AI502" s="82" t="str">
        <f t="shared" si="121"/>
        <v/>
      </c>
      <c r="AJ502" s="90"/>
      <c r="AP502" s="88"/>
    </row>
    <row r="503" spans="1:42" x14ac:dyDescent="0.25">
      <c r="A503" s="2"/>
      <c r="C503" s="68" t="str" cm="1">
        <f t="array" ref="C503">IF(AF503&lt;&gt;"",
IFERROR(INDEX('LaunchPad Markbook'!A:A,MATCH(AH503,'LaunchPad Markbook'!D:D,0),0),"-"),"")</f>
        <v/>
      </c>
      <c r="D503" s="27"/>
      <c r="E503" s="27"/>
      <c r="F503" s="27"/>
      <c r="G503" s="14">
        <f>IF(OR(H503&gt;AB$2,I503&gt;AC$2,J503&gt;AD$2,
P503&gt;1,V503&gt;1,
L503&gt;'Group List A'!E$2,M503&gt;'Group List A'!F$2,N503&gt;'Group List A'!G$2,
R503&gt;'Group List B'!E$2,S503&gt;'Group List B'!F$2,T503&gt;'Group List B'!G$2),"Exceed",
IF(OR(H503=AB$2,I503=AC$2,J503=AD$2,
P503=1,V503=1,
L503='Group List A'!E$2,M503='Group List A'!F$2,N503='Group List A'!G$2,
R503='Group List B'!E$2,S503='Group List B'!F$2,T503='Group List B'!G$2),"Limit",0))</f>
        <v>0</v>
      </c>
      <c r="H503" s="29">
        <f t="shared" si="107"/>
        <v>0</v>
      </c>
      <c r="I503" s="29">
        <f t="shared" si="108"/>
        <v>0</v>
      </c>
      <c r="J503" s="29">
        <f t="shared" si="109"/>
        <v>0</v>
      </c>
      <c r="K503" s="32" t="str" cm="1">
        <f t="array" ref="K503">IF(AF503&lt;&gt;"",IFERROR(INDEX('Group List A'!B:B,MATCH(AI503,'Group List A'!A:A,0),0),"-"),"")</f>
        <v/>
      </c>
      <c r="L503" s="33">
        <f t="shared" si="110"/>
        <v>0</v>
      </c>
      <c r="M503" s="33">
        <f t="shared" si="111"/>
        <v>0</v>
      </c>
      <c r="N503" s="33">
        <f t="shared" si="112"/>
        <v>0</v>
      </c>
      <c r="O503" s="28"/>
      <c r="P503" s="33">
        <f t="shared" si="113"/>
        <v>0</v>
      </c>
      <c r="Q503" s="35" t="str" cm="1">
        <f t="array" ref="Q503">IF(AF503&lt;&gt;"",IFERROR(INDEX('Group List B'!B:B,MATCH(AI503,'Group List B'!A:A,0),0),"-"),"")</f>
        <v/>
      </c>
      <c r="R503" s="36">
        <f t="shared" si="114"/>
        <v>0</v>
      </c>
      <c r="S503" s="36">
        <f t="shared" si="115"/>
        <v>0</v>
      </c>
      <c r="T503" s="36">
        <f t="shared" si="116"/>
        <v>0</v>
      </c>
      <c r="U503" s="28"/>
      <c r="V503" s="37">
        <f t="shared" si="117"/>
        <v>0</v>
      </c>
      <c r="W503" s="41"/>
      <c r="X503" s="27"/>
      <c r="Y503" s="27"/>
      <c r="Z503" s="27"/>
      <c r="AA503" s="15"/>
      <c r="AB503" s="17"/>
      <c r="AC503" s="17"/>
      <c r="AD503" s="17"/>
      <c r="AE503" s="90"/>
      <c r="AF503" s="82" t="str">
        <f t="shared" si="118"/>
        <v/>
      </c>
      <c r="AG503" s="83" t="str">
        <f t="shared" si="119"/>
        <v/>
      </c>
      <c r="AH503" s="82" t="str">
        <f t="shared" si="120"/>
        <v/>
      </c>
      <c r="AI503" s="82" t="str">
        <f t="shared" si="121"/>
        <v/>
      </c>
      <c r="AJ503" s="90"/>
      <c r="AP503" s="88"/>
    </row>
    <row r="504" spans="1:42" x14ac:dyDescent="0.25">
      <c r="A504" s="2"/>
      <c r="C504" s="68" t="str" cm="1">
        <f t="array" ref="C504">IF(AF504&lt;&gt;"",
IFERROR(INDEX('LaunchPad Markbook'!A:A,MATCH(AH504,'LaunchPad Markbook'!D:D,0),0),"-"),"")</f>
        <v/>
      </c>
      <c r="D504" s="27"/>
      <c r="E504" s="27"/>
      <c r="F504" s="27"/>
      <c r="G504" s="14">
        <f>IF(OR(H504&gt;AB$2,I504&gt;AC$2,J504&gt;AD$2,
P504&gt;1,V504&gt;1,
L504&gt;'Group List A'!E$2,M504&gt;'Group List A'!F$2,N504&gt;'Group List A'!G$2,
R504&gt;'Group List B'!E$2,S504&gt;'Group List B'!F$2,T504&gt;'Group List B'!G$2),"Exceed",
IF(OR(H504=AB$2,I504=AC$2,J504=AD$2,
P504=1,V504=1,
L504='Group List A'!E$2,M504='Group List A'!F$2,N504='Group List A'!G$2,
R504='Group List B'!E$2,S504='Group List B'!F$2,T504='Group List B'!G$2),"Limit",0))</f>
        <v>0</v>
      </c>
      <c r="H504" s="29">
        <f t="shared" si="107"/>
        <v>0</v>
      </c>
      <c r="I504" s="29">
        <f t="shared" si="108"/>
        <v>0</v>
      </c>
      <c r="J504" s="29">
        <f t="shared" si="109"/>
        <v>0</v>
      </c>
      <c r="K504" s="32" t="str" cm="1">
        <f t="array" ref="K504">IF(AF504&lt;&gt;"",IFERROR(INDEX('Group List A'!B:B,MATCH(AI504,'Group List A'!A:A,0),0),"-"),"")</f>
        <v/>
      </c>
      <c r="L504" s="33">
        <f t="shared" si="110"/>
        <v>0</v>
      </c>
      <c r="M504" s="33">
        <f t="shared" si="111"/>
        <v>0</v>
      </c>
      <c r="N504" s="33">
        <f t="shared" si="112"/>
        <v>0</v>
      </c>
      <c r="O504" s="28"/>
      <c r="P504" s="33">
        <f t="shared" si="113"/>
        <v>0</v>
      </c>
      <c r="Q504" s="35" t="str" cm="1">
        <f t="array" ref="Q504">IF(AF504&lt;&gt;"",IFERROR(INDEX('Group List B'!B:B,MATCH(AI504,'Group List B'!A:A,0),0),"-"),"")</f>
        <v/>
      </c>
      <c r="R504" s="36">
        <f t="shared" si="114"/>
        <v>0</v>
      </c>
      <c r="S504" s="36">
        <f t="shared" si="115"/>
        <v>0</v>
      </c>
      <c r="T504" s="36">
        <f t="shared" si="116"/>
        <v>0</v>
      </c>
      <c r="U504" s="28"/>
      <c r="V504" s="37">
        <f t="shared" si="117"/>
        <v>0</v>
      </c>
      <c r="W504" s="41"/>
      <c r="X504" s="27"/>
      <c r="Y504" s="27"/>
      <c r="Z504" s="27"/>
      <c r="AA504" s="15"/>
      <c r="AB504" s="17"/>
      <c r="AC504" s="17"/>
      <c r="AD504" s="17"/>
      <c r="AE504" s="90"/>
      <c r="AF504" s="82" t="str">
        <f t="shared" si="118"/>
        <v/>
      </c>
      <c r="AG504" s="83" t="str">
        <f t="shared" si="119"/>
        <v/>
      </c>
      <c r="AH504" s="82" t="str">
        <f t="shared" si="120"/>
        <v/>
      </c>
      <c r="AI504" s="82" t="str">
        <f t="shared" si="121"/>
        <v/>
      </c>
      <c r="AJ504" s="90"/>
      <c r="AP504" s="88"/>
    </row>
    <row r="505" spans="1:42" x14ac:dyDescent="0.25">
      <c r="A505" s="2"/>
      <c r="C505" s="68" t="str" cm="1">
        <f t="array" ref="C505">IF(AF505&lt;&gt;"",
IFERROR(INDEX('LaunchPad Markbook'!A:A,MATCH(AH505,'LaunchPad Markbook'!D:D,0),0),"-"),"")</f>
        <v/>
      </c>
      <c r="D505" s="27"/>
      <c r="E505" s="27"/>
      <c r="F505" s="27"/>
      <c r="G505" s="14">
        <f>IF(OR(H505&gt;AB$2,I505&gt;AC$2,J505&gt;AD$2,
P505&gt;1,V505&gt;1,
L505&gt;'Group List A'!E$2,M505&gt;'Group List A'!F$2,N505&gt;'Group List A'!G$2,
R505&gt;'Group List B'!E$2,S505&gt;'Group List B'!F$2,T505&gt;'Group List B'!G$2),"Exceed",
IF(OR(H505=AB$2,I505=AC$2,J505=AD$2,
P505=1,V505=1,
L505='Group List A'!E$2,M505='Group List A'!F$2,N505='Group List A'!G$2,
R505='Group List B'!E$2,S505='Group List B'!F$2,T505='Group List B'!G$2),"Limit",0))</f>
        <v>0</v>
      </c>
      <c r="H505" s="29">
        <f t="shared" si="107"/>
        <v>0</v>
      </c>
      <c r="I505" s="29">
        <f t="shared" si="108"/>
        <v>0</v>
      </c>
      <c r="J505" s="29">
        <f t="shared" si="109"/>
        <v>0</v>
      </c>
      <c r="K505" s="32" t="str" cm="1">
        <f t="array" ref="K505">IF(AF505&lt;&gt;"",IFERROR(INDEX('Group List A'!B:B,MATCH(AI505,'Group List A'!A:A,0),0),"-"),"")</f>
        <v/>
      </c>
      <c r="L505" s="33">
        <f t="shared" si="110"/>
        <v>0</v>
      </c>
      <c r="M505" s="33">
        <f t="shared" si="111"/>
        <v>0</v>
      </c>
      <c r="N505" s="33">
        <f t="shared" si="112"/>
        <v>0</v>
      </c>
      <c r="O505" s="28"/>
      <c r="P505" s="33">
        <f t="shared" si="113"/>
        <v>0</v>
      </c>
      <c r="Q505" s="35" t="str" cm="1">
        <f t="array" ref="Q505">IF(AF505&lt;&gt;"",IFERROR(INDEX('Group List B'!B:B,MATCH(AI505,'Group List B'!A:A,0),0),"-"),"")</f>
        <v/>
      </c>
      <c r="R505" s="36">
        <f t="shared" si="114"/>
        <v>0</v>
      </c>
      <c r="S505" s="36">
        <f t="shared" si="115"/>
        <v>0</v>
      </c>
      <c r="T505" s="36">
        <f t="shared" si="116"/>
        <v>0</v>
      </c>
      <c r="U505" s="28"/>
      <c r="V505" s="37">
        <f t="shared" si="117"/>
        <v>0</v>
      </c>
      <c r="W505" s="41"/>
      <c r="X505" s="27"/>
      <c r="Y505" s="27"/>
      <c r="Z505" s="27"/>
      <c r="AA505" s="15"/>
      <c r="AB505" s="17"/>
      <c r="AC505" s="17"/>
      <c r="AD505" s="17"/>
      <c r="AE505" s="90"/>
      <c r="AF505" s="82" t="str">
        <f t="shared" si="118"/>
        <v/>
      </c>
      <c r="AG505" s="83" t="str">
        <f t="shared" si="119"/>
        <v/>
      </c>
      <c r="AH505" s="82" t="str">
        <f t="shared" si="120"/>
        <v/>
      </c>
      <c r="AI505" s="82" t="str">
        <f t="shared" si="121"/>
        <v/>
      </c>
      <c r="AJ505" s="90"/>
      <c r="AP505" s="88"/>
    </row>
    <row r="506" spans="1:42" x14ac:dyDescent="0.25">
      <c r="A506" s="2"/>
      <c r="C506" s="68" t="str" cm="1">
        <f t="array" ref="C506">IF(AF506&lt;&gt;"",
IFERROR(INDEX('LaunchPad Markbook'!A:A,MATCH(AH506,'LaunchPad Markbook'!D:D,0),0),"-"),"")</f>
        <v/>
      </c>
      <c r="D506" s="27"/>
      <c r="E506" s="27"/>
      <c r="F506" s="27"/>
      <c r="G506" s="14">
        <f>IF(OR(H506&gt;AB$2,I506&gt;AC$2,J506&gt;AD$2,
P506&gt;1,V506&gt;1,
L506&gt;'Group List A'!E$2,M506&gt;'Group List A'!F$2,N506&gt;'Group List A'!G$2,
R506&gt;'Group List B'!E$2,S506&gt;'Group List B'!F$2,T506&gt;'Group List B'!G$2),"Exceed",
IF(OR(H506=AB$2,I506=AC$2,J506=AD$2,
P506=1,V506=1,
L506='Group List A'!E$2,M506='Group List A'!F$2,N506='Group List A'!G$2,
R506='Group List B'!E$2,S506='Group List B'!F$2,T506='Group List B'!G$2),"Limit",0))</f>
        <v>0</v>
      </c>
      <c r="H506" s="29">
        <f t="shared" si="107"/>
        <v>0</v>
      </c>
      <c r="I506" s="29">
        <f t="shared" si="108"/>
        <v>0</v>
      </c>
      <c r="J506" s="29">
        <f t="shared" si="109"/>
        <v>0</v>
      </c>
      <c r="K506" s="32" t="str" cm="1">
        <f t="array" ref="K506">IF(AF506&lt;&gt;"",IFERROR(INDEX('Group List A'!B:B,MATCH(AI506,'Group List A'!A:A,0),0),"-"),"")</f>
        <v/>
      </c>
      <c r="L506" s="33">
        <f t="shared" si="110"/>
        <v>0</v>
      </c>
      <c r="M506" s="33">
        <f t="shared" si="111"/>
        <v>0</v>
      </c>
      <c r="N506" s="33">
        <f t="shared" si="112"/>
        <v>0</v>
      </c>
      <c r="O506" s="28"/>
      <c r="P506" s="33">
        <f t="shared" si="113"/>
        <v>0</v>
      </c>
      <c r="Q506" s="35" t="str" cm="1">
        <f t="array" ref="Q506">IF(AF506&lt;&gt;"",IFERROR(INDEX('Group List B'!B:B,MATCH(AI506,'Group List B'!A:A,0),0),"-"),"")</f>
        <v/>
      </c>
      <c r="R506" s="36">
        <f t="shared" si="114"/>
        <v>0</v>
      </c>
      <c r="S506" s="36">
        <f t="shared" si="115"/>
        <v>0</v>
      </c>
      <c r="T506" s="36">
        <f t="shared" si="116"/>
        <v>0</v>
      </c>
      <c r="U506" s="28"/>
      <c r="V506" s="37">
        <f t="shared" si="117"/>
        <v>0</v>
      </c>
      <c r="W506" s="41"/>
      <c r="X506" s="27"/>
      <c r="Y506" s="27"/>
      <c r="Z506" s="27"/>
      <c r="AA506" s="15"/>
      <c r="AB506" s="17"/>
      <c r="AC506" s="17"/>
      <c r="AD506" s="17"/>
      <c r="AE506" s="90"/>
      <c r="AF506" s="82" t="str">
        <f t="shared" si="118"/>
        <v/>
      </c>
      <c r="AG506" s="83" t="str">
        <f t="shared" si="119"/>
        <v/>
      </c>
      <c r="AH506" s="82" t="str">
        <f t="shared" si="120"/>
        <v/>
      </c>
      <c r="AI506" s="82" t="str">
        <f t="shared" si="121"/>
        <v/>
      </c>
      <c r="AJ506" s="90"/>
      <c r="AP506" s="88"/>
    </row>
    <row r="507" spans="1:42" x14ac:dyDescent="0.25">
      <c r="A507" s="2"/>
      <c r="C507" s="68" t="str" cm="1">
        <f t="array" ref="C507">IF(AF507&lt;&gt;"",
IFERROR(INDEX('LaunchPad Markbook'!A:A,MATCH(AH507,'LaunchPad Markbook'!D:D,0),0),"-"),"")</f>
        <v/>
      </c>
      <c r="D507" s="27"/>
      <c r="E507" s="27"/>
      <c r="F507" s="27"/>
      <c r="G507" s="14">
        <f>IF(OR(H507&gt;AB$2,I507&gt;AC$2,J507&gt;AD$2,
P507&gt;1,V507&gt;1,
L507&gt;'Group List A'!E$2,M507&gt;'Group List A'!F$2,N507&gt;'Group List A'!G$2,
R507&gt;'Group List B'!E$2,S507&gt;'Group List B'!F$2,T507&gt;'Group List B'!G$2),"Exceed",
IF(OR(H507=AB$2,I507=AC$2,J507=AD$2,
P507=1,V507=1,
L507='Group List A'!E$2,M507='Group List A'!F$2,N507='Group List A'!G$2,
R507='Group List B'!E$2,S507='Group List B'!F$2,T507='Group List B'!G$2),"Limit",0))</f>
        <v>0</v>
      </c>
      <c r="H507" s="29">
        <f t="shared" si="107"/>
        <v>0</v>
      </c>
      <c r="I507" s="29">
        <f t="shared" si="108"/>
        <v>0</v>
      </c>
      <c r="J507" s="29">
        <f t="shared" si="109"/>
        <v>0</v>
      </c>
      <c r="K507" s="32" t="str" cm="1">
        <f t="array" ref="K507">IF(AF507&lt;&gt;"",IFERROR(INDEX('Group List A'!B:B,MATCH(AI507,'Group List A'!A:A,0),0),"-"),"")</f>
        <v/>
      </c>
      <c r="L507" s="33">
        <f t="shared" si="110"/>
        <v>0</v>
      </c>
      <c r="M507" s="33">
        <f t="shared" si="111"/>
        <v>0</v>
      </c>
      <c r="N507" s="33">
        <f t="shared" si="112"/>
        <v>0</v>
      </c>
      <c r="O507" s="28"/>
      <c r="P507" s="33">
        <f t="shared" si="113"/>
        <v>0</v>
      </c>
      <c r="Q507" s="35" t="str" cm="1">
        <f t="array" ref="Q507">IF(AF507&lt;&gt;"",IFERROR(INDEX('Group List B'!B:B,MATCH(AI507,'Group List B'!A:A,0),0),"-"),"")</f>
        <v/>
      </c>
      <c r="R507" s="36">
        <f t="shared" si="114"/>
        <v>0</v>
      </c>
      <c r="S507" s="36">
        <f t="shared" si="115"/>
        <v>0</v>
      </c>
      <c r="T507" s="36">
        <f t="shared" si="116"/>
        <v>0</v>
      </c>
      <c r="U507" s="28"/>
      <c r="V507" s="37">
        <f t="shared" si="117"/>
        <v>0</v>
      </c>
      <c r="W507" s="41"/>
      <c r="X507" s="27"/>
      <c r="Y507" s="27"/>
      <c r="Z507" s="27"/>
      <c r="AA507" s="15"/>
      <c r="AB507" s="17"/>
      <c r="AC507" s="17"/>
      <c r="AD507" s="17"/>
      <c r="AE507" s="90"/>
      <c r="AF507" s="82" t="str">
        <f t="shared" si="118"/>
        <v/>
      </c>
      <c r="AG507" s="83" t="str">
        <f t="shared" si="119"/>
        <v/>
      </c>
      <c r="AH507" s="82" t="str">
        <f t="shared" si="120"/>
        <v/>
      </c>
      <c r="AI507" s="82" t="str">
        <f t="shared" si="121"/>
        <v/>
      </c>
      <c r="AJ507" s="90"/>
      <c r="AP507" s="88"/>
    </row>
    <row r="508" spans="1:42" x14ac:dyDescent="0.25">
      <c r="A508" s="2"/>
      <c r="C508" s="68" t="str" cm="1">
        <f t="array" ref="C508">IF(AF508&lt;&gt;"",
IFERROR(INDEX('LaunchPad Markbook'!A:A,MATCH(AH508,'LaunchPad Markbook'!D:D,0),0),"-"),"")</f>
        <v/>
      </c>
      <c r="D508" s="27"/>
      <c r="E508" s="27"/>
      <c r="F508" s="27"/>
      <c r="G508" s="14">
        <f>IF(OR(H508&gt;AB$2,I508&gt;AC$2,J508&gt;AD$2,
P508&gt;1,V508&gt;1,
L508&gt;'Group List A'!E$2,M508&gt;'Group List A'!F$2,N508&gt;'Group List A'!G$2,
R508&gt;'Group List B'!E$2,S508&gt;'Group List B'!F$2,T508&gt;'Group List B'!G$2),"Exceed",
IF(OR(H508=AB$2,I508=AC$2,J508=AD$2,
P508=1,V508=1,
L508='Group List A'!E$2,M508='Group List A'!F$2,N508='Group List A'!G$2,
R508='Group List B'!E$2,S508='Group List B'!F$2,T508='Group List B'!G$2),"Limit",0))</f>
        <v>0</v>
      </c>
      <c r="H508" s="29">
        <f t="shared" si="107"/>
        <v>0</v>
      </c>
      <c r="I508" s="29">
        <f t="shared" si="108"/>
        <v>0</v>
      </c>
      <c r="J508" s="29">
        <f t="shared" si="109"/>
        <v>0</v>
      </c>
      <c r="K508" s="32" t="str" cm="1">
        <f t="array" ref="K508">IF(AF508&lt;&gt;"",IFERROR(INDEX('Group List A'!B:B,MATCH(AI508,'Group List A'!A:A,0),0),"-"),"")</f>
        <v/>
      </c>
      <c r="L508" s="33">
        <f t="shared" si="110"/>
        <v>0</v>
      </c>
      <c r="M508" s="33">
        <f t="shared" si="111"/>
        <v>0</v>
      </c>
      <c r="N508" s="33">
        <f t="shared" si="112"/>
        <v>0</v>
      </c>
      <c r="O508" s="28"/>
      <c r="P508" s="33">
        <f t="shared" si="113"/>
        <v>0</v>
      </c>
      <c r="Q508" s="35" t="str" cm="1">
        <f t="array" ref="Q508">IF(AF508&lt;&gt;"",IFERROR(INDEX('Group List B'!B:B,MATCH(AI508,'Group List B'!A:A,0),0),"-"),"")</f>
        <v/>
      </c>
      <c r="R508" s="36">
        <f t="shared" si="114"/>
        <v>0</v>
      </c>
      <c r="S508" s="36">
        <f t="shared" si="115"/>
        <v>0</v>
      </c>
      <c r="T508" s="36">
        <f t="shared" si="116"/>
        <v>0</v>
      </c>
      <c r="U508" s="28"/>
      <c r="V508" s="37">
        <f t="shared" si="117"/>
        <v>0</v>
      </c>
      <c r="W508" s="41"/>
      <c r="X508" s="27"/>
      <c r="Y508" s="27"/>
      <c r="Z508" s="27"/>
      <c r="AA508" s="15"/>
      <c r="AB508" s="17"/>
      <c r="AC508" s="17"/>
      <c r="AD508" s="17"/>
      <c r="AE508" s="90"/>
      <c r="AF508" s="82" t="str">
        <f t="shared" si="118"/>
        <v/>
      </c>
      <c r="AG508" s="83" t="str">
        <f t="shared" si="119"/>
        <v/>
      </c>
      <c r="AH508" s="82" t="str">
        <f t="shared" si="120"/>
        <v/>
      </c>
      <c r="AI508" s="82" t="str">
        <f t="shared" si="121"/>
        <v/>
      </c>
      <c r="AJ508" s="90"/>
      <c r="AP508" s="88"/>
    </row>
    <row r="509" spans="1:42" x14ac:dyDescent="0.25">
      <c r="A509" s="2"/>
      <c r="C509" s="68" t="str" cm="1">
        <f t="array" ref="C509">IF(AF509&lt;&gt;"",
IFERROR(INDEX('LaunchPad Markbook'!A:A,MATCH(AH509,'LaunchPad Markbook'!D:D,0),0),"-"),"")</f>
        <v/>
      </c>
      <c r="D509" s="27"/>
      <c r="E509" s="27"/>
      <c r="F509" s="27"/>
      <c r="G509" s="14">
        <f>IF(OR(H509&gt;AB$2,I509&gt;AC$2,J509&gt;AD$2,
P509&gt;1,V509&gt;1,
L509&gt;'Group List A'!E$2,M509&gt;'Group List A'!F$2,N509&gt;'Group List A'!G$2,
R509&gt;'Group List B'!E$2,S509&gt;'Group List B'!F$2,T509&gt;'Group List B'!G$2),"Exceed",
IF(OR(H509=AB$2,I509=AC$2,J509=AD$2,
P509=1,V509=1,
L509='Group List A'!E$2,M509='Group List A'!F$2,N509='Group List A'!G$2,
R509='Group List B'!E$2,S509='Group List B'!F$2,T509='Group List B'!G$2),"Limit",0))</f>
        <v>0</v>
      </c>
      <c r="H509" s="29">
        <f t="shared" si="107"/>
        <v>0</v>
      </c>
      <c r="I509" s="29">
        <f t="shared" si="108"/>
        <v>0</v>
      </c>
      <c r="J509" s="29">
        <f t="shared" si="109"/>
        <v>0</v>
      </c>
      <c r="K509" s="32" t="str" cm="1">
        <f t="array" ref="K509">IF(AF509&lt;&gt;"",IFERROR(INDEX('Group List A'!B:B,MATCH(AI509,'Group List A'!A:A,0),0),"-"),"")</f>
        <v/>
      </c>
      <c r="L509" s="33">
        <f t="shared" si="110"/>
        <v>0</v>
      </c>
      <c r="M509" s="33">
        <f t="shared" si="111"/>
        <v>0</v>
      </c>
      <c r="N509" s="33">
        <f t="shared" si="112"/>
        <v>0</v>
      </c>
      <c r="O509" s="28"/>
      <c r="P509" s="33">
        <f t="shared" si="113"/>
        <v>0</v>
      </c>
      <c r="Q509" s="35" t="str" cm="1">
        <f t="array" ref="Q509">IF(AF509&lt;&gt;"",IFERROR(INDEX('Group List B'!B:B,MATCH(AI509,'Group List B'!A:A,0),0),"-"),"")</f>
        <v/>
      </c>
      <c r="R509" s="36">
        <f t="shared" si="114"/>
        <v>0</v>
      </c>
      <c r="S509" s="36">
        <f t="shared" si="115"/>
        <v>0</v>
      </c>
      <c r="T509" s="36">
        <f t="shared" si="116"/>
        <v>0</v>
      </c>
      <c r="U509" s="28"/>
      <c r="V509" s="37">
        <f t="shared" si="117"/>
        <v>0</v>
      </c>
      <c r="W509" s="41"/>
      <c r="X509" s="27"/>
      <c r="Y509" s="27"/>
      <c r="Z509" s="27"/>
      <c r="AA509" s="15"/>
      <c r="AB509" s="17"/>
      <c r="AC509" s="17"/>
      <c r="AD509" s="17"/>
      <c r="AE509" s="90"/>
      <c r="AF509" s="82" t="str">
        <f t="shared" si="118"/>
        <v/>
      </c>
      <c r="AG509" s="83" t="str">
        <f t="shared" si="119"/>
        <v/>
      </c>
      <c r="AH509" s="82" t="str">
        <f t="shared" si="120"/>
        <v/>
      </c>
      <c r="AI509" s="82" t="str">
        <f t="shared" si="121"/>
        <v/>
      </c>
      <c r="AJ509" s="90"/>
      <c r="AP509" s="88"/>
    </row>
    <row r="510" spans="1:42" x14ac:dyDescent="0.25">
      <c r="A510" s="2"/>
      <c r="C510" s="68" t="str" cm="1">
        <f t="array" ref="C510">IF(AF510&lt;&gt;"",
IFERROR(INDEX('LaunchPad Markbook'!A:A,MATCH(AH510,'LaunchPad Markbook'!D:D,0),0),"-"),"")</f>
        <v/>
      </c>
      <c r="D510" s="27"/>
      <c r="E510" s="27"/>
      <c r="F510" s="27"/>
      <c r="G510" s="14">
        <f>IF(OR(H510&gt;AB$2,I510&gt;AC$2,J510&gt;AD$2,
P510&gt;1,V510&gt;1,
L510&gt;'Group List A'!E$2,M510&gt;'Group List A'!F$2,N510&gt;'Group List A'!G$2,
R510&gt;'Group List B'!E$2,S510&gt;'Group List B'!F$2,T510&gt;'Group List B'!G$2),"Exceed",
IF(OR(H510=AB$2,I510=AC$2,J510=AD$2,
P510=1,V510=1,
L510='Group List A'!E$2,M510='Group List A'!F$2,N510='Group List A'!G$2,
R510='Group List B'!E$2,S510='Group List B'!F$2,T510='Group List B'!G$2),"Limit",0))</f>
        <v>0</v>
      </c>
      <c r="H510" s="29">
        <f t="shared" si="107"/>
        <v>0</v>
      </c>
      <c r="I510" s="29">
        <f t="shared" si="108"/>
        <v>0</v>
      </c>
      <c r="J510" s="29">
        <f t="shared" si="109"/>
        <v>0</v>
      </c>
      <c r="K510" s="32" t="str" cm="1">
        <f t="array" ref="K510">IF(AF510&lt;&gt;"",IFERROR(INDEX('Group List A'!B:B,MATCH(AI510,'Group List A'!A:A,0),0),"-"),"")</f>
        <v/>
      </c>
      <c r="L510" s="33">
        <f t="shared" si="110"/>
        <v>0</v>
      </c>
      <c r="M510" s="33">
        <f t="shared" si="111"/>
        <v>0</v>
      </c>
      <c r="N510" s="33">
        <f t="shared" si="112"/>
        <v>0</v>
      </c>
      <c r="O510" s="28"/>
      <c r="P510" s="33">
        <f t="shared" si="113"/>
        <v>0</v>
      </c>
      <c r="Q510" s="35" t="str" cm="1">
        <f t="array" ref="Q510">IF(AF510&lt;&gt;"",IFERROR(INDEX('Group List B'!B:B,MATCH(AI510,'Group List B'!A:A,0),0),"-"),"")</f>
        <v/>
      </c>
      <c r="R510" s="36">
        <f t="shared" si="114"/>
        <v>0</v>
      </c>
      <c r="S510" s="36">
        <f t="shared" si="115"/>
        <v>0</v>
      </c>
      <c r="T510" s="36">
        <f t="shared" si="116"/>
        <v>0</v>
      </c>
      <c r="U510" s="28"/>
      <c r="V510" s="37">
        <f t="shared" si="117"/>
        <v>0</v>
      </c>
      <c r="W510" s="41"/>
      <c r="X510" s="27"/>
      <c r="Y510" s="27"/>
      <c r="Z510" s="27"/>
      <c r="AA510" s="15"/>
      <c r="AB510" s="17"/>
      <c r="AC510" s="17"/>
      <c r="AD510" s="17"/>
      <c r="AE510" s="90"/>
      <c r="AF510" s="82" t="str">
        <f t="shared" si="118"/>
        <v/>
      </c>
      <c r="AG510" s="83" t="str">
        <f t="shared" si="119"/>
        <v/>
      </c>
      <c r="AH510" s="82" t="str">
        <f t="shared" si="120"/>
        <v/>
      </c>
      <c r="AI510" s="82" t="str">
        <f t="shared" si="121"/>
        <v/>
      </c>
      <c r="AJ510" s="90"/>
      <c r="AP510" s="88"/>
    </row>
    <row r="511" spans="1:42" x14ac:dyDescent="0.25">
      <c r="A511" s="2"/>
      <c r="C511" s="68" t="str" cm="1">
        <f t="array" ref="C511">IF(AF511&lt;&gt;"",
IFERROR(INDEX('LaunchPad Markbook'!A:A,MATCH(AH511,'LaunchPad Markbook'!D:D,0),0),"-"),"")</f>
        <v/>
      </c>
      <c r="D511" s="27"/>
      <c r="E511" s="27"/>
      <c r="F511" s="27"/>
      <c r="G511" s="14">
        <f>IF(OR(H511&gt;AB$2,I511&gt;AC$2,J511&gt;AD$2,
P511&gt;1,V511&gt;1,
L511&gt;'Group List A'!E$2,M511&gt;'Group List A'!F$2,N511&gt;'Group List A'!G$2,
R511&gt;'Group List B'!E$2,S511&gt;'Group List B'!F$2,T511&gt;'Group List B'!G$2),"Exceed",
IF(OR(H511=AB$2,I511=AC$2,J511=AD$2,
P511=1,V511=1,
L511='Group List A'!E$2,M511='Group List A'!F$2,N511='Group List A'!G$2,
R511='Group List B'!E$2,S511='Group List B'!F$2,T511='Group List B'!G$2),"Limit",0))</f>
        <v>0</v>
      </c>
      <c r="H511" s="29">
        <f t="shared" si="107"/>
        <v>0</v>
      </c>
      <c r="I511" s="29">
        <f t="shared" si="108"/>
        <v>0</v>
      </c>
      <c r="J511" s="29">
        <f t="shared" si="109"/>
        <v>0</v>
      </c>
      <c r="K511" s="32" t="str" cm="1">
        <f t="array" ref="K511">IF(AF511&lt;&gt;"",IFERROR(INDEX('Group List A'!B:B,MATCH(AI511,'Group List A'!A:A,0),0),"-"),"")</f>
        <v/>
      </c>
      <c r="L511" s="33">
        <f t="shared" si="110"/>
        <v>0</v>
      </c>
      <c r="M511" s="33">
        <f t="shared" si="111"/>
        <v>0</v>
      </c>
      <c r="N511" s="33">
        <f t="shared" si="112"/>
        <v>0</v>
      </c>
      <c r="O511" s="28"/>
      <c r="P511" s="33">
        <f t="shared" si="113"/>
        <v>0</v>
      </c>
      <c r="Q511" s="35" t="str" cm="1">
        <f t="array" ref="Q511">IF(AF511&lt;&gt;"",IFERROR(INDEX('Group List B'!B:B,MATCH(AI511,'Group List B'!A:A,0),0),"-"),"")</f>
        <v/>
      </c>
      <c r="R511" s="36">
        <f t="shared" si="114"/>
        <v>0</v>
      </c>
      <c r="S511" s="36">
        <f t="shared" si="115"/>
        <v>0</v>
      </c>
      <c r="T511" s="36">
        <f t="shared" si="116"/>
        <v>0</v>
      </c>
      <c r="U511" s="28"/>
      <c r="V511" s="37">
        <f t="shared" si="117"/>
        <v>0</v>
      </c>
      <c r="W511" s="41"/>
      <c r="X511" s="27"/>
      <c r="Y511" s="27"/>
      <c r="Z511" s="27"/>
      <c r="AA511" s="15"/>
      <c r="AB511" s="17"/>
      <c r="AC511" s="17"/>
      <c r="AD511" s="17"/>
      <c r="AE511" s="90"/>
      <c r="AF511" s="82" t="str">
        <f t="shared" si="118"/>
        <v/>
      </c>
      <c r="AG511" s="83" t="str">
        <f t="shared" si="119"/>
        <v/>
      </c>
      <c r="AH511" s="82" t="str">
        <f t="shared" si="120"/>
        <v/>
      </c>
      <c r="AI511" s="82" t="str">
        <f t="shared" si="121"/>
        <v/>
      </c>
      <c r="AJ511" s="90"/>
      <c r="AP511" s="88"/>
    </row>
    <row r="512" spans="1:42" x14ac:dyDescent="0.25">
      <c r="A512" s="2"/>
      <c r="C512" s="68" t="str" cm="1">
        <f t="array" ref="C512">IF(AF512&lt;&gt;"",
IFERROR(INDEX('LaunchPad Markbook'!A:A,MATCH(AH512,'LaunchPad Markbook'!D:D,0),0),"-"),"")</f>
        <v/>
      </c>
      <c r="D512" s="27"/>
      <c r="E512" s="27"/>
      <c r="F512" s="27"/>
      <c r="G512" s="14">
        <f>IF(OR(H512&gt;AB$2,I512&gt;AC$2,J512&gt;AD$2,
P512&gt;1,V512&gt;1,
L512&gt;'Group List A'!E$2,M512&gt;'Group List A'!F$2,N512&gt;'Group List A'!G$2,
R512&gt;'Group List B'!E$2,S512&gt;'Group List B'!F$2,T512&gt;'Group List B'!G$2),"Exceed",
IF(OR(H512=AB$2,I512=AC$2,J512=AD$2,
P512=1,V512=1,
L512='Group List A'!E$2,M512='Group List A'!F$2,N512='Group List A'!G$2,
R512='Group List B'!E$2,S512='Group List B'!F$2,T512='Group List B'!G$2),"Limit",0))</f>
        <v>0</v>
      </c>
      <c r="H512" s="29">
        <f t="shared" si="107"/>
        <v>0</v>
      </c>
      <c r="I512" s="29">
        <f t="shared" si="108"/>
        <v>0</v>
      </c>
      <c r="J512" s="29">
        <f t="shared" si="109"/>
        <v>0</v>
      </c>
      <c r="K512" s="32" t="str" cm="1">
        <f t="array" ref="K512">IF(AF512&lt;&gt;"",IFERROR(INDEX('Group List A'!B:B,MATCH(AI512,'Group List A'!A:A,0),0),"-"),"")</f>
        <v/>
      </c>
      <c r="L512" s="33">
        <f t="shared" si="110"/>
        <v>0</v>
      </c>
      <c r="M512" s="33">
        <f t="shared" si="111"/>
        <v>0</v>
      </c>
      <c r="N512" s="33">
        <f t="shared" si="112"/>
        <v>0</v>
      </c>
      <c r="O512" s="28"/>
      <c r="P512" s="33">
        <f t="shared" si="113"/>
        <v>0</v>
      </c>
      <c r="Q512" s="35" t="str" cm="1">
        <f t="array" ref="Q512">IF(AF512&lt;&gt;"",IFERROR(INDEX('Group List B'!B:B,MATCH(AI512,'Group List B'!A:A,0),0),"-"),"")</f>
        <v/>
      </c>
      <c r="R512" s="36">
        <f t="shared" si="114"/>
        <v>0</v>
      </c>
      <c r="S512" s="36">
        <f t="shared" si="115"/>
        <v>0</v>
      </c>
      <c r="T512" s="36">
        <f t="shared" si="116"/>
        <v>0</v>
      </c>
      <c r="U512" s="28"/>
      <c r="V512" s="37">
        <f t="shared" si="117"/>
        <v>0</v>
      </c>
      <c r="W512" s="41"/>
      <c r="X512" s="27"/>
      <c r="Y512" s="27"/>
      <c r="Z512" s="27"/>
      <c r="AA512" s="15"/>
      <c r="AB512" s="17"/>
      <c r="AC512" s="17"/>
      <c r="AD512" s="17"/>
      <c r="AE512" s="90"/>
      <c r="AF512" s="82" t="str">
        <f t="shared" si="118"/>
        <v/>
      </c>
      <c r="AG512" s="83" t="str">
        <f t="shared" si="119"/>
        <v/>
      </c>
      <c r="AH512" s="82" t="str">
        <f t="shared" si="120"/>
        <v/>
      </c>
      <c r="AI512" s="82" t="str">
        <f t="shared" si="121"/>
        <v/>
      </c>
      <c r="AJ512" s="90"/>
      <c r="AP512" s="88"/>
    </row>
    <row r="513" spans="1:42" x14ac:dyDescent="0.25">
      <c r="A513" s="2"/>
      <c r="C513" s="68" t="str" cm="1">
        <f t="array" ref="C513">IF(AF513&lt;&gt;"",
IFERROR(INDEX('LaunchPad Markbook'!A:A,MATCH(AH513,'LaunchPad Markbook'!D:D,0),0),"-"),"")</f>
        <v/>
      </c>
      <c r="D513" s="27"/>
      <c r="E513" s="27"/>
      <c r="F513" s="27"/>
      <c r="G513" s="14">
        <f>IF(OR(H513&gt;AB$2,I513&gt;AC$2,J513&gt;AD$2,
P513&gt;1,V513&gt;1,
L513&gt;'Group List A'!E$2,M513&gt;'Group List A'!F$2,N513&gt;'Group List A'!G$2,
R513&gt;'Group List B'!E$2,S513&gt;'Group List B'!F$2,T513&gt;'Group List B'!G$2),"Exceed",
IF(OR(H513=AB$2,I513=AC$2,J513=AD$2,
P513=1,V513=1,
L513='Group List A'!E$2,M513='Group List A'!F$2,N513='Group List A'!G$2,
R513='Group List B'!E$2,S513='Group List B'!F$2,T513='Group List B'!G$2),"Limit",0))</f>
        <v>0</v>
      </c>
      <c r="H513" s="29">
        <f t="shared" si="107"/>
        <v>0</v>
      </c>
      <c r="I513" s="29">
        <f t="shared" si="108"/>
        <v>0</v>
      </c>
      <c r="J513" s="29">
        <f t="shared" si="109"/>
        <v>0</v>
      </c>
      <c r="K513" s="32" t="str" cm="1">
        <f t="array" ref="K513">IF(AF513&lt;&gt;"",IFERROR(INDEX('Group List A'!B:B,MATCH(AI513,'Group List A'!A:A,0),0),"-"),"")</f>
        <v/>
      </c>
      <c r="L513" s="33">
        <f t="shared" si="110"/>
        <v>0</v>
      </c>
      <c r="M513" s="33">
        <f t="shared" si="111"/>
        <v>0</v>
      </c>
      <c r="N513" s="33">
        <f t="shared" si="112"/>
        <v>0</v>
      </c>
      <c r="O513" s="28"/>
      <c r="P513" s="33">
        <f t="shared" si="113"/>
        <v>0</v>
      </c>
      <c r="Q513" s="35" t="str" cm="1">
        <f t="array" ref="Q513">IF(AF513&lt;&gt;"",IFERROR(INDEX('Group List B'!B:B,MATCH(AI513,'Group List B'!A:A,0),0),"-"),"")</f>
        <v/>
      </c>
      <c r="R513" s="36">
        <f t="shared" si="114"/>
        <v>0</v>
      </c>
      <c r="S513" s="36">
        <f t="shared" si="115"/>
        <v>0</v>
      </c>
      <c r="T513" s="36">
        <f t="shared" si="116"/>
        <v>0</v>
      </c>
      <c r="U513" s="28"/>
      <c r="V513" s="37">
        <f t="shared" si="117"/>
        <v>0</v>
      </c>
      <c r="W513" s="41"/>
      <c r="X513" s="27"/>
      <c r="Y513" s="27"/>
      <c r="Z513" s="27"/>
      <c r="AA513" s="15"/>
      <c r="AB513" s="17"/>
      <c r="AC513" s="17"/>
      <c r="AD513" s="17"/>
      <c r="AE513" s="90"/>
      <c r="AF513" s="82" t="str">
        <f t="shared" si="118"/>
        <v/>
      </c>
      <c r="AG513" s="83" t="str">
        <f t="shared" si="119"/>
        <v/>
      </c>
      <c r="AH513" s="82" t="str">
        <f t="shared" si="120"/>
        <v/>
      </c>
      <c r="AI513" s="82" t="str">
        <f t="shared" si="121"/>
        <v/>
      </c>
      <c r="AJ513" s="90"/>
      <c r="AP513" s="88"/>
    </row>
    <row r="514" spans="1:42" x14ac:dyDescent="0.25">
      <c r="A514" s="2"/>
      <c r="C514" s="68" t="str" cm="1">
        <f t="array" ref="C514">IF(AF514&lt;&gt;"",
IFERROR(INDEX('LaunchPad Markbook'!A:A,MATCH(AH514,'LaunchPad Markbook'!D:D,0),0),"-"),"")</f>
        <v/>
      </c>
      <c r="D514" s="27"/>
      <c r="E514" s="27"/>
      <c r="F514" s="27"/>
      <c r="G514" s="14">
        <f>IF(OR(H514&gt;AB$2,I514&gt;AC$2,J514&gt;AD$2,
P514&gt;1,V514&gt;1,
L514&gt;'Group List A'!E$2,M514&gt;'Group List A'!F$2,N514&gt;'Group List A'!G$2,
R514&gt;'Group List B'!E$2,S514&gt;'Group List B'!F$2,T514&gt;'Group List B'!G$2),"Exceed",
IF(OR(H514=AB$2,I514=AC$2,J514=AD$2,
P514=1,V514=1,
L514='Group List A'!E$2,M514='Group List A'!F$2,N514='Group List A'!G$2,
R514='Group List B'!E$2,S514='Group List B'!F$2,T514='Group List B'!G$2),"Limit",0))</f>
        <v>0</v>
      </c>
      <c r="H514" s="29">
        <f t="shared" si="107"/>
        <v>0</v>
      </c>
      <c r="I514" s="29">
        <f t="shared" si="108"/>
        <v>0</v>
      </c>
      <c r="J514" s="29">
        <f t="shared" si="109"/>
        <v>0</v>
      </c>
      <c r="K514" s="32" t="str" cm="1">
        <f t="array" ref="K514">IF(AF514&lt;&gt;"",IFERROR(INDEX('Group List A'!B:B,MATCH(AI514,'Group List A'!A:A,0),0),"-"),"")</f>
        <v/>
      </c>
      <c r="L514" s="33">
        <f t="shared" si="110"/>
        <v>0</v>
      </c>
      <c r="M514" s="33">
        <f t="shared" si="111"/>
        <v>0</v>
      </c>
      <c r="N514" s="33">
        <f t="shared" si="112"/>
        <v>0</v>
      </c>
      <c r="O514" s="28"/>
      <c r="P514" s="33">
        <f t="shared" si="113"/>
        <v>0</v>
      </c>
      <c r="Q514" s="35" t="str" cm="1">
        <f t="array" ref="Q514">IF(AF514&lt;&gt;"",IFERROR(INDEX('Group List B'!B:B,MATCH(AI514,'Group List B'!A:A,0),0),"-"),"")</f>
        <v/>
      </c>
      <c r="R514" s="36">
        <f t="shared" si="114"/>
        <v>0</v>
      </c>
      <c r="S514" s="36">
        <f t="shared" si="115"/>
        <v>0</v>
      </c>
      <c r="T514" s="36">
        <f t="shared" si="116"/>
        <v>0</v>
      </c>
      <c r="U514" s="28"/>
      <c r="V514" s="37">
        <f t="shared" si="117"/>
        <v>0</v>
      </c>
      <c r="W514" s="41"/>
      <c r="X514" s="27"/>
      <c r="Y514" s="27"/>
      <c r="Z514" s="27"/>
      <c r="AA514" s="15"/>
      <c r="AB514" s="17"/>
      <c r="AC514" s="17"/>
      <c r="AD514" s="17"/>
      <c r="AE514" s="90"/>
      <c r="AF514" s="82" t="str">
        <f t="shared" si="118"/>
        <v/>
      </c>
      <c r="AG514" s="83" t="str">
        <f t="shared" si="119"/>
        <v/>
      </c>
      <c r="AH514" s="82" t="str">
        <f t="shared" si="120"/>
        <v/>
      </c>
      <c r="AI514" s="82" t="str">
        <f t="shared" si="121"/>
        <v/>
      </c>
      <c r="AJ514" s="90"/>
      <c r="AP514" s="88"/>
    </row>
    <row r="515" spans="1:42" x14ac:dyDescent="0.25">
      <c r="A515" s="2"/>
      <c r="C515" s="68" t="str" cm="1">
        <f t="array" ref="C515">IF(AF515&lt;&gt;"",
IFERROR(INDEX('LaunchPad Markbook'!A:A,MATCH(AH515,'LaunchPad Markbook'!D:D,0),0),"-"),"")</f>
        <v/>
      </c>
      <c r="D515" s="27"/>
      <c r="E515" s="27"/>
      <c r="F515" s="27"/>
      <c r="G515" s="14">
        <f>IF(OR(H515&gt;AB$2,I515&gt;AC$2,J515&gt;AD$2,
P515&gt;1,V515&gt;1,
L515&gt;'Group List A'!E$2,M515&gt;'Group List A'!F$2,N515&gt;'Group List A'!G$2,
R515&gt;'Group List B'!E$2,S515&gt;'Group List B'!F$2,T515&gt;'Group List B'!G$2),"Exceed",
IF(OR(H515=AB$2,I515=AC$2,J515=AD$2,
P515=1,V515=1,
L515='Group List A'!E$2,M515='Group List A'!F$2,N515='Group List A'!G$2,
R515='Group List B'!E$2,S515='Group List B'!F$2,T515='Group List B'!G$2),"Limit",0))</f>
        <v>0</v>
      </c>
      <c r="H515" s="29">
        <f t="shared" ref="H515:H578" si="122">IF(AND(K515="-",Q515="-"),
SUMIFS(D$2:D$2000,$AH$2:$AH$2000,$AH515),0)</f>
        <v>0</v>
      </c>
      <c r="I515" s="29">
        <f t="shared" ref="I515:I578" si="123">IF(AND(K515="-",Q515="-"),
SUMIFS(E$2:E$2000,$AH$2:$AH$2000,$AH515),0)</f>
        <v>0</v>
      </c>
      <c r="J515" s="29">
        <f t="shared" ref="J515:J578" si="124">IF(AND(K515="-",Q515="-"),
SUMIFS(F$2:F$2000,$AH$2:$AH$2000,$AH515),0)</f>
        <v>0</v>
      </c>
      <c r="K515" s="32" t="str" cm="1">
        <f t="array" ref="K515">IF(AF515&lt;&gt;"",IFERROR(INDEX('Group List A'!B:B,MATCH(AI515,'Group List A'!A:A,0),0),"-"),"")</f>
        <v/>
      </c>
      <c r="L515" s="33">
        <f t="shared" ref="L515:L578" si="125">IF($K515&lt;&gt;"-",SUMIFS(D$2:D$2000,$K$2:$K$2000,$K515),0)</f>
        <v>0</v>
      </c>
      <c r="M515" s="33">
        <f t="shared" ref="M515:M578" si="126">IF($K515&lt;&gt;"-",SUMIFS(E$2:E$2000,$K$2:$K$2000,$K515),0)</f>
        <v>0</v>
      </c>
      <c r="N515" s="33">
        <f t="shared" ref="N515:N578" si="127">IF($K515&lt;&gt;"-",SUMIFS(F$2:F$2000,$K$2:$K$2000,$K515),0)</f>
        <v>0</v>
      </c>
      <c r="O515" s="28"/>
      <c r="P515" s="33">
        <f t="shared" ref="P515:P578" si="128">SUMIFS(O$2:O$2000,$AH$2:$AH$2000,$AH515)</f>
        <v>0</v>
      </c>
      <c r="Q515" s="35" t="str" cm="1">
        <f t="array" ref="Q515">IF(AF515&lt;&gt;"",IFERROR(INDEX('Group List B'!B:B,MATCH(AI515,'Group List B'!A:A,0),0),"-"),"")</f>
        <v/>
      </c>
      <c r="R515" s="36">
        <f t="shared" ref="R515:R578" si="129">IF($Q515&lt;&gt;"-",SUMIFS(D$2:D$2000,$Q$2:$Q$2000,$Q515),0)</f>
        <v>0</v>
      </c>
      <c r="S515" s="36">
        <f t="shared" ref="S515:S578" si="130">IF($Q515&lt;&gt;"-",SUMIFS(E$2:E$2000,$Q$2:$Q$2000,$Q515),0)</f>
        <v>0</v>
      </c>
      <c r="T515" s="36">
        <f t="shared" ref="T515:T578" si="131">IF($Q515&lt;&gt;"-",SUMIFS(F$2:F$2000,$Q$2:$Q$2000,$Q515),0)</f>
        <v>0</v>
      </c>
      <c r="U515" s="28"/>
      <c r="V515" s="37">
        <f t="shared" ref="V515:V578" si="132">SUMIFS(U$2:U$2000,$AH$2:$AH$2000,$AH515)</f>
        <v>0</v>
      </c>
      <c r="W515" s="41"/>
      <c r="X515" s="27"/>
      <c r="Y515" s="27"/>
      <c r="Z515" s="27"/>
      <c r="AA515" s="15"/>
      <c r="AB515" s="17"/>
      <c r="AC515" s="17"/>
      <c r="AD515" s="17"/>
      <c r="AE515" s="90"/>
      <c r="AF515" s="82" t="str">
        <f t="shared" ref="AF515:AF578" si="133">IF(A515&lt;&gt;"",A515,"")</f>
        <v/>
      </c>
      <c r="AG515" s="83" t="str">
        <f t="shared" ref="AG515:AG578" si="134">IF(MID(AF515,1,1)="N","STUDENT",
IF(MID(AF515,1,1)="S","STAFF",
IF(MID(AF515,1,1)="V","VISITOR",
IF(AF515&lt;&gt;"","ERROR",""))))</f>
        <v/>
      </c>
      <c r="AH515" s="82" t="str">
        <f t="shared" ref="AH515:AH578" si="135">IF(AG515="STUDENT","N"&amp;(MID(AF515,2,8)-0),
IF(AG515="STAFF","S"&amp;MID(AF515,2,8),""))</f>
        <v/>
      </c>
      <c r="AI515" s="82" t="str">
        <f t="shared" ref="AI515:AI578" si="136">IF(AG515="STUDENT",(MID(AF515,2,8)-0),
IF(AG515="STAFF","STAFF",""))</f>
        <v/>
      </c>
      <c r="AJ515" s="90"/>
      <c r="AP515" s="88"/>
    </row>
    <row r="516" spans="1:42" x14ac:dyDescent="0.25">
      <c r="A516" s="2"/>
      <c r="C516" s="68" t="str" cm="1">
        <f t="array" ref="C516">IF(AF516&lt;&gt;"",
IFERROR(INDEX('LaunchPad Markbook'!A:A,MATCH(AH516,'LaunchPad Markbook'!D:D,0),0),"-"),"")</f>
        <v/>
      </c>
      <c r="D516" s="27"/>
      <c r="E516" s="27"/>
      <c r="F516" s="27"/>
      <c r="G516" s="14">
        <f>IF(OR(H516&gt;AB$2,I516&gt;AC$2,J516&gt;AD$2,
P516&gt;1,V516&gt;1,
L516&gt;'Group List A'!E$2,M516&gt;'Group List A'!F$2,N516&gt;'Group List A'!G$2,
R516&gt;'Group List B'!E$2,S516&gt;'Group List B'!F$2,T516&gt;'Group List B'!G$2),"Exceed",
IF(OR(H516=AB$2,I516=AC$2,J516=AD$2,
P516=1,V516=1,
L516='Group List A'!E$2,M516='Group List A'!F$2,N516='Group List A'!G$2,
R516='Group List B'!E$2,S516='Group List B'!F$2,T516='Group List B'!G$2),"Limit",0))</f>
        <v>0</v>
      </c>
      <c r="H516" s="29">
        <f t="shared" si="122"/>
        <v>0</v>
      </c>
      <c r="I516" s="29">
        <f t="shared" si="123"/>
        <v>0</v>
      </c>
      <c r="J516" s="29">
        <f t="shared" si="124"/>
        <v>0</v>
      </c>
      <c r="K516" s="32" t="str" cm="1">
        <f t="array" ref="K516">IF(AF516&lt;&gt;"",IFERROR(INDEX('Group List A'!B:B,MATCH(AI516,'Group List A'!A:A,0),0),"-"),"")</f>
        <v/>
      </c>
      <c r="L516" s="33">
        <f t="shared" si="125"/>
        <v>0</v>
      </c>
      <c r="M516" s="33">
        <f t="shared" si="126"/>
        <v>0</v>
      </c>
      <c r="N516" s="33">
        <f t="shared" si="127"/>
        <v>0</v>
      </c>
      <c r="O516" s="28"/>
      <c r="P516" s="33">
        <f t="shared" si="128"/>
        <v>0</v>
      </c>
      <c r="Q516" s="35" t="str" cm="1">
        <f t="array" ref="Q516">IF(AF516&lt;&gt;"",IFERROR(INDEX('Group List B'!B:B,MATCH(AI516,'Group List B'!A:A,0),0),"-"),"")</f>
        <v/>
      </c>
      <c r="R516" s="36">
        <f t="shared" si="129"/>
        <v>0</v>
      </c>
      <c r="S516" s="36">
        <f t="shared" si="130"/>
        <v>0</v>
      </c>
      <c r="T516" s="36">
        <f t="shared" si="131"/>
        <v>0</v>
      </c>
      <c r="U516" s="28"/>
      <c r="V516" s="37">
        <f t="shared" si="132"/>
        <v>0</v>
      </c>
      <c r="W516" s="41"/>
      <c r="X516" s="27"/>
      <c r="Y516" s="27"/>
      <c r="Z516" s="27"/>
      <c r="AA516" s="15"/>
      <c r="AB516" s="17"/>
      <c r="AC516" s="17"/>
      <c r="AD516" s="17"/>
      <c r="AE516" s="90"/>
      <c r="AF516" s="82" t="str">
        <f t="shared" si="133"/>
        <v/>
      </c>
      <c r="AG516" s="83" t="str">
        <f t="shared" si="134"/>
        <v/>
      </c>
      <c r="AH516" s="82" t="str">
        <f t="shared" si="135"/>
        <v/>
      </c>
      <c r="AI516" s="82" t="str">
        <f t="shared" si="136"/>
        <v/>
      </c>
      <c r="AJ516" s="90"/>
      <c r="AP516" s="88"/>
    </row>
    <row r="517" spans="1:42" x14ac:dyDescent="0.25">
      <c r="A517" s="2"/>
      <c r="C517" s="68" t="str" cm="1">
        <f t="array" ref="C517">IF(AF517&lt;&gt;"",
IFERROR(INDEX('LaunchPad Markbook'!A:A,MATCH(AH517,'LaunchPad Markbook'!D:D,0),0),"-"),"")</f>
        <v/>
      </c>
      <c r="D517" s="27"/>
      <c r="E517" s="27"/>
      <c r="F517" s="27"/>
      <c r="G517" s="14">
        <f>IF(OR(H517&gt;AB$2,I517&gt;AC$2,J517&gt;AD$2,
P517&gt;1,V517&gt;1,
L517&gt;'Group List A'!E$2,M517&gt;'Group List A'!F$2,N517&gt;'Group List A'!G$2,
R517&gt;'Group List B'!E$2,S517&gt;'Group List B'!F$2,T517&gt;'Group List B'!G$2),"Exceed",
IF(OR(H517=AB$2,I517=AC$2,J517=AD$2,
P517=1,V517=1,
L517='Group List A'!E$2,M517='Group List A'!F$2,N517='Group List A'!G$2,
R517='Group List B'!E$2,S517='Group List B'!F$2,T517='Group List B'!G$2),"Limit",0))</f>
        <v>0</v>
      </c>
      <c r="H517" s="29">
        <f t="shared" si="122"/>
        <v>0</v>
      </c>
      <c r="I517" s="29">
        <f t="shared" si="123"/>
        <v>0</v>
      </c>
      <c r="J517" s="29">
        <f t="shared" si="124"/>
        <v>0</v>
      </c>
      <c r="K517" s="32" t="str" cm="1">
        <f t="array" ref="K517">IF(AF517&lt;&gt;"",IFERROR(INDEX('Group List A'!B:B,MATCH(AI517,'Group List A'!A:A,0),0),"-"),"")</f>
        <v/>
      </c>
      <c r="L517" s="33">
        <f t="shared" si="125"/>
        <v>0</v>
      </c>
      <c r="M517" s="33">
        <f t="shared" si="126"/>
        <v>0</v>
      </c>
      <c r="N517" s="33">
        <f t="shared" si="127"/>
        <v>0</v>
      </c>
      <c r="O517" s="28"/>
      <c r="P517" s="33">
        <f t="shared" si="128"/>
        <v>0</v>
      </c>
      <c r="Q517" s="35" t="str" cm="1">
        <f t="array" ref="Q517">IF(AF517&lt;&gt;"",IFERROR(INDEX('Group List B'!B:B,MATCH(AI517,'Group List B'!A:A,0),0),"-"),"")</f>
        <v/>
      </c>
      <c r="R517" s="36">
        <f t="shared" si="129"/>
        <v>0</v>
      </c>
      <c r="S517" s="36">
        <f t="shared" si="130"/>
        <v>0</v>
      </c>
      <c r="T517" s="36">
        <f t="shared" si="131"/>
        <v>0</v>
      </c>
      <c r="U517" s="28"/>
      <c r="V517" s="37">
        <f t="shared" si="132"/>
        <v>0</v>
      </c>
      <c r="W517" s="41"/>
      <c r="X517" s="27"/>
      <c r="Y517" s="27"/>
      <c r="Z517" s="27"/>
      <c r="AA517" s="15"/>
      <c r="AB517" s="17"/>
      <c r="AC517" s="17"/>
      <c r="AD517" s="17"/>
      <c r="AE517" s="90"/>
      <c r="AF517" s="82" t="str">
        <f t="shared" si="133"/>
        <v/>
      </c>
      <c r="AG517" s="83" t="str">
        <f t="shared" si="134"/>
        <v/>
      </c>
      <c r="AH517" s="82" t="str">
        <f t="shared" si="135"/>
        <v/>
      </c>
      <c r="AI517" s="82" t="str">
        <f t="shared" si="136"/>
        <v/>
      </c>
      <c r="AJ517" s="90"/>
      <c r="AP517" s="88"/>
    </row>
    <row r="518" spans="1:42" x14ac:dyDescent="0.25">
      <c r="A518" s="2"/>
      <c r="C518" s="68" t="str" cm="1">
        <f t="array" ref="C518">IF(AF518&lt;&gt;"",
IFERROR(INDEX('LaunchPad Markbook'!A:A,MATCH(AH518,'LaunchPad Markbook'!D:D,0),0),"-"),"")</f>
        <v/>
      </c>
      <c r="D518" s="27"/>
      <c r="E518" s="27"/>
      <c r="F518" s="27"/>
      <c r="G518" s="14">
        <f>IF(OR(H518&gt;AB$2,I518&gt;AC$2,J518&gt;AD$2,
P518&gt;1,V518&gt;1,
L518&gt;'Group List A'!E$2,M518&gt;'Group List A'!F$2,N518&gt;'Group List A'!G$2,
R518&gt;'Group List B'!E$2,S518&gt;'Group List B'!F$2,T518&gt;'Group List B'!G$2),"Exceed",
IF(OR(H518=AB$2,I518=AC$2,J518=AD$2,
P518=1,V518=1,
L518='Group List A'!E$2,M518='Group List A'!F$2,N518='Group List A'!G$2,
R518='Group List B'!E$2,S518='Group List B'!F$2,T518='Group List B'!G$2),"Limit",0))</f>
        <v>0</v>
      </c>
      <c r="H518" s="29">
        <f t="shared" si="122"/>
        <v>0</v>
      </c>
      <c r="I518" s="29">
        <f t="shared" si="123"/>
        <v>0</v>
      </c>
      <c r="J518" s="29">
        <f t="shared" si="124"/>
        <v>0</v>
      </c>
      <c r="K518" s="32" t="str" cm="1">
        <f t="array" ref="K518">IF(AF518&lt;&gt;"",IFERROR(INDEX('Group List A'!B:B,MATCH(AI518,'Group List A'!A:A,0),0),"-"),"")</f>
        <v/>
      </c>
      <c r="L518" s="33">
        <f t="shared" si="125"/>
        <v>0</v>
      </c>
      <c r="M518" s="33">
        <f t="shared" si="126"/>
        <v>0</v>
      </c>
      <c r="N518" s="33">
        <f t="shared" si="127"/>
        <v>0</v>
      </c>
      <c r="O518" s="28"/>
      <c r="P518" s="33">
        <f t="shared" si="128"/>
        <v>0</v>
      </c>
      <c r="Q518" s="35" t="str" cm="1">
        <f t="array" ref="Q518">IF(AF518&lt;&gt;"",IFERROR(INDEX('Group List B'!B:B,MATCH(AI518,'Group List B'!A:A,0),0),"-"),"")</f>
        <v/>
      </c>
      <c r="R518" s="36">
        <f t="shared" si="129"/>
        <v>0</v>
      </c>
      <c r="S518" s="36">
        <f t="shared" si="130"/>
        <v>0</v>
      </c>
      <c r="T518" s="36">
        <f t="shared" si="131"/>
        <v>0</v>
      </c>
      <c r="U518" s="28"/>
      <c r="V518" s="37">
        <f t="shared" si="132"/>
        <v>0</v>
      </c>
      <c r="W518" s="41"/>
      <c r="X518" s="27"/>
      <c r="Y518" s="27"/>
      <c r="Z518" s="27"/>
      <c r="AA518" s="15"/>
      <c r="AB518" s="17"/>
      <c r="AC518" s="17"/>
      <c r="AD518" s="17"/>
      <c r="AE518" s="90"/>
      <c r="AF518" s="82" t="str">
        <f t="shared" si="133"/>
        <v/>
      </c>
      <c r="AG518" s="83" t="str">
        <f t="shared" si="134"/>
        <v/>
      </c>
      <c r="AH518" s="82" t="str">
        <f t="shared" si="135"/>
        <v/>
      </c>
      <c r="AI518" s="82" t="str">
        <f t="shared" si="136"/>
        <v/>
      </c>
      <c r="AJ518" s="90"/>
      <c r="AP518" s="88"/>
    </row>
    <row r="519" spans="1:42" x14ac:dyDescent="0.25">
      <c r="A519" s="2"/>
      <c r="C519" s="68" t="str" cm="1">
        <f t="array" ref="C519">IF(AF519&lt;&gt;"",
IFERROR(INDEX('LaunchPad Markbook'!A:A,MATCH(AH519,'LaunchPad Markbook'!D:D,0),0),"-"),"")</f>
        <v/>
      </c>
      <c r="D519" s="27"/>
      <c r="E519" s="27"/>
      <c r="F519" s="27"/>
      <c r="G519" s="14">
        <f>IF(OR(H519&gt;AB$2,I519&gt;AC$2,J519&gt;AD$2,
P519&gt;1,V519&gt;1,
L519&gt;'Group List A'!E$2,M519&gt;'Group List A'!F$2,N519&gt;'Group List A'!G$2,
R519&gt;'Group List B'!E$2,S519&gt;'Group List B'!F$2,T519&gt;'Group List B'!G$2),"Exceed",
IF(OR(H519=AB$2,I519=AC$2,J519=AD$2,
P519=1,V519=1,
L519='Group List A'!E$2,M519='Group List A'!F$2,N519='Group List A'!G$2,
R519='Group List B'!E$2,S519='Group List B'!F$2,T519='Group List B'!G$2),"Limit",0))</f>
        <v>0</v>
      </c>
      <c r="H519" s="29">
        <f t="shared" si="122"/>
        <v>0</v>
      </c>
      <c r="I519" s="29">
        <f t="shared" si="123"/>
        <v>0</v>
      </c>
      <c r="J519" s="29">
        <f t="shared" si="124"/>
        <v>0</v>
      </c>
      <c r="K519" s="32" t="str" cm="1">
        <f t="array" ref="K519">IF(AF519&lt;&gt;"",IFERROR(INDEX('Group List A'!B:B,MATCH(AI519,'Group List A'!A:A,0),0),"-"),"")</f>
        <v/>
      </c>
      <c r="L519" s="33">
        <f t="shared" si="125"/>
        <v>0</v>
      </c>
      <c r="M519" s="33">
        <f t="shared" si="126"/>
        <v>0</v>
      </c>
      <c r="N519" s="33">
        <f t="shared" si="127"/>
        <v>0</v>
      </c>
      <c r="O519" s="28"/>
      <c r="P519" s="33">
        <f t="shared" si="128"/>
        <v>0</v>
      </c>
      <c r="Q519" s="35" t="str" cm="1">
        <f t="array" ref="Q519">IF(AF519&lt;&gt;"",IFERROR(INDEX('Group List B'!B:B,MATCH(AI519,'Group List B'!A:A,0),0),"-"),"")</f>
        <v/>
      </c>
      <c r="R519" s="36">
        <f t="shared" si="129"/>
        <v>0</v>
      </c>
      <c r="S519" s="36">
        <f t="shared" si="130"/>
        <v>0</v>
      </c>
      <c r="T519" s="36">
        <f t="shared" si="131"/>
        <v>0</v>
      </c>
      <c r="U519" s="28"/>
      <c r="V519" s="37">
        <f t="shared" si="132"/>
        <v>0</v>
      </c>
      <c r="W519" s="41"/>
      <c r="X519" s="27"/>
      <c r="Y519" s="27"/>
      <c r="Z519" s="27"/>
      <c r="AA519" s="15"/>
      <c r="AB519" s="17"/>
      <c r="AC519" s="17"/>
      <c r="AD519" s="17"/>
      <c r="AE519" s="90"/>
      <c r="AF519" s="82" t="str">
        <f t="shared" si="133"/>
        <v/>
      </c>
      <c r="AG519" s="83" t="str">
        <f t="shared" si="134"/>
        <v/>
      </c>
      <c r="AH519" s="82" t="str">
        <f t="shared" si="135"/>
        <v/>
      </c>
      <c r="AI519" s="82" t="str">
        <f t="shared" si="136"/>
        <v/>
      </c>
      <c r="AJ519" s="90"/>
      <c r="AP519" s="88"/>
    </row>
    <row r="520" spans="1:42" x14ac:dyDescent="0.25">
      <c r="A520" s="2"/>
      <c r="C520" s="68" t="str" cm="1">
        <f t="array" ref="C520">IF(AF520&lt;&gt;"",
IFERROR(INDEX('LaunchPad Markbook'!A:A,MATCH(AH520,'LaunchPad Markbook'!D:D,0),0),"-"),"")</f>
        <v/>
      </c>
      <c r="D520" s="27"/>
      <c r="E520" s="27"/>
      <c r="F520" s="27"/>
      <c r="G520" s="14">
        <f>IF(OR(H520&gt;AB$2,I520&gt;AC$2,J520&gt;AD$2,
P520&gt;1,V520&gt;1,
L520&gt;'Group List A'!E$2,M520&gt;'Group List A'!F$2,N520&gt;'Group List A'!G$2,
R520&gt;'Group List B'!E$2,S520&gt;'Group List B'!F$2,T520&gt;'Group List B'!G$2),"Exceed",
IF(OR(H520=AB$2,I520=AC$2,J520=AD$2,
P520=1,V520=1,
L520='Group List A'!E$2,M520='Group List A'!F$2,N520='Group List A'!G$2,
R520='Group List B'!E$2,S520='Group List B'!F$2,T520='Group List B'!G$2),"Limit",0))</f>
        <v>0</v>
      </c>
      <c r="H520" s="29">
        <f t="shared" si="122"/>
        <v>0</v>
      </c>
      <c r="I520" s="29">
        <f t="shared" si="123"/>
        <v>0</v>
      </c>
      <c r="J520" s="29">
        <f t="shared" si="124"/>
        <v>0</v>
      </c>
      <c r="K520" s="32" t="str" cm="1">
        <f t="array" ref="K520">IF(AF520&lt;&gt;"",IFERROR(INDEX('Group List A'!B:B,MATCH(AI520,'Group List A'!A:A,0),0),"-"),"")</f>
        <v/>
      </c>
      <c r="L520" s="33">
        <f t="shared" si="125"/>
        <v>0</v>
      </c>
      <c r="M520" s="33">
        <f t="shared" si="126"/>
        <v>0</v>
      </c>
      <c r="N520" s="33">
        <f t="shared" si="127"/>
        <v>0</v>
      </c>
      <c r="O520" s="28"/>
      <c r="P520" s="33">
        <f t="shared" si="128"/>
        <v>0</v>
      </c>
      <c r="Q520" s="35" t="str" cm="1">
        <f t="array" ref="Q520">IF(AF520&lt;&gt;"",IFERROR(INDEX('Group List B'!B:B,MATCH(AI520,'Group List B'!A:A,0),0),"-"),"")</f>
        <v/>
      </c>
      <c r="R520" s="36">
        <f t="shared" si="129"/>
        <v>0</v>
      </c>
      <c r="S520" s="36">
        <f t="shared" si="130"/>
        <v>0</v>
      </c>
      <c r="T520" s="36">
        <f t="shared" si="131"/>
        <v>0</v>
      </c>
      <c r="U520" s="28"/>
      <c r="V520" s="37">
        <f t="shared" si="132"/>
        <v>0</v>
      </c>
      <c r="W520" s="41"/>
      <c r="X520" s="27"/>
      <c r="Y520" s="27"/>
      <c r="Z520" s="27"/>
      <c r="AA520" s="15"/>
      <c r="AB520" s="17"/>
      <c r="AC520" s="17"/>
      <c r="AD520" s="17"/>
      <c r="AE520" s="90"/>
      <c r="AF520" s="82" t="str">
        <f t="shared" si="133"/>
        <v/>
      </c>
      <c r="AG520" s="83" t="str">
        <f t="shared" si="134"/>
        <v/>
      </c>
      <c r="AH520" s="82" t="str">
        <f t="shared" si="135"/>
        <v/>
      </c>
      <c r="AI520" s="82" t="str">
        <f t="shared" si="136"/>
        <v/>
      </c>
      <c r="AJ520" s="90"/>
      <c r="AP520" s="88"/>
    </row>
    <row r="521" spans="1:42" x14ac:dyDescent="0.25">
      <c r="A521" s="2"/>
      <c r="C521" s="68" t="str" cm="1">
        <f t="array" ref="C521">IF(AF521&lt;&gt;"",
IFERROR(INDEX('LaunchPad Markbook'!A:A,MATCH(AH521,'LaunchPad Markbook'!D:D,0),0),"-"),"")</f>
        <v/>
      </c>
      <c r="D521" s="27"/>
      <c r="E521" s="27"/>
      <c r="F521" s="27"/>
      <c r="G521" s="14">
        <f>IF(OR(H521&gt;AB$2,I521&gt;AC$2,J521&gt;AD$2,
P521&gt;1,V521&gt;1,
L521&gt;'Group List A'!E$2,M521&gt;'Group List A'!F$2,N521&gt;'Group List A'!G$2,
R521&gt;'Group List B'!E$2,S521&gt;'Group List B'!F$2,T521&gt;'Group List B'!G$2),"Exceed",
IF(OR(H521=AB$2,I521=AC$2,J521=AD$2,
P521=1,V521=1,
L521='Group List A'!E$2,M521='Group List A'!F$2,N521='Group List A'!G$2,
R521='Group List B'!E$2,S521='Group List B'!F$2,T521='Group List B'!G$2),"Limit",0))</f>
        <v>0</v>
      </c>
      <c r="H521" s="29">
        <f t="shared" si="122"/>
        <v>0</v>
      </c>
      <c r="I521" s="29">
        <f t="shared" si="123"/>
        <v>0</v>
      </c>
      <c r="J521" s="29">
        <f t="shared" si="124"/>
        <v>0</v>
      </c>
      <c r="K521" s="32" t="str" cm="1">
        <f t="array" ref="K521">IF(AF521&lt;&gt;"",IFERROR(INDEX('Group List A'!B:B,MATCH(AI521,'Group List A'!A:A,0),0),"-"),"")</f>
        <v/>
      </c>
      <c r="L521" s="33">
        <f t="shared" si="125"/>
        <v>0</v>
      </c>
      <c r="M521" s="33">
        <f t="shared" si="126"/>
        <v>0</v>
      </c>
      <c r="N521" s="33">
        <f t="shared" si="127"/>
        <v>0</v>
      </c>
      <c r="O521" s="28"/>
      <c r="P521" s="33">
        <f t="shared" si="128"/>
        <v>0</v>
      </c>
      <c r="Q521" s="35" t="str" cm="1">
        <f t="array" ref="Q521">IF(AF521&lt;&gt;"",IFERROR(INDEX('Group List B'!B:B,MATCH(AI521,'Group List B'!A:A,0),0),"-"),"")</f>
        <v/>
      </c>
      <c r="R521" s="36">
        <f t="shared" si="129"/>
        <v>0</v>
      </c>
      <c r="S521" s="36">
        <f t="shared" si="130"/>
        <v>0</v>
      </c>
      <c r="T521" s="36">
        <f t="shared" si="131"/>
        <v>0</v>
      </c>
      <c r="U521" s="28"/>
      <c r="V521" s="37">
        <f t="shared" si="132"/>
        <v>0</v>
      </c>
      <c r="W521" s="41"/>
      <c r="X521" s="27"/>
      <c r="Y521" s="27"/>
      <c r="Z521" s="27"/>
      <c r="AA521" s="15"/>
      <c r="AB521" s="17"/>
      <c r="AC521" s="17"/>
      <c r="AD521" s="17"/>
      <c r="AE521" s="90"/>
      <c r="AF521" s="82" t="str">
        <f t="shared" si="133"/>
        <v/>
      </c>
      <c r="AG521" s="83" t="str">
        <f t="shared" si="134"/>
        <v/>
      </c>
      <c r="AH521" s="82" t="str">
        <f t="shared" si="135"/>
        <v/>
      </c>
      <c r="AI521" s="82" t="str">
        <f t="shared" si="136"/>
        <v/>
      </c>
      <c r="AJ521" s="90"/>
      <c r="AP521" s="88"/>
    </row>
    <row r="522" spans="1:42" x14ac:dyDescent="0.25">
      <c r="A522" s="2"/>
      <c r="C522" s="68" t="str" cm="1">
        <f t="array" ref="C522">IF(AF522&lt;&gt;"",
IFERROR(INDEX('LaunchPad Markbook'!A:A,MATCH(AH522,'LaunchPad Markbook'!D:D,0),0),"-"),"")</f>
        <v/>
      </c>
      <c r="D522" s="27"/>
      <c r="E522" s="27"/>
      <c r="F522" s="27"/>
      <c r="G522" s="14">
        <f>IF(OR(H522&gt;AB$2,I522&gt;AC$2,J522&gt;AD$2,
P522&gt;1,V522&gt;1,
L522&gt;'Group List A'!E$2,M522&gt;'Group List A'!F$2,N522&gt;'Group List A'!G$2,
R522&gt;'Group List B'!E$2,S522&gt;'Group List B'!F$2,T522&gt;'Group List B'!G$2),"Exceed",
IF(OR(H522=AB$2,I522=AC$2,J522=AD$2,
P522=1,V522=1,
L522='Group List A'!E$2,M522='Group List A'!F$2,N522='Group List A'!G$2,
R522='Group List B'!E$2,S522='Group List B'!F$2,T522='Group List B'!G$2),"Limit",0))</f>
        <v>0</v>
      </c>
      <c r="H522" s="29">
        <f t="shared" si="122"/>
        <v>0</v>
      </c>
      <c r="I522" s="29">
        <f t="shared" si="123"/>
        <v>0</v>
      </c>
      <c r="J522" s="29">
        <f t="shared" si="124"/>
        <v>0</v>
      </c>
      <c r="K522" s="32" t="str" cm="1">
        <f t="array" ref="K522">IF(AF522&lt;&gt;"",IFERROR(INDEX('Group List A'!B:B,MATCH(AI522,'Group List A'!A:A,0),0),"-"),"")</f>
        <v/>
      </c>
      <c r="L522" s="33">
        <f t="shared" si="125"/>
        <v>0</v>
      </c>
      <c r="M522" s="33">
        <f t="shared" si="126"/>
        <v>0</v>
      </c>
      <c r="N522" s="33">
        <f t="shared" si="127"/>
        <v>0</v>
      </c>
      <c r="O522" s="28"/>
      <c r="P522" s="33">
        <f t="shared" si="128"/>
        <v>0</v>
      </c>
      <c r="Q522" s="35" t="str" cm="1">
        <f t="array" ref="Q522">IF(AF522&lt;&gt;"",IFERROR(INDEX('Group List B'!B:B,MATCH(AI522,'Group List B'!A:A,0),0),"-"),"")</f>
        <v/>
      </c>
      <c r="R522" s="36">
        <f t="shared" si="129"/>
        <v>0</v>
      </c>
      <c r="S522" s="36">
        <f t="shared" si="130"/>
        <v>0</v>
      </c>
      <c r="T522" s="36">
        <f t="shared" si="131"/>
        <v>0</v>
      </c>
      <c r="U522" s="28"/>
      <c r="V522" s="37">
        <f t="shared" si="132"/>
        <v>0</v>
      </c>
      <c r="W522" s="41"/>
      <c r="X522" s="27"/>
      <c r="Y522" s="27"/>
      <c r="Z522" s="27"/>
      <c r="AA522" s="15"/>
      <c r="AB522" s="17"/>
      <c r="AC522" s="17"/>
      <c r="AD522" s="17"/>
      <c r="AE522" s="90"/>
      <c r="AF522" s="82" t="str">
        <f t="shared" si="133"/>
        <v/>
      </c>
      <c r="AG522" s="83" t="str">
        <f t="shared" si="134"/>
        <v/>
      </c>
      <c r="AH522" s="82" t="str">
        <f t="shared" si="135"/>
        <v/>
      </c>
      <c r="AI522" s="82" t="str">
        <f t="shared" si="136"/>
        <v/>
      </c>
      <c r="AJ522" s="90"/>
      <c r="AP522" s="88"/>
    </row>
    <row r="523" spans="1:42" x14ac:dyDescent="0.25">
      <c r="A523" s="2"/>
      <c r="C523" s="68" t="str" cm="1">
        <f t="array" ref="C523">IF(AF523&lt;&gt;"",
IFERROR(INDEX('LaunchPad Markbook'!A:A,MATCH(AH523,'LaunchPad Markbook'!D:D,0),0),"-"),"")</f>
        <v/>
      </c>
      <c r="D523" s="27"/>
      <c r="E523" s="27"/>
      <c r="F523" s="27"/>
      <c r="G523" s="14">
        <f>IF(OR(H523&gt;AB$2,I523&gt;AC$2,J523&gt;AD$2,
P523&gt;1,V523&gt;1,
L523&gt;'Group List A'!E$2,M523&gt;'Group List A'!F$2,N523&gt;'Group List A'!G$2,
R523&gt;'Group List B'!E$2,S523&gt;'Group List B'!F$2,T523&gt;'Group List B'!G$2),"Exceed",
IF(OR(H523=AB$2,I523=AC$2,J523=AD$2,
P523=1,V523=1,
L523='Group List A'!E$2,M523='Group List A'!F$2,N523='Group List A'!G$2,
R523='Group List B'!E$2,S523='Group List B'!F$2,T523='Group List B'!G$2),"Limit",0))</f>
        <v>0</v>
      </c>
      <c r="H523" s="29">
        <f t="shared" si="122"/>
        <v>0</v>
      </c>
      <c r="I523" s="29">
        <f t="shared" si="123"/>
        <v>0</v>
      </c>
      <c r="J523" s="29">
        <f t="shared" si="124"/>
        <v>0</v>
      </c>
      <c r="K523" s="32" t="str" cm="1">
        <f t="array" ref="K523">IF(AF523&lt;&gt;"",IFERROR(INDEX('Group List A'!B:B,MATCH(AI523,'Group List A'!A:A,0),0),"-"),"")</f>
        <v/>
      </c>
      <c r="L523" s="33">
        <f t="shared" si="125"/>
        <v>0</v>
      </c>
      <c r="M523" s="33">
        <f t="shared" si="126"/>
        <v>0</v>
      </c>
      <c r="N523" s="33">
        <f t="shared" si="127"/>
        <v>0</v>
      </c>
      <c r="O523" s="28"/>
      <c r="P523" s="33">
        <f t="shared" si="128"/>
        <v>0</v>
      </c>
      <c r="Q523" s="35" t="str" cm="1">
        <f t="array" ref="Q523">IF(AF523&lt;&gt;"",IFERROR(INDEX('Group List B'!B:B,MATCH(AI523,'Group List B'!A:A,0),0),"-"),"")</f>
        <v/>
      </c>
      <c r="R523" s="36">
        <f t="shared" si="129"/>
        <v>0</v>
      </c>
      <c r="S523" s="36">
        <f t="shared" si="130"/>
        <v>0</v>
      </c>
      <c r="T523" s="36">
        <f t="shared" si="131"/>
        <v>0</v>
      </c>
      <c r="U523" s="28"/>
      <c r="V523" s="37">
        <f t="shared" si="132"/>
        <v>0</v>
      </c>
      <c r="W523" s="41"/>
      <c r="X523" s="27"/>
      <c r="Y523" s="27"/>
      <c r="Z523" s="27"/>
      <c r="AA523" s="15"/>
      <c r="AB523" s="17"/>
      <c r="AC523" s="17"/>
      <c r="AD523" s="17"/>
      <c r="AE523" s="90"/>
      <c r="AF523" s="82" t="str">
        <f t="shared" si="133"/>
        <v/>
      </c>
      <c r="AG523" s="83" t="str">
        <f t="shared" si="134"/>
        <v/>
      </c>
      <c r="AH523" s="82" t="str">
        <f t="shared" si="135"/>
        <v/>
      </c>
      <c r="AI523" s="82" t="str">
        <f t="shared" si="136"/>
        <v/>
      </c>
      <c r="AJ523" s="90"/>
      <c r="AP523" s="88"/>
    </row>
    <row r="524" spans="1:42" x14ac:dyDescent="0.25">
      <c r="A524" s="2"/>
      <c r="C524" s="68" t="str" cm="1">
        <f t="array" ref="C524">IF(AF524&lt;&gt;"",
IFERROR(INDEX('LaunchPad Markbook'!A:A,MATCH(AH524,'LaunchPad Markbook'!D:D,0),0),"-"),"")</f>
        <v/>
      </c>
      <c r="D524" s="27"/>
      <c r="E524" s="27"/>
      <c r="F524" s="27"/>
      <c r="G524" s="14">
        <f>IF(OR(H524&gt;AB$2,I524&gt;AC$2,J524&gt;AD$2,
P524&gt;1,V524&gt;1,
L524&gt;'Group List A'!E$2,M524&gt;'Group List A'!F$2,N524&gt;'Group List A'!G$2,
R524&gt;'Group List B'!E$2,S524&gt;'Group List B'!F$2,T524&gt;'Group List B'!G$2),"Exceed",
IF(OR(H524=AB$2,I524=AC$2,J524=AD$2,
P524=1,V524=1,
L524='Group List A'!E$2,M524='Group List A'!F$2,N524='Group List A'!G$2,
R524='Group List B'!E$2,S524='Group List B'!F$2,T524='Group List B'!G$2),"Limit",0))</f>
        <v>0</v>
      </c>
      <c r="H524" s="29">
        <f t="shared" si="122"/>
        <v>0</v>
      </c>
      <c r="I524" s="29">
        <f t="shared" si="123"/>
        <v>0</v>
      </c>
      <c r="J524" s="29">
        <f t="shared" si="124"/>
        <v>0</v>
      </c>
      <c r="K524" s="32" t="str" cm="1">
        <f t="array" ref="K524">IF(AF524&lt;&gt;"",IFERROR(INDEX('Group List A'!B:B,MATCH(AI524,'Group List A'!A:A,0),0),"-"),"")</f>
        <v/>
      </c>
      <c r="L524" s="33">
        <f t="shared" si="125"/>
        <v>0</v>
      </c>
      <c r="M524" s="33">
        <f t="shared" si="126"/>
        <v>0</v>
      </c>
      <c r="N524" s="33">
        <f t="shared" si="127"/>
        <v>0</v>
      </c>
      <c r="O524" s="28"/>
      <c r="P524" s="33">
        <f t="shared" si="128"/>
        <v>0</v>
      </c>
      <c r="Q524" s="35" t="str" cm="1">
        <f t="array" ref="Q524">IF(AF524&lt;&gt;"",IFERROR(INDEX('Group List B'!B:B,MATCH(AI524,'Group List B'!A:A,0),0),"-"),"")</f>
        <v/>
      </c>
      <c r="R524" s="36">
        <f t="shared" si="129"/>
        <v>0</v>
      </c>
      <c r="S524" s="36">
        <f t="shared" si="130"/>
        <v>0</v>
      </c>
      <c r="T524" s="36">
        <f t="shared" si="131"/>
        <v>0</v>
      </c>
      <c r="U524" s="28"/>
      <c r="V524" s="37">
        <f t="shared" si="132"/>
        <v>0</v>
      </c>
      <c r="W524" s="41"/>
      <c r="X524" s="27"/>
      <c r="Y524" s="27"/>
      <c r="Z524" s="27"/>
      <c r="AA524" s="15"/>
      <c r="AB524" s="17"/>
      <c r="AC524" s="17"/>
      <c r="AD524" s="17"/>
      <c r="AE524" s="90"/>
      <c r="AF524" s="82" t="str">
        <f t="shared" si="133"/>
        <v/>
      </c>
      <c r="AG524" s="83" t="str">
        <f t="shared" si="134"/>
        <v/>
      </c>
      <c r="AH524" s="82" t="str">
        <f t="shared" si="135"/>
        <v/>
      </c>
      <c r="AI524" s="82" t="str">
        <f t="shared" si="136"/>
        <v/>
      </c>
      <c r="AJ524" s="90"/>
      <c r="AP524" s="88"/>
    </row>
    <row r="525" spans="1:42" x14ac:dyDescent="0.25">
      <c r="A525" s="2"/>
      <c r="C525" s="68" t="str" cm="1">
        <f t="array" ref="C525">IF(AF525&lt;&gt;"",
IFERROR(INDEX('LaunchPad Markbook'!A:A,MATCH(AH525,'LaunchPad Markbook'!D:D,0),0),"-"),"")</f>
        <v/>
      </c>
      <c r="D525" s="27"/>
      <c r="E525" s="27"/>
      <c r="F525" s="27"/>
      <c r="G525" s="14">
        <f>IF(OR(H525&gt;AB$2,I525&gt;AC$2,J525&gt;AD$2,
P525&gt;1,V525&gt;1,
L525&gt;'Group List A'!E$2,M525&gt;'Group List A'!F$2,N525&gt;'Group List A'!G$2,
R525&gt;'Group List B'!E$2,S525&gt;'Group List B'!F$2,T525&gt;'Group List B'!G$2),"Exceed",
IF(OR(H525=AB$2,I525=AC$2,J525=AD$2,
P525=1,V525=1,
L525='Group List A'!E$2,M525='Group List A'!F$2,N525='Group List A'!G$2,
R525='Group List B'!E$2,S525='Group List B'!F$2,T525='Group List B'!G$2),"Limit",0))</f>
        <v>0</v>
      </c>
      <c r="H525" s="29">
        <f t="shared" si="122"/>
        <v>0</v>
      </c>
      <c r="I525" s="29">
        <f t="shared" si="123"/>
        <v>0</v>
      </c>
      <c r="J525" s="29">
        <f t="shared" si="124"/>
        <v>0</v>
      </c>
      <c r="K525" s="32" t="str" cm="1">
        <f t="array" ref="K525">IF(AF525&lt;&gt;"",IFERROR(INDEX('Group List A'!B:B,MATCH(AI525,'Group List A'!A:A,0),0),"-"),"")</f>
        <v/>
      </c>
      <c r="L525" s="33">
        <f t="shared" si="125"/>
        <v>0</v>
      </c>
      <c r="M525" s="33">
        <f t="shared" si="126"/>
        <v>0</v>
      </c>
      <c r="N525" s="33">
        <f t="shared" si="127"/>
        <v>0</v>
      </c>
      <c r="O525" s="28"/>
      <c r="P525" s="33">
        <f t="shared" si="128"/>
        <v>0</v>
      </c>
      <c r="Q525" s="35" t="str" cm="1">
        <f t="array" ref="Q525">IF(AF525&lt;&gt;"",IFERROR(INDEX('Group List B'!B:B,MATCH(AI525,'Group List B'!A:A,0),0),"-"),"")</f>
        <v/>
      </c>
      <c r="R525" s="36">
        <f t="shared" si="129"/>
        <v>0</v>
      </c>
      <c r="S525" s="36">
        <f t="shared" si="130"/>
        <v>0</v>
      </c>
      <c r="T525" s="36">
        <f t="shared" si="131"/>
        <v>0</v>
      </c>
      <c r="U525" s="28"/>
      <c r="V525" s="37">
        <f t="shared" si="132"/>
        <v>0</v>
      </c>
      <c r="W525" s="41"/>
      <c r="X525" s="27"/>
      <c r="Y525" s="27"/>
      <c r="Z525" s="27"/>
      <c r="AA525" s="15"/>
      <c r="AB525" s="17"/>
      <c r="AC525" s="17"/>
      <c r="AD525" s="17"/>
      <c r="AE525" s="90"/>
      <c r="AF525" s="82" t="str">
        <f t="shared" si="133"/>
        <v/>
      </c>
      <c r="AG525" s="83" t="str">
        <f t="shared" si="134"/>
        <v/>
      </c>
      <c r="AH525" s="82" t="str">
        <f t="shared" si="135"/>
        <v/>
      </c>
      <c r="AI525" s="82" t="str">
        <f t="shared" si="136"/>
        <v/>
      </c>
      <c r="AJ525" s="90"/>
      <c r="AP525" s="88"/>
    </row>
    <row r="526" spans="1:42" x14ac:dyDescent="0.25">
      <c r="A526" s="2"/>
      <c r="C526" s="68" t="str" cm="1">
        <f t="array" ref="C526">IF(AF526&lt;&gt;"",
IFERROR(INDEX('LaunchPad Markbook'!A:A,MATCH(AH526,'LaunchPad Markbook'!D:D,0),0),"-"),"")</f>
        <v/>
      </c>
      <c r="D526" s="27"/>
      <c r="E526" s="27"/>
      <c r="F526" s="27"/>
      <c r="G526" s="14">
        <f>IF(OR(H526&gt;AB$2,I526&gt;AC$2,J526&gt;AD$2,
P526&gt;1,V526&gt;1,
L526&gt;'Group List A'!E$2,M526&gt;'Group List A'!F$2,N526&gt;'Group List A'!G$2,
R526&gt;'Group List B'!E$2,S526&gt;'Group List B'!F$2,T526&gt;'Group List B'!G$2),"Exceed",
IF(OR(H526=AB$2,I526=AC$2,J526=AD$2,
P526=1,V526=1,
L526='Group List A'!E$2,M526='Group List A'!F$2,N526='Group List A'!G$2,
R526='Group List B'!E$2,S526='Group List B'!F$2,T526='Group List B'!G$2),"Limit",0))</f>
        <v>0</v>
      </c>
      <c r="H526" s="29">
        <f t="shared" si="122"/>
        <v>0</v>
      </c>
      <c r="I526" s="29">
        <f t="shared" si="123"/>
        <v>0</v>
      </c>
      <c r="J526" s="29">
        <f t="shared" si="124"/>
        <v>0</v>
      </c>
      <c r="K526" s="32" t="str" cm="1">
        <f t="array" ref="K526">IF(AF526&lt;&gt;"",IFERROR(INDEX('Group List A'!B:B,MATCH(AI526,'Group List A'!A:A,0),0),"-"),"")</f>
        <v/>
      </c>
      <c r="L526" s="33">
        <f t="shared" si="125"/>
        <v>0</v>
      </c>
      <c r="M526" s="33">
        <f t="shared" si="126"/>
        <v>0</v>
      </c>
      <c r="N526" s="33">
        <f t="shared" si="127"/>
        <v>0</v>
      </c>
      <c r="O526" s="28"/>
      <c r="P526" s="33">
        <f t="shared" si="128"/>
        <v>0</v>
      </c>
      <c r="Q526" s="35" t="str" cm="1">
        <f t="array" ref="Q526">IF(AF526&lt;&gt;"",IFERROR(INDEX('Group List B'!B:B,MATCH(AI526,'Group List B'!A:A,0),0),"-"),"")</f>
        <v/>
      </c>
      <c r="R526" s="36">
        <f t="shared" si="129"/>
        <v>0</v>
      </c>
      <c r="S526" s="36">
        <f t="shared" si="130"/>
        <v>0</v>
      </c>
      <c r="T526" s="36">
        <f t="shared" si="131"/>
        <v>0</v>
      </c>
      <c r="U526" s="28"/>
      <c r="V526" s="37">
        <f t="shared" si="132"/>
        <v>0</v>
      </c>
      <c r="W526" s="41"/>
      <c r="X526" s="27"/>
      <c r="Y526" s="27"/>
      <c r="Z526" s="27"/>
      <c r="AA526" s="15"/>
      <c r="AB526" s="17"/>
      <c r="AC526" s="17"/>
      <c r="AD526" s="17"/>
      <c r="AE526" s="90"/>
      <c r="AF526" s="82" t="str">
        <f t="shared" si="133"/>
        <v/>
      </c>
      <c r="AG526" s="83" t="str">
        <f t="shared" si="134"/>
        <v/>
      </c>
      <c r="AH526" s="82" t="str">
        <f t="shared" si="135"/>
        <v/>
      </c>
      <c r="AI526" s="82" t="str">
        <f t="shared" si="136"/>
        <v/>
      </c>
      <c r="AJ526" s="90"/>
      <c r="AP526" s="88"/>
    </row>
    <row r="527" spans="1:42" x14ac:dyDescent="0.25">
      <c r="A527" s="2"/>
      <c r="C527" s="68" t="str" cm="1">
        <f t="array" ref="C527">IF(AF527&lt;&gt;"",
IFERROR(INDEX('LaunchPad Markbook'!A:A,MATCH(AH527,'LaunchPad Markbook'!D:D,0),0),"-"),"")</f>
        <v/>
      </c>
      <c r="D527" s="27"/>
      <c r="E527" s="27"/>
      <c r="F527" s="27"/>
      <c r="G527" s="14">
        <f>IF(OR(H527&gt;AB$2,I527&gt;AC$2,J527&gt;AD$2,
P527&gt;1,V527&gt;1,
L527&gt;'Group List A'!E$2,M527&gt;'Group List A'!F$2,N527&gt;'Group List A'!G$2,
R527&gt;'Group List B'!E$2,S527&gt;'Group List B'!F$2,T527&gt;'Group List B'!G$2),"Exceed",
IF(OR(H527=AB$2,I527=AC$2,J527=AD$2,
P527=1,V527=1,
L527='Group List A'!E$2,M527='Group List A'!F$2,N527='Group List A'!G$2,
R527='Group List B'!E$2,S527='Group List B'!F$2,T527='Group List B'!G$2),"Limit",0))</f>
        <v>0</v>
      </c>
      <c r="H527" s="29">
        <f t="shared" si="122"/>
        <v>0</v>
      </c>
      <c r="I527" s="29">
        <f t="shared" si="123"/>
        <v>0</v>
      </c>
      <c r="J527" s="29">
        <f t="shared" si="124"/>
        <v>0</v>
      </c>
      <c r="K527" s="32" t="str" cm="1">
        <f t="array" ref="K527">IF(AF527&lt;&gt;"",IFERROR(INDEX('Group List A'!B:B,MATCH(AI527,'Group List A'!A:A,0),0),"-"),"")</f>
        <v/>
      </c>
      <c r="L527" s="33">
        <f t="shared" si="125"/>
        <v>0</v>
      </c>
      <c r="M527" s="33">
        <f t="shared" si="126"/>
        <v>0</v>
      </c>
      <c r="N527" s="33">
        <f t="shared" si="127"/>
        <v>0</v>
      </c>
      <c r="O527" s="28"/>
      <c r="P527" s="33">
        <f t="shared" si="128"/>
        <v>0</v>
      </c>
      <c r="Q527" s="35" t="str" cm="1">
        <f t="array" ref="Q527">IF(AF527&lt;&gt;"",IFERROR(INDEX('Group List B'!B:B,MATCH(AI527,'Group List B'!A:A,0),0),"-"),"")</f>
        <v/>
      </c>
      <c r="R527" s="36">
        <f t="shared" si="129"/>
        <v>0</v>
      </c>
      <c r="S527" s="36">
        <f t="shared" si="130"/>
        <v>0</v>
      </c>
      <c r="T527" s="36">
        <f t="shared" si="131"/>
        <v>0</v>
      </c>
      <c r="U527" s="28"/>
      <c r="V527" s="37">
        <f t="shared" si="132"/>
        <v>0</v>
      </c>
      <c r="W527" s="41"/>
      <c r="X527" s="27"/>
      <c r="Y527" s="27"/>
      <c r="Z527" s="27"/>
      <c r="AA527" s="15"/>
      <c r="AB527" s="17"/>
      <c r="AC527" s="17"/>
      <c r="AD527" s="17"/>
      <c r="AE527" s="90"/>
      <c r="AF527" s="82" t="str">
        <f t="shared" si="133"/>
        <v/>
      </c>
      <c r="AG527" s="83" t="str">
        <f t="shared" si="134"/>
        <v/>
      </c>
      <c r="AH527" s="82" t="str">
        <f t="shared" si="135"/>
        <v/>
      </c>
      <c r="AI527" s="82" t="str">
        <f t="shared" si="136"/>
        <v/>
      </c>
      <c r="AJ527" s="90"/>
      <c r="AP527" s="88"/>
    </row>
    <row r="528" spans="1:42" x14ac:dyDescent="0.25">
      <c r="A528" s="2"/>
      <c r="C528" s="68" t="str" cm="1">
        <f t="array" ref="C528">IF(AF528&lt;&gt;"",
IFERROR(INDEX('LaunchPad Markbook'!A:A,MATCH(AH528,'LaunchPad Markbook'!D:D,0),0),"-"),"")</f>
        <v/>
      </c>
      <c r="D528" s="27"/>
      <c r="E528" s="27"/>
      <c r="F528" s="27"/>
      <c r="G528" s="14">
        <f>IF(OR(H528&gt;AB$2,I528&gt;AC$2,J528&gt;AD$2,
P528&gt;1,V528&gt;1,
L528&gt;'Group List A'!E$2,M528&gt;'Group List A'!F$2,N528&gt;'Group List A'!G$2,
R528&gt;'Group List B'!E$2,S528&gt;'Group List B'!F$2,T528&gt;'Group List B'!G$2),"Exceed",
IF(OR(H528=AB$2,I528=AC$2,J528=AD$2,
P528=1,V528=1,
L528='Group List A'!E$2,M528='Group List A'!F$2,N528='Group List A'!G$2,
R528='Group List B'!E$2,S528='Group List B'!F$2,T528='Group List B'!G$2),"Limit",0))</f>
        <v>0</v>
      </c>
      <c r="H528" s="29">
        <f t="shared" si="122"/>
        <v>0</v>
      </c>
      <c r="I528" s="29">
        <f t="shared" si="123"/>
        <v>0</v>
      </c>
      <c r="J528" s="29">
        <f t="shared" si="124"/>
        <v>0</v>
      </c>
      <c r="K528" s="32" t="str" cm="1">
        <f t="array" ref="K528">IF(AF528&lt;&gt;"",IFERROR(INDEX('Group List A'!B:B,MATCH(AI528,'Group List A'!A:A,0),0),"-"),"")</f>
        <v/>
      </c>
      <c r="L528" s="33">
        <f t="shared" si="125"/>
        <v>0</v>
      </c>
      <c r="M528" s="33">
        <f t="shared" si="126"/>
        <v>0</v>
      </c>
      <c r="N528" s="33">
        <f t="shared" si="127"/>
        <v>0</v>
      </c>
      <c r="O528" s="28"/>
      <c r="P528" s="33">
        <f t="shared" si="128"/>
        <v>0</v>
      </c>
      <c r="Q528" s="35" t="str" cm="1">
        <f t="array" ref="Q528">IF(AF528&lt;&gt;"",IFERROR(INDEX('Group List B'!B:B,MATCH(AI528,'Group List B'!A:A,0),0),"-"),"")</f>
        <v/>
      </c>
      <c r="R528" s="36">
        <f t="shared" si="129"/>
        <v>0</v>
      </c>
      <c r="S528" s="36">
        <f t="shared" si="130"/>
        <v>0</v>
      </c>
      <c r="T528" s="36">
        <f t="shared" si="131"/>
        <v>0</v>
      </c>
      <c r="U528" s="28"/>
      <c r="V528" s="37">
        <f t="shared" si="132"/>
        <v>0</v>
      </c>
      <c r="W528" s="41"/>
      <c r="X528" s="27"/>
      <c r="Y528" s="27"/>
      <c r="Z528" s="27"/>
      <c r="AA528" s="15"/>
      <c r="AB528" s="17"/>
      <c r="AC528" s="17"/>
      <c r="AD528" s="17"/>
      <c r="AE528" s="90"/>
      <c r="AF528" s="82" t="str">
        <f t="shared" si="133"/>
        <v/>
      </c>
      <c r="AG528" s="83" t="str">
        <f t="shared" si="134"/>
        <v/>
      </c>
      <c r="AH528" s="82" t="str">
        <f t="shared" si="135"/>
        <v/>
      </c>
      <c r="AI528" s="82" t="str">
        <f t="shared" si="136"/>
        <v/>
      </c>
      <c r="AJ528" s="90"/>
      <c r="AP528" s="88"/>
    </row>
    <row r="529" spans="1:42" x14ac:dyDescent="0.25">
      <c r="A529" s="2"/>
      <c r="C529" s="68" t="str" cm="1">
        <f t="array" ref="C529">IF(AF529&lt;&gt;"",
IFERROR(INDEX('LaunchPad Markbook'!A:A,MATCH(AH529,'LaunchPad Markbook'!D:D,0),0),"-"),"")</f>
        <v/>
      </c>
      <c r="D529" s="27"/>
      <c r="E529" s="27"/>
      <c r="F529" s="27"/>
      <c r="G529" s="14">
        <f>IF(OR(H529&gt;AB$2,I529&gt;AC$2,J529&gt;AD$2,
P529&gt;1,V529&gt;1,
L529&gt;'Group List A'!E$2,M529&gt;'Group List A'!F$2,N529&gt;'Group List A'!G$2,
R529&gt;'Group List B'!E$2,S529&gt;'Group List B'!F$2,T529&gt;'Group List B'!G$2),"Exceed",
IF(OR(H529=AB$2,I529=AC$2,J529=AD$2,
P529=1,V529=1,
L529='Group List A'!E$2,M529='Group List A'!F$2,N529='Group List A'!G$2,
R529='Group List B'!E$2,S529='Group List B'!F$2,T529='Group List B'!G$2),"Limit",0))</f>
        <v>0</v>
      </c>
      <c r="H529" s="29">
        <f t="shared" si="122"/>
        <v>0</v>
      </c>
      <c r="I529" s="29">
        <f t="shared" si="123"/>
        <v>0</v>
      </c>
      <c r="J529" s="29">
        <f t="shared" si="124"/>
        <v>0</v>
      </c>
      <c r="K529" s="32" t="str" cm="1">
        <f t="array" ref="K529">IF(AF529&lt;&gt;"",IFERROR(INDEX('Group List A'!B:B,MATCH(AI529,'Group List A'!A:A,0),0),"-"),"")</f>
        <v/>
      </c>
      <c r="L529" s="33">
        <f t="shared" si="125"/>
        <v>0</v>
      </c>
      <c r="M529" s="33">
        <f t="shared" si="126"/>
        <v>0</v>
      </c>
      <c r="N529" s="33">
        <f t="shared" si="127"/>
        <v>0</v>
      </c>
      <c r="O529" s="28"/>
      <c r="P529" s="33">
        <f t="shared" si="128"/>
        <v>0</v>
      </c>
      <c r="Q529" s="35" t="str" cm="1">
        <f t="array" ref="Q529">IF(AF529&lt;&gt;"",IFERROR(INDEX('Group List B'!B:B,MATCH(AI529,'Group List B'!A:A,0),0),"-"),"")</f>
        <v/>
      </c>
      <c r="R529" s="36">
        <f t="shared" si="129"/>
        <v>0</v>
      </c>
      <c r="S529" s="36">
        <f t="shared" si="130"/>
        <v>0</v>
      </c>
      <c r="T529" s="36">
        <f t="shared" si="131"/>
        <v>0</v>
      </c>
      <c r="U529" s="28"/>
      <c r="V529" s="37">
        <f t="shared" si="132"/>
        <v>0</v>
      </c>
      <c r="W529" s="41"/>
      <c r="X529" s="27"/>
      <c r="Y529" s="27"/>
      <c r="Z529" s="27"/>
      <c r="AA529" s="15"/>
      <c r="AB529" s="17"/>
      <c r="AC529" s="17"/>
      <c r="AD529" s="17"/>
      <c r="AE529" s="90"/>
      <c r="AF529" s="82" t="str">
        <f t="shared" si="133"/>
        <v/>
      </c>
      <c r="AG529" s="83" t="str">
        <f t="shared" si="134"/>
        <v/>
      </c>
      <c r="AH529" s="82" t="str">
        <f t="shared" si="135"/>
        <v/>
      </c>
      <c r="AI529" s="82" t="str">
        <f t="shared" si="136"/>
        <v/>
      </c>
      <c r="AJ529" s="90"/>
      <c r="AP529" s="88"/>
    </row>
    <row r="530" spans="1:42" x14ac:dyDescent="0.25">
      <c r="A530" s="2"/>
      <c r="C530" s="68" t="str" cm="1">
        <f t="array" ref="C530">IF(AF530&lt;&gt;"",
IFERROR(INDEX('LaunchPad Markbook'!A:A,MATCH(AH530,'LaunchPad Markbook'!D:D,0),0),"-"),"")</f>
        <v/>
      </c>
      <c r="D530" s="27"/>
      <c r="E530" s="27"/>
      <c r="F530" s="27"/>
      <c r="G530" s="14">
        <f>IF(OR(H530&gt;AB$2,I530&gt;AC$2,J530&gt;AD$2,
P530&gt;1,V530&gt;1,
L530&gt;'Group List A'!E$2,M530&gt;'Group List A'!F$2,N530&gt;'Group List A'!G$2,
R530&gt;'Group List B'!E$2,S530&gt;'Group List B'!F$2,T530&gt;'Group List B'!G$2),"Exceed",
IF(OR(H530=AB$2,I530=AC$2,J530=AD$2,
P530=1,V530=1,
L530='Group List A'!E$2,M530='Group List A'!F$2,N530='Group List A'!G$2,
R530='Group List B'!E$2,S530='Group List B'!F$2,T530='Group List B'!G$2),"Limit",0))</f>
        <v>0</v>
      </c>
      <c r="H530" s="29">
        <f t="shared" si="122"/>
        <v>0</v>
      </c>
      <c r="I530" s="29">
        <f t="shared" si="123"/>
        <v>0</v>
      </c>
      <c r="J530" s="29">
        <f t="shared" si="124"/>
        <v>0</v>
      </c>
      <c r="K530" s="32" t="str" cm="1">
        <f t="array" ref="K530">IF(AF530&lt;&gt;"",IFERROR(INDEX('Group List A'!B:B,MATCH(AI530,'Group List A'!A:A,0),0),"-"),"")</f>
        <v/>
      </c>
      <c r="L530" s="33">
        <f t="shared" si="125"/>
        <v>0</v>
      </c>
      <c r="M530" s="33">
        <f t="shared" si="126"/>
        <v>0</v>
      </c>
      <c r="N530" s="33">
        <f t="shared" si="127"/>
        <v>0</v>
      </c>
      <c r="O530" s="28"/>
      <c r="P530" s="33">
        <f t="shared" si="128"/>
        <v>0</v>
      </c>
      <c r="Q530" s="35" t="str" cm="1">
        <f t="array" ref="Q530">IF(AF530&lt;&gt;"",IFERROR(INDEX('Group List B'!B:B,MATCH(AI530,'Group List B'!A:A,0),0),"-"),"")</f>
        <v/>
      </c>
      <c r="R530" s="36">
        <f t="shared" si="129"/>
        <v>0</v>
      </c>
      <c r="S530" s="36">
        <f t="shared" si="130"/>
        <v>0</v>
      </c>
      <c r="T530" s="36">
        <f t="shared" si="131"/>
        <v>0</v>
      </c>
      <c r="U530" s="28"/>
      <c r="V530" s="37">
        <f t="shared" si="132"/>
        <v>0</v>
      </c>
      <c r="W530" s="41"/>
      <c r="X530" s="27"/>
      <c r="Y530" s="27"/>
      <c r="Z530" s="27"/>
      <c r="AA530" s="15"/>
      <c r="AB530" s="17"/>
      <c r="AC530" s="17"/>
      <c r="AD530" s="17"/>
      <c r="AE530" s="90"/>
      <c r="AF530" s="82" t="str">
        <f t="shared" si="133"/>
        <v/>
      </c>
      <c r="AG530" s="83" t="str">
        <f t="shared" si="134"/>
        <v/>
      </c>
      <c r="AH530" s="82" t="str">
        <f t="shared" si="135"/>
        <v/>
      </c>
      <c r="AI530" s="82" t="str">
        <f t="shared" si="136"/>
        <v/>
      </c>
      <c r="AJ530" s="90"/>
      <c r="AP530" s="88"/>
    </row>
    <row r="531" spans="1:42" x14ac:dyDescent="0.25">
      <c r="A531" s="2"/>
      <c r="C531" s="68" t="str" cm="1">
        <f t="array" ref="C531">IF(AF531&lt;&gt;"",
IFERROR(INDEX('LaunchPad Markbook'!A:A,MATCH(AH531,'LaunchPad Markbook'!D:D,0),0),"-"),"")</f>
        <v/>
      </c>
      <c r="D531" s="27"/>
      <c r="E531" s="27"/>
      <c r="F531" s="27"/>
      <c r="G531" s="14">
        <f>IF(OR(H531&gt;AB$2,I531&gt;AC$2,J531&gt;AD$2,
P531&gt;1,V531&gt;1,
L531&gt;'Group List A'!E$2,M531&gt;'Group List A'!F$2,N531&gt;'Group List A'!G$2,
R531&gt;'Group List B'!E$2,S531&gt;'Group List B'!F$2,T531&gt;'Group List B'!G$2),"Exceed",
IF(OR(H531=AB$2,I531=AC$2,J531=AD$2,
P531=1,V531=1,
L531='Group List A'!E$2,M531='Group List A'!F$2,N531='Group List A'!G$2,
R531='Group List B'!E$2,S531='Group List B'!F$2,T531='Group List B'!G$2),"Limit",0))</f>
        <v>0</v>
      </c>
      <c r="H531" s="29">
        <f t="shared" si="122"/>
        <v>0</v>
      </c>
      <c r="I531" s="29">
        <f t="shared" si="123"/>
        <v>0</v>
      </c>
      <c r="J531" s="29">
        <f t="shared" si="124"/>
        <v>0</v>
      </c>
      <c r="K531" s="32" t="str" cm="1">
        <f t="array" ref="K531">IF(AF531&lt;&gt;"",IFERROR(INDEX('Group List A'!B:B,MATCH(AI531,'Group List A'!A:A,0),0),"-"),"")</f>
        <v/>
      </c>
      <c r="L531" s="33">
        <f t="shared" si="125"/>
        <v>0</v>
      </c>
      <c r="M531" s="33">
        <f t="shared" si="126"/>
        <v>0</v>
      </c>
      <c r="N531" s="33">
        <f t="shared" si="127"/>
        <v>0</v>
      </c>
      <c r="O531" s="28"/>
      <c r="P531" s="33">
        <f t="shared" si="128"/>
        <v>0</v>
      </c>
      <c r="Q531" s="35" t="str" cm="1">
        <f t="array" ref="Q531">IF(AF531&lt;&gt;"",IFERROR(INDEX('Group List B'!B:B,MATCH(AI531,'Group List B'!A:A,0),0),"-"),"")</f>
        <v/>
      </c>
      <c r="R531" s="36">
        <f t="shared" si="129"/>
        <v>0</v>
      </c>
      <c r="S531" s="36">
        <f t="shared" si="130"/>
        <v>0</v>
      </c>
      <c r="T531" s="36">
        <f t="shared" si="131"/>
        <v>0</v>
      </c>
      <c r="U531" s="28"/>
      <c r="V531" s="37">
        <f t="shared" si="132"/>
        <v>0</v>
      </c>
      <c r="W531" s="41"/>
      <c r="X531" s="27"/>
      <c r="Y531" s="27"/>
      <c r="Z531" s="27"/>
      <c r="AA531" s="15"/>
      <c r="AB531" s="17"/>
      <c r="AC531" s="17"/>
      <c r="AD531" s="17"/>
      <c r="AE531" s="90"/>
      <c r="AF531" s="82" t="str">
        <f t="shared" si="133"/>
        <v/>
      </c>
      <c r="AG531" s="83" t="str">
        <f t="shared" si="134"/>
        <v/>
      </c>
      <c r="AH531" s="82" t="str">
        <f t="shared" si="135"/>
        <v/>
      </c>
      <c r="AI531" s="82" t="str">
        <f t="shared" si="136"/>
        <v/>
      </c>
      <c r="AJ531" s="90"/>
      <c r="AP531" s="88"/>
    </row>
    <row r="532" spans="1:42" x14ac:dyDescent="0.25">
      <c r="A532" s="2"/>
      <c r="C532" s="68" t="str" cm="1">
        <f t="array" ref="C532">IF(AF532&lt;&gt;"",
IFERROR(INDEX('LaunchPad Markbook'!A:A,MATCH(AH532,'LaunchPad Markbook'!D:D,0),0),"-"),"")</f>
        <v/>
      </c>
      <c r="D532" s="27"/>
      <c r="E532" s="27"/>
      <c r="F532" s="27"/>
      <c r="G532" s="14">
        <f>IF(OR(H532&gt;AB$2,I532&gt;AC$2,J532&gt;AD$2,
P532&gt;1,V532&gt;1,
L532&gt;'Group List A'!E$2,M532&gt;'Group List A'!F$2,N532&gt;'Group List A'!G$2,
R532&gt;'Group List B'!E$2,S532&gt;'Group List B'!F$2,T532&gt;'Group List B'!G$2),"Exceed",
IF(OR(H532=AB$2,I532=AC$2,J532=AD$2,
P532=1,V532=1,
L532='Group List A'!E$2,M532='Group List A'!F$2,N532='Group List A'!G$2,
R532='Group List B'!E$2,S532='Group List B'!F$2,T532='Group List B'!G$2),"Limit",0))</f>
        <v>0</v>
      </c>
      <c r="H532" s="29">
        <f t="shared" si="122"/>
        <v>0</v>
      </c>
      <c r="I532" s="29">
        <f t="shared" si="123"/>
        <v>0</v>
      </c>
      <c r="J532" s="29">
        <f t="shared" si="124"/>
        <v>0</v>
      </c>
      <c r="K532" s="32" t="str" cm="1">
        <f t="array" ref="K532">IF(AF532&lt;&gt;"",IFERROR(INDEX('Group List A'!B:B,MATCH(AI532,'Group List A'!A:A,0),0),"-"),"")</f>
        <v/>
      </c>
      <c r="L532" s="33">
        <f t="shared" si="125"/>
        <v>0</v>
      </c>
      <c r="M532" s="33">
        <f t="shared" si="126"/>
        <v>0</v>
      </c>
      <c r="N532" s="33">
        <f t="shared" si="127"/>
        <v>0</v>
      </c>
      <c r="O532" s="28"/>
      <c r="P532" s="33">
        <f t="shared" si="128"/>
        <v>0</v>
      </c>
      <c r="Q532" s="35" t="str" cm="1">
        <f t="array" ref="Q532">IF(AF532&lt;&gt;"",IFERROR(INDEX('Group List B'!B:B,MATCH(AI532,'Group List B'!A:A,0),0),"-"),"")</f>
        <v/>
      </c>
      <c r="R532" s="36">
        <f t="shared" si="129"/>
        <v>0</v>
      </c>
      <c r="S532" s="36">
        <f t="shared" si="130"/>
        <v>0</v>
      </c>
      <c r="T532" s="36">
        <f t="shared" si="131"/>
        <v>0</v>
      </c>
      <c r="U532" s="28"/>
      <c r="V532" s="37">
        <f t="shared" si="132"/>
        <v>0</v>
      </c>
      <c r="W532" s="41"/>
      <c r="X532" s="27"/>
      <c r="Y532" s="27"/>
      <c r="Z532" s="27"/>
      <c r="AA532" s="15"/>
      <c r="AB532" s="17"/>
      <c r="AC532" s="17"/>
      <c r="AD532" s="17"/>
      <c r="AE532" s="90"/>
      <c r="AF532" s="82" t="str">
        <f t="shared" si="133"/>
        <v/>
      </c>
      <c r="AG532" s="83" t="str">
        <f t="shared" si="134"/>
        <v/>
      </c>
      <c r="AH532" s="82" t="str">
        <f t="shared" si="135"/>
        <v/>
      </c>
      <c r="AI532" s="82" t="str">
        <f t="shared" si="136"/>
        <v/>
      </c>
      <c r="AJ532" s="90"/>
      <c r="AP532" s="88"/>
    </row>
    <row r="533" spans="1:42" x14ac:dyDescent="0.25">
      <c r="A533" s="2"/>
      <c r="C533" s="68" t="str" cm="1">
        <f t="array" ref="C533">IF(AF533&lt;&gt;"",
IFERROR(INDEX('LaunchPad Markbook'!A:A,MATCH(AH533,'LaunchPad Markbook'!D:D,0),0),"-"),"")</f>
        <v/>
      </c>
      <c r="D533" s="27"/>
      <c r="E533" s="27"/>
      <c r="F533" s="27"/>
      <c r="G533" s="14">
        <f>IF(OR(H533&gt;AB$2,I533&gt;AC$2,J533&gt;AD$2,
P533&gt;1,V533&gt;1,
L533&gt;'Group List A'!E$2,M533&gt;'Group List A'!F$2,N533&gt;'Group List A'!G$2,
R533&gt;'Group List B'!E$2,S533&gt;'Group List B'!F$2,T533&gt;'Group List B'!G$2),"Exceed",
IF(OR(H533=AB$2,I533=AC$2,J533=AD$2,
P533=1,V533=1,
L533='Group List A'!E$2,M533='Group List A'!F$2,N533='Group List A'!G$2,
R533='Group List B'!E$2,S533='Group List B'!F$2,T533='Group List B'!G$2),"Limit",0))</f>
        <v>0</v>
      </c>
      <c r="H533" s="29">
        <f t="shared" si="122"/>
        <v>0</v>
      </c>
      <c r="I533" s="29">
        <f t="shared" si="123"/>
        <v>0</v>
      </c>
      <c r="J533" s="29">
        <f t="shared" si="124"/>
        <v>0</v>
      </c>
      <c r="K533" s="32" t="str" cm="1">
        <f t="array" ref="K533">IF(AF533&lt;&gt;"",IFERROR(INDEX('Group List A'!B:B,MATCH(AI533,'Group List A'!A:A,0),0),"-"),"")</f>
        <v/>
      </c>
      <c r="L533" s="33">
        <f t="shared" si="125"/>
        <v>0</v>
      </c>
      <c r="M533" s="33">
        <f t="shared" si="126"/>
        <v>0</v>
      </c>
      <c r="N533" s="33">
        <f t="shared" si="127"/>
        <v>0</v>
      </c>
      <c r="O533" s="28"/>
      <c r="P533" s="33">
        <f t="shared" si="128"/>
        <v>0</v>
      </c>
      <c r="Q533" s="35" t="str" cm="1">
        <f t="array" ref="Q533">IF(AF533&lt;&gt;"",IFERROR(INDEX('Group List B'!B:B,MATCH(AI533,'Group List B'!A:A,0),0),"-"),"")</f>
        <v/>
      </c>
      <c r="R533" s="36">
        <f t="shared" si="129"/>
        <v>0</v>
      </c>
      <c r="S533" s="36">
        <f t="shared" si="130"/>
        <v>0</v>
      </c>
      <c r="T533" s="36">
        <f t="shared" si="131"/>
        <v>0</v>
      </c>
      <c r="U533" s="28"/>
      <c r="V533" s="37">
        <f t="shared" si="132"/>
        <v>0</v>
      </c>
      <c r="W533" s="41"/>
      <c r="X533" s="27"/>
      <c r="Y533" s="27"/>
      <c r="Z533" s="27"/>
      <c r="AA533" s="15"/>
      <c r="AB533" s="17"/>
      <c r="AC533" s="17"/>
      <c r="AD533" s="17"/>
      <c r="AE533" s="90"/>
      <c r="AF533" s="82" t="str">
        <f t="shared" si="133"/>
        <v/>
      </c>
      <c r="AG533" s="83" t="str">
        <f t="shared" si="134"/>
        <v/>
      </c>
      <c r="AH533" s="82" t="str">
        <f t="shared" si="135"/>
        <v/>
      </c>
      <c r="AI533" s="82" t="str">
        <f t="shared" si="136"/>
        <v/>
      </c>
      <c r="AJ533" s="90"/>
      <c r="AP533" s="88"/>
    </row>
    <row r="534" spans="1:42" x14ac:dyDescent="0.25">
      <c r="A534" s="2"/>
      <c r="C534" s="68" t="str" cm="1">
        <f t="array" ref="C534">IF(AF534&lt;&gt;"",
IFERROR(INDEX('LaunchPad Markbook'!A:A,MATCH(AH534,'LaunchPad Markbook'!D:D,0),0),"-"),"")</f>
        <v/>
      </c>
      <c r="D534" s="27"/>
      <c r="E534" s="27"/>
      <c r="F534" s="27"/>
      <c r="G534" s="14">
        <f>IF(OR(H534&gt;AB$2,I534&gt;AC$2,J534&gt;AD$2,
P534&gt;1,V534&gt;1,
L534&gt;'Group List A'!E$2,M534&gt;'Group List A'!F$2,N534&gt;'Group List A'!G$2,
R534&gt;'Group List B'!E$2,S534&gt;'Group List B'!F$2,T534&gt;'Group List B'!G$2),"Exceed",
IF(OR(H534=AB$2,I534=AC$2,J534=AD$2,
P534=1,V534=1,
L534='Group List A'!E$2,M534='Group List A'!F$2,N534='Group List A'!G$2,
R534='Group List B'!E$2,S534='Group List B'!F$2,T534='Group List B'!G$2),"Limit",0))</f>
        <v>0</v>
      </c>
      <c r="H534" s="29">
        <f t="shared" si="122"/>
        <v>0</v>
      </c>
      <c r="I534" s="29">
        <f t="shared" si="123"/>
        <v>0</v>
      </c>
      <c r="J534" s="29">
        <f t="shared" si="124"/>
        <v>0</v>
      </c>
      <c r="K534" s="32" t="str" cm="1">
        <f t="array" ref="K534">IF(AF534&lt;&gt;"",IFERROR(INDEX('Group List A'!B:B,MATCH(AI534,'Group List A'!A:A,0),0),"-"),"")</f>
        <v/>
      </c>
      <c r="L534" s="33">
        <f t="shared" si="125"/>
        <v>0</v>
      </c>
      <c r="M534" s="33">
        <f t="shared" si="126"/>
        <v>0</v>
      </c>
      <c r="N534" s="33">
        <f t="shared" si="127"/>
        <v>0</v>
      </c>
      <c r="O534" s="28"/>
      <c r="P534" s="33">
        <f t="shared" si="128"/>
        <v>0</v>
      </c>
      <c r="Q534" s="35" t="str" cm="1">
        <f t="array" ref="Q534">IF(AF534&lt;&gt;"",IFERROR(INDEX('Group List B'!B:B,MATCH(AI534,'Group List B'!A:A,0),0),"-"),"")</f>
        <v/>
      </c>
      <c r="R534" s="36">
        <f t="shared" si="129"/>
        <v>0</v>
      </c>
      <c r="S534" s="36">
        <f t="shared" si="130"/>
        <v>0</v>
      </c>
      <c r="T534" s="36">
        <f t="shared" si="131"/>
        <v>0</v>
      </c>
      <c r="U534" s="28"/>
      <c r="V534" s="37">
        <f t="shared" si="132"/>
        <v>0</v>
      </c>
      <c r="W534" s="41"/>
      <c r="X534" s="27"/>
      <c r="Y534" s="27"/>
      <c r="Z534" s="27"/>
      <c r="AA534" s="15"/>
      <c r="AB534" s="17"/>
      <c r="AC534" s="17"/>
      <c r="AD534" s="17"/>
      <c r="AE534" s="90"/>
      <c r="AF534" s="82" t="str">
        <f t="shared" si="133"/>
        <v/>
      </c>
      <c r="AG534" s="83" t="str">
        <f t="shared" si="134"/>
        <v/>
      </c>
      <c r="AH534" s="82" t="str">
        <f t="shared" si="135"/>
        <v/>
      </c>
      <c r="AI534" s="82" t="str">
        <f t="shared" si="136"/>
        <v/>
      </c>
      <c r="AJ534" s="90"/>
      <c r="AP534" s="88"/>
    </row>
    <row r="535" spans="1:42" x14ac:dyDescent="0.25">
      <c r="A535" s="2"/>
      <c r="C535" s="68" t="str" cm="1">
        <f t="array" ref="C535">IF(AF535&lt;&gt;"",
IFERROR(INDEX('LaunchPad Markbook'!A:A,MATCH(AH535,'LaunchPad Markbook'!D:D,0),0),"-"),"")</f>
        <v/>
      </c>
      <c r="D535" s="27"/>
      <c r="E535" s="27"/>
      <c r="F535" s="27"/>
      <c r="G535" s="14">
        <f>IF(OR(H535&gt;AB$2,I535&gt;AC$2,J535&gt;AD$2,
P535&gt;1,V535&gt;1,
L535&gt;'Group List A'!E$2,M535&gt;'Group List A'!F$2,N535&gt;'Group List A'!G$2,
R535&gt;'Group List B'!E$2,S535&gt;'Group List B'!F$2,T535&gt;'Group List B'!G$2),"Exceed",
IF(OR(H535=AB$2,I535=AC$2,J535=AD$2,
P535=1,V535=1,
L535='Group List A'!E$2,M535='Group List A'!F$2,N535='Group List A'!G$2,
R535='Group List B'!E$2,S535='Group List B'!F$2,T535='Group List B'!G$2),"Limit",0))</f>
        <v>0</v>
      </c>
      <c r="H535" s="29">
        <f t="shared" si="122"/>
        <v>0</v>
      </c>
      <c r="I535" s="29">
        <f t="shared" si="123"/>
        <v>0</v>
      </c>
      <c r="J535" s="29">
        <f t="shared" si="124"/>
        <v>0</v>
      </c>
      <c r="K535" s="32" t="str" cm="1">
        <f t="array" ref="K535">IF(AF535&lt;&gt;"",IFERROR(INDEX('Group List A'!B:B,MATCH(AI535,'Group List A'!A:A,0),0),"-"),"")</f>
        <v/>
      </c>
      <c r="L535" s="33">
        <f t="shared" si="125"/>
        <v>0</v>
      </c>
      <c r="M535" s="33">
        <f t="shared" si="126"/>
        <v>0</v>
      </c>
      <c r="N535" s="33">
        <f t="shared" si="127"/>
        <v>0</v>
      </c>
      <c r="O535" s="28"/>
      <c r="P535" s="33">
        <f t="shared" si="128"/>
        <v>0</v>
      </c>
      <c r="Q535" s="35" t="str" cm="1">
        <f t="array" ref="Q535">IF(AF535&lt;&gt;"",IFERROR(INDEX('Group List B'!B:B,MATCH(AI535,'Group List B'!A:A,0),0),"-"),"")</f>
        <v/>
      </c>
      <c r="R535" s="36">
        <f t="shared" si="129"/>
        <v>0</v>
      </c>
      <c r="S535" s="36">
        <f t="shared" si="130"/>
        <v>0</v>
      </c>
      <c r="T535" s="36">
        <f t="shared" si="131"/>
        <v>0</v>
      </c>
      <c r="U535" s="28"/>
      <c r="V535" s="37">
        <f t="shared" si="132"/>
        <v>0</v>
      </c>
      <c r="W535" s="41"/>
      <c r="X535" s="27"/>
      <c r="Y535" s="27"/>
      <c r="Z535" s="27"/>
      <c r="AA535" s="15"/>
      <c r="AB535" s="17"/>
      <c r="AC535" s="17"/>
      <c r="AD535" s="17"/>
      <c r="AE535" s="90"/>
      <c r="AF535" s="82" t="str">
        <f t="shared" si="133"/>
        <v/>
      </c>
      <c r="AG535" s="83" t="str">
        <f t="shared" si="134"/>
        <v/>
      </c>
      <c r="AH535" s="82" t="str">
        <f t="shared" si="135"/>
        <v/>
      </c>
      <c r="AI535" s="82" t="str">
        <f t="shared" si="136"/>
        <v/>
      </c>
      <c r="AJ535" s="90"/>
      <c r="AP535" s="88"/>
    </row>
    <row r="536" spans="1:42" x14ac:dyDescent="0.25">
      <c r="A536" s="2"/>
      <c r="C536" s="68" t="str" cm="1">
        <f t="array" ref="C536">IF(AF536&lt;&gt;"",
IFERROR(INDEX('LaunchPad Markbook'!A:A,MATCH(AH536,'LaunchPad Markbook'!D:D,0),0),"-"),"")</f>
        <v/>
      </c>
      <c r="D536" s="27"/>
      <c r="E536" s="27"/>
      <c r="F536" s="27"/>
      <c r="G536" s="14">
        <f>IF(OR(H536&gt;AB$2,I536&gt;AC$2,J536&gt;AD$2,
P536&gt;1,V536&gt;1,
L536&gt;'Group List A'!E$2,M536&gt;'Group List A'!F$2,N536&gt;'Group List A'!G$2,
R536&gt;'Group List B'!E$2,S536&gt;'Group List B'!F$2,T536&gt;'Group List B'!G$2),"Exceed",
IF(OR(H536=AB$2,I536=AC$2,J536=AD$2,
P536=1,V536=1,
L536='Group List A'!E$2,M536='Group List A'!F$2,N536='Group List A'!G$2,
R536='Group List B'!E$2,S536='Group List B'!F$2,T536='Group List B'!G$2),"Limit",0))</f>
        <v>0</v>
      </c>
      <c r="H536" s="29">
        <f t="shared" si="122"/>
        <v>0</v>
      </c>
      <c r="I536" s="29">
        <f t="shared" si="123"/>
        <v>0</v>
      </c>
      <c r="J536" s="29">
        <f t="shared" si="124"/>
        <v>0</v>
      </c>
      <c r="K536" s="32" t="str" cm="1">
        <f t="array" ref="K536">IF(AF536&lt;&gt;"",IFERROR(INDEX('Group List A'!B:B,MATCH(AI536,'Group List A'!A:A,0),0),"-"),"")</f>
        <v/>
      </c>
      <c r="L536" s="33">
        <f t="shared" si="125"/>
        <v>0</v>
      </c>
      <c r="M536" s="33">
        <f t="shared" si="126"/>
        <v>0</v>
      </c>
      <c r="N536" s="33">
        <f t="shared" si="127"/>
        <v>0</v>
      </c>
      <c r="O536" s="28"/>
      <c r="P536" s="33">
        <f t="shared" si="128"/>
        <v>0</v>
      </c>
      <c r="Q536" s="35" t="str" cm="1">
        <f t="array" ref="Q536">IF(AF536&lt;&gt;"",IFERROR(INDEX('Group List B'!B:B,MATCH(AI536,'Group List B'!A:A,0),0),"-"),"")</f>
        <v/>
      </c>
      <c r="R536" s="36">
        <f t="shared" si="129"/>
        <v>0</v>
      </c>
      <c r="S536" s="36">
        <f t="shared" si="130"/>
        <v>0</v>
      </c>
      <c r="T536" s="36">
        <f t="shared" si="131"/>
        <v>0</v>
      </c>
      <c r="U536" s="28"/>
      <c r="V536" s="37">
        <f t="shared" si="132"/>
        <v>0</v>
      </c>
      <c r="W536" s="41"/>
      <c r="X536" s="27"/>
      <c r="Y536" s="27"/>
      <c r="Z536" s="27"/>
      <c r="AA536" s="15"/>
      <c r="AB536" s="17"/>
      <c r="AC536" s="17"/>
      <c r="AD536" s="17"/>
      <c r="AE536" s="90"/>
      <c r="AF536" s="82" t="str">
        <f t="shared" si="133"/>
        <v/>
      </c>
      <c r="AG536" s="83" t="str">
        <f t="shared" si="134"/>
        <v/>
      </c>
      <c r="AH536" s="82" t="str">
        <f t="shared" si="135"/>
        <v/>
      </c>
      <c r="AI536" s="82" t="str">
        <f t="shared" si="136"/>
        <v/>
      </c>
      <c r="AJ536" s="90"/>
      <c r="AP536" s="88"/>
    </row>
    <row r="537" spans="1:42" x14ac:dyDescent="0.25">
      <c r="A537" s="2"/>
      <c r="C537" s="68" t="str" cm="1">
        <f t="array" ref="C537">IF(AF537&lt;&gt;"",
IFERROR(INDEX('LaunchPad Markbook'!A:A,MATCH(AH537,'LaunchPad Markbook'!D:D,0),0),"-"),"")</f>
        <v/>
      </c>
      <c r="D537" s="27"/>
      <c r="E537" s="27"/>
      <c r="F537" s="27"/>
      <c r="G537" s="14">
        <f>IF(OR(H537&gt;AB$2,I537&gt;AC$2,J537&gt;AD$2,
P537&gt;1,V537&gt;1,
L537&gt;'Group List A'!E$2,M537&gt;'Group List A'!F$2,N537&gt;'Group List A'!G$2,
R537&gt;'Group List B'!E$2,S537&gt;'Group List B'!F$2,T537&gt;'Group List B'!G$2),"Exceed",
IF(OR(H537=AB$2,I537=AC$2,J537=AD$2,
P537=1,V537=1,
L537='Group List A'!E$2,M537='Group List A'!F$2,N537='Group List A'!G$2,
R537='Group List B'!E$2,S537='Group List B'!F$2,T537='Group List B'!G$2),"Limit",0))</f>
        <v>0</v>
      </c>
      <c r="H537" s="29">
        <f t="shared" si="122"/>
        <v>0</v>
      </c>
      <c r="I537" s="29">
        <f t="shared" si="123"/>
        <v>0</v>
      </c>
      <c r="J537" s="29">
        <f t="shared" si="124"/>
        <v>0</v>
      </c>
      <c r="K537" s="32" t="str" cm="1">
        <f t="array" ref="K537">IF(AF537&lt;&gt;"",IFERROR(INDEX('Group List A'!B:B,MATCH(AI537,'Group List A'!A:A,0),0),"-"),"")</f>
        <v/>
      </c>
      <c r="L537" s="33">
        <f t="shared" si="125"/>
        <v>0</v>
      </c>
      <c r="M537" s="33">
        <f t="shared" si="126"/>
        <v>0</v>
      </c>
      <c r="N537" s="33">
        <f t="shared" si="127"/>
        <v>0</v>
      </c>
      <c r="O537" s="28"/>
      <c r="P537" s="33">
        <f t="shared" si="128"/>
        <v>0</v>
      </c>
      <c r="Q537" s="35" t="str" cm="1">
        <f t="array" ref="Q537">IF(AF537&lt;&gt;"",IFERROR(INDEX('Group List B'!B:B,MATCH(AI537,'Group List B'!A:A,0),0),"-"),"")</f>
        <v/>
      </c>
      <c r="R537" s="36">
        <f t="shared" si="129"/>
        <v>0</v>
      </c>
      <c r="S537" s="36">
        <f t="shared" si="130"/>
        <v>0</v>
      </c>
      <c r="T537" s="36">
        <f t="shared" si="131"/>
        <v>0</v>
      </c>
      <c r="U537" s="28"/>
      <c r="V537" s="37">
        <f t="shared" si="132"/>
        <v>0</v>
      </c>
      <c r="W537" s="41"/>
      <c r="X537" s="27"/>
      <c r="Y537" s="27"/>
      <c r="Z537" s="27"/>
      <c r="AA537" s="15"/>
      <c r="AB537" s="17"/>
      <c r="AC537" s="17"/>
      <c r="AD537" s="17"/>
      <c r="AE537" s="90"/>
      <c r="AF537" s="82" t="str">
        <f t="shared" si="133"/>
        <v/>
      </c>
      <c r="AG537" s="83" t="str">
        <f t="shared" si="134"/>
        <v/>
      </c>
      <c r="AH537" s="82" t="str">
        <f t="shared" si="135"/>
        <v/>
      </c>
      <c r="AI537" s="82" t="str">
        <f t="shared" si="136"/>
        <v/>
      </c>
      <c r="AJ537" s="90"/>
      <c r="AP537" s="88"/>
    </row>
    <row r="538" spans="1:42" x14ac:dyDescent="0.25">
      <c r="A538" s="2"/>
      <c r="C538" s="68" t="str" cm="1">
        <f t="array" ref="C538">IF(AF538&lt;&gt;"",
IFERROR(INDEX('LaunchPad Markbook'!A:A,MATCH(AH538,'LaunchPad Markbook'!D:D,0),0),"-"),"")</f>
        <v/>
      </c>
      <c r="D538" s="27"/>
      <c r="E538" s="27"/>
      <c r="F538" s="27"/>
      <c r="G538" s="14">
        <f>IF(OR(H538&gt;AB$2,I538&gt;AC$2,J538&gt;AD$2,
P538&gt;1,V538&gt;1,
L538&gt;'Group List A'!E$2,M538&gt;'Group List A'!F$2,N538&gt;'Group List A'!G$2,
R538&gt;'Group List B'!E$2,S538&gt;'Group List B'!F$2,T538&gt;'Group List B'!G$2),"Exceed",
IF(OR(H538=AB$2,I538=AC$2,J538=AD$2,
P538=1,V538=1,
L538='Group List A'!E$2,M538='Group List A'!F$2,N538='Group List A'!G$2,
R538='Group List B'!E$2,S538='Group List B'!F$2,T538='Group List B'!G$2),"Limit",0))</f>
        <v>0</v>
      </c>
      <c r="H538" s="29">
        <f t="shared" si="122"/>
        <v>0</v>
      </c>
      <c r="I538" s="29">
        <f t="shared" si="123"/>
        <v>0</v>
      </c>
      <c r="J538" s="29">
        <f t="shared" si="124"/>
        <v>0</v>
      </c>
      <c r="K538" s="32" t="str" cm="1">
        <f t="array" ref="K538">IF(AF538&lt;&gt;"",IFERROR(INDEX('Group List A'!B:B,MATCH(AI538,'Group List A'!A:A,0),0),"-"),"")</f>
        <v/>
      </c>
      <c r="L538" s="33">
        <f t="shared" si="125"/>
        <v>0</v>
      </c>
      <c r="M538" s="33">
        <f t="shared" si="126"/>
        <v>0</v>
      </c>
      <c r="N538" s="33">
        <f t="shared" si="127"/>
        <v>0</v>
      </c>
      <c r="O538" s="28"/>
      <c r="P538" s="33">
        <f t="shared" si="128"/>
        <v>0</v>
      </c>
      <c r="Q538" s="35" t="str" cm="1">
        <f t="array" ref="Q538">IF(AF538&lt;&gt;"",IFERROR(INDEX('Group List B'!B:B,MATCH(AI538,'Group List B'!A:A,0),0),"-"),"")</f>
        <v/>
      </c>
      <c r="R538" s="36">
        <f t="shared" si="129"/>
        <v>0</v>
      </c>
      <c r="S538" s="36">
        <f t="shared" si="130"/>
        <v>0</v>
      </c>
      <c r="T538" s="36">
        <f t="shared" si="131"/>
        <v>0</v>
      </c>
      <c r="U538" s="28"/>
      <c r="V538" s="37">
        <f t="shared" si="132"/>
        <v>0</v>
      </c>
      <c r="W538" s="41"/>
      <c r="X538" s="27"/>
      <c r="Y538" s="27"/>
      <c r="Z538" s="27"/>
      <c r="AA538" s="15"/>
      <c r="AB538" s="17"/>
      <c r="AC538" s="17"/>
      <c r="AD538" s="17"/>
      <c r="AE538" s="90"/>
      <c r="AF538" s="82" t="str">
        <f t="shared" si="133"/>
        <v/>
      </c>
      <c r="AG538" s="83" t="str">
        <f t="shared" si="134"/>
        <v/>
      </c>
      <c r="AH538" s="82" t="str">
        <f t="shared" si="135"/>
        <v/>
      </c>
      <c r="AI538" s="82" t="str">
        <f t="shared" si="136"/>
        <v/>
      </c>
      <c r="AJ538" s="90"/>
      <c r="AP538" s="88"/>
    </row>
    <row r="539" spans="1:42" x14ac:dyDescent="0.25">
      <c r="A539" s="2"/>
      <c r="C539" s="68" t="str" cm="1">
        <f t="array" ref="C539">IF(AF539&lt;&gt;"",
IFERROR(INDEX('LaunchPad Markbook'!A:A,MATCH(AH539,'LaunchPad Markbook'!D:D,0),0),"-"),"")</f>
        <v/>
      </c>
      <c r="D539" s="27"/>
      <c r="E539" s="27"/>
      <c r="F539" s="27"/>
      <c r="G539" s="14">
        <f>IF(OR(H539&gt;AB$2,I539&gt;AC$2,J539&gt;AD$2,
P539&gt;1,V539&gt;1,
L539&gt;'Group List A'!E$2,M539&gt;'Group List A'!F$2,N539&gt;'Group List A'!G$2,
R539&gt;'Group List B'!E$2,S539&gt;'Group List B'!F$2,T539&gt;'Group List B'!G$2),"Exceed",
IF(OR(H539=AB$2,I539=AC$2,J539=AD$2,
P539=1,V539=1,
L539='Group List A'!E$2,M539='Group List A'!F$2,N539='Group List A'!G$2,
R539='Group List B'!E$2,S539='Group List B'!F$2,T539='Group List B'!G$2),"Limit",0))</f>
        <v>0</v>
      </c>
      <c r="H539" s="29">
        <f t="shared" si="122"/>
        <v>0</v>
      </c>
      <c r="I539" s="29">
        <f t="shared" si="123"/>
        <v>0</v>
      </c>
      <c r="J539" s="29">
        <f t="shared" si="124"/>
        <v>0</v>
      </c>
      <c r="K539" s="32" t="str" cm="1">
        <f t="array" ref="K539">IF(AF539&lt;&gt;"",IFERROR(INDEX('Group List A'!B:B,MATCH(AI539,'Group List A'!A:A,0),0),"-"),"")</f>
        <v/>
      </c>
      <c r="L539" s="33">
        <f t="shared" si="125"/>
        <v>0</v>
      </c>
      <c r="M539" s="33">
        <f t="shared" si="126"/>
        <v>0</v>
      </c>
      <c r="N539" s="33">
        <f t="shared" si="127"/>
        <v>0</v>
      </c>
      <c r="O539" s="28"/>
      <c r="P539" s="33">
        <f t="shared" si="128"/>
        <v>0</v>
      </c>
      <c r="Q539" s="35" t="str" cm="1">
        <f t="array" ref="Q539">IF(AF539&lt;&gt;"",IFERROR(INDEX('Group List B'!B:B,MATCH(AI539,'Group List B'!A:A,0),0),"-"),"")</f>
        <v/>
      </c>
      <c r="R539" s="36">
        <f t="shared" si="129"/>
        <v>0</v>
      </c>
      <c r="S539" s="36">
        <f t="shared" si="130"/>
        <v>0</v>
      </c>
      <c r="T539" s="36">
        <f t="shared" si="131"/>
        <v>0</v>
      </c>
      <c r="U539" s="28"/>
      <c r="V539" s="37">
        <f t="shared" si="132"/>
        <v>0</v>
      </c>
      <c r="W539" s="41"/>
      <c r="X539" s="27"/>
      <c r="Y539" s="27"/>
      <c r="Z539" s="27"/>
      <c r="AA539" s="15"/>
      <c r="AB539" s="17"/>
      <c r="AC539" s="17"/>
      <c r="AD539" s="17"/>
      <c r="AE539" s="90"/>
      <c r="AF539" s="82" t="str">
        <f t="shared" si="133"/>
        <v/>
      </c>
      <c r="AG539" s="83" t="str">
        <f t="shared" si="134"/>
        <v/>
      </c>
      <c r="AH539" s="82" t="str">
        <f t="shared" si="135"/>
        <v/>
      </c>
      <c r="AI539" s="82" t="str">
        <f t="shared" si="136"/>
        <v/>
      </c>
      <c r="AJ539" s="90"/>
      <c r="AP539" s="88"/>
    </row>
    <row r="540" spans="1:42" x14ac:dyDescent="0.25">
      <c r="A540" s="2"/>
      <c r="C540" s="68" t="str" cm="1">
        <f t="array" ref="C540">IF(AF540&lt;&gt;"",
IFERROR(INDEX('LaunchPad Markbook'!A:A,MATCH(AH540,'LaunchPad Markbook'!D:D,0),0),"-"),"")</f>
        <v/>
      </c>
      <c r="D540" s="27"/>
      <c r="E540" s="27"/>
      <c r="F540" s="27"/>
      <c r="G540" s="14">
        <f>IF(OR(H540&gt;AB$2,I540&gt;AC$2,J540&gt;AD$2,
P540&gt;1,V540&gt;1,
L540&gt;'Group List A'!E$2,M540&gt;'Group List A'!F$2,N540&gt;'Group List A'!G$2,
R540&gt;'Group List B'!E$2,S540&gt;'Group List B'!F$2,T540&gt;'Group List B'!G$2),"Exceed",
IF(OR(H540=AB$2,I540=AC$2,J540=AD$2,
P540=1,V540=1,
L540='Group List A'!E$2,M540='Group List A'!F$2,N540='Group List A'!G$2,
R540='Group List B'!E$2,S540='Group List B'!F$2,T540='Group List B'!G$2),"Limit",0))</f>
        <v>0</v>
      </c>
      <c r="H540" s="29">
        <f t="shared" si="122"/>
        <v>0</v>
      </c>
      <c r="I540" s="29">
        <f t="shared" si="123"/>
        <v>0</v>
      </c>
      <c r="J540" s="29">
        <f t="shared" si="124"/>
        <v>0</v>
      </c>
      <c r="K540" s="32" t="str" cm="1">
        <f t="array" ref="K540">IF(AF540&lt;&gt;"",IFERROR(INDEX('Group List A'!B:B,MATCH(AI540,'Group List A'!A:A,0),0),"-"),"")</f>
        <v/>
      </c>
      <c r="L540" s="33">
        <f t="shared" si="125"/>
        <v>0</v>
      </c>
      <c r="M540" s="33">
        <f t="shared" si="126"/>
        <v>0</v>
      </c>
      <c r="N540" s="33">
        <f t="shared" si="127"/>
        <v>0</v>
      </c>
      <c r="O540" s="28"/>
      <c r="P540" s="33">
        <f t="shared" si="128"/>
        <v>0</v>
      </c>
      <c r="Q540" s="35" t="str" cm="1">
        <f t="array" ref="Q540">IF(AF540&lt;&gt;"",IFERROR(INDEX('Group List B'!B:B,MATCH(AI540,'Group List B'!A:A,0),0),"-"),"")</f>
        <v/>
      </c>
      <c r="R540" s="36">
        <f t="shared" si="129"/>
        <v>0</v>
      </c>
      <c r="S540" s="36">
        <f t="shared" si="130"/>
        <v>0</v>
      </c>
      <c r="T540" s="36">
        <f t="shared" si="131"/>
        <v>0</v>
      </c>
      <c r="U540" s="28"/>
      <c r="V540" s="37">
        <f t="shared" si="132"/>
        <v>0</v>
      </c>
      <c r="W540" s="41"/>
      <c r="X540" s="27"/>
      <c r="Y540" s="27"/>
      <c r="Z540" s="27"/>
      <c r="AA540" s="15"/>
      <c r="AB540" s="17"/>
      <c r="AC540" s="17"/>
      <c r="AD540" s="17"/>
      <c r="AE540" s="90"/>
      <c r="AF540" s="82" t="str">
        <f t="shared" si="133"/>
        <v/>
      </c>
      <c r="AG540" s="83" t="str">
        <f t="shared" si="134"/>
        <v/>
      </c>
      <c r="AH540" s="82" t="str">
        <f t="shared" si="135"/>
        <v/>
      </c>
      <c r="AI540" s="82" t="str">
        <f t="shared" si="136"/>
        <v/>
      </c>
      <c r="AJ540" s="90"/>
      <c r="AP540" s="88"/>
    </row>
    <row r="541" spans="1:42" x14ac:dyDescent="0.25">
      <c r="A541" s="2"/>
      <c r="C541" s="68" t="str" cm="1">
        <f t="array" ref="C541">IF(AF541&lt;&gt;"",
IFERROR(INDEX('LaunchPad Markbook'!A:A,MATCH(AH541,'LaunchPad Markbook'!D:D,0),0),"-"),"")</f>
        <v/>
      </c>
      <c r="D541" s="27"/>
      <c r="E541" s="27"/>
      <c r="F541" s="27"/>
      <c r="G541" s="14">
        <f>IF(OR(H541&gt;AB$2,I541&gt;AC$2,J541&gt;AD$2,
P541&gt;1,V541&gt;1,
L541&gt;'Group List A'!E$2,M541&gt;'Group List A'!F$2,N541&gt;'Group List A'!G$2,
R541&gt;'Group List B'!E$2,S541&gt;'Group List B'!F$2,T541&gt;'Group List B'!G$2),"Exceed",
IF(OR(H541=AB$2,I541=AC$2,J541=AD$2,
P541=1,V541=1,
L541='Group List A'!E$2,M541='Group List A'!F$2,N541='Group List A'!G$2,
R541='Group List B'!E$2,S541='Group List B'!F$2,T541='Group List B'!G$2),"Limit",0))</f>
        <v>0</v>
      </c>
      <c r="H541" s="29">
        <f t="shared" si="122"/>
        <v>0</v>
      </c>
      <c r="I541" s="29">
        <f t="shared" si="123"/>
        <v>0</v>
      </c>
      <c r="J541" s="29">
        <f t="shared" si="124"/>
        <v>0</v>
      </c>
      <c r="K541" s="32" t="str" cm="1">
        <f t="array" ref="K541">IF(AF541&lt;&gt;"",IFERROR(INDEX('Group List A'!B:B,MATCH(AI541,'Group List A'!A:A,0),0),"-"),"")</f>
        <v/>
      </c>
      <c r="L541" s="33">
        <f t="shared" si="125"/>
        <v>0</v>
      </c>
      <c r="M541" s="33">
        <f t="shared" si="126"/>
        <v>0</v>
      </c>
      <c r="N541" s="33">
        <f t="shared" si="127"/>
        <v>0</v>
      </c>
      <c r="O541" s="28"/>
      <c r="P541" s="33">
        <f t="shared" si="128"/>
        <v>0</v>
      </c>
      <c r="Q541" s="35" t="str" cm="1">
        <f t="array" ref="Q541">IF(AF541&lt;&gt;"",IFERROR(INDEX('Group List B'!B:B,MATCH(AI541,'Group List B'!A:A,0),0),"-"),"")</f>
        <v/>
      </c>
      <c r="R541" s="36">
        <f t="shared" si="129"/>
        <v>0</v>
      </c>
      <c r="S541" s="36">
        <f t="shared" si="130"/>
        <v>0</v>
      </c>
      <c r="T541" s="36">
        <f t="shared" si="131"/>
        <v>0</v>
      </c>
      <c r="U541" s="28"/>
      <c r="V541" s="37">
        <f t="shared" si="132"/>
        <v>0</v>
      </c>
      <c r="W541" s="41"/>
      <c r="X541" s="27"/>
      <c r="Y541" s="27"/>
      <c r="Z541" s="27"/>
      <c r="AA541" s="15"/>
      <c r="AB541" s="17"/>
      <c r="AC541" s="17"/>
      <c r="AD541" s="17"/>
      <c r="AE541" s="90"/>
      <c r="AF541" s="82" t="str">
        <f t="shared" si="133"/>
        <v/>
      </c>
      <c r="AG541" s="83" t="str">
        <f t="shared" si="134"/>
        <v/>
      </c>
      <c r="AH541" s="82" t="str">
        <f t="shared" si="135"/>
        <v/>
      </c>
      <c r="AI541" s="82" t="str">
        <f t="shared" si="136"/>
        <v/>
      </c>
      <c r="AJ541" s="90"/>
      <c r="AP541" s="88"/>
    </row>
    <row r="542" spans="1:42" x14ac:dyDescent="0.25">
      <c r="A542" s="2"/>
      <c r="C542" s="68" t="str" cm="1">
        <f t="array" ref="C542">IF(AF542&lt;&gt;"",
IFERROR(INDEX('LaunchPad Markbook'!A:A,MATCH(AH542,'LaunchPad Markbook'!D:D,0),0),"-"),"")</f>
        <v/>
      </c>
      <c r="D542" s="27"/>
      <c r="E542" s="27"/>
      <c r="F542" s="27"/>
      <c r="G542" s="14">
        <f>IF(OR(H542&gt;AB$2,I542&gt;AC$2,J542&gt;AD$2,
P542&gt;1,V542&gt;1,
L542&gt;'Group List A'!E$2,M542&gt;'Group List A'!F$2,N542&gt;'Group List A'!G$2,
R542&gt;'Group List B'!E$2,S542&gt;'Group List B'!F$2,T542&gt;'Group List B'!G$2),"Exceed",
IF(OR(H542=AB$2,I542=AC$2,J542=AD$2,
P542=1,V542=1,
L542='Group List A'!E$2,M542='Group List A'!F$2,N542='Group List A'!G$2,
R542='Group List B'!E$2,S542='Group List B'!F$2,T542='Group List B'!G$2),"Limit",0))</f>
        <v>0</v>
      </c>
      <c r="H542" s="29">
        <f t="shared" si="122"/>
        <v>0</v>
      </c>
      <c r="I542" s="29">
        <f t="shared" si="123"/>
        <v>0</v>
      </c>
      <c r="J542" s="29">
        <f t="shared" si="124"/>
        <v>0</v>
      </c>
      <c r="K542" s="32" t="str" cm="1">
        <f t="array" ref="K542">IF(AF542&lt;&gt;"",IFERROR(INDEX('Group List A'!B:B,MATCH(AI542,'Group List A'!A:A,0),0),"-"),"")</f>
        <v/>
      </c>
      <c r="L542" s="33">
        <f t="shared" si="125"/>
        <v>0</v>
      </c>
      <c r="M542" s="33">
        <f t="shared" si="126"/>
        <v>0</v>
      </c>
      <c r="N542" s="33">
        <f t="shared" si="127"/>
        <v>0</v>
      </c>
      <c r="O542" s="28"/>
      <c r="P542" s="33">
        <f t="shared" si="128"/>
        <v>0</v>
      </c>
      <c r="Q542" s="35" t="str" cm="1">
        <f t="array" ref="Q542">IF(AF542&lt;&gt;"",IFERROR(INDEX('Group List B'!B:B,MATCH(AI542,'Group List B'!A:A,0),0),"-"),"")</f>
        <v/>
      </c>
      <c r="R542" s="36">
        <f t="shared" si="129"/>
        <v>0</v>
      </c>
      <c r="S542" s="36">
        <f t="shared" si="130"/>
        <v>0</v>
      </c>
      <c r="T542" s="36">
        <f t="shared" si="131"/>
        <v>0</v>
      </c>
      <c r="U542" s="28"/>
      <c r="V542" s="37">
        <f t="shared" si="132"/>
        <v>0</v>
      </c>
      <c r="W542" s="41"/>
      <c r="X542" s="27"/>
      <c r="Y542" s="27"/>
      <c r="Z542" s="27"/>
      <c r="AA542" s="15"/>
      <c r="AB542" s="17"/>
      <c r="AC542" s="17"/>
      <c r="AD542" s="17"/>
      <c r="AE542" s="90"/>
      <c r="AF542" s="82" t="str">
        <f t="shared" si="133"/>
        <v/>
      </c>
      <c r="AG542" s="83" t="str">
        <f t="shared" si="134"/>
        <v/>
      </c>
      <c r="AH542" s="82" t="str">
        <f t="shared" si="135"/>
        <v/>
      </c>
      <c r="AI542" s="82" t="str">
        <f t="shared" si="136"/>
        <v/>
      </c>
      <c r="AJ542" s="90"/>
      <c r="AP542" s="88"/>
    </row>
    <row r="543" spans="1:42" x14ac:dyDescent="0.25">
      <c r="A543" s="2"/>
      <c r="C543" s="68" t="str" cm="1">
        <f t="array" ref="C543">IF(AF543&lt;&gt;"",
IFERROR(INDEX('LaunchPad Markbook'!A:A,MATCH(AH543,'LaunchPad Markbook'!D:D,0),0),"-"),"")</f>
        <v/>
      </c>
      <c r="D543" s="27"/>
      <c r="E543" s="27"/>
      <c r="F543" s="27"/>
      <c r="G543" s="14">
        <f>IF(OR(H543&gt;AB$2,I543&gt;AC$2,J543&gt;AD$2,
P543&gt;1,V543&gt;1,
L543&gt;'Group List A'!E$2,M543&gt;'Group List A'!F$2,N543&gt;'Group List A'!G$2,
R543&gt;'Group List B'!E$2,S543&gt;'Group List B'!F$2,T543&gt;'Group List B'!G$2),"Exceed",
IF(OR(H543=AB$2,I543=AC$2,J543=AD$2,
P543=1,V543=1,
L543='Group List A'!E$2,M543='Group List A'!F$2,N543='Group List A'!G$2,
R543='Group List B'!E$2,S543='Group List B'!F$2,T543='Group List B'!G$2),"Limit",0))</f>
        <v>0</v>
      </c>
      <c r="H543" s="29">
        <f t="shared" si="122"/>
        <v>0</v>
      </c>
      <c r="I543" s="29">
        <f t="shared" si="123"/>
        <v>0</v>
      </c>
      <c r="J543" s="29">
        <f t="shared" si="124"/>
        <v>0</v>
      </c>
      <c r="K543" s="32" t="str" cm="1">
        <f t="array" ref="K543">IF(AF543&lt;&gt;"",IFERROR(INDEX('Group List A'!B:B,MATCH(AI543,'Group List A'!A:A,0),0),"-"),"")</f>
        <v/>
      </c>
      <c r="L543" s="33">
        <f t="shared" si="125"/>
        <v>0</v>
      </c>
      <c r="M543" s="33">
        <f t="shared" si="126"/>
        <v>0</v>
      </c>
      <c r="N543" s="33">
        <f t="shared" si="127"/>
        <v>0</v>
      </c>
      <c r="O543" s="28"/>
      <c r="P543" s="33">
        <f t="shared" si="128"/>
        <v>0</v>
      </c>
      <c r="Q543" s="35" t="str" cm="1">
        <f t="array" ref="Q543">IF(AF543&lt;&gt;"",IFERROR(INDEX('Group List B'!B:B,MATCH(AI543,'Group List B'!A:A,0),0),"-"),"")</f>
        <v/>
      </c>
      <c r="R543" s="36">
        <f t="shared" si="129"/>
        <v>0</v>
      </c>
      <c r="S543" s="36">
        <f t="shared" si="130"/>
        <v>0</v>
      </c>
      <c r="T543" s="36">
        <f t="shared" si="131"/>
        <v>0</v>
      </c>
      <c r="U543" s="28"/>
      <c r="V543" s="37">
        <f t="shared" si="132"/>
        <v>0</v>
      </c>
      <c r="W543" s="41"/>
      <c r="X543" s="27"/>
      <c r="Y543" s="27"/>
      <c r="Z543" s="27"/>
      <c r="AA543" s="15"/>
      <c r="AB543" s="17"/>
      <c r="AC543" s="17"/>
      <c r="AD543" s="17"/>
      <c r="AE543" s="90"/>
      <c r="AF543" s="82" t="str">
        <f t="shared" si="133"/>
        <v/>
      </c>
      <c r="AG543" s="83" t="str">
        <f t="shared" si="134"/>
        <v/>
      </c>
      <c r="AH543" s="82" t="str">
        <f t="shared" si="135"/>
        <v/>
      </c>
      <c r="AI543" s="82" t="str">
        <f t="shared" si="136"/>
        <v/>
      </c>
      <c r="AJ543" s="90"/>
      <c r="AP543" s="88"/>
    </row>
    <row r="544" spans="1:42" x14ac:dyDescent="0.25">
      <c r="A544" s="2"/>
      <c r="C544" s="68" t="str" cm="1">
        <f t="array" ref="C544">IF(AF544&lt;&gt;"",
IFERROR(INDEX('LaunchPad Markbook'!A:A,MATCH(AH544,'LaunchPad Markbook'!D:D,0),0),"-"),"")</f>
        <v/>
      </c>
      <c r="D544" s="27"/>
      <c r="E544" s="27"/>
      <c r="F544" s="27"/>
      <c r="G544" s="14">
        <f>IF(OR(H544&gt;AB$2,I544&gt;AC$2,J544&gt;AD$2,
P544&gt;1,V544&gt;1,
L544&gt;'Group List A'!E$2,M544&gt;'Group List A'!F$2,N544&gt;'Group List A'!G$2,
R544&gt;'Group List B'!E$2,S544&gt;'Group List B'!F$2,T544&gt;'Group List B'!G$2),"Exceed",
IF(OR(H544=AB$2,I544=AC$2,J544=AD$2,
P544=1,V544=1,
L544='Group List A'!E$2,M544='Group List A'!F$2,N544='Group List A'!G$2,
R544='Group List B'!E$2,S544='Group List B'!F$2,T544='Group List B'!G$2),"Limit",0))</f>
        <v>0</v>
      </c>
      <c r="H544" s="29">
        <f t="shared" si="122"/>
        <v>0</v>
      </c>
      <c r="I544" s="29">
        <f t="shared" si="123"/>
        <v>0</v>
      </c>
      <c r="J544" s="29">
        <f t="shared" si="124"/>
        <v>0</v>
      </c>
      <c r="K544" s="32" t="str" cm="1">
        <f t="array" ref="K544">IF(AF544&lt;&gt;"",IFERROR(INDEX('Group List A'!B:B,MATCH(AI544,'Group List A'!A:A,0),0),"-"),"")</f>
        <v/>
      </c>
      <c r="L544" s="33">
        <f t="shared" si="125"/>
        <v>0</v>
      </c>
      <c r="M544" s="33">
        <f t="shared" si="126"/>
        <v>0</v>
      </c>
      <c r="N544" s="33">
        <f t="shared" si="127"/>
        <v>0</v>
      </c>
      <c r="O544" s="28"/>
      <c r="P544" s="33">
        <f t="shared" si="128"/>
        <v>0</v>
      </c>
      <c r="Q544" s="35" t="str" cm="1">
        <f t="array" ref="Q544">IF(AF544&lt;&gt;"",IFERROR(INDEX('Group List B'!B:B,MATCH(AI544,'Group List B'!A:A,0),0),"-"),"")</f>
        <v/>
      </c>
      <c r="R544" s="36">
        <f t="shared" si="129"/>
        <v>0</v>
      </c>
      <c r="S544" s="36">
        <f t="shared" si="130"/>
        <v>0</v>
      </c>
      <c r="T544" s="36">
        <f t="shared" si="131"/>
        <v>0</v>
      </c>
      <c r="U544" s="28"/>
      <c r="V544" s="37">
        <f t="shared" si="132"/>
        <v>0</v>
      </c>
      <c r="W544" s="41"/>
      <c r="X544" s="27"/>
      <c r="Y544" s="27"/>
      <c r="Z544" s="27"/>
      <c r="AA544" s="15"/>
      <c r="AB544" s="17"/>
      <c r="AC544" s="17"/>
      <c r="AD544" s="17"/>
      <c r="AE544" s="90"/>
      <c r="AF544" s="82" t="str">
        <f t="shared" si="133"/>
        <v/>
      </c>
      <c r="AG544" s="83" t="str">
        <f t="shared" si="134"/>
        <v/>
      </c>
      <c r="AH544" s="82" t="str">
        <f t="shared" si="135"/>
        <v/>
      </c>
      <c r="AI544" s="82" t="str">
        <f t="shared" si="136"/>
        <v/>
      </c>
      <c r="AJ544" s="90"/>
      <c r="AP544" s="88"/>
    </row>
    <row r="545" spans="1:42" x14ac:dyDescent="0.25">
      <c r="A545" s="2"/>
      <c r="C545" s="68" t="str" cm="1">
        <f t="array" ref="C545">IF(AF545&lt;&gt;"",
IFERROR(INDEX('LaunchPad Markbook'!A:A,MATCH(AH545,'LaunchPad Markbook'!D:D,0),0),"-"),"")</f>
        <v/>
      </c>
      <c r="D545" s="27"/>
      <c r="E545" s="27"/>
      <c r="F545" s="27"/>
      <c r="G545" s="14">
        <f>IF(OR(H545&gt;AB$2,I545&gt;AC$2,J545&gt;AD$2,
P545&gt;1,V545&gt;1,
L545&gt;'Group List A'!E$2,M545&gt;'Group List A'!F$2,N545&gt;'Group List A'!G$2,
R545&gt;'Group List B'!E$2,S545&gt;'Group List B'!F$2,T545&gt;'Group List B'!G$2),"Exceed",
IF(OR(H545=AB$2,I545=AC$2,J545=AD$2,
P545=1,V545=1,
L545='Group List A'!E$2,M545='Group List A'!F$2,N545='Group List A'!G$2,
R545='Group List B'!E$2,S545='Group List B'!F$2,T545='Group List B'!G$2),"Limit",0))</f>
        <v>0</v>
      </c>
      <c r="H545" s="29">
        <f t="shared" si="122"/>
        <v>0</v>
      </c>
      <c r="I545" s="29">
        <f t="shared" si="123"/>
        <v>0</v>
      </c>
      <c r="J545" s="29">
        <f t="shared" si="124"/>
        <v>0</v>
      </c>
      <c r="K545" s="32" t="str" cm="1">
        <f t="array" ref="K545">IF(AF545&lt;&gt;"",IFERROR(INDEX('Group List A'!B:B,MATCH(AI545,'Group List A'!A:A,0),0),"-"),"")</f>
        <v/>
      </c>
      <c r="L545" s="33">
        <f t="shared" si="125"/>
        <v>0</v>
      </c>
      <c r="M545" s="33">
        <f t="shared" si="126"/>
        <v>0</v>
      </c>
      <c r="N545" s="33">
        <f t="shared" si="127"/>
        <v>0</v>
      </c>
      <c r="O545" s="28"/>
      <c r="P545" s="33">
        <f t="shared" si="128"/>
        <v>0</v>
      </c>
      <c r="Q545" s="35" t="str" cm="1">
        <f t="array" ref="Q545">IF(AF545&lt;&gt;"",IFERROR(INDEX('Group List B'!B:B,MATCH(AI545,'Group List B'!A:A,0),0),"-"),"")</f>
        <v/>
      </c>
      <c r="R545" s="36">
        <f t="shared" si="129"/>
        <v>0</v>
      </c>
      <c r="S545" s="36">
        <f t="shared" si="130"/>
        <v>0</v>
      </c>
      <c r="T545" s="36">
        <f t="shared" si="131"/>
        <v>0</v>
      </c>
      <c r="U545" s="28"/>
      <c r="V545" s="37">
        <f t="shared" si="132"/>
        <v>0</v>
      </c>
      <c r="W545" s="41"/>
      <c r="X545" s="27"/>
      <c r="Y545" s="27"/>
      <c r="Z545" s="27"/>
      <c r="AA545" s="15"/>
      <c r="AB545" s="17"/>
      <c r="AC545" s="17"/>
      <c r="AD545" s="17"/>
      <c r="AE545" s="90"/>
      <c r="AF545" s="82" t="str">
        <f t="shared" si="133"/>
        <v/>
      </c>
      <c r="AG545" s="83" t="str">
        <f t="shared" si="134"/>
        <v/>
      </c>
      <c r="AH545" s="82" t="str">
        <f t="shared" si="135"/>
        <v/>
      </c>
      <c r="AI545" s="82" t="str">
        <f t="shared" si="136"/>
        <v/>
      </c>
      <c r="AJ545" s="90"/>
      <c r="AP545" s="88"/>
    </row>
    <row r="546" spans="1:42" x14ac:dyDescent="0.25">
      <c r="A546" s="2"/>
      <c r="C546" s="68" t="str" cm="1">
        <f t="array" ref="C546">IF(AF546&lt;&gt;"",
IFERROR(INDEX('LaunchPad Markbook'!A:A,MATCH(AH546,'LaunchPad Markbook'!D:D,0),0),"-"),"")</f>
        <v/>
      </c>
      <c r="D546" s="27"/>
      <c r="E546" s="27"/>
      <c r="F546" s="27"/>
      <c r="G546" s="14">
        <f>IF(OR(H546&gt;AB$2,I546&gt;AC$2,J546&gt;AD$2,
P546&gt;1,V546&gt;1,
L546&gt;'Group List A'!E$2,M546&gt;'Group List A'!F$2,N546&gt;'Group List A'!G$2,
R546&gt;'Group List B'!E$2,S546&gt;'Group List B'!F$2,T546&gt;'Group List B'!G$2),"Exceed",
IF(OR(H546=AB$2,I546=AC$2,J546=AD$2,
P546=1,V546=1,
L546='Group List A'!E$2,M546='Group List A'!F$2,N546='Group List A'!G$2,
R546='Group List B'!E$2,S546='Group List B'!F$2,T546='Group List B'!G$2),"Limit",0))</f>
        <v>0</v>
      </c>
      <c r="H546" s="29">
        <f t="shared" si="122"/>
        <v>0</v>
      </c>
      <c r="I546" s="29">
        <f t="shared" si="123"/>
        <v>0</v>
      </c>
      <c r="J546" s="29">
        <f t="shared" si="124"/>
        <v>0</v>
      </c>
      <c r="K546" s="32" t="str" cm="1">
        <f t="array" ref="K546">IF(AF546&lt;&gt;"",IFERROR(INDEX('Group List A'!B:B,MATCH(AI546,'Group List A'!A:A,0),0),"-"),"")</f>
        <v/>
      </c>
      <c r="L546" s="33">
        <f t="shared" si="125"/>
        <v>0</v>
      </c>
      <c r="M546" s="33">
        <f t="shared" si="126"/>
        <v>0</v>
      </c>
      <c r="N546" s="33">
        <f t="shared" si="127"/>
        <v>0</v>
      </c>
      <c r="O546" s="28"/>
      <c r="P546" s="33">
        <f t="shared" si="128"/>
        <v>0</v>
      </c>
      <c r="Q546" s="35" t="str" cm="1">
        <f t="array" ref="Q546">IF(AF546&lt;&gt;"",IFERROR(INDEX('Group List B'!B:B,MATCH(AI546,'Group List B'!A:A,0),0),"-"),"")</f>
        <v/>
      </c>
      <c r="R546" s="36">
        <f t="shared" si="129"/>
        <v>0</v>
      </c>
      <c r="S546" s="36">
        <f t="shared" si="130"/>
        <v>0</v>
      </c>
      <c r="T546" s="36">
        <f t="shared" si="131"/>
        <v>0</v>
      </c>
      <c r="U546" s="28"/>
      <c r="V546" s="37">
        <f t="shared" si="132"/>
        <v>0</v>
      </c>
      <c r="W546" s="41"/>
      <c r="X546" s="27"/>
      <c r="Y546" s="27"/>
      <c r="Z546" s="27"/>
      <c r="AA546" s="15"/>
      <c r="AB546" s="17"/>
      <c r="AC546" s="17"/>
      <c r="AD546" s="17"/>
      <c r="AE546" s="90"/>
      <c r="AF546" s="82" t="str">
        <f t="shared" si="133"/>
        <v/>
      </c>
      <c r="AG546" s="83" t="str">
        <f t="shared" si="134"/>
        <v/>
      </c>
      <c r="AH546" s="82" t="str">
        <f t="shared" si="135"/>
        <v/>
      </c>
      <c r="AI546" s="82" t="str">
        <f t="shared" si="136"/>
        <v/>
      </c>
      <c r="AJ546" s="90"/>
      <c r="AP546" s="88"/>
    </row>
    <row r="547" spans="1:42" x14ac:dyDescent="0.25">
      <c r="A547" s="2"/>
      <c r="C547" s="68" t="str" cm="1">
        <f t="array" ref="C547">IF(AF547&lt;&gt;"",
IFERROR(INDEX('LaunchPad Markbook'!A:A,MATCH(AH547,'LaunchPad Markbook'!D:D,0),0),"-"),"")</f>
        <v/>
      </c>
      <c r="D547" s="27"/>
      <c r="E547" s="27"/>
      <c r="F547" s="27"/>
      <c r="G547" s="14">
        <f>IF(OR(H547&gt;AB$2,I547&gt;AC$2,J547&gt;AD$2,
P547&gt;1,V547&gt;1,
L547&gt;'Group List A'!E$2,M547&gt;'Group List A'!F$2,N547&gt;'Group List A'!G$2,
R547&gt;'Group List B'!E$2,S547&gt;'Group List B'!F$2,T547&gt;'Group List B'!G$2),"Exceed",
IF(OR(H547=AB$2,I547=AC$2,J547=AD$2,
P547=1,V547=1,
L547='Group List A'!E$2,M547='Group List A'!F$2,N547='Group List A'!G$2,
R547='Group List B'!E$2,S547='Group List B'!F$2,T547='Group List B'!G$2),"Limit",0))</f>
        <v>0</v>
      </c>
      <c r="H547" s="29">
        <f t="shared" si="122"/>
        <v>0</v>
      </c>
      <c r="I547" s="29">
        <f t="shared" si="123"/>
        <v>0</v>
      </c>
      <c r="J547" s="29">
        <f t="shared" si="124"/>
        <v>0</v>
      </c>
      <c r="K547" s="32" t="str" cm="1">
        <f t="array" ref="K547">IF(AF547&lt;&gt;"",IFERROR(INDEX('Group List A'!B:B,MATCH(AI547,'Group List A'!A:A,0),0),"-"),"")</f>
        <v/>
      </c>
      <c r="L547" s="33">
        <f t="shared" si="125"/>
        <v>0</v>
      </c>
      <c r="M547" s="33">
        <f t="shared" si="126"/>
        <v>0</v>
      </c>
      <c r="N547" s="33">
        <f t="shared" si="127"/>
        <v>0</v>
      </c>
      <c r="O547" s="28"/>
      <c r="P547" s="33">
        <f t="shared" si="128"/>
        <v>0</v>
      </c>
      <c r="Q547" s="35" t="str" cm="1">
        <f t="array" ref="Q547">IF(AF547&lt;&gt;"",IFERROR(INDEX('Group List B'!B:B,MATCH(AI547,'Group List B'!A:A,0),0),"-"),"")</f>
        <v/>
      </c>
      <c r="R547" s="36">
        <f t="shared" si="129"/>
        <v>0</v>
      </c>
      <c r="S547" s="36">
        <f t="shared" si="130"/>
        <v>0</v>
      </c>
      <c r="T547" s="36">
        <f t="shared" si="131"/>
        <v>0</v>
      </c>
      <c r="U547" s="28"/>
      <c r="V547" s="37">
        <f t="shared" si="132"/>
        <v>0</v>
      </c>
      <c r="W547" s="41"/>
      <c r="X547" s="27"/>
      <c r="Y547" s="27"/>
      <c r="Z547" s="27"/>
      <c r="AA547" s="15"/>
      <c r="AB547" s="17"/>
      <c r="AC547" s="17"/>
      <c r="AD547" s="17"/>
      <c r="AE547" s="90"/>
      <c r="AF547" s="82" t="str">
        <f t="shared" si="133"/>
        <v/>
      </c>
      <c r="AG547" s="83" t="str">
        <f t="shared" si="134"/>
        <v/>
      </c>
      <c r="AH547" s="82" t="str">
        <f t="shared" si="135"/>
        <v/>
      </c>
      <c r="AI547" s="82" t="str">
        <f t="shared" si="136"/>
        <v/>
      </c>
      <c r="AJ547" s="90"/>
      <c r="AP547" s="88"/>
    </row>
    <row r="548" spans="1:42" x14ac:dyDescent="0.25">
      <c r="A548" s="2"/>
      <c r="C548" s="68" t="str" cm="1">
        <f t="array" ref="C548">IF(AF548&lt;&gt;"",
IFERROR(INDEX('LaunchPad Markbook'!A:A,MATCH(AH548,'LaunchPad Markbook'!D:D,0),0),"-"),"")</f>
        <v/>
      </c>
      <c r="D548" s="27"/>
      <c r="E548" s="27"/>
      <c r="F548" s="27"/>
      <c r="G548" s="14">
        <f>IF(OR(H548&gt;AB$2,I548&gt;AC$2,J548&gt;AD$2,
P548&gt;1,V548&gt;1,
L548&gt;'Group List A'!E$2,M548&gt;'Group List A'!F$2,N548&gt;'Group List A'!G$2,
R548&gt;'Group List B'!E$2,S548&gt;'Group List B'!F$2,T548&gt;'Group List B'!G$2),"Exceed",
IF(OR(H548=AB$2,I548=AC$2,J548=AD$2,
P548=1,V548=1,
L548='Group List A'!E$2,M548='Group List A'!F$2,N548='Group List A'!G$2,
R548='Group List B'!E$2,S548='Group List B'!F$2,T548='Group List B'!G$2),"Limit",0))</f>
        <v>0</v>
      </c>
      <c r="H548" s="29">
        <f t="shared" si="122"/>
        <v>0</v>
      </c>
      <c r="I548" s="29">
        <f t="shared" si="123"/>
        <v>0</v>
      </c>
      <c r="J548" s="29">
        <f t="shared" si="124"/>
        <v>0</v>
      </c>
      <c r="K548" s="32" t="str" cm="1">
        <f t="array" ref="K548">IF(AF548&lt;&gt;"",IFERROR(INDEX('Group List A'!B:B,MATCH(AI548,'Group List A'!A:A,0),0),"-"),"")</f>
        <v/>
      </c>
      <c r="L548" s="33">
        <f t="shared" si="125"/>
        <v>0</v>
      </c>
      <c r="M548" s="33">
        <f t="shared" si="126"/>
        <v>0</v>
      </c>
      <c r="N548" s="33">
        <f t="shared" si="127"/>
        <v>0</v>
      </c>
      <c r="O548" s="28"/>
      <c r="P548" s="33">
        <f t="shared" si="128"/>
        <v>0</v>
      </c>
      <c r="Q548" s="35" t="str" cm="1">
        <f t="array" ref="Q548">IF(AF548&lt;&gt;"",IFERROR(INDEX('Group List B'!B:B,MATCH(AI548,'Group List B'!A:A,0),0),"-"),"")</f>
        <v/>
      </c>
      <c r="R548" s="36">
        <f t="shared" si="129"/>
        <v>0</v>
      </c>
      <c r="S548" s="36">
        <f t="shared" si="130"/>
        <v>0</v>
      </c>
      <c r="T548" s="36">
        <f t="shared" si="131"/>
        <v>0</v>
      </c>
      <c r="U548" s="28"/>
      <c r="V548" s="37">
        <f t="shared" si="132"/>
        <v>0</v>
      </c>
      <c r="W548" s="41"/>
      <c r="X548" s="27"/>
      <c r="Y548" s="27"/>
      <c r="Z548" s="27"/>
      <c r="AA548" s="15"/>
      <c r="AB548" s="17"/>
      <c r="AC548" s="17"/>
      <c r="AD548" s="17"/>
      <c r="AE548" s="90"/>
      <c r="AF548" s="82" t="str">
        <f t="shared" si="133"/>
        <v/>
      </c>
      <c r="AG548" s="83" t="str">
        <f t="shared" si="134"/>
        <v/>
      </c>
      <c r="AH548" s="82" t="str">
        <f t="shared" si="135"/>
        <v/>
      </c>
      <c r="AI548" s="82" t="str">
        <f t="shared" si="136"/>
        <v/>
      </c>
      <c r="AJ548" s="90"/>
      <c r="AP548" s="88"/>
    </row>
    <row r="549" spans="1:42" x14ac:dyDescent="0.25">
      <c r="A549" s="2"/>
      <c r="C549" s="68" t="str" cm="1">
        <f t="array" ref="C549">IF(AF549&lt;&gt;"",
IFERROR(INDEX('LaunchPad Markbook'!A:A,MATCH(AH549,'LaunchPad Markbook'!D:D,0),0),"-"),"")</f>
        <v/>
      </c>
      <c r="D549" s="27"/>
      <c r="E549" s="27"/>
      <c r="F549" s="27"/>
      <c r="G549" s="14">
        <f>IF(OR(H549&gt;AB$2,I549&gt;AC$2,J549&gt;AD$2,
P549&gt;1,V549&gt;1,
L549&gt;'Group List A'!E$2,M549&gt;'Group List A'!F$2,N549&gt;'Group List A'!G$2,
R549&gt;'Group List B'!E$2,S549&gt;'Group List B'!F$2,T549&gt;'Group List B'!G$2),"Exceed",
IF(OR(H549=AB$2,I549=AC$2,J549=AD$2,
P549=1,V549=1,
L549='Group List A'!E$2,M549='Group List A'!F$2,N549='Group List A'!G$2,
R549='Group List B'!E$2,S549='Group List B'!F$2,T549='Group List B'!G$2),"Limit",0))</f>
        <v>0</v>
      </c>
      <c r="H549" s="29">
        <f t="shared" si="122"/>
        <v>0</v>
      </c>
      <c r="I549" s="29">
        <f t="shared" si="123"/>
        <v>0</v>
      </c>
      <c r="J549" s="29">
        <f t="shared" si="124"/>
        <v>0</v>
      </c>
      <c r="K549" s="32" t="str" cm="1">
        <f t="array" ref="K549">IF(AF549&lt;&gt;"",IFERROR(INDEX('Group List A'!B:B,MATCH(AI549,'Group List A'!A:A,0),0),"-"),"")</f>
        <v/>
      </c>
      <c r="L549" s="33">
        <f t="shared" si="125"/>
        <v>0</v>
      </c>
      <c r="M549" s="33">
        <f t="shared" si="126"/>
        <v>0</v>
      </c>
      <c r="N549" s="33">
        <f t="shared" si="127"/>
        <v>0</v>
      </c>
      <c r="O549" s="28"/>
      <c r="P549" s="33">
        <f t="shared" si="128"/>
        <v>0</v>
      </c>
      <c r="Q549" s="35" t="str" cm="1">
        <f t="array" ref="Q549">IF(AF549&lt;&gt;"",IFERROR(INDEX('Group List B'!B:B,MATCH(AI549,'Group List B'!A:A,0),0),"-"),"")</f>
        <v/>
      </c>
      <c r="R549" s="36">
        <f t="shared" si="129"/>
        <v>0</v>
      </c>
      <c r="S549" s="36">
        <f t="shared" si="130"/>
        <v>0</v>
      </c>
      <c r="T549" s="36">
        <f t="shared" si="131"/>
        <v>0</v>
      </c>
      <c r="U549" s="28"/>
      <c r="V549" s="37">
        <f t="shared" si="132"/>
        <v>0</v>
      </c>
      <c r="W549" s="41"/>
      <c r="X549" s="27"/>
      <c r="Y549" s="27"/>
      <c r="Z549" s="27"/>
      <c r="AA549" s="15"/>
      <c r="AB549" s="17"/>
      <c r="AC549" s="17"/>
      <c r="AD549" s="17"/>
      <c r="AE549" s="90"/>
      <c r="AF549" s="82" t="str">
        <f t="shared" si="133"/>
        <v/>
      </c>
      <c r="AG549" s="83" t="str">
        <f t="shared" si="134"/>
        <v/>
      </c>
      <c r="AH549" s="82" t="str">
        <f t="shared" si="135"/>
        <v/>
      </c>
      <c r="AI549" s="82" t="str">
        <f t="shared" si="136"/>
        <v/>
      </c>
      <c r="AJ549" s="90"/>
      <c r="AP549" s="88"/>
    </row>
    <row r="550" spans="1:42" x14ac:dyDescent="0.25">
      <c r="A550" s="2"/>
      <c r="C550" s="68" t="str" cm="1">
        <f t="array" ref="C550">IF(AF550&lt;&gt;"",
IFERROR(INDEX('LaunchPad Markbook'!A:A,MATCH(AH550,'LaunchPad Markbook'!D:D,0),0),"-"),"")</f>
        <v/>
      </c>
      <c r="D550" s="27"/>
      <c r="E550" s="27"/>
      <c r="F550" s="27"/>
      <c r="G550" s="14">
        <f>IF(OR(H550&gt;AB$2,I550&gt;AC$2,J550&gt;AD$2,
P550&gt;1,V550&gt;1,
L550&gt;'Group List A'!E$2,M550&gt;'Group List A'!F$2,N550&gt;'Group List A'!G$2,
R550&gt;'Group List B'!E$2,S550&gt;'Group List B'!F$2,T550&gt;'Group List B'!G$2),"Exceed",
IF(OR(H550=AB$2,I550=AC$2,J550=AD$2,
P550=1,V550=1,
L550='Group List A'!E$2,M550='Group List A'!F$2,N550='Group List A'!G$2,
R550='Group List B'!E$2,S550='Group List B'!F$2,T550='Group List B'!G$2),"Limit",0))</f>
        <v>0</v>
      </c>
      <c r="H550" s="29">
        <f t="shared" si="122"/>
        <v>0</v>
      </c>
      <c r="I550" s="29">
        <f t="shared" si="123"/>
        <v>0</v>
      </c>
      <c r="J550" s="29">
        <f t="shared" si="124"/>
        <v>0</v>
      </c>
      <c r="K550" s="32" t="str" cm="1">
        <f t="array" ref="K550">IF(AF550&lt;&gt;"",IFERROR(INDEX('Group List A'!B:B,MATCH(AI550,'Group List A'!A:A,0),0),"-"),"")</f>
        <v/>
      </c>
      <c r="L550" s="33">
        <f t="shared" si="125"/>
        <v>0</v>
      </c>
      <c r="M550" s="33">
        <f t="shared" si="126"/>
        <v>0</v>
      </c>
      <c r="N550" s="33">
        <f t="shared" si="127"/>
        <v>0</v>
      </c>
      <c r="O550" s="28"/>
      <c r="P550" s="33">
        <f t="shared" si="128"/>
        <v>0</v>
      </c>
      <c r="Q550" s="35" t="str" cm="1">
        <f t="array" ref="Q550">IF(AF550&lt;&gt;"",IFERROR(INDEX('Group List B'!B:B,MATCH(AI550,'Group List B'!A:A,0),0),"-"),"")</f>
        <v/>
      </c>
      <c r="R550" s="36">
        <f t="shared" si="129"/>
        <v>0</v>
      </c>
      <c r="S550" s="36">
        <f t="shared" si="130"/>
        <v>0</v>
      </c>
      <c r="T550" s="36">
        <f t="shared" si="131"/>
        <v>0</v>
      </c>
      <c r="U550" s="28"/>
      <c r="V550" s="37">
        <f t="shared" si="132"/>
        <v>0</v>
      </c>
      <c r="W550" s="41"/>
      <c r="X550" s="27"/>
      <c r="Y550" s="27"/>
      <c r="Z550" s="27"/>
      <c r="AA550" s="15"/>
      <c r="AB550" s="17"/>
      <c r="AC550" s="17"/>
      <c r="AD550" s="17"/>
      <c r="AE550" s="90"/>
      <c r="AF550" s="82" t="str">
        <f t="shared" si="133"/>
        <v/>
      </c>
      <c r="AG550" s="83" t="str">
        <f t="shared" si="134"/>
        <v/>
      </c>
      <c r="AH550" s="82" t="str">
        <f t="shared" si="135"/>
        <v/>
      </c>
      <c r="AI550" s="82" t="str">
        <f t="shared" si="136"/>
        <v/>
      </c>
      <c r="AJ550" s="90"/>
      <c r="AP550" s="88"/>
    </row>
    <row r="551" spans="1:42" x14ac:dyDescent="0.25">
      <c r="A551" s="2"/>
      <c r="C551" s="68" t="str" cm="1">
        <f t="array" ref="C551">IF(AF551&lt;&gt;"",
IFERROR(INDEX('LaunchPad Markbook'!A:A,MATCH(AH551,'LaunchPad Markbook'!D:D,0),0),"-"),"")</f>
        <v/>
      </c>
      <c r="D551" s="27"/>
      <c r="E551" s="27"/>
      <c r="F551" s="27"/>
      <c r="G551" s="14">
        <f>IF(OR(H551&gt;AB$2,I551&gt;AC$2,J551&gt;AD$2,
P551&gt;1,V551&gt;1,
L551&gt;'Group List A'!E$2,M551&gt;'Group List A'!F$2,N551&gt;'Group List A'!G$2,
R551&gt;'Group List B'!E$2,S551&gt;'Group List B'!F$2,T551&gt;'Group List B'!G$2),"Exceed",
IF(OR(H551=AB$2,I551=AC$2,J551=AD$2,
P551=1,V551=1,
L551='Group List A'!E$2,M551='Group List A'!F$2,N551='Group List A'!G$2,
R551='Group List B'!E$2,S551='Group List B'!F$2,T551='Group List B'!G$2),"Limit",0))</f>
        <v>0</v>
      </c>
      <c r="H551" s="29">
        <f t="shared" si="122"/>
        <v>0</v>
      </c>
      <c r="I551" s="29">
        <f t="shared" si="123"/>
        <v>0</v>
      </c>
      <c r="J551" s="29">
        <f t="shared" si="124"/>
        <v>0</v>
      </c>
      <c r="K551" s="32" t="str" cm="1">
        <f t="array" ref="K551">IF(AF551&lt;&gt;"",IFERROR(INDEX('Group List A'!B:B,MATCH(AI551,'Group List A'!A:A,0),0),"-"),"")</f>
        <v/>
      </c>
      <c r="L551" s="33">
        <f t="shared" si="125"/>
        <v>0</v>
      </c>
      <c r="M551" s="33">
        <f t="shared" si="126"/>
        <v>0</v>
      </c>
      <c r="N551" s="33">
        <f t="shared" si="127"/>
        <v>0</v>
      </c>
      <c r="O551" s="28"/>
      <c r="P551" s="33">
        <f t="shared" si="128"/>
        <v>0</v>
      </c>
      <c r="Q551" s="35" t="str" cm="1">
        <f t="array" ref="Q551">IF(AF551&lt;&gt;"",IFERROR(INDEX('Group List B'!B:B,MATCH(AI551,'Group List B'!A:A,0),0),"-"),"")</f>
        <v/>
      </c>
      <c r="R551" s="36">
        <f t="shared" si="129"/>
        <v>0</v>
      </c>
      <c r="S551" s="36">
        <f t="shared" si="130"/>
        <v>0</v>
      </c>
      <c r="T551" s="36">
        <f t="shared" si="131"/>
        <v>0</v>
      </c>
      <c r="U551" s="28"/>
      <c r="V551" s="37">
        <f t="shared" si="132"/>
        <v>0</v>
      </c>
      <c r="W551" s="41"/>
      <c r="X551" s="27"/>
      <c r="Y551" s="27"/>
      <c r="Z551" s="27"/>
      <c r="AA551" s="15"/>
      <c r="AB551" s="17"/>
      <c r="AC551" s="17"/>
      <c r="AD551" s="17"/>
      <c r="AE551" s="90"/>
      <c r="AF551" s="82" t="str">
        <f t="shared" si="133"/>
        <v/>
      </c>
      <c r="AG551" s="83" t="str">
        <f t="shared" si="134"/>
        <v/>
      </c>
      <c r="AH551" s="82" t="str">
        <f t="shared" si="135"/>
        <v/>
      </c>
      <c r="AI551" s="82" t="str">
        <f t="shared" si="136"/>
        <v/>
      </c>
      <c r="AJ551" s="90"/>
      <c r="AP551" s="88"/>
    </row>
    <row r="552" spans="1:42" x14ac:dyDescent="0.25">
      <c r="A552" s="2"/>
      <c r="C552" s="68" t="str" cm="1">
        <f t="array" ref="C552">IF(AF552&lt;&gt;"",
IFERROR(INDEX('LaunchPad Markbook'!A:A,MATCH(AH552,'LaunchPad Markbook'!D:D,0),0),"-"),"")</f>
        <v/>
      </c>
      <c r="D552" s="27"/>
      <c r="E552" s="27"/>
      <c r="F552" s="27"/>
      <c r="G552" s="14">
        <f>IF(OR(H552&gt;AB$2,I552&gt;AC$2,J552&gt;AD$2,
P552&gt;1,V552&gt;1,
L552&gt;'Group List A'!E$2,M552&gt;'Group List A'!F$2,N552&gt;'Group List A'!G$2,
R552&gt;'Group List B'!E$2,S552&gt;'Group List B'!F$2,T552&gt;'Group List B'!G$2),"Exceed",
IF(OR(H552=AB$2,I552=AC$2,J552=AD$2,
P552=1,V552=1,
L552='Group List A'!E$2,M552='Group List A'!F$2,N552='Group List A'!G$2,
R552='Group List B'!E$2,S552='Group List B'!F$2,T552='Group List B'!G$2),"Limit",0))</f>
        <v>0</v>
      </c>
      <c r="H552" s="29">
        <f t="shared" si="122"/>
        <v>0</v>
      </c>
      <c r="I552" s="29">
        <f t="shared" si="123"/>
        <v>0</v>
      </c>
      <c r="J552" s="29">
        <f t="shared" si="124"/>
        <v>0</v>
      </c>
      <c r="K552" s="32" t="str" cm="1">
        <f t="array" ref="K552">IF(AF552&lt;&gt;"",IFERROR(INDEX('Group List A'!B:B,MATCH(AI552,'Group List A'!A:A,0),0),"-"),"")</f>
        <v/>
      </c>
      <c r="L552" s="33">
        <f t="shared" si="125"/>
        <v>0</v>
      </c>
      <c r="M552" s="33">
        <f t="shared" si="126"/>
        <v>0</v>
      </c>
      <c r="N552" s="33">
        <f t="shared" si="127"/>
        <v>0</v>
      </c>
      <c r="O552" s="28"/>
      <c r="P552" s="33">
        <f t="shared" si="128"/>
        <v>0</v>
      </c>
      <c r="Q552" s="35" t="str" cm="1">
        <f t="array" ref="Q552">IF(AF552&lt;&gt;"",IFERROR(INDEX('Group List B'!B:B,MATCH(AI552,'Group List B'!A:A,0),0),"-"),"")</f>
        <v/>
      </c>
      <c r="R552" s="36">
        <f t="shared" si="129"/>
        <v>0</v>
      </c>
      <c r="S552" s="36">
        <f t="shared" si="130"/>
        <v>0</v>
      </c>
      <c r="T552" s="36">
        <f t="shared" si="131"/>
        <v>0</v>
      </c>
      <c r="U552" s="28"/>
      <c r="V552" s="37">
        <f t="shared" si="132"/>
        <v>0</v>
      </c>
      <c r="W552" s="41"/>
      <c r="X552" s="27"/>
      <c r="Y552" s="27"/>
      <c r="Z552" s="27"/>
      <c r="AA552" s="15"/>
      <c r="AB552" s="17"/>
      <c r="AC552" s="17"/>
      <c r="AD552" s="17"/>
      <c r="AE552" s="90"/>
      <c r="AF552" s="82" t="str">
        <f t="shared" si="133"/>
        <v/>
      </c>
      <c r="AG552" s="83" t="str">
        <f t="shared" si="134"/>
        <v/>
      </c>
      <c r="AH552" s="82" t="str">
        <f t="shared" si="135"/>
        <v/>
      </c>
      <c r="AI552" s="82" t="str">
        <f t="shared" si="136"/>
        <v/>
      </c>
      <c r="AJ552" s="90"/>
      <c r="AP552" s="88"/>
    </row>
    <row r="553" spans="1:42" x14ac:dyDescent="0.25">
      <c r="A553" s="2"/>
      <c r="C553" s="68" t="str" cm="1">
        <f t="array" ref="C553">IF(AF553&lt;&gt;"",
IFERROR(INDEX('LaunchPad Markbook'!A:A,MATCH(AH553,'LaunchPad Markbook'!D:D,0),0),"-"),"")</f>
        <v/>
      </c>
      <c r="D553" s="27"/>
      <c r="E553" s="27"/>
      <c r="F553" s="27"/>
      <c r="G553" s="14">
        <f>IF(OR(H553&gt;AB$2,I553&gt;AC$2,J553&gt;AD$2,
P553&gt;1,V553&gt;1,
L553&gt;'Group List A'!E$2,M553&gt;'Group List A'!F$2,N553&gt;'Group List A'!G$2,
R553&gt;'Group List B'!E$2,S553&gt;'Group List B'!F$2,T553&gt;'Group List B'!G$2),"Exceed",
IF(OR(H553=AB$2,I553=AC$2,J553=AD$2,
P553=1,V553=1,
L553='Group List A'!E$2,M553='Group List A'!F$2,N553='Group List A'!G$2,
R553='Group List B'!E$2,S553='Group List B'!F$2,T553='Group List B'!G$2),"Limit",0))</f>
        <v>0</v>
      </c>
      <c r="H553" s="29">
        <f t="shared" si="122"/>
        <v>0</v>
      </c>
      <c r="I553" s="29">
        <f t="shared" si="123"/>
        <v>0</v>
      </c>
      <c r="J553" s="29">
        <f t="shared" si="124"/>
        <v>0</v>
      </c>
      <c r="K553" s="32" t="str" cm="1">
        <f t="array" ref="K553">IF(AF553&lt;&gt;"",IFERROR(INDEX('Group List A'!B:B,MATCH(AI553,'Group List A'!A:A,0),0),"-"),"")</f>
        <v/>
      </c>
      <c r="L553" s="33">
        <f t="shared" si="125"/>
        <v>0</v>
      </c>
      <c r="M553" s="33">
        <f t="shared" si="126"/>
        <v>0</v>
      </c>
      <c r="N553" s="33">
        <f t="shared" si="127"/>
        <v>0</v>
      </c>
      <c r="O553" s="28"/>
      <c r="P553" s="33">
        <f t="shared" si="128"/>
        <v>0</v>
      </c>
      <c r="Q553" s="35" t="str" cm="1">
        <f t="array" ref="Q553">IF(AF553&lt;&gt;"",IFERROR(INDEX('Group List B'!B:B,MATCH(AI553,'Group List B'!A:A,0),0),"-"),"")</f>
        <v/>
      </c>
      <c r="R553" s="36">
        <f t="shared" si="129"/>
        <v>0</v>
      </c>
      <c r="S553" s="36">
        <f t="shared" si="130"/>
        <v>0</v>
      </c>
      <c r="T553" s="36">
        <f t="shared" si="131"/>
        <v>0</v>
      </c>
      <c r="U553" s="28"/>
      <c r="V553" s="37">
        <f t="shared" si="132"/>
        <v>0</v>
      </c>
      <c r="W553" s="41"/>
      <c r="X553" s="27"/>
      <c r="Y553" s="27"/>
      <c r="Z553" s="27"/>
      <c r="AA553" s="15"/>
      <c r="AB553" s="17"/>
      <c r="AC553" s="17"/>
      <c r="AD553" s="17"/>
      <c r="AE553" s="90"/>
      <c r="AF553" s="82" t="str">
        <f t="shared" si="133"/>
        <v/>
      </c>
      <c r="AG553" s="83" t="str">
        <f t="shared" si="134"/>
        <v/>
      </c>
      <c r="AH553" s="82" t="str">
        <f t="shared" si="135"/>
        <v/>
      </c>
      <c r="AI553" s="82" t="str">
        <f t="shared" si="136"/>
        <v/>
      </c>
      <c r="AJ553" s="90"/>
      <c r="AP553" s="88"/>
    </row>
    <row r="554" spans="1:42" x14ac:dyDescent="0.25">
      <c r="A554" s="2"/>
      <c r="C554" s="68" t="str" cm="1">
        <f t="array" ref="C554">IF(AF554&lt;&gt;"",
IFERROR(INDEX('LaunchPad Markbook'!A:A,MATCH(AH554,'LaunchPad Markbook'!D:D,0),0),"-"),"")</f>
        <v/>
      </c>
      <c r="D554" s="27"/>
      <c r="E554" s="27"/>
      <c r="F554" s="27"/>
      <c r="G554" s="14">
        <f>IF(OR(H554&gt;AB$2,I554&gt;AC$2,J554&gt;AD$2,
P554&gt;1,V554&gt;1,
L554&gt;'Group List A'!E$2,M554&gt;'Group List A'!F$2,N554&gt;'Group List A'!G$2,
R554&gt;'Group List B'!E$2,S554&gt;'Group List B'!F$2,T554&gt;'Group List B'!G$2),"Exceed",
IF(OR(H554=AB$2,I554=AC$2,J554=AD$2,
P554=1,V554=1,
L554='Group List A'!E$2,M554='Group List A'!F$2,N554='Group List A'!G$2,
R554='Group List B'!E$2,S554='Group List B'!F$2,T554='Group List B'!G$2),"Limit",0))</f>
        <v>0</v>
      </c>
      <c r="H554" s="29">
        <f t="shared" si="122"/>
        <v>0</v>
      </c>
      <c r="I554" s="29">
        <f t="shared" si="123"/>
        <v>0</v>
      </c>
      <c r="J554" s="29">
        <f t="shared" si="124"/>
        <v>0</v>
      </c>
      <c r="K554" s="32" t="str" cm="1">
        <f t="array" ref="K554">IF(AF554&lt;&gt;"",IFERROR(INDEX('Group List A'!B:B,MATCH(AI554,'Group List A'!A:A,0),0),"-"),"")</f>
        <v/>
      </c>
      <c r="L554" s="33">
        <f t="shared" si="125"/>
        <v>0</v>
      </c>
      <c r="M554" s="33">
        <f t="shared" si="126"/>
        <v>0</v>
      </c>
      <c r="N554" s="33">
        <f t="shared" si="127"/>
        <v>0</v>
      </c>
      <c r="O554" s="28"/>
      <c r="P554" s="33">
        <f t="shared" si="128"/>
        <v>0</v>
      </c>
      <c r="Q554" s="35" t="str" cm="1">
        <f t="array" ref="Q554">IF(AF554&lt;&gt;"",IFERROR(INDEX('Group List B'!B:B,MATCH(AI554,'Group List B'!A:A,0),0),"-"),"")</f>
        <v/>
      </c>
      <c r="R554" s="36">
        <f t="shared" si="129"/>
        <v>0</v>
      </c>
      <c r="S554" s="36">
        <f t="shared" si="130"/>
        <v>0</v>
      </c>
      <c r="T554" s="36">
        <f t="shared" si="131"/>
        <v>0</v>
      </c>
      <c r="U554" s="28"/>
      <c r="V554" s="37">
        <f t="shared" si="132"/>
        <v>0</v>
      </c>
      <c r="W554" s="41"/>
      <c r="X554" s="27"/>
      <c r="Y554" s="27"/>
      <c r="Z554" s="27"/>
      <c r="AA554" s="15"/>
      <c r="AB554" s="17"/>
      <c r="AC554" s="17"/>
      <c r="AD554" s="17"/>
      <c r="AE554" s="90"/>
      <c r="AF554" s="82" t="str">
        <f t="shared" si="133"/>
        <v/>
      </c>
      <c r="AG554" s="83" t="str">
        <f t="shared" si="134"/>
        <v/>
      </c>
      <c r="AH554" s="82" t="str">
        <f t="shared" si="135"/>
        <v/>
      </c>
      <c r="AI554" s="82" t="str">
        <f t="shared" si="136"/>
        <v/>
      </c>
      <c r="AJ554" s="90"/>
      <c r="AP554" s="88"/>
    </row>
    <row r="555" spans="1:42" x14ac:dyDescent="0.25">
      <c r="A555" s="2"/>
      <c r="C555" s="68" t="str" cm="1">
        <f t="array" ref="C555">IF(AF555&lt;&gt;"",
IFERROR(INDEX('LaunchPad Markbook'!A:A,MATCH(AH555,'LaunchPad Markbook'!D:D,0),0),"-"),"")</f>
        <v/>
      </c>
      <c r="D555" s="27"/>
      <c r="E555" s="27"/>
      <c r="F555" s="27"/>
      <c r="G555" s="14">
        <f>IF(OR(H555&gt;AB$2,I555&gt;AC$2,J555&gt;AD$2,
P555&gt;1,V555&gt;1,
L555&gt;'Group List A'!E$2,M555&gt;'Group List A'!F$2,N555&gt;'Group List A'!G$2,
R555&gt;'Group List B'!E$2,S555&gt;'Group List B'!F$2,T555&gt;'Group List B'!G$2),"Exceed",
IF(OR(H555=AB$2,I555=AC$2,J555=AD$2,
P555=1,V555=1,
L555='Group List A'!E$2,M555='Group List A'!F$2,N555='Group List A'!G$2,
R555='Group List B'!E$2,S555='Group List B'!F$2,T555='Group List B'!G$2),"Limit",0))</f>
        <v>0</v>
      </c>
      <c r="H555" s="29">
        <f t="shared" si="122"/>
        <v>0</v>
      </c>
      <c r="I555" s="29">
        <f t="shared" si="123"/>
        <v>0</v>
      </c>
      <c r="J555" s="29">
        <f t="shared" si="124"/>
        <v>0</v>
      </c>
      <c r="K555" s="32" t="str" cm="1">
        <f t="array" ref="K555">IF(AF555&lt;&gt;"",IFERROR(INDEX('Group List A'!B:B,MATCH(AI555,'Group List A'!A:A,0),0),"-"),"")</f>
        <v/>
      </c>
      <c r="L555" s="33">
        <f t="shared" si="125"/>
        <v>0</v>
      </c>
      <c r="M555" s="33">
        <f t="shared" si="126"/>
        <v>0</v>
      </c>
      <c r="N555" s="33">
        <f t="shared" si="127"/>
        <v>0</v>
      </c>
      <c r="O555" s="28"/>
      <c r="P555" s="33">
        <f t="shared" si="128"/>
        <v>0</v>
      </c>
      <c r="Q555" s="35" t="str" cm="1">
        <f t="array" ref="Q555">IF(AF555&lt;&gt;"",IFERROR(INDEX('Group List B'!B:B,MATCH(AI555,'Group List B'!A:A,0),0),"-"),"")</f>
        <v/>
      </c>
      <c r="R555" s="36">
        <f t="shared" si="129"/>
        <v>0</v>
      </c>
      <c r="S555" s="36">
        <f t="shared" si="130"/>
        <v>0</v>
      </c>
      <c r="T555" s="36">
        <f t="shared" si="131"/>
        <v>0</v>
      </c>
      <c r="U555" s="28"/>
      <c r="V555" s="37">
        <f t="shared" si="132"/>
        <v>0</v>
      </c>
      <c r="W555" s="41"/>
      <c r="X555" s="27"/>
      <c r="Y555" s="27"/>
      <c r="Z555" s="27"/>
      <c r="AA555" s="15"/>
      <c r="AB555" s="17"/>
      <c r="AC555" s="17"/>
      <c r="AD555" s="17"/>
      <c r="AE555" s="90"/>
      <c r="AF555" s="82" t="str">
        <f t="shared" si="133"/>
        <v/>
      </c>
      <c r="AG555" s="83" t="str">
        <f t="shared" si="134"/>
        <v/>
      </c>
      <c r="AH555" s="82" t="str">
        <f t="shared" si="135"/>
        <v/>
      </c>
      <c r="AI555" s="82" t="str">
        <f t="shared" si="136"/>
        <v/>
      </c>
      <c r="AJ555" s="90"/>
      <c r="AP555" s="88"/>
    </row>
    <row r="556" spans="1:42" x14ac:dyDescent="0.25">
      <c r="A556" s="2"/>
      <c r="C556" s="68" t="str" cm="1">
        <f t="array" ref="C556">IF(AF556&lt;&gt;"",
IFERROR(INDEX('LaunchPad Markbook'!A:A,MATCH(AH556,'LaunchPad Markbook'!D:D,0),0),"-"),"")</f>
        <v/>
      </c>
      <c r="D556" s="27"/>
      <c r="E556" s="27"/>
      <c r="F556" s="27"/>
      <c r="G556" s="14">
        <f>IF(OR(H556&gt;AB$2,I556&gt;AC$2,J556&gt;AD$2,
P556&gt;1,V556&gt;1,
L556&gt;'Group List A'!E$2,M556&gt;'Group List A'!F$2,N556&gt;'Group List A'!G$2,
R556&gt;'Group List B'!E$2,S556&gt;'Group List B'!F$2,T556&gt;'Group List B'!G$2),"Exceed",
IF(OR(H556=AB$2,I556=AC$2,J556=AD$2,
P556=1,V556=1,
L556='Group List A'!E$2,M556='Group List A'!F$2,N556='Group List A'!G$2,
R556='Group List B'!E$2,S556='Group List B'!F$2,T556='Group List B'!G$2),"Limit",0))</f>
        <v>0</v>
      </c>
      <c r="H556" s="29">
        <f t="shared" si="122"/>
        <v>0</v>
      </c>
      <c r="I556" s="29">
        <f t="shared" si="123"/>
        <v>0</v>
      </c>
      <c r="J556" s="29">
        <f t="shared" si="124"/>
        <v>0</v>
      </c>
      <c r="K556" s="32" t="str" cm="1">
        <f t="array" ref="K556">IF(AF556&lt;&gt;"",IFERROR(INDEX('Group List A'!B:B,MATCH(AI556,'Group List A'!A:A,0),0),"-"),"")</f>
        <v/>
      </c>
      <c r="L556" s="33">
        <f t="shared" si="125"/>
        <v>0</v>
      </c>
      <c r="M556" s="33">
        <f t="shared" si="126"/>
        <v>0</v>
      </c>
      <c r="N556" s="33">
        <f t="shared" si="127"/>
        <v>0</v>
      </c>
      <c r="O556" s="28"/>
      <c r="P556" s="33">
        <f t="shared" si="128"/>
        <v>0</v>
      </c>
      <c r="Q556" s="35" t="str" cm="1">
        <f t="array" ref="Q556">IF(AF556&lt;&gt;"",IFERROR(INDEX('Group List B'!B:B,MATCH(AI556,'Group List B'!A:A,0),0),"-"),"")</f>
        <v/>
      </c>
      <c r="R556" s="36">
        <f t="shared" si="129"/>
        <v>0</v>
      </c>
      <c r="S556" s="36">
        <f t="shared" si="130"/>
        <v>0</v>
      </c>
      <c r="T556" s="36">
        <f t="shared" si="131"/>
        <v>0</v>
      </c>
      <c r="U556" s="28"/>
      <c r="V556" s="37">
        <f t="shared" si="132"/>
        <v>0</v>
      </c>
      <c r="W556" s="41"/>
      <c r="X556" s="27"/>
      <c r="Y556" s="27"/>
      <c r="Z556" s="27"/>
      <c r="AA556" s="15"/>
      <c r="AB556" s="17"/>
      <c r="AC556" s="17"/>
      <c r="AD556" s="17"/>
      <c r="AE556" s="90"/>
      <c r="AF556" s="82" t="str">
        <f t="shared" si="133"/>
        <v/>
      </c>
      <c r="AG556" s="83" t="str">
        <f t="shared" si="134"/>
        <v/>
      </c>
      <c r="AH556" s="82" t="str">
        <f t="shared" si="135"/>
        <v/>
      </c>
      <c r="AI556" s="82" t="str">
        <f t="shared" si="136"/>
        <v/>
      </c>
      <c r="AJ556" s="90"/>
      <c r="AP556" s="88"/>
    </row>
    <row r="557" spans="1:42" x14ac:dyDescent="0.25">
      <c r="A557" s="2"/>
      <c r="C557" s="68" t="str" cm="1">
        <f t="array" ref="C557">IF(AF557&lt;&gt;"",
IFERROR(INDEX('LaunchPad Markbook'!A:A,MATCH(AH557,'LaunchPad Markbook'!D:D,0),0),"-"),"")</f>
        <v/>
      </c>
      <c r="D557" s="27"/>
      <c r="E557" s="27"/>
      <c r="F557" s="27"/>
      <c r="G557" s="14">
        <f>IF(OR(H557&gt;AB$2,I557&gt;AC$2,J557&gt;AD$2,
P557&gt;1,V557&gt;1,
L557&gt;'Group List A'!E$2,M557&gt;'Group List A'!F$2,N557&gt;'Group List A'!G$2,
R557&gt;'Group List B'!E$2,S557&gt;'Group List B'!F$2,T557&gt;'Group List B'!G$2),"Exceed",
IF(OR(H557=AB$2,I557=AC$2,J557=AD$2,
P557=1,V557=1,
L557='Group List A'!E$2,M557='Group List A'!F$2,N557='Group List A'!G$2,
R557='Group List B'!E$2,S557='Group List B'!F$2,T557='Group List B'!G$2),"Limit",0))</f>
        <v>0</v>
      </c>
      <c r="H557" s="29">
        <f t="shared" si="122"/>
        <v>0</v>
      </c>
      <c r="I557" s="29">
        <f t="shared" si="123"/>
        <v>0</v>
      </c>
      <c r="J557" s="29">
        <f t="shared" si="124"/>
        <v>0</v>
      </c>
      <c r="K557" s="32" t="str" cm="1">
        <f t="array" ref="K557">IF(AF557&lt;&gt;"",IFERROR(INDEX('Group List A'!B:B,MATCH(AI557,'Group List A'!A:A,0),0),"-"),"")</f>
        <v/>
      </c>
      <c r="L557" s="33">
        <f t="shared" si="125"/>
        <v>0</v>
      </c>
      <c r="M557" s="33">
        <f t="shared" si="126"/>
        <v>0</v>
      </c>
      <c r="N557" s="33">
        <f t="shared" si="127"/>
        <v>0</v>
      </c>
      <c r="O557" s="28"/>
      <c r="P557" s="33">
        <f t="shared" si="128"/>
        <v>0</v>
      </c>
      <c r="Q557" s="35" t="str" cm="1">
        <f t="array" ref="Q557">IF(AF557&lt;&gt;"",IFERROR(INDEX('Group List B'!B:B,MATCH(AI557,'Group List B'!A:A,0),0),"-"),"")</f>
        <v/>
      </c>
      <c r="R557" s="36">
        <f t="shared" si="129"/>
        <v>0</v>
      </c>
      <c r="S557" s="36">
        <f t="shared" si="130"/>
        <v>0</v>
      </c>
      <c r="T557" s="36">
        <f t="shared" si="131"/>
        <v>0</v>
      </c>
      <c r="U557" s="28"/>
      <c r="V557" s="37">
        <f t="shared" si="132"/>
        <v>0</v>
      </c>
      <c r="W557" s="41"/>
      <c r="X557" s="27"/>
      <c r="Y557" s="27"/>
      <c r="Z557" s="27"/>
      <c r="AA557" s="15"/>
      <c r="AB557" s="17"/>
      <c r="AC557" s="17"/>
      <c r="AD557" s="17"/>
      <c r="AE557" s="90"/>
      <c r="AF557" s="82" t="str">
        <f t="shared" si="133"/>
        <v/>
      </c>
      <c r="AG557" s="83" t="str">
        <f t="shared" si="134"/>
        <v/>
      </c>
      <c r="AH557" s="82" t="str">
        <f t="shared" si="135"/>
        <v/>
      </c>
      <c r="AI557" s="82" t="str">
        <f t="shared" si="136"/>
        <v/>
      </c>
      <c r="AJ557" s="90"/>
      <c r="AP557" s="88"/>
    </row>
    <row r="558" spans="1:42" x14ac:dyDescent="0.25">
      <c r="A558" s="2"/>
      <c r="C558" s="68" t="str" cm="1">
        <f t="array" ref="C558">IF(AF558&lt;&gt;"",
IFERROR(INDEX('LaunchPad Markbook'!A:A,MATCH(AH558,'LaunchPad Markbook'!D:D,0),0),"-"),"")</f>
        <v/>
      </c>
      <c r="D558" s="27"/>
      <c r="E558" s="27"/>
      <c r="F558" s="27"/>
      <c r="G558" s="14">
        <f>IF(OR(H558&gt;AB$2,I558&gt;AC$2,J558&gt;AD$2,
P558&gt;1,V558&gt;1,
L558&gt;'Group List A'!E$2,M558&gt;'Group List A'!F$2,N558&gt;'Group List A'!G$2,
R558&gt;'Group List B'!E$2,S558&gt;'Group List B'!F$2,T558&gt;'Group List B'!G$2),"Exceed",
IF(OR(H558=AB$2,I558=AC$2,J558=AD$2,
P558=1,V558=1,
L558='Group List A'!E$2,M558='Group List A'!F$2,N558='Group List A'!G$2,
R558='Group List B'!E$2,S558='Group List B'!F$2,T558='Group List B'!G$2),"Limit",0))</f>
        <v>0</v>
      </c>
      <c r="H558" s="29">
        <f t="shared" si="122"/>
        <v>0</v>
      </c>
      <c r="I558" s="29">
        <f t="shared" si="123"/>
        <v>0</v>
      </c>
      <c r="J558" s="29">
        <f t="shared" si="124"/>
        <v>0</v>
      </c>
      <c r="K558" s="32" t="str" cm="1">
        <f t="array" ref="K558">IF(AF558&lt;&gt;"",IFERROR(INDEX('Group List A'!B:B,MATCH(AI558,'Group List A'!A:A,0),0),"-"),"")</f>
        <v/>
      </c>
      <c r="L558" s="33">
        <f t="shared" si="125"/>
        <v>0</v>
      </c>
      <c r="M558" s="33">
        <f t="shared" si="126"/>
        <v>0</v>
      </c>
      <c r="N558" s="33">
        <f t="shared" si="127"/>
        <v>0</v>
      </c>
      <c r="O558" s="28"/>
      <c r="P558" s="33">
        <f t="shared" si="128"/>
        <v>0</v>
      </c>
      <c r="Q558" s="35" t="str" cm="1">
        <f t="array" ref="Q558">IF(AF558&lt;&gt;"",IFERROR(INDEX('Group List B'!B:B,MATCH(AI558,'Group List B'!A:A,0),0),"-"),"")</f>
        <v/>
      </c>
      <c r="R558" s="36">
        <f t="shared" si="129"/>
        <v>0</v>
      </c>
      <c r="S558" s="36">
        <f t="shared" si="130"/>
        <v>0</v>
      </c>
      <c r="T558" s="36">
        <f t="shared" si="131"/>
        <v>0</v>
      </c>
      <c r="U558" s="28"/>
      <c r="V558" s="37">
        <f t="shared" si="132"/>
        <v>0</v>
      </c>
      <c r="W558" s="41"/>
      <c r="X558" s="27"/>
      <c r="Y558" s="27"/>
      <c r="Z558" s="27"/>
      <c r="AA558" s="15"/>
      <c r="AB558" s="17"/>
      <c r="AC558" s="17"/>
      <c r="AD558" s="17"/>
      <c r="AE558" s="90"/>
      <c r="AF558" s="82" t="str">
        <f t="shared" si="133"/>
        <v/>
      </c>
      <c r="AG558" s="83" t="str">
        <f t="shared" si="134"/>
        <v/>
      </c>
      <c r="AH558" s="82" t="str">
        <f t="shared" si="135"/>
        <v/>
      </c>
      <c r="AI558" s="82" t="str">
        <f t="shared" si="136"/>
        <v/>
      </c>
      <c r="AJ558" s="90"/>
      <c r="AP558" s="88"/>
    </row>
    <row r="559" spans="1:42" x14ac:dyDescent="0.25">
      <c r="A559" s="2"/>
      <c r="C559" s="68" t="str" cm="1">
        <f t="array" ref="C559">IF(AF559&lt;&gt;"",
IFERROR(INDEX('LaunchPad Markbook'!A:A,MATCH(AH559,'LaunchPad Markbook'!D:D,0),0),"-"),"")</f>
        <v/>
      </c>
      <c r="D559" s="27"/>
      <c r="E559" s="27"/>
      <c r="F559" s="27"/>
      <c r="G559" s="14">
        <f>IF(OR(H559&gt;AB$2,I559&gt;AC$2,J559&gt;AD$2,
P559&gt;1,V559&gt;1,
L559&gt;'Group List A'!E$2,M559&gt;'Group List A'!F$2,N559&gt;'Group List A'!G$2,
R559&gt;'Group List B'!E$2,S559&gt;'Group List B'!F$2,T559&gt;'Group List B'!G$2),"Exceed",
IF(OR(H559=AB$2,I559=AC$2,J559=AD$2,
P559=1,V559=1,
L559='Group List A'!E$2,M559='Group List A'!F$2,N559='Group List A'!G$2,
R559='Group List B'!E$2,S559='Group List B'!F$2,T559='Group List B'!G$2),"Limit",0))</f>
        <v>0</v>
      </c>
      <c r="H559" s="29">
        <f t="shared" si="122"/>
        <v>0</v>
      </c>
      <c r="I559" s="29">
        <f t="shared" si="123"/>
        <v>0</v>
      </c>
      <c r="J559" s="29">
        <f t="shared" si="124"/>
        <v>0</v>
      </c>
      <c r="K559" s="32" t="str" cm="1">
        <f t="array" ref="K559">IF(AF559&lt;&gt;"",IFERROR(INDEX('Group List A'!B:B,MATCH(AI559,'Group List A'!A:A,0),0),"-"),"")</f>
        <v/>
      </c>
      <c r="L559" s="33">
        <f t="shared" si="125"/>
        <v>0</v>
      </c>
      <c r="M559" s="33">
        <f t="shared" si="126"/>
        <v>0</v>
      </c>
      <c r="N559" s="33">
        <f t="shared" si="127"/>
        <v>0</v>
      </c>
      <c r="O559" s="28"/>
      <c r="P559" s="33">
        <f t="shared" si="128"/>
        <v>0</v>
      </c>
      <c r="Q559" s="35" t="str" cm="1">
        <f t="array" ref="Q559">IF(AF559&lt;&gt;"",IFERROR(INDEX('Group List B'!B:B,MATCH(AI559,'Group List B'!A:A,0),0),"-"),"")</f>
        <v/>
      </c>
      <c r="R559" s="36">
        <f t="shared" si="129"/>
        <v>0</v>
      </c>
      <c r="S559" s="36">
        <f t="shared" si="130"/>
        <v>0</v>
      </c>
      <c r="T559" s="36">
        <f t="shared" si="131"/>
        <v>0</v>
      </c>
      <c r="U559" s="28"/>
      <c r="V559" s="37">
        <f t="shared" si="132"/>
        <v>0</v>
      </c>
      <c r="W559" s="41"/>
      <c r="X559" s="27"/>
      <c r="Y559" s="27"/>
      <c r="Z559" s="27"/>
      <c r="AA559" s="15"/>
      <c r="AB559" s="17"/>
      <c r="AC559" s="17"/>
      <c r="AD559" s="17"/>
      <c r="AE559" s="90"/>
      <c r="AF559" s="82" t="str">
        <f t="shared" si="133"/>
        <v/>
      </c>
      <c r="AG559" s="83" t="str">
        <f t="shared" si="134"/>
        <v/>
      </c>
      <c r="AH559" s="82" t="str">
        <f t="shared" si="135"/>
        <v/>
      </c>
      <c r="AI559" s="82" t="str">
        <f t="shared" si="136"/>
        <v/>
      </c>
      <c r="AJ559" s="90"/>
      <c r="AP559" s="88"/>
    </row>
    <row r="560" spans="1:42" x14ac:dyDescent="0.25">
      <c r="A560" s="2"/>
      <c r="C560" s="68" t="str" cm="1">
        <f t="array" ref="C560">IF(AF560&lt;&gt;"",
IFERROR(INDEX('LaunchPad Markbook'!A:A,MATCH(AH560,'LaunchPad Markbook'!D:D,0),0),"-"),"")</f>
        <v/>
      </c>
      <c r="D560" s="27"/>
      <c r="E560" s="27"/>
      <c r="F560" s="27"/>
      <c r="G560" s="14">
        <f>IF(OR(H560&gt;AB$2,I560&gt;AC$2,J560&gt;AD$2,
P560&gt;1,V560&gt;1,
L560&gt;'Group List A'!E$2,M560&gt;'Group List A'!F$2,N560&gt;'Group List A'!G$2,
R560&gt;'Group List B'!E$2,S560&gt;'Group List B'!F$2,T560&gt;'Group List B'!G$2),"Exceed",
IF(OR(H560=AB$2,I560=AC$2,J560=AD$2,
P560=1,V560=1,
L560='Group List A'!E$2,M560='Group List A'!F$2,N560='Group List A'!G$2,
R560='Group List B'!E$2,S560='Group List B'!F$2,T560='Group List B'!G$2),"Limit",0))</f>
        <v>0</v>
      </c>
      <c r="H560" s="29">
        <f t="shared" si="122"/>
        <v>0</v>
      </c>
      <c r="I560" s="29">
        <f t="shared" si="123"/>
        <v>0</v>
      </c>
      <c r="J560" s="29">
        <f t="shared" si="124"/>
        <v>0</v>
      </c>
      <c r="K560" s="32" t="str" cm="1">
        <f t="array" ref="K560">IF(AF560&lt;&gt;"",IFERROR(INDEX('Group List A'!B:B,MATCH(AI560,'Group List A'!A:A,0),0),"-"),"")</f>
        <v/>
      </c>
      <c r="L560" s="33">
        <f t="shared" si="125"/>
        <v>0</v>
      </c>
      <c r="M560" s="33">
        <f t="shared" si="126"/>
        <v>0</v>
      </c>
      <c r="N560" s="33">
        <f t="shared" si="127"/>
        <v>0</v>
      </c>
      <c r="O560" s="28"/>
      <c r="P560" s="33">
        <f t="shared" si="128"/>
        <v>0</v>
      </c>
      <c r="Q560" s="35" t="str" cm="1">
        <f t="array" ref="Q560">IF(AF560&lt;&gt;"",IFERROR(INDEX('Group List B'!B:B,MATCH(AI560,'Group List B'!A:A,0),0),"-"),"")</f>
        <v/>
      </c>
      <c r="R560" s="36">
        <f t="shared" si="129"/>
        <v>0</v>
      </c>
      <c r="S560" s="36">
        <f t="shared" si="130"/>
        <v>0</v>
      </c>
      <c r="T560" s="36">
        <f t="shared" si="131"/>
        <v>0</v>
      </c>
      <c r="U560" s="28"/>
      <c r="V560" s="37">
        <f t="shared" si="132"/>
        <v>0</v>
      </c>
      <c r="W560" s="41"/>
      <c r="X560" s="27"/>
      <c r="Y560" s="27"/>
      <c r="Z560" s="27"/>
      <c r="AA560" s="15"/>
      <c r="AB560" s="17"/>
      <c r="AC560" s="17"/>
      <c r="AD560" s="17"/>
      <c r="AE560" s="90"/>
      <c r="AF560" s="82" t="str">
        <f t="shared" si="133"/>
        <v/>
      </c>
      <c r="AG560" s="83" t="str">
        <f t="shared" si="134"/>
        <v/>
      </c>
      <c r="AH560" s="82" t="str">
        <f t="shared" si="135"/>
        <v/>
      </c>
      <c r="AI560" s="82" t="str">
        <f t="shared" si="136"/>
        <v/>
      </c>
      <c r="AJ560" s="90"/>
      <c r="AP560" s="88"/>
    </row>
    <row r="561" spans="1:42" x14ac:dyDescent="0.25">
      <c r="A561" s="2"/>
      <c r="C561" s="68" t="str" cm="1">
        <f t="array" ref="C561">IF(AF561&lt;&gt;"",
IFERROR(INDEX('LaunchPad Markbook'!A:A,MATCH(AH561,'LaunchPad Markbook'!D:D,0),0),"-"),"")</f>
        <v/>
      </c>
      <c r="D561" s="27"/>
      <c r="E561" s="27"/>
      <c r="F561" s="27"/>
      <c r="G561" s="14">
        <f>IF(OR(H561&gt;AB$2,I561&gt;AC$2,J561&gt;AD$2,
P561&gt;1,V561&gt;1,
L561&gt;'Group List A'!E$2,M561&gt;'Group List A'!F$2,N561&gt;'Group List A'!G$2,
R561&gt;'Group List B'!E$2,S561&gt;'Group List B'!F$2,T561&gt;'Group List B'!G$2),"Exceed",
IF(OR(H561=AB$2,I561=AC$2,J561=AD$2,
P561=1,V561=1,
L561='Group List A'!E$2,M561='Group List A'!F$2,N561='Group List A'!G$2,
R561='Group List B'!E$2,S561='Group List B'!F$2,T561='Group List B'!G$2),"Limit",0))</f>
        <v>0</v>
      </c>
      <c r="H561" s="29">
        <f t="shared" si="122"/>
        <v>0</v>
      </c>
      <c r="I561" s="29">
        <f t="shared" si="123"/>
        <v>0</v>
      </c>
      <c r="J561" s="29">
        <f t="shared" si="124"/>
        <v>0</v>
      </c>
      <c r="K561" s="32" t="str" cm="1">
        <f t="array" ref="K561">IF(AF561&lt;&gt;"",IFERROR(INDEX('Group List A'!B:B,MATCH(AI561,'Group List A'!A:A,0),0),"-"),"")</f>
        <v/>
      </c>
      <c r="L561" s="33">
        <f t="shared" si="125"/>
        <v>0</v>
      </c>
      <c r="M561" s="33">
        <f t="shared" si="126"/>
        <v>0</v>
      </c>
      <c r="N561" s="33">
        <f t="shared" si="127"/>
        <v>0</v>
      </c>
      <c r="O561" s="28"/>
      <c r="P561" s="33">
        <f t="shared" si="128"/>
        <v>0</v>
      </c>
      <c r="Q561" s="35" t="str" cm="1">
        <f t="array" ref="Q561">IF(AF561&lt;&gt;"",IFERROR(INDEX('Group List B'!B:B,MATCH(AI561,'Group List B'!A:A,0),0),"-"),"")</f>
        <v/>
      </c>
      <c r="R561" s="36">
        <f t="shared" si="129"/>
        <v>0</v>
      </c>
      <c r="S561" s="36">
        <f t="shared" si="130"/>
        <v>0</v>
      </c>
      <c r="T561" s="36">
        <f t="shared" si="131"/>
        <v>0</v>
      </c>
      <c r="U561" s="28"/>
      <c r="V561" s="37">
        <f t="shared" si="132"/>
        <v>0</v>
      </c>
      <c r="W561" s="41"/>
      <c r="X561" s="27"/>
      <c r="Y561" s="27"/>
      <c r="Z561" s="27"/>
      <c r="AA561" s="15"/>
      <c r="AB561" s="17"/>
      <c r="AC561" s="17"/>
      <c r="AD561" s="17"/>
      <c r="AE561" s="90"/>
      <c r="AF561" s="82" t="str">
        <f t="shared" si="133"/>
        <v/>
      </c>
      <c r="AG561" s="83" t="str">
        <f t="shared" si="134"/>
        <v/>
      </c>
      <c r="AH561" s="82" t="str">
        <f t="shared" si="135"/>
        <v/>
      </c>
      <c r="AI561" s="82" t="str">
        <f t="shared" si="136"/>
        <v/>
      </c>
      <c r="AJ561" s="90"/>
      <c r="AP561" s="88"/>
    </row>
    <row r="562" spans="1:42" x14ac:dyDescent="0.25">
      <c r="A562" s="2"/>
      <c r="C562" s="68" t="str" cm="1">
        <f t="array" ref="C562">IF(AF562&lt;&gt;"",
IFERROR(INDEX('LaunchPad Markbook'!A:A,MATCH(AH562,'LaunchPad Markbook'!D:D,0),0),"-"),"")</f>
        <v/>
      </c>
      <c r="D562" s="27"/>
      <c r="E562" s="27"/>
      <c r="F562" s="27"/>
      <c r="G562" s="14">
        <f>IF(OR(H562&gt;AB$2,I562&gt;AC$2,J562&gt;AD$2,
P562&gt;1,V562&gt;1,
L562&gt;'Group List A'!E$2,M562&gt;'Group List A'!F$2,N562&gt;'Group List A'!G$2,
R562&gt;'Group List B'!E$2,S562&gt;'Group List B'!F$2,T562&gt;'Group List B'!G$2),"Exceed",
IF(OR(H562=AB$2,I562=AC$2,J562=AD$2,
P562=1,V562=1,
L562='Group List A'!E$2,M562='Group List A'!F$2,N562='Group List A'!G$2,
R562='Group List B'!E$2,S562='Group List B'!F$2,T562='Group List B'!G$2),"Limit",0))</f>
        <v>0</v>
      </c>
      <c r="H562" s="29">
        <f t="shared" si="122"/>
        <v>0</v>
      </c>
      <c r="I562" s="29">
        <f t="shared" si="123"/>
        <v>0</v>
      </c>
      <c r="J562" s="29">
        <f t="shared" si="124"/>
        <v>0</v>
      </c>
      <c r="K562" s="32" t="str" cm="1">
        <f t="array" ref="K562">IF(AF562&lt;&gt;"",IFERROR(INDEX('Group List A'!B:B,MATCH(AI562,'Group List A'!A:A,0),0),"-"),"")</f>
        <v/>
      </c>
      <c r="L562" s="33">
        <f t="shared" si="125"/>
        <v>0</v>
      </c>
      <c r="M562" s="33">
        <f t="shared" si="126"/>
        <v>0</v>
      </c>
      <c r="N562" s="33">
        <f t="shared" si="127"/>
        <v>0</v>
      </c>
      <c r="O562" s="28"/>
      <c r="P562" s="33">
        <f t="shared" si="128"/>
        <v>0</v>
      </c>
      <c r="Q562" s="35" t="str" cm="1">
        <f t="array" ref="Q562">IF(AF562&lt;&gt;"",IFERROR(INDEX('Group List B'!B:B,MATCH(AI562,'Group List B'!A:A,0),0),"-"),"")</f>
        <v/>
      </c>
      <c r="R562" s="36">
        <f t="shared" si="129"/>
        <v>0</v>
      </c>
      <c r="S562" s="36">
        <f t="shared" si="130"/>
        <v>0</v>
      </c>
      <c r="T562" s="36">
        <f t="shared" si="131"/>
        <v>0</v>
      </c>
      <c r="U562" s="28"/>
      <c r="V562" s="37">
        <f t="shared" si="132"/>
        <v>0</v>
      </c>
      <c r="W562" s="41"/>
      <c r="X562" s="27"/>
      <c r="Y562" s="27"/>
      <c r="Z562" s="27"/>
      <c r="AA562" s="15"/>
      <c r="AB562" s="17"/>
      <c r="AC562" s="17"/>
      <c r="AD562" s="17"/>
      <c r="AE562" s="90"/>
      <c r="AF562" s="82" t="str">
        <f t="shared" si="133"/>
        <v/>
      </c>
      <c r="AG562" s="83" t="str">
        <f t="shared" si="134"/>
        <v/>
      </c>
      <c r="AH562" s="82" t="str">
        <f t="shared" si="135"/>
        <v/>
      </c>
      <c r="AI562" s="82" t="str">
        <f t="shared" si="136"/>
        <v/>
      </c>
      <c r="AJ562" s="90"/>
      <c r="AP562" s="88"/>
    </row>
    <row r="563" spans="1:42" x14ac:dyDescent="0.25">
      <c r="A563" s="2"/>
      <c r="C563" s="68" t="str" cm="1">
        <f t="array" ref="C563">IF(AF563&lt;&gt;"",
IFERROR(INDEX('LaunchPad Markbook'!A:A,MATCH(AH563,'LaunchPad Markbook'!D:D,0),0),"-"),"")</f>
        <v/>
      </c>
      <c r="D563" s="27"/>
      <c r="E563" s="27"/>
      <c r="F563" s="27"/>
      <c r="G563" s="14">
        <f>IF(OR(H563&gt;AB$2,I563&gt;AC$2,J563&gt;AD$2,
P563&gt;1,V563&gt;1,
L563&gt;'Group List A'!E$2,M563&gt;'Group List A'!F$2,N563&gt;'Group List A'!G$2,
R563&gt;'Group List B'!E$2,S563&gt;'Group List B'!F$2,T563&gt;'Group List B'!G$2),"Exceed",
IF(OR(H563=AB$2,I563=AC$2,J563=AD$2,
P563=1,V563=1,
L563='Group List A'!E$2,M563='Group List A'!F$2,N563='Group List A'!G$2,
R563='Group List B'!E$2,S563='Group List B'!F$2,T563='Group List B'!G$2),"Limit",0))</f>
        <v>0</v>
      </c>
      <c r="H563" s="29">
        <f t="shared" si="122"/>
        <v>0</v>
      </c>
      <c r="I563" s="29">
        <f t="shared" si="123"/>
        <v>0</v>
      </c>
      <c r="J563" s="29">
        <f t="shared" si="124"/>
        <v>0</v>
      </c>
      <c r="K563" s="32" t="str" cm="1">
        <f t="array" ref="K563">IF(AF563&lt;&gt;"",IFERROR(INDEX('Group List A'!B:B,MATCH(AI563,'Group List A'!A:A,0),0),"-"),"")</f>
        <v/>
      </c>
      <c r="L563" s="33">
        <f t="shared" si="125"/>
        <v>0</v>
      </c>
      <c r="M563" s="33">
        <f t="shared" si="126"/>
        <v>0</v>
      </c>
      <c r="N563" s="33">
        <f t="shared" si="127"/>
        <v>0</v>
      </c>
      <c r="O563" s="28"/>
      <c r="P563" s="33">
        <f t="shared" si="128"/>
        <v>0</v>
      </c>
      <c r="Q563" s="35" t="str" cm="1">
        <f t="array" ref="Q563">IF(AF563&lt;&gt;"",IFERROR(INDEX('Group List B'!B:B,MATCH(AI563,'Group List B'!A:A,0),0),"-"),"")</f>
        <v/>
      </c>
      <c r="R563" s="36">
        <f t="shared" si="129"/>
        <v>0</v>
      </c>
      <c r="S563" s="36">
        <f t="shared" si="130"/>
        <v>0</v>
      </c>
      <c r="T563" s="36">
        <f t="shared" si="131"/>
        <v>0</v>
      </c>
      <c r="U563" s="28"/>
      <c r="V563" s="37">
        <f t="shared" si="132"/>
        <v>0</v>
      </c>
      <c r="W563" s="41"/>
      <c r="X563" s="27"/>
      <c r="Y563" s="27"/>
      <c r="Z563" s="27"/>
      <c r="AA563" s="15"/>
      <c r="AB563" s="17"/>
      <c r="AC563" s="17"/>
      <c r="AD563" s="17"/>
      <c r="AE563" s="90"/>
      <c r="AF563" s="82" t="str">
        <f t="shared" si="133"/>
        <v/>
      </c>
      <c r="AG563" s="83" t="str">
        <f t="shared" si="134"/>
        <v/>
      </c>
      <c r="AH563" s="82" t="str">
        <f t="shared" si="135"/>
        <v/>
      </c>
      <c r="AI563" s="82" t="str">
        <f t="shared" si="136"/>
        <v/>
      </c>
      <c r="AJ563" s="90"/>
      <c r="AP563" s="88"/>
    </row>
    <row r="564" spans="1:42" x14ac:dyDescent="0.25">
      <c r="A564" s="2"/>
      <c r="C564" s="68" t="str" cm="1">
        <f t="array" ref="C564">IF(AF564&lt;&gt;"",
IFERROR(INDEX('LaunchPad Markbook'!A:A,MATCH(AH564,'LaunchPad Markbook'!D:D,0),0),"-"),"")</f>
        <v/>
      </c>
      <c r="D564" s="27"/>
      <c r="E564" s="27"/>
      <c r="F564" s="27"/>
      <c r="G564" s="14">
        <f>IF(OR(H564&gt;AB$2,I564&gt;AC$2,J564&gt;AD$2,
P564&gt;1,V564&gt;1,
L564&gt;'Group List A'!E$2,M564&gt;'Group List A'!F$2,N564&gt;'Group List A'!G$2,
R564&gt;'Group List B'!E$2,S564&gt;'Group List B'!F$2,T564&gt;'Group List B'!G$2),"Exceed",
IF(OR(H564=AB$2,I564=AC$2,J564=AD$2,
P564=1,V564=1,
L564='Group List A'!E$2,M564='Group List A'!F$2,N564='Group List A'!G$2,
R564='Group List B'!E$2,S564='Group List B'!F$2,T564='Group List B'!G$2),"Limit",0))</f>
        <v>0</v>
      </c>
      <c r="H564" s="29">
        <f t="shared" si="122"/>
        <v>0</v>
      </c>
      <c r="I564" s="29">
        <f t="shared" si="123"/>
        <v>0</v>
      </c>
      <c r="J564" s="29">
        <f t="shared" si="124"/>
        <v>0</v>
      </c>
      <c r="K564" s="32" t="str" cm="1">
        <f t="array" ref="K564">IF(AF564&lt;&gt;"",IFERROR(INDEX('Group List A'!B:B,MATCH(AI564,'Group List A'!A:A,0),0),"-"),"")</f>
        <v/>
      </c>
      <c r="L564" s="33">
        <f t="shared" si="125"/>
        <v>0</v>
      </c>
      <c r="M564" s="33">
        <f t="shared" si="126"/>
        <v>0</v>
      </c>
      <c r="N564" s="33">
        <f t="shared" si="127"/>
        <v>0</v>
      </c>
      <c r="O564" s="28"/>
      <c r="P564" s="33">
        <f t="shared" si="128"/>
        <v>0</v>
      </c>
      <c r="Q564" s="35" t="str" cm="1">
        <f t="array" ref="Q564">IF(AF564&lt;&gt;"",IFERROR(INDEX('Group List B'!B:B,MATCH(AI564,'Group List B'!A:A,0),0),"-"),"")</f>
        <v/>
      </c>
      <c r="R564" s="36">
        <f t="shared" si="129"/>
        <v>0</v>
      </c>
      <c r="S564" s="36">
        <f t="shared" si="130"/>
        <v>0</v>
      </c>
      <c r="T564" s="36">
        <f t="shared" si="131"/>
        <v>0</v>
      </c>
      <c r="U564" s="28"/>
      <c r="V564" s="37">
        <f t="shared" si="132"/>
        <v>0</v>
      </c>
      <c r="W564" s="41"/>
      <c r="X564" s="27"/>
      <c r="Y564" s="27"/>
      <c r="Z564" s="27"/>
      <c r="AA564" s="15"/>
      <c r="AB564" s="17"/>
      <c r="AC564" s="17"/>
      <c r="AD564" s="17"/>
      <c r="AE564" s="90"/>
      <c r="AF564" s="82" t="str">
        <f t="shared" si="133"/>
        <v/>
      </c>
      <c r="AG564" s="83" t="str">
        <f t="shared" si="134"/>
        <v/>
      </c>
      <c r="AH564" s="82" t="str">
        <f t="shared" si="135"/>
        <v/>
      </c>
      <c r="AI564" s="82" t="str">
        <f t="shared" si="136"/>
        <v/>
      </c>
      <c r="AJ564" s="90"/>
      <c r="AP564" s="88"/>
    </row>
    <row r="565" spans="1:42" x14ac:dyDescent="0.25">
      <c r="A565" s="2"/>
      <c r="C565" s="68" t="str" cm="1">
        <f t="array" ref="C565">IF(AF565&lt;&gt;"",
IFERROR(INDEX('LaunchPad Markbook'!A:A,MATCH(AH565,'LaunchPad Markbook'!D:D,0),0),"-"),"")</f>
        <v/>
      </c>
      <c r="D565" s="27"/>
      <c r="E565" s="27"/>
      <c r="F565" s="27"/>
      <c r="G565" s="14">
        <f>IF(OR(H565&gt;AB$2,I565&gt;AC$2,J565&gt;AD$2,
P565&gt;1,V565&gt;1,
L565&gt;'Group List A'!E$2,M565&gt;'Group List A'!F$2,N565&gt;'Group List A'!G$2,
R565&gt;'Group List B'!E$2,S565&gt;'Group List B'!F$2,T565&gt;'Group List B'!G$2),"Exceed",
IF(OR(H565=AB$2,I565=AC$2,J565=AD$2,
P565=1,V565=1,
L565='Group List A'!E$2,M565='Group List A'!F$2,N565='Group List A'!G$2,
R565='Group List B'!E$2,S565='Group List B'!F$2,T565='Group List B'!G$2),"Limit",0))</f>
        <v>0</v>
      </c>
      <c r="H565" s="29">
        <f t="shared" si="122"/>
        <v>0</v>
      </c>
      <c r="I565" s="29">
        <f t="shared" si="123"/>
        <v>0</v>
      </c>
      <c r="J565" s="29">
        <f t="shared" si="124"/>
        <v>0</v>
      </c>
      <c r="K565" s="32" t="str" cm="1">
        <f t="array" ref="K565">IF(AF565&lt;&gt;"",IFERROR(INDEX('Group List A'!B:B,MATCH(AI565,'Group List A'!A:A,0),0),"-"),"")</f>
        <v/>
      </c>
      <c r="L565" s="33">
        <f t="shared" si="125"/>
        <v>0</v>
      </c>
      <c r="M565" s="33">
        <f t="shared" si="126"/>
        <v>0</v>
      </c>
      <c r="N565" s="33">
        <f t="shared" si="127"/>
        <v>0</v>
      </c>
      <c r="O565" s="28"/>
      <c r="P565" s="33">
        <f t="shared" si="128"/>
        <v>0</v>
      </c>
      <c r="Q565" s="35" t="str" cm="1">
        <f t="array" ref="Q565">IF(AF565&lt;&gt;"",IFERROR(INDEX('Group List B'!B:B,MATCH(AI565,'Group List B'!A:A,0),0),"-"),"")</f>
        <v/>
      </c>
      <c r="R565" s="36">
        <f t="shared" si="129"/>
        <v>0</v>
      </c>
      <c r="S565" s="36">
        <f t="shared" si="130"/>
        <v>0</v>
      </c>
      <c r="T565" s="36">
        <f t="shared" si="131"/>
        <v>0</v>
      </c>
      <c r="U565" s="28"/>
      <c r="V565" s="37">
        <f t="shared" si="132"/>
        <v>0</v>
      </c>
      <c r="W565" s="41"/>
      <c r="X565" s="27"/>
      <c r="Y565" s="27"/>
      <c r="Z565" s="27"/>
      <c r="AA565" s="15"/>
      <c r="AB565" s="17"/>
      <c r="AC565" s="17"/>
      <c r="AD565" s="17"/>
      <c r="AE565" s="90"/>
      <c r="AF565" s="82" t="str">
        <f t="shared" si="133"/>
        <v/>
      </c>
      <c r="AG565" s="83" t="str">
        <f t="shared" si="134"/>
        <v/>
      </c>
      <c r="AH565" s="82" t="str">
        <f t="shared" si="135"/>
        <v/>
      </c>
      <c r="AI565" s="82" t="str">
        <f t="shared" si="136"/>
        <v/>
      </c>
      <c r="AJ565" s="90"/>
      <c r="AP565" s="88"/>
    </row>
    <row r="566" spans="1:42" x14ac:dyDescent="0.25">
      <c r="A566" s="2"/>
      <c r="C566" s="68" t="str" cm="1">
        <f t="array" ref="C566">IF(AF566&lt;&gt;"",
IFERROR(INDEX('LaunchPad Markbook'!A:A,MATCH(AH566,'LaunchPad Markbook'!D:D,0),0),"-"),"")</f>
        <v/>
      </c>
      <c r="D566" s="27"/>
      <c r="E566" s="27"/>
      <c r="F566" s="27"/>
      <c r="G566" s="14">
        <f>IF(OR(H566&gt;AB$2,I566&gt;AC$2,J566&gt;AD$2,
P566&gt;1,V566&gt;1,
L566&gt;'Group List A'!E$2,M566&gt;'Group List A'!F$2,N566&gt;'Group List A'!G$2,
R566&gt;'Group List B'!E$2,S566&gt;'Group List B'!F$2,T566&gt;'Group List B'!G$2),"Exceed",
IF(OR(H566=AB$2,I566=AC$2,J566=AD$2,
P566=1,V566=1,
L566='Group List A'!E$2,M566='Group List A'!F$2,N566='Group List A'!G$2,
R566='Group List B'!E$2,S566='Group List B'!F$2,T566='Group List B'!G$2),"Limit",0))</f>
        <v>0</v>
      </c>
      <c r="H566" s="29">
        <f t="shared" si="122"/>
        <v>0</v>
      </c>
      <c r="I566" s="29">
        <f t="shared" si="123"/>
        <v>0</v>
      </c>
      <c r="J566" s="29">
        <f t="shared" si="124"/>
        <v>0</v>
      </c>
      <c r="K566" s="32" t="str" cm="1">
        <f t="array" ref="K566">IF(AF566&lt;&gt;"",IFERROR(INDEX('Group List A'!B:B,MATCH(AI566,'Group List A'!A:A,0),0),"-"),"")</f>
        <v/>
      </c>
      <c r="L566" s="33">
        <f t="shared" si="125"/>
        <v>0</v>
      </c>
      <c r="M566" s="33">
        <f t="shared" si="126"/>
        <v>0</v>
      </c>
      <c r="N566" s="33">
        <f t="shared" si="127"/>
        <v>0</v>
      </c>
      <c r="O566" s="28"/>
      <c r="P566" s="33">
        <f t="shared" si="128"/>
        <v>0</v>
      </c>
      <c r="Q566" s="35" t="str" cm="1">
        <f t="array" ref="Q566">IF(AF566&lt;&gt;"",IFERROR(INDEX('Group List B'!B:B,MATCH(AI566,'Group List B'!A:A,0),0),"-"),"")</f>
        <v/>
      </c>
      <c r="R566" s="36">
        <f t="shared" si="129"/>
        <v>0</v>
      </c>
      <c r="S566" s="36">
        <f t="shared" si="130"/>
        <v>0</v>
      </c>
      <c r="T566" s="36">
        <f t="shared" si="131"/>
        <v>0</v>
      </c>
      <c r="U566" s="28"/>
      <c r="V566" s="37">
        <f t="shared" si="132"/>
        <v>0</v>
      </c>
      <c r="W566" s="41"/>
      <c r="X566" s="27"/>
      <c r="Y566" s="27"/>
      <c r="Z566" s="27"/>
      <c r="AA566" s="15"/>
      <c r="AB566" s="17"/>
      <c r="AC566" s="17"/>
      <c r="AD566" s="17"/>
      <c r="AE566" s="90"/>
      <c r="AF566" s="82" t="str">
        <f t="shared" si="133"/>
        <v/>
      </c>
      <c r="AG566" s="83" t="str">
        <f t="shared" si="134"/>
        <v/>
      </c>
      <c r="AH566" s="82" t="str">
        <f t="shared" si="135"/>
        <v/>
      </c>
      <c r="AI566" s="82" t="str">
        <f t="shared" si="136"/>
        <v/>
      </c>
      <c r="AJ566" s="90"/>
      <c r="AP566" s="88"/>
    </row>
    <row r="567" spans="1:42" x14ac:dyDescent="0.25">
      <c r="A567" s="2"/>
      <c r="C567" s="68" t="str" cm="1">
        <f t="array" ref="C567">IF(AF567&lt;&gt;"",
IFERROR(INDEX('LaunchPad Markbook'!A:A,MATCH(AH567,'LaunchPad Markbook'!D:D,0),0),"-"),"")</f>
        <v/>
      </c>
      <c r="D567" s="27"/>
      <c r="E567" s="27"/>
      <c r="F567" s="27"/>
      <c r="G567" s="14">
        <f>IF(OR(H567&gt;AB$2,I567&gt;AC$2,J567&gt;AD$2,
P567&gt;1,V567&gt;1,
L567&gt;'Group List A'!E$2,M567&gt;'Group List A'!F$2,N567&gt;'Group List A'!G$2,
R567&gt;'Group List B'!E$2,S567&gt;'Group List B'!F$2,T567&gt;'Group List B'!G$2),"Exceed",
IF(OR(H567=AB$2,I567=AC$2,J567=AD$2,
P567=1,V567=1,
L567='Group List A'!E$2,M567='Group List A'!F$2,N567='Group List A'!G$2,
R567='Group List B'!E$2,S567='Group List B'!F$2,T567='Group List B'!G$2),"Limit",0))</f>
        <v>0</v>
      </c>
      <c r="H567" s="29">
        <f t="shared" si="122"/>
        <v>0</v>
      </c>
      <c r="I567" s="29">
        <f t="shared" si="123"/>
        <v>0</v>
      </c>
      <c r="J567" s="29">
        <f t="shared" si="124"/>
        <v>0</v>
      </c>
      <c r="K567" s="32" t="str" cm="1">
        <f t="array" ref="K567">IF(AF567&lt;&gt;"",IFERROR(INDEX('Group List A'!B:B,MATCH(AI567,'Group List A'!A:A,0),0),"-"),"")</f>
        <v/>
      </c>
      <c r="L567" s="33">
        <f t="shared" si="125"/>
        <v>0</v>
      </c>
      <c r="M567" s="33">
        <f t="shared" si="126"/>
        <v>0</v>
      </c>
      <c r="N567" s="33">
        <f t="shared" si="127"/>
        <v>0</v>
      </c>
      <c r="O567" s="28"/>
      <c r="P567" s="33">
        <f t="shared" si="128"/>
        <v>0</v>
      </c>
      <c r="Q567" s="35" t="str" cm="1">
        <f t="array" ref="Q567">IF(AF567&lt;&gt;"",IFERROR(INDEX('Group List B'!B:B,MATCH(AI567,'Group List B'!A:A,0),0),"-"),"")</f>
        <v/>
      </c>
      <c r="R567" s="36">
        <f t="shared" si="129"/>
        <v>0</v>
      </c>
      <c r="S567" s="36">
        <f t="shared" si="130"/>
        <v>0</v>
      </c>
      <c r="T567" s="36">
        <f t="shared" si="131"/>
        <v>0</v>
      </c>
      <c r="U567" s="28"/>
      <c r="V567" s="37">
        <f t="shared" si="132"/>
        <v>0</v>
      </c>
      <c r="W567" s="41"/>
      <c r="X567" s="27"/>
      <c r="Y567" s="27"/>
      <c r="Z567" s="27"/>
      <c r="AA567" s="15"/>
      <c r="AB567" s="17"/>
      <c r="AC567" s="17"/>
      <c r="AD567" s="17"/>
      <c r="AE567" s="90"/>
      <c r="AF567" s="82" t="str">
        <f t="shared" si="133"/>
        <v/>
      </c>
      <c r="AG567" s="83" t="str">
        <f t="shared" si="134"/>
        <v/>
      </c>
      <c r="AH567" s="82" t="str">
        <f t="shared" si="135"/>
        <v/>
      </c>
      <c r="AI567" s="82" t="str">
        <f t="shared" si="136"/>
        <v/>
      </c>
      <c r="AJ567" s="90"/>
      <c r="AP567" s="88"/>
    </row>
    <row r="568" spans="1:42" x14ac:dyDescent="0.25">
      <c r="A568" s="2"/>
      <c r="C568" s="68" t="str" cm="1">
        <f t="array" ref="C568">IF(AF568&lt;&gt;"",
IFERROR(INDEX('LaunchPad Markbook'!A:A,MATCH(AH568,'LaunchPad Markbook'!D:D,0),0),"-"),"")</f>
        <v/>
      </c>
      <c r="D568" s="27"/>
      <c r="E568" s="27"/>
      <c r="F568" s="27"/>
      <c r="G568" s="14">
        <f>IF(OR(H568&gt;AB$2,I568&gt;AC$2,J568&gt;AD$2,
P568&gt;1,V568&gt;1,
L568&gt;'Group List A'!E$2,M568&gt;'Group List A'!F$2,N568&gt;'Group List A'!G$2,
R568&gt;'Group List B'!E$2,S568&gt;'Group List B'!F$2,T568&gt;'Group List B'!G$2),"Exceed",
IF(OR(H568=AB$2,I568=AC$2,J568=AD$2,
P568=1,V568=1,
L568='Group List A'!E$2,M568='Group List A'!F$2,N568='Group List A'!G$2,
R568='Group List B'!E$2,S568='Group List B'!F$2,T568='Group List B'!G$2),"Limit",0))</f>
        <v>0</v>
      </c>
      <c r="H568" s="29">
        <f t="shared" si="122"/>
        <v>0</v>
      </c>
      <c r="I568" s="29">
        <f t="shared" si="123"/>
        <v>0</v>
      </c>
      <c r="J568" s="29">
        <f t="shared" si="124"/>
        <v>0</v>
      </c>
      <c r="K568" s="32" t="str" cm="1">
        <f t="array" ref="K568">IF(AF568&lt;&gt;"",IFERROR(INDEX('Group List A'!B:B,MATCH(AI568,'Group List A'!A:A,0),0),"-"),"")</f>
        <v/>
      </c>
      <c r="L568" s="33">
        <f t="shared" si="125"/>
        <v>0</v>
      </c>
      <c r="M568" s="33">
        <f t="shared" si="126"/>
        <v>0</v>
      </c>
      <c r="N568" s="33">
        <f t="shared" si="127"/>
        <v>0</v>
      </c>
      <c r="O568" s="28"/>
      <c r="P568" s="33">
        <f t="shared" si="128"/>
        <v>0</v>
      </c>
      <c r="Q568" s="35" t="str" cm="1">
        <f t="array" ref="Q568">IF(AF568&lt;&gt;"",IFERROR(INDEX('Group List B'!B:B,MATCH(AI568,'Group List B'!A:A,0),0),"-"),"")</f>
        <v/>
      </c>
      <c r="R568" s="36">
        <f t="shared" si="129"/>
        <v>0</v>
      </c>
      <c r="S568" s="36">
        <f t="shared" si="130"/>
        <v>0</v>
      </c>
      <c r="T568" s="36">
        <f t="shared" si="131"/>
        <v>0</v>
      </c>
      <c r="U568" s="28"/>
      <c r="V568" s="37">
        <f t="shared" si="132"/>
        <v>0</v>
      </c>
      <c r="W568" s="41"/>
      <c r="X568" s="27"/>
      <c r="Y568" s="27"/>
      <c r="Z568" s="27"/>
      <c r="AA568" s="15"/>
      <c r="AB568" s="17"/>
      <c r="AC568" s="17"/>
      <c r="AD568" s="17"/>
      <c r="AE568" s="90"/>
      <c r="AF568" s="82" t="str">
        <f t="shared" si="133"/>
        <v/>
      </c>
      <c r="AG568" s="83" t="str">
        <f t="shared" si="134"/>
        <v/>
      </c>
      <c r="AH568" s="82" t="str">
        <f t="shared" si="135"/>
        <v/>
      </c>
      <c r="AI568" s="82" t="str">
        <f t="shared" si="136"/>
        <v/>
      </c>
      <c r="AJ568" s="90"/>
      <c r="AP568" s="88"/>
    </row>
    <row r="569" spans="1:42" x14ac:dyDescent="0.25">
      <c r="A569" s="2"/>
      <c r="C569" s="68" t="str" cm="1">
        <f t="array" ref="C569">IF(AF569&lt;&gt;"",
IFERROR(INDEX('LaunchPad Markbook'!A:A,MATCH(AH569,'LaunchPad Markbook'!D:D,0),0),"-"),"")</f>
        <v/>
      </c>
      <c r="D569" s="27"/>
      <c r="E569" s="27"/>
      <c r="F569" s="27"/>
      <c r="G569" s="14">
        <f>IF(OR(H569&gt;AB$2,I569&gt;AC$2,J569&gt;AD$2,
P569&gt;1,V569&gt;1,
L569&gt;'Group List A'!E$2,M569&gt;'Group List A'!F$2,N569&gt;'Group List A'!G$2,
R569&gt;'Group List B'!E$2,S569&gt;'Group List B'!F$2,T569&gt;'Group List B'!G$2),"Exceed",
IF(OR(H569=AB$2,I569=AC$2,J569=AD$2,
P569=1,V569=1,
L569='Group List A'!E$2,M569='Group List A'!F$2,N569='Group List A'!G$2,
R569='Group List B'!E$2,S569='Group List B'!F$2,T569='Group List B'!G$2),"Limit",0))</f>
        <v>0</v>
      </c>
      <c r="H569" s="29">
        <f t="shared" si="122"/>
        <v>0</v>
      </c>
      <c r="I569" s="29">
        <f t="shared" si="123"/>
        <v>0</v>
      </c>
      <c r="J569" s="29">
        <f t="shared" si="124"/>
        <v>0</v>
      </c>
      <c r="K569" s="32" t="str" cm="1">
        <f t="array" ref="K569">IF(AF569&lt;&gt;"",IFERROR(INDEX('Group List A'!B:B,MATCH(AI569,'Group List A'!A:A,0),0),"-"),"")</f>
        <v/>
      </c>
      <c r="L569" s="33">
        <f t="shared" si="125"/>
        <v>0</v>
      </c>
      <c r="M569" s="33">
        <f t="shared" si="126"/>
        <v>0</v>
      </c>
      <c r="N569" s="33">
        <f t="shared" si="127"/>
        <v>0</v>
      </c>
      <c r="O569" s="28"/>
      <c r="P569" s="33">
        <f t="shared" si="128"/>
        <v>0</v>
      </c>
      <c r="Q569" s="35" t="str" cm="1">
        <f t="array" ref="Q569">IF(AF569&lt;&gt;"",IFERROR(INDEX('Group List B'!B:B,MATCH(AI569,'Group List B'!A:A,0),0),"-"),"")</f>
        <v/>
      </c>
      <c r="R569" s="36">
        <f t="shared" si="129"/>
        <v>0</v>
      </c>
      <c r="S569" s="36">
        <f t="shared" si="130"/>
        <v>0</v>
      </c>
      <c r="T569" s="36">
        <f t="shared" si="131"/>
        <v>0</v>
      </c>
      <c r="U569" s="28"/>
      <c r="V569" s="37">
        <f t="shared" si="132"/>
        <v>0</v>
      </c>
      <c r="W569" s="41"/>
      <c r="X569" s="27"/>
      <c r="Y569" s="27"/>
      <c r="Z569" s="27"/>
      <c r="AA569" s="15"/>
      <c r="AB569" s="17"/>
      <c r="AC569" s="17"/>
      <c r="AD569" s="17"/>
      <c r="AE569" s="90"/>
      <c r="AF569" s="82" t="str">
        <f t="shared" si="133"/>
        <v/>
      </c>
      <c r="AG569" s="83" t="str">
        <f t="shared" si="134"/>
        <v/>
      </c>
      <c r="AH569" s="82" t="str">
        <f t="shared" si="135"/>
        <v/>
      </c>
      <c r="AI569" s="82" t="str">
        <f t="shared" si="136"/>
        <v/>
      </c>
      <c r="AJ569" s="90"/>
      <c r="AP569" s="88"/>
    </row>
    <row r="570" spans="1:42" x14ac:dyDescent="0.25">
      <c r="A570" s="2"/>
      <c r="C570" s="68" t="str" cm="1">
        <f t="array" ref="C570">IF(AF570&lt;&gt;"",
IFERROR(INDEX('LaunchPad Markbook'!A:A,MATCH(AH570,'LaunchPad Markbook'!D:D,0),0),"-"),"")</f>
        <v/>
      </c>
      <c r="D570" s="27"/>
      <c r="E570" s="27"/>
      <c r="F570" s="27"/>
      <c r="G570" s="14">
        <f>IF(OR(H570&gt;AB$2,I570&gt;AC$2,J570&gt;AD$2,
P570&gt;1,V570&gt;1,
L570&gt;'Group List A'!E$2,M570&gt;'Group List A'!F$2,N570&gt;'Group List A'!G$2,
R570&gt;'Group List B'!E$2,S570&gt;'Group List B'!F$2,T570&gt;'Group List B'!G$2),"Exceed",
IF(OR(H570=AB$2,I570=AC$2,J570=AD$2,
P570=1,V570=1,
L570='Group List A'!E$2,M570='Group List A'!F$2,N570='Group List A'!G$2,
R570='Group List B'!E$2,S570='Group List B'!F$2,T570='Group List B'!G$2),"Limit",0))</f>
        <v>0</v>
      </c>
      <c r="H570" s="29">
        <f t="shared" si="122"/>
        <v>0</v>
      </c>
      <c r="I570" s="29">
        <f t="shared" si="123"/>
        <v>0</v>
      </c>
      <c r="J570" s="29">
        <f t="shared" si="124"/>
        <v>0</v>
      </c>
      <c r="K570" s="32" t="str" cm="1">
        <f t="array" ref="K570">IF(AF570&lt;&gt;"",IFERROR(INDEX('Group List A'!B:B,MATCH(AI570,'Group List A'!A:A,0),0),"-"),"")</f>
        <v/>
      </c>
      <c r="L570" s="33">
        <f t="shared" si="125"/>
        <v>0</v>
      </c>
      <c r="M570" s="33">
        <f t="shared" si="126"/>
        <v>0</v>
      </c>
      <c r="N570" s="33">
        <f t="shared" si="127"/>
        <v>0</v>
      </c>
      <c r="O570" s="28"/>
      <c r="P570" s="33">
        <f t="shared" si="128"/>
        <v>0</v>
      </c>
      <c r="Q570" s="35" t="str" cm="1">
        <f t="array" ref="Q570">IF(AF570&lt;&gt;"",IFERROR(INDEX('Group List B'!B:B,MATCH(AI570,'Group List B'!A:A,0),0),"-"),"")</f>
        <v/>
      </c>
      <c r="R570" s="36">
        <f t="shared" si="129"/>
        <v>0</v>
      </c>
      <c r="S570" s="36">
        <f t="shared" si="130"/>
        <v>0</v>
      </c>
      <c r="T570" s="36">
        <f t="shared" si="131"/>
        <v>0</v>
      </c>
      <c r="U570" s="28"/>
      <c r="V570" s="37">
        <f t="shared" si="132"/>
        <v>0</v>
      </c>
      <c r="W570" s="41"/>
      <c r="X570" s="27"/>
      <c r="Y570" s="27"/>
      <c r="Z570" s="27"/>
      <c r="AA570" s="15"/>
      <c r="AB570" s="17"/>
      <c r="AC570" s="17"/>
      <c r="AD570" s="17"/>
      <c r="AE570" s="90"/>
      <c r="AF570" s="82" t="str">
        <f t="shared" si="133"/>
        <v/>
      </c>
      <c r="AG570" s="83" t="str">
        <f t="shared" si="134"/>
        <v/>
      </c>
      <c r="AH570" s="82" t="str">
        <f t="shared" si="135"/>
        <v/>
      </c>
      <c r="AI570" s="82" t="str">
        <f t="shared" si="136"/>
        <v/>
      </c>
      <c r="AJ570" s="90"/>
      <c r="AP570" s="88"/>
    </row>
    <row r="571" spans="1:42" x14ac:dyDescent="0.25">
      <c r="A571" s="2"/>
      <c r="C571" s="68" t="str" cm="1">
        <f t="array" ref="C571">IF(AF571&lt;&gt;"",
IFERROR(INDEX('LaunchPad Markbook'!A:A,MATCH(AH571,'LaunchPad Markbook'!D:D,0),0),"-"),"")</f>
        <v/>
      </c>
      <c r="D571" s="27"/>
      <c r="E571" s="27"/>
      <c r="F571" s="27"/>
      <c r="G571" s="14">
        <f>IF(OR(H571&gt;AB$2,I571&gt;AC$2,J571&gt;AD$2,
P571&gt;1,V571&gt;1,
L571&gt;'Group List A'!E$2,M571&gt;'Group List A'!F$2,N571&gt;'Group List A'!G$2,
R571&gt;'Group List B'!E$2,S571&gt;'Group List B'!F$2,T571&gt;'Group List B'!G$2),"Exceed",
IF(OR(H571=AB$2,I571=AC$2,J571=AD$2,
P571=1,V571=1,
L571='Group List A'!E$2,M571='Group List A'!F$2,N571='Group List A'!G$2,
R571='Group List B'!E$2,S571='Group List B'!F$2,T571='Group List B'!G$2),"Limit",0))</f>
        <v>0</v>
      </c>
      <c r="H571" s="29">
        <f t="shared" si="122"/>
        <v>0</v>
      </c>
      <c r="I571" s="29">
        <f t="shared" si="123"/>
        <v>0</v>
      </c>
      <c r="J571" s="29">
        <f t="shared" si="124"/>
        <v>0</v>
      </c>
      <c r="K571" s="32" t="str" cm="1">
        <f t="array" ref="K571">IF(AF571&lt;&gt;"",IFERROR(INDEX('Group List A'!B:B,MATCH(AI571,'Group List A'!A:A,0),0),"-"),"")</f>
        <v/>
      </c>
      <c r="L571" s="33">
        <f t="shared" si="125"/>
        <v>0</v>
      </c>
      <c r="M571" s="33">
        <f t="shared" si="126"/>
        <v>0</v>
      </c>
      <c r="N571" s="33">
        <f t="shared" si="127"/>
        <v>0</v>
      </c>
      <c r="O571" s="28"/>
      <c r="P571" s="33">
        <f t="shared" si="128"/>
        <v>0</v>
      </c>
      <c r="Q571" s="35" t="str" cm="1">
        <f t="array" ref="Q571">IF(AF571&lt;&gt;"",IFERROR(INDEX('Group List B'!B:B,MATCH(AI571,'Group List B'!A:A,0),0),"-"),"")</f>
        <v/>
      </c>
      <c r="R571" s="36">
        <f t="shared" si="129"/>
        <v>0</v>
      </c>
      <c r="S571" s="36">
        <f t="shared" si="130"/>
        <v>0</v>
      </c>
      <c r="T571" s="36">
        <f t="shared" si="131"/>
        <v>0</v>
      </c>
      <c r="U571" s="28"/>
      <c r="V571" s="37">
        <f t="shared" si="132"/>
        <v>0</v>
      </c>
      <c r="W571" s="41"/>
      <c r="X571" s="27"/>
      <c r="Y571" s="27"/>
      <c r="Z571" s="27"/>
      <c r="AA571" s="15"/>
      <c r="AB571" s="17"/>
      <c r="AC571" s="17"/>
      <c r="AD571" s="17"/>
      <c r="AE571" s="90"/>
      <c r="AF571" s="82" t="str">
        <f t="shared" si="133"/>
        <v/>
      </c>
      <c r="AG571" s="83" t="str">
        <f t="shared" si="134"/>
        <v/>
      </c>
      <c r="AH571" s="82" t="str">
        <f t="shared" si="135"/>
        <v/>
      </c>
      <c r="AI571" s="82" t="str">
        <f t="shared" si="136"/>
        <v/>
      </c>
      <c r="AJ571" s="90"/>
      <c r="AP571" s="88"/>
    </row>
    <row r="572" spans="1:42" x14ac:dyDescent="0.25">
      <c r="A572" s="2"/>
      <c r="C572" s="68" t="str" cm="1">
        <f t="array" ref="C572">IF(AF572&lt;&gt;"",
IFERROR(INDEX('LaunchPad Markbook'!A:A,MATCH(AH572,'LaunchPad Markbook'!D:D,0),0),"-"),"")</f>
        <v/>
      </c>
      <c r="D572" s="27"/>
      <c r="E572" s="27"/>
      <c r="F572" s="27"/>
      <c r="G572" s="14">
        <f>IF(OR(H572&gt;AB$2,I572&gt;AC$2,J572&gt;AD$2,
P572&gt;1,V572&gt;1,
L572&gt;'Group List A'!E$2,M572&gt;'Group List A'!F$2,N572&gt;'Group List A'!G$2,
R572&gt;'Group List B'!E$2,S572&gt;'Group List B'!F$2,T572&gt;'Group List B'!G$2),"Exceed",
IF(OR(H572=AB$2,I572=AC$2,J572=AD$2,
P572=1,V572=1,
L572='Group List A'!E$2,M572='Group List A'!F$2,N572='Group List A'!G$2,
R572='Group List B'!E$2,S572='Group List B'!F$2,T572='Group List B'!G$2),"Limit",0))</f>
        <v>0</v>
      </c>
      <c r="H572" s="29">
        <f t="shared" si="122"/>
        <v>0</v>
      </c>
      <c r="I572" s="29">
        <f t="shared" si="123"/>
        <v>0</v>
      </c>
      <c r="J572" s="29">
        <f t="shared" si="124"/>
        <v>0</v>
      </c>
      <c r="K572" s="32" t="str" cm="1">
        <f t="array" ref="K572">IF(AF572&lt;&gt;"",IFERROR(INDEX('Group List A'!B:B,MATCH(AI572,'Group List A'!A:A,0),0),"-"),"")</f>
        <v/>
      </c>
      <c r="L572" s="33">
        <f t="shared" si="125"/>
        <v>0</v>
      </c>
      <c r="M572" s="33">
        <f t="shared" si="126"/>
        <v>0</v>
      </c>
      <c r="N572" s="33">
        <f t="shared" si="127"/>
        <v>0</v>
      </c>
      <c r="O572" s="28"/>
      <c r="P572" s="33">
        <f t="shared" si="128"/>
        <v>0</v>
      </c>
      <c r="Q572" s="35" t="str" cm="1">
        <f t="array" ref="Q572">IF(AF572&lt;&gt;"",IFERROR(INDEX('Group List B'!B:B,MATCH(AI572,'Group List B'!A:A,0),0),"-"),"")</f>
        <v/>
      </c>
      <c r="R572" s="36">
        <f t="shared" si="129"/>
        <v>0</v>
      </c>
      <c r="S572" s="36">
        <f t="shared" si="130"/>
        <v>0</v>
      </c>
      <c r="T572" s="36">
        <f t="shared" si="131"/>
        <v>0</v>
      </c>
      <c r="U572" s="28"/>
      <c r="V572" s="37">
        <f t="shared" si="132"/>
        <v>0</v>
      </c>
      <c r="W572" s="41"/>
      <c r="X572" s="27"/>
      <c r="Y572" s="27"/>
      <c r="Z572" s="27"/>
      <c r="AA572" s="15"/>
      <c r="AB572" s="17"/>
      <c r="AC572" s="17"/>
      <c r="AD572" s="17"/>
      <c r="AE572" s="90"/>
      <c r="AF572" s="82" t="str">
        <f t="shared" si="133"/>
        <v/>
      </c>
      <c r="AG572" s="83" t="str">
        <f t="shared" si="134"/>
        <v/>
      </c>
      <c r="AH572" s="82" t="str">
        <f t="shared" si="135"/>
        <v/>
      </c>
      <c r="AI572" s="82" t="str">
        <f t="shared" si="136"/>
        <v/>
      </c>
      <c r="AJ572" s="90"/>
      <c r="AP572" s="88"/>
    </row>
    <row r="573" spans="1:42" x14ac:dyDescent="0.25">
      <c r="A573" s="2"/>
      <c r="C573" s="68" t="str" cm="1">
        <f t="array" ref="C573">IF(AF573&lt;&gt;"",
IFERROR(INDEX('LaunchPad Markbook'!A:A,MATCH(AH573,'LaunchPad Markbook'!D:D,0),0),"-"),"")</f>
        <v/>
      </c>
      <c r="D573" s="27"/>
      <c r="E573" s="27"/>
      <c r="F573" s="27"/>
      <c r="G573" s="14">
        <f>IF(OR(H573&gt;AB$2,I573&gt;AC$2,J573&gt;AD$2,
P573&gt;1,V573&gt;1,
L573&gt;'Group List A'!E$2,M573&gt;'Group List A'!F$2,N573&gt;'Group List A'!G$2,
R573&gt;'Group List B'!E$2,S573&gt;'Group List B'!F$2,T573&gt;'Group List B'!G$2),"Exceed",
IF(OR(H573=AB$2,I573=AC$2,J573=AD$2,
P573=1,V573=1,
L573='Group List A'!E$2,M573='Group List A'!F$2,N573='Group List A'!G$2,
R573='Group List B'!E$2,S573='Group List B'!F$2,T573='Group List B'!G$2),"Limit",0))</f>
        <v>0</v>
      </c>
      <c r="H573" s="29">
        <f t="shared" si="122"/>
        <v>0</v>
      </c>
      <c r="I573" s="29">
        <f t="shared" si="123"/>
        <v>0</v>
      </c>
      <c r="J573" s="29">
        <f t="shared" si="124"/>
        <v>0</v>
      </c>
      <c r="K573" s="32" t="str" cm="1">
        <f t="array" ref="K573">IF(AF573&lt;&gt;"",IFERROR(INDEX('Group List A'!B:B,MATCH(AI573,'Group List A'!A:A,0),0),"-"),"")</f>
        <v/>
      </c>
      <c r="L573" s="33">
        <f t="shared" si="125"/>
        <v>0</v>
      </c>
      <c r="M573" s="33">
        <f t="shared" si="126"/>
        <v>0</v>
      </c>
      <c r="N573" s="33">
        <f t="shared" si="127"/>
        <v>0</v>
      </c>
      <c r="O573" s="28"/>
      <c r="P573" s="33">
        <f t="shared" si="128"/>
        <v>0</v>
      </c>
      <c r="Q573" s="35" t="str" cm="1">
        <f t="array" ref="Q573">IF(AF573&lt;&gt;"",IFERROR(INDEX('Group List B'!B:B,MATCH(AI573,'Group List B'!A:A,0),0),"-"),"")</f>
        <v/>
      </c>
      <c r="R573" s="36">
        <f t="shared" si="129"/>
        <v>0</v>
      </c>
      <c r="S573" s="36">
        <f t="shared" si="130"/>
        <v>0</v>
      </c>
      <c r="T573" s="36">
        <f t="shared" si="131"/>
        <v>0</v>
      </c>
      <c r="U573" s="28"/>
      <c r="V573" s="37">
        <f t="shared" si="132"/>
        <v>0</v>
      </c>
      <c r="W573" s="41"/>
      <c r="X573" s="27"/>
      <c r="Y573" s="27"/>
      <c r="Z573" s="27"/>
      <c r="AA573" s="15"/>
      <c r="AB573" s="17"/>
      <c r="AC573" s="17"/>
      <c r="AD573" s="17"/>
      <c r="AE573" s="90"/>
      <c r="AF573" s="82" t="str">
        <f t="shared" si="133"/>
        <v/>
      </c>
      <c r="AG573" s="83" t="str">
        <f t="shared" si="134"/>
        <v/>
      </c>
      <c r="AH573" s="82" t="str">
        <f t="shared" si="135"/>
        <v/>
      </c>
      <c r="AI573" s="82" t="str">
        <f t="shared" si="136"/>
        <v/>
      </c>
      <c r="AJ573" s="90"/>
      <c r="AP573" s="88"/>
    </row>
    <row r="574" spans="1:42" x14ac:dyDescent="0.25">
      <c r="A574" s="2"/>
      <c r="C574" s="68" t="str" cm="1">
        <f t="array" ref="C574">IF(AF574&lt;&gt;"",
IFERROR(INDEX('LaunchPad Markbook'!A:A,MATCH(AH574,'LaunchPad Markbook'!D:D,0),0),"-"),"")</f>
        <v/>
      </c>
      <c r="D574" s="27"/>
      <c r="E574" s="27"/>
      <c r="F574" s="27"/>
      <c r="G574" s="14">
        <f>IF(OR(H574&gt;AB$2,I574&gt;AC$2,J574&gt;AD$2,
P574&gt;1,V574&gt;1,
L574&gt;'Group List A'!E$2,M574&gt;'Group List A'!F$2,N574&gt;'Group List A'!G$2,
R574&gt;'Group List B'!E$2,S574&gt;'Group List B'!F$2,T574&gt;'Group List B'!G$2),"Exceed",
IF(OR(H574=AB$2,I574=AC$2,J574=AD$2,
P574=1,V574=1,
L574='Group List A'!E$2,M574='Group List A'!F$2,N574='Group List A'!G$2,
R574='Group List B'!E$2,S574='Group List B'!F$2,T574='Group List B'!G$2),"Limit",0))</f>
        <v>0</v>
      </c>
      <c r="H574" s="29">
        <f t="shared" si="122"/>
        <v>0</v>
      </c>
      <c r="I574" s="29">
        <f t="shared" si="123"/>
        <v>0</v>
      </c>
      <c r="J574" s="29">
        <f t="shared" si="124"/>
        <v>0</v>
      </c>
      <c r="K574" s="32" t="str" cm="1">
        <f t="array" ref="K574">IF(AF574&lt;&gt;"",IFERROR(INDEX('Group List A'!B:B,MATCH(AI574,'Group List A'!A:A,0),0),"-"),"")</f>
        <v/>
      </c>
      <c r="L574" s="33">
        <f t="shared" si="125"/>
        <v>0</v>
      </c>
      <c r="M574" s="33">
        <f t="shared" si="126"/>
        <v>0</v>
      </c>
      <c r="N574" s="33">
        <f t="shared" si="127"/>
        <v>0</v>
      </c>
      <c r="O574" s="28"/>
      <c r="P574" s="33">
        <f t="shared" si="128"/>
        <v>0</v>
      </c>
      <c r="Q574" s="35" t="str" cm="1">
        <f t="array" ref="Q574">IF(AF574&lt;&gt;"",IFERROR(INDEX('Group List B'!B:B,MATCH(AI574,'Group List B'!A:A,0),0),"-"),"")</f>
        <v/>
      </c>
      <c r="R574" s="36">
        <f t="shared" si="129"/>
        <v>0</v>
      </c>
      <c r="S574" s="36">
        <f t="shared" si="130"/>
        <v>0</v>
      </c>
      <c r="T574" s="36">
        <f t="shared" si="131"/>
        <v>0</v>
      </c>
      <c r="U574" s="28"/>
      <c r="V574" s="37">
        <f t="shared" si="132"/>
        <v>0</v>
      </c>
      <c r="W574" s="41"/>
      <c r="X574" s="27"/>
      <c r="Y574" s="27"/>
      <c r="Z574" s="27"/>
      <c r="AA574" s="15"/>
      <c r="AB574" s="17"/>
      <c r="AC574" s="17"/>
      <c r="AD574" s="17"/>
      <c r="AE574" s="90"/>
      <c r="AF574" s="82" t="str">
        <f t="shared" si="133"/>
        <v/>
      </c>
      <c r="AG574" s="83" t="str">
        <f t="shared" si="134"/>
        <v/>
      </c>
      <c r="AH574" s="82" t="str">
        <f t="shared" si="135"/>
        <v/>
      </c>
      <c r="AI574" s="82" t="str">
        <f t="shared" si="136"/>
        <v/>
      </c>
      <c r="AJ574" s="90"/>
      <c r="AP574" s="88"/>
    </row>
    <row r="575" spans="1:42" x14ac:dyDescent="0.25">
      <c r="A575" s="2"/>
      <c r="C575" s="68" t="str" cm="1">
        <f t="array" ref="C575">IF(AF575&lt;&gt;"",
IFERROR(INDEX('LaunchPad Markbook'!A:A,MATCH(AH575,'LaunchPad Markbook'!D:D,0),0),"-"),"")</f>
        <v/>
      </c>
      <c r="D575" s="27"/>
      <c r="E575" s="27"/>
      <c r="F575" s="27"/>
      <c r="G575" s="14">
        <f>IF(OR(H575&gt;AB$2,I575&gt;AC$2,J575&gt;AD$2,
P575&gt;1,V575&gt;1,
L575&gt;'Group List A'!E$2,M575&gt;'Group List A'!F$2,N575&gt;'Group List A'!G$2,
R575&gt;'Group List B'!E$2,S575&gt;'Group List B'!F$2,T575&gt;'Group List B'!G$2),"Exceed",
IF(OR(H575=AB$2,I575=AC$2,J575=AD$2,
P575=1,V575=1,
L575='Group List A'!E$2,M575='Group List A'!F$2,N575='Group List A'!G$2,
R575='Group List B'!E$2,S575='Group List B'!F$2,T575='Group List B'!G$2),"Limit",0))</f>
        <v>0</v>
      </c>
      <c r="H575" s="29">
        <f t="shared" si="122"/>
        <v>0</v>
      </c>
      <c r="I575" s="29">
        <f t="shared" si="123"/>
        <v>0</v>
      </c>
      <c r="J575" s="29">
        <f t="shared" si="124"/>
        <v>0</v>
      </c>
      <c r="K575" s="32" t="str" cm="1">
        <f t="array" ref="K575">IF(AF575&lt;&gt;"",IFERROR(INDEX('Group List A'!B:B,MATCH(AI575,'Group List A'!A:A,0),0),"-"),"")</f>
        <v/>
      </c>
      <c r="L575" s="33">
        <f t="shared" si="125"/>
        <v>0</v>
      </c>
      <c r="M575" s="33">
        <f t="shared" si="126"/>
        <v>0</v>
      </c>
      <c r="N575" s="33">
        <f t="shared" si="127"/>
        <v>0</v>
      </c>
      <c r="O575" s="28"/>
      <c r="P575" s="33">
        <f t="shared" si="128"/>
        <v>0</v>
      </c>
      <c r="Q575" s="35" t="str" cm="1">
        <f t="array" ref="Q575">IF(AF575&lt;&gt;"",IFERROR(INDEX('Group List B'!B:B,MATCH(AI575,'Group List B'!A:A,0),0),"-"),"")</f>
        <v/>
      </c>
      <c r="R575" s="36">
        <f t="shared" si="129"/>
        <v>0</v>
      </c>
      <c r="S575" s="36">
        <f t="shared" si="130"/>
        <v>0</v>
      </c>
      <c r="T575" s="36">
        <f t="shared" si="131"/>
        <v>0</v>
      </c>
      <c r="U575" s="28"/>
      <c r="V575" s="37">
        <f t="shared" si="132"/>
        <v>0</v>
      </c>
      <c r="W575" s="41"/>
      <c r="X575" s="27"/>
      <c r="Y575" s="27"/>
      <c r="Z575" s="27"/>
      <c r="AA575" s="15"/>
      <c r="AB575" s="17"/>
      <c r="AC575" s="17"/>
      <c r="AD575" s="17"/>
      <c r="AE575" s="90"/>
      <c r="AF575" s="82" t="str">
        <f t="shared" si="133"/>
        <v/>
      </c>
      <c r="AG575" s="83" t="str">
        <f t="shared" si="134"/>
        <v/>
      </c>
      <c r="AH575" s="82" t="str">
        <f t="shared" si="135"/>
        <v/>
      </c>
      <c r="AI575" s="82" t="str">
        <f t="shared" si="136"/>
        <v/>
      </c>
      <c r="AJ575" s="90"/>
      <c r="AP575" s="88"/>
    </row>
    <row r="576" spans="1:42" x14ac:dyDescent="0.25">
      <c r="A576" s="2"/>
      <c r="C576" s="68" t="str" cm="1">
        <f t="array" ref="C576">IF(AF576&lt;&gt;"",
IFERROR(INDEX('LaunchPad Markbook'!A:A,MATCH(AH576,'LaunchPad Markbook'!D:D,0),0),"-"),"")</f>
        <v/>
      </c>
      <c r="D576" s="27"/>
      <c r="E576" s="27"/>
      <c r="F576" s="27"/>
      <c r="G576" s="14">
        <f>IF(OR(H576&gt;AB$2,I576&gt;AC$2,J576&gt;AD$2,
P576&gt;1,V576&gt;1,
L576&gt;'Group List A'!E$2,M576&gt;'Group List A'!F$2,N576&gt;'Group List A'!G$2,
R576&gt;'Group List B'!E$2,S576&gt;'Group List B'!F$2,T576&gt;'Group List B'!G$2),"Exceed",
IF(OR(H576=AB$2,I576=AC$2,J576=AD$2,
P576=1,V576=1,
L576='Group List A'!E$2,M576='Group List A'!F$2,N576='Group List A'!G$2,
R576='Group List B'!E$2,S576='Group List B'!F$2,T576='Group List B'!G$2),"Limit",0))</f>
        <v>0</v>
      </c>
      <c r="H576" s="29">
        <f t="shared" si="122"/>
        <v>0</v>
      </c>
      <c r="I576" s="29">
        <f t="shared" si="123"/>
        <v>0</v>
      </c>
      <c r="J576" s="29">
        <f t="shared" si="124"/>
        <v>0</v>
      </c>
      <c r="K576" s="32" t="str" cm="1">
        <f t="array" ref="K576">IF(AF576&lt;&gt;"",IFERROR(INDEX('Group List A'!B:B,MATCH(AI576,'Group List A'!A:A,0),0),"-"),"")</f>
        <v/>
      </c>
      <c r="L576" s="33">
        <f t="shared" si="125"/>
        <v>0</v>
      </c>
      <c r="M576" s="33">
        <f t="shared" si="126"/>
        <v>0</v>
      </c>
      <c r="N576" s="33">
        <f t="shared" si="127"/>
        <v>0</v>
      </c>
      <c r="O576" s="28"/>
      <c r="P576" s="33">
        <f t="shared" si="128"/>
        <v>0</v>
      </c>
      <c r="Q576" s="35" t="str" cm="1">
        <f t="array" ref="Q576">IF(AF576&lt;&gt;"",IFERROR(INDEX('Group List B'!B:B,MATCH(AI576,'Group List B'!A:A,0),0),"-"),"")</f>
        <v/>
      </c>
      <c r="R576" s="36">
        <f t="shared" si="129"/>
        <v>0</v>
      </c>
      <c r="S576" s="36">
        <f t="shared" si="130"/>
        <v>0</v>
      </c>
      <c r="T576" s="36">
        <f t="shared" si="131"/>
        <v>0</v>
      </c>
      <c r="U576" s="28"/>
      <c r="V576" s="37">
        <f t="shared" si="132"/>
        <v>0</v>
      </c>
      <c r="W576" s="41"/>
      <c r="X576" s="27"/>
      <c r="Y576" s="27"/>
      <c r="Z576" s="27"/>
      <c r="AA576" s="15"/>
      <c r="AB576" s="17"/>
      <c r="AC576" s="17"/>
      <c r="AD576" s="17"/>
      <c r="AE576" s="90"/>
      <c r="AF576" s="82" t="str">
        <f t="shared" si="133"/>
        <v/>
      </c>
      <c r="AG576" s="83" t="str">
        <f t="shared" si="134"/>
        <v/>
      </c>
      <c r="AH576" s="82" t="str">
        <f t="shared" si="135"/>
        <v/>
      </c>
      <c r="AI576" s="82" t="str">
        <f t="shared" si="136"/>
        <v/>
      </c>
      <c r="AJ576" s="90"/>
      <c r="AP576" s="88"/>
    </row>
    <row r="577" spans="1:42" x14ac:dyDescent="0.25">
      <c r="A577" s="2"/>
      <c r="C577" s="68" t="str" cm="1">
        <f t="array" ref="C577">IF(AF577&lt;&gt;"",
IFERROR(INDEX('LaunchPad Markbook'!A:A,MATCH(AH577,'LaunchPad Markbook'!D:D,0),0),"-"),"")</f>
        <v/>
      </c>
      <c r="D577" s="27"/>
      <c r="E577" s="27"/>
      <c r="F577" s="27"/>
      <c r="G577" s="14">
        <f>IF(OR(H577&gt;AB$2,I577&gt;AC$2,J577&gt;AD$2,
P577&gt;1,V577&gt;1,
L577&gt;'Group List A'!E$2,M577&gt;'Group List A'!F$2,N577&gt;'Group List A'!G$2,
R577&gt;'Group List B'!E$2,S577&gt;'Group List B'!F$2,T577&gt;'Group List B'!G$2),"Exceed",
IF(OR(H577=AB$2,I577=AC$2,J577=AD$2,
P577=1,V577=1,
L577='Group List A'!E$2,M577='Group List A'!F$2,N577='Group List A'!G$2,
R577='Group List B'!E$2,S577='Group List B'!F$2,T577='Group List B'!G$2),"Limit",0))</f>
        <v>0</v>
      </c>
      <c r="H577" s="29">
        <f t="shared" si="122"/>
        <v>0</v>
      </c>
      <c r="I577" s="29">
        <f t="shared" si="123"/>
        <v>0</v>
      </c>
      <c r="J577" s="29">
        <f t="shared" si="124"/>
        <v>0</v>
      </c>
      <c r="K577" s="32" t="str" cm="1">
        <f t="array" ref="K577">IF(AF577&lt;&gt;"",IFERROR(INDEX('Group List A'!B:B,MATCH(AI577,'Group List A'!A:A,0),0),"-"),"")</f>
        <v/>
      </c>
      <c r="L577" s="33">
        <f t="shared" si="125"/>
        <v>0</v>
      </c>
      <c r="M577" s="33">
        <f t="shared" si="126"/>
        <v>0</v>
      </c>
      <c r="N577" s="33">
        <f t="shared" si="127"/>
        <v>0</v>
      </c>
      <c r="O577" s="28"/>
      <c r="P577" s="33">
        <f t="shared" si="128"/>
        <v>0</v>
      </c>
      <c r="Q577" s="35" t="str" cm="1">
        <f t="array" ref="Q577">IF(AF577&lt;&gt;"",IFERROR(INDEX('Group List B'!B:B,MATCH(AI577,'Group List B'!A:A,0),0),"-"),"")</f>
        <v/>
      </c>
      <c r="R577" s="36">
        <f t="shared" si="129"/>
        <v>0</v>
      </c>
      <c r="S577" s="36">
        <f t="shared" si="130"/>
        <v>0</v>
      </c>
      <c r="T577" s="36">
        <f t="shared" si="131"/>
        <v>0</v>
      </c>
      <c r="U577" s="28"/>
      <c r="V577" s="37">
        <f t="shared" si="132"/>
        <v>0</v>
      </c>
      <c r="W577" s="41"/>
      <c r="X577" s="27"/>
      <c r="Y577" s="27"/>
      <c r="Z577" s="27"/>
      <c r="AA577" s="15"/>
      <c r="AB577" s="17"/>
      <c r="AC577" s="17"/>
      <c r="AD577" s="17"/>
      <c r="AE577" s="90"/>
      <c r="AF577" s="82" t="str">
        <f t="shared" si="133"/>
        <v/>
      </c>
      <c r="AG577" s="83" t="str">
        <f t="shared" si="134"/>
        <v/>
      </c>
      <c r="AH577" s="82" t="str">
        <f t="shared" si="135"/>
        <v/>
      </c>
      <c r="AI577" s="82" t="str">
        <f t="shared" si="136"/>
        <v/>
      </c>
      <c r="AJ577" s="90"/>
      <c r="AP577" s="88"/>
    </row>
    <row r="578" spans="1:42" x14ac:dyDescent="0.25">
      <c r="A578" s="2"/>
      <c r="C578" s="68" t="str" cm="1">
        <f t="array" ref="C578">IF(AF578&lt;&gt;"",
IFERROR(INDEX('LaunchPad Markbook'!A:A,MATCH(AH578,'LaunchPad Markbook'!D:D,0),0),"-"),"")</f>
        <v/>
      </c>
      <c r="D578" s="27"/>
      <c r="E578" s="27"/>
      <c r="F578" s="27"/>
      <c r="G578" s="14">
        <f>IF(OR(H578&gt;AB$2,I578&gt;AC$2,J578&gt;AD$2,
P578&gt;1,V578&gt;1,
L578&gt;'Group List A'!E$2,M578&gt;'Group List A'!F$2,N578&gt;'Group List A'!G$2,
R578&gt;'Group List B'!E$2,S578&gt;'Group List B'!F$2,T578&gt;'Group List B'!G$2),"Exceed",
IF(OR(H578=AB$2,I578=AC$2,J578=AD$2,
P578=1,V578=1,
L578='Group List A'!E$2,M578='Group List A'!F$2,N578='Group List A'!G$2,
R578='Group List B'!E$2,S578='Group List B'!F$2,T578='Group List B'!G$2),"Limit",0))</f>
        <v>0</v>
      </c>
      <c r="H578" s="29">
        <f t="shared" si="122"/>
        <v>0</v>
      </c>
      <c r="I578" s="29">
        <f t="shared" si="123"/>
        <v>0</v>
      </c>
      <c r="J578" s="29">
        <f t="shared" si="124"/>
        <v>0</v>
      </c>
      <c r="K578" s="32" t="str" cm="1">
        <f t="array" ref="K578">IF(AF578&lt;&gt;"",IFERROR(INDEX('Group List A'!B:B,MATCH(AI578,'Group List A'!A:A,0),0),"-"),"")</f>
        <v/>
      </c>
      <c r="L578" s="33">
        <f t="shared" si="125"/>
        <v>0</v>
      </c>
      <c r="M578" s="33">
        <f t="shared" si="126"/>
        <v>0</v>
      </c>
      <c r="N578" s="33">
        <f t="shared" si="127"/>
        <v>0</v>
      </c>
      <c r="O578" s="28"/>
      <c r="P578" s="33">
        <f t="shared" si="128"/>
        <v>0</v>
      </c>
      <c r="Q578" s="35" t="str" cm="1">
        <f t="array" ref="Q578">IF(AF578&lt;&gt;"",IFERROR(INDEX('Group List B'!B:B,MATCH(AI578,'Group List B'!A:A,0),0),"-"),"")</f>
        <v/>
      </c>
      <c r="R578" s="36">
        <f t="shared" si="129"/>
        <v>0</v>
      </c>
      <c r="S578" s="36">
        <f t="shared" si="130"/>
        <v>0</v>
      </c>
      <c r="T578" s="36">
        <f t="shared" si="131"/>
        <v>0</v>
      </c>
      <c r="U578" s="28"/>
      <c r="V578" s="37">
        <f t="shared" si="132"/>
        <v>0</v>
      </c>
      <c r="W578" s="41"/>
      <c r="X578" s="27"/>
      <c r="Y578" s="27"/>
      <c r="Z578" s="27"/>
      <c r="AA578" s="15"/>
      <c r="AB578" s="17"/>
      <c r="AC578" s="17"/>
      <c r="AD578" s="17"/>
      <c r="AE578" s="90"/>
      <c r="AF578" s="82" t="str">
        <f t="shared" si="133"/>
        <v/>
      </c>
      <c r="AG578" s="83" t="str">
        <f t="shared" si="134"/>
        <v/>
      </c>
      <c r="AH578" s="82" t="str">
        <f t="shared" si="135"/>
        <v/>
      </c>
      <c r="AI578" s="82" t="str">
        <f t="shared" si="136"/>
        <v/>
      </c>
      <c r="AJ578" s="90"/>
      <c r="AP578" s="88"/>
    </row>
    <row r="579" spans="1:42" x14ac:dyDescent="0.25">
      <c r="A579" s="2"/>
      <c r="C579" s="68" t="str" cm="1">
        <f t="array" ref="C579">IF(AF579&lt;&gt;"",
IFERROR(INDEX('LaunchPad Markbook'!A:A,MATCH(AH579,'LaunchPad Markbook'!D:D,0),0),"-"),"")</f>
        <v/>
      </c>
      <c r="D579" s="27"/>
      <c r="E579" s="27"/>
      <c r="F579" s="27"/>
      <c r="G579" s="14">
        <f>IF(OR(H579&gt;AB$2,I579&gt;AC$2,J579&gt;AD$2,
P579&gt;1,V579&gt;1,
L579&gt;'Group List A'!E$2,M579&gt;'Group List A'!F$2,N579&gt;'Group List A'!G$2,
R579&gt;'Group List B'!E$2,S579&gt;'Group List B'!F$2,T579&gt;'Group List B'!G$2),"Exceed",
IF(OR(H579=AB$2,I579=AC$2,J579=AD$2,
P579=1,V579=1,
L579='Group List A'!E$2,M579='Group List A'!F$2,N579='Group List A'!G$2,
R579='Group List B'!E$2,S579='Group List B'!F$2,T579='Group List B'!G$2),"Limit",0))</f>
        <v>0</v>
      </c>
      <c r="H579" s="29">
        <f t="shared" ref="H579:H642" si="137">IF(AND(K579="-",Q579="-"),
SUMIFS(D$2:D$2000,$AH$2:$AH$2000,$AH579),0)</f>
        <v>0</v>
      </c>
      <c r="I579" s="29">
        <f t="shared" ref="I579:I642" si="138">IF(AND(K579="-",Q579="-"),
SUMIFS(E$2:E$2000,$AH$2:$AH$2000,$AH579),0)</f>
        <v>0</v>
      </c>
      <c r="J579" s="29">
        <f t="shared" ref="J579:J642" si="139">IF(AND(K579="-",Q579="-"),
SUMIFS(F$2:F$2000,$AH$2:$AH$2000,$AH579),0)</f>
        <v>0</v>
      </c>
      <c r="K579" s="32" t="str" cm="1">
        <f t="array" ref="K579">IF(AF579&lt;&gt;"",IFERROR(INDEX('Group List A'!B:B,MATCH(AI579,'Group List A'!A:A,0),0),"-"),"")</f>
        <v/>
      </c>
      <c r="L579" s="33">
        <f t="shared" ref="L579:L642" si="140">IF($K579&lt;&gt;"-",SUMIFS(D$2:D$2000,$K$2:$K$2000,$K579),0)</f>
        <v>0</v>
      </c>
      <c r="M579" s="33">
        <f t="shared" ref="M579:M642" si="141">IF($K579&lt;&gt;"-",SUMIFS(E$2:E$2000,$K$2:$K$2000,$K579),0)</f>
        <v>0</v>
      </c>
      <c r="N579" s="33">
        <f t="shared" ref="N579:N642" si="142">IF($K579&lt;&gt;"-",SUMIFS(F$2:F$2000,$K$2:$K$2000,$K579),0)</f>
        <v>0</v>
      </c>
      <c r="O579" s="28"/>
      <c r="P579" s="33">
        <f t="shared" ref="P579:P642" si="143">SUMIFS(O$2:O$2000,$AH$2:$AH$2000,$AH579)</f>
        <v>0</v>
      </c>
      <c r="Q579" s="35" t="str" cm="1">
        <f t="array" ref="Q579">IF(AF579&lt;&gt;"",IFERROR(INDEX('Group List B'!B:B,MATCH(AI579,'Group List B'!A:A,0),0),"-"),"")</f>
        <v/>
      </c>
      <c r="R579" s="36">
        <f t="shared" ref="R579:R642" si="144">IF($Q579&lt;&gt;"-",SUMIFS(D$2:D$2000,$Q$2:$Q$2000,$Q579),0)</f>
        <v>0</v>
      </c>
      <c r="S579" s="36">
        <f t="shared" ref="S579:S642" si="145">IF($Q579&lt;&gt;"-",SUMIFS(E$2:E$2000,$Q$2:$Q$2000,$Q579),0)</f>
        <v>0</v>
      </c>
      <c r="T579" s="36">
        <f t="shared" ref="T579:T642" si="146">IF($Q579&lt;&gt;"-",SUMIFS(F$2:F$2000,$Q$2:$Q$2000,$Q579),0)</f>
        <v>0</v>
      </c>
      <c r="U579" s="28"/>
      <c r="V579" s="37">
        <f t="shared" ref="V579:V642" si="147">SUMIFS(U$2:U$2000,$AH$2:$AH$2000,$AH579)</f>
        <v>0</v>
      </c>
      <c r="W579" s="41"/>
      <c r="X579" s="27"/>
      <c r="Y579" s="27"/>
      <c r="Z579" s="27"/>
      <c r="AA579" s="15"/>
      <c r="AB579" s="17"/>
      <c r="AC579" s="17"/>
      <c r="AD579" s="17"/>
      <c r="AE579" s="90"/>
      <c r="AF579" s="82" t="str">
        <f t="shared" ref="AF579:AF642" si="148">IF(A579&lt;&gt;"",A579,"")</f>
        <v/>
      </c>
      <c r="AG579" s="83" t="str">
        <f t="shared" ref="AG579:AG642" si="149">IF(MID(AF579,1,1)="N","STUDENT",
IF(MID(AF579,1,1)="S","STAFF",
IF(MID(AF579,1,1)="V","VISITOR",
IF(AF579&lt;&gt;"","ERROR",""))))</f>
        <v/>
      </c>
      <c r="AH579" s="82" t="str">
        <f t="shared" ref="AH579:AH642" si="150">IF(AG579="STUDENT","N"&amp;(MID(AF579,2,8)-0),
IF(AG579="STAFF","S"&amp;MID(AF579,2,8),""))</f>
        <v/>
      </c>
      <c r="AI579" s="82" t="str">
        <f t="shared" ref="AI579:AI642" si="151">IF(AG579="STUDENT",(MID(AF579,2,8)-0),
IF(AG579="STAFF","STAFF",""))</f>
        <v/>
      </c>
      <c r="AJ579" s="90"/>
      <c r="AP579" s="88"/>
    </row>
    <row r="580" spans="1:42" x14ac:dyDescent="0.25">
      <c r="A580" s="2"/>
      <c r="C580" s="68" t="str" cm="1">
        <f t="array" ref="C580">IF(AF580&lt;&gt;"",
IFERROR(INDEX('LaunchPad Markbook'!A:A,MATCH(AH580,'LaunchPad Markbook'!D:D,0),0),"-"),"")</f>
        <v/>
      </c>
      <c r="D580" s="27"/>
      <c r="E580" s="27"/>
      <c r="F580" s="27"/>
      <c r="G580" s="14">
        <f>IF(OR(H580&gt;AB$2,I580&gt;AC$2,J580&gt;AD$2,
P580&gt;1,V580&gt;1,
L580&gt;'Group List A'!E$2,M580&gt;'Group List A'!F$2,N580&gt;'Group List A'!G$2,
R580&gt;'Group List B'!E$2,S580&gt;'Group List B'!F$2,T580&gt;'Group List B'!G$2),"Exceed",
IF(OR(H580=AB$2,I580=AC$2,J580=AD$2,
P580=1,V580=1,
L580='Group List A'!E$2,M580='Group List A'!F$2,N580='Group List A'!G$2,
R580='Group List B'!E$2,S580='Group List B'!F$2,T580='Group List B'!G$2),"Limit",0))</f>
        <v>0</v>
      </c>
      <c r="H580" s="29">
        <f t="shared" si="137"/>
        <v>0</v>
      </c>
      <c r="I580" s="29">
        <f t="shared" si="138"/>
        <v>0</v>
      </c>
      <c r="J580" s="29">
        <f t="shared" si="139"/>
        <v>0</v>
      </c>
      <c r="K580" s="32" t="str" cm="1">
        <f t="array" ref="K580">IF(AF580&lt;&gt;"",IFERROR(INDEX('Group List A'!B:B,MATCH(AI580,'Group List A'!A:A,0),0),"-"),"")</f>
        <v/>
      </c>
      <c r="L580" s="33">
        <f t="shared" si="140"/>
        <v>0</v>
      </c>
      <c r="M580" s="33">
        <f t="shared" si="141"/>
        <v>0</v>
      </c>
      <c r="N580" s="33">
        <f t="shared" si="142"/>
        <v>0</v>
      </c>
      <c r="O580" s="28"/>
      <c r="P580" s="33">
        <f t="shared" si="143"/>
        <v>0</v>
      </c>
      <c r="Q580" s="35" t="str" cm="1">
        <f t="array" ref="Q580">IF(AF580&lt;&gt;"",IFERROR(INDEX('Group List B'!B:B,MATCH(AI580,'Group List B'!A:A,0),0),"-"),"")</f>
        <v/>
      </c>
      <c r="R580" s="36">
        <f t="shared" si="144"/>
        <v>0</v>
      </c>
      <c r="S580" s="36">
        <f t="shared" si="145"/>
        <v>0</v>
      </c>
      <c r="T580" s="36">
        <f t="shared" si="146"/>
        <v>0</v>
      </c>
      <c r="U580" s="28"/>
      <c r="V580" s="37">
        <f t="shared" si="147"/>
        <v>0</v>
      </c>
      <c r="W580" s="41"/>
      <c r="X580" s="27"/>
      <c r="Y580" s="27"/>
      <c r="Z580" s="27"/>
      <c r="AA580" s="15"/>
      <c r="AB580" s="17"/>
      <c r="AC580" s="17"/>
      <c r="AD580" s="17"/>
      <c r="AE580" s="90"/>
      <c r="AF580" s="82" t="str">
        <f t="shared" si="148"/>
        <v/>
      </c>
      <c r="AG580" s="83" t="str">
        <f t="shared" si="149"/>
        <v/>
      </c>
      <c r="AH580" s="82" t="str">
        <f t="shared" si="150"/>
        <v/>
      </c>
      <c r="AI580" s="82" t="str">
        <f t="shared" si="151"/>
        <v/>
      </c>
      <c r="AJ580" s="90"/>
      <c r="AP580" s="88"/>
    </row>
    <row r="581" spans="1:42" x14ac:dyDescent="0.25">
      <c r="A581" s="2"/>
      <c r="C581" s="68" t="str" cm="1">
        <f t="array" ref="C581">IF(AF581&lt;&gt;"",
IFERROR(INDEX('LaunchPad Markbook'!A:A,MATCH(AH581,'LaunchPad Markbook'!D:D,0),0),"-"),"")</f>
        <v/>
      </c>
      <c r="D581" s="27"/>
      <c r="E581" s="27"/>
      <c r="F581" s="27"/>
      <c r="G581" s="14">
        <f>IF(OR(H581&gt;AB$2,I581&gt;AC$2,J581&gt;AD$2,
P581&gt;1,V581&gt;1,
L581&gt;'Group List A'!E$2,M581&gt;'Group List A'!F$2,N581&gt;'Group List A'!G$2,
R581&gt;'Group List B'!E$2,S581&gt;'Group List B'!F$2,T581&gt;'Group List B'!G$2),"Exceed",
IF(OR(H581=AB$2,I581=AC$2,J581=AD$2,
P581=1,V581=1,
L581='Group List A'!E$2,M581='Group List A'!F$2,N581='Group List A'!G$2,
R581='Group List B'!E$2,S581='Group List B'!F$2,T581='Group List B'!G$2),"Limit",0))</f>
        <v>0</v>
      </c>
      <c r="H581" s="29">
        <f t="shared" si="137"/>
        <v>0</v>
      </c>
      <c r="I581" s="29">
        <f t="shared" si="138"/>
        <v>0</v>
      </c>
      <c r="J581" s="29">
        <f t="shared" si="139"/>
        <v>0</v>
      </c>
      <c r="K581" s="32" t="str" cm="1">
        <f t="array" ref="K581">IF(AF581&lt;&gt;"",IFERROR(INDEX('Group List A'!B:B,MATCH(AI581,'Group List A'!A:A,0),0),"-"),"")</f>
        <v/>
      </c>
      <c r="L581" s="33">
        <f t="shared" si="140"/>
        <v>0</v>
      </c>
      <c r="M581" s="33">
        <f t="shared" si="141"/>
        <v>0</v>
      </c>
      <c r="N581" s="33">
        <f t="shared" si="142"/>
        <v>0</v>
      </c>
      <c r="O581" s="28"/>
      <c r="P581" s="33">
        <f t="shared" si="143"/>
        <v>0</v>
      </c>
      <c r="Q581" s="35" t="str" cm="1">
        <f t="array" ref="Q581">IF(AF581&lt;&gt;"",IFERROR(INDEX('Group List B'!B:B,MATCH(AI581,'Group List B'!A:A,0),0),"-"),"")</f>
        <v/>
      </c>
      <c r="R581" s="36">
        <f t="shared" si="144"/>
        <v>0</v>
      </c>
      <c r="S581" s="36">
        <f t="shared" si="145"/>
        <v>0</v>
      </c>
      <c r="T581" s="36">
        <f t="shared" si="146"/>
        <v>0</v>
      </c>
      <c r="U581" s="28"/>
      <c r="V581" s="37">
        <f t="shared" si="147"/>
        <v>0</v>
      </c>
      <c r="W581" s="41"/>
      <c r="X581" s="27"/>
      <c r="Y581" s="27"/>
      <c r="Z581" s="27"/>
      <c r="AA581" s="15"/>
      <c r="AB581" s="17"/>
      <c r="AC581" s="17"/>
      <c r="AD581" s="17"/>
      <c r="AE581" s="90"/>
      <c r="AF581" s="82" t="str">
        <f t="shared" si="148"/>
        <v/>
      </c>
      <c r="AG581" s="83" t="str">
        <f t="shared" si="149"/>
        <v/>
      </c>
      <c r="AH581" s="82" t="str">
        <f t="shared" si="150"/>
        <v/>
      </c>
      <c r="AI581" s="82" t="str">
        <f t="shared" si="151"/>
        <v/>
      </c>
      <c r="AJ581" s="90"/>
      <c r="AP581" s="88"/>
    </row>
    <row r="582" spans="1:42" x14ac:dyDescent="0.25">
      <c r="A582" s="2"/>
      <c r="C582" s="68" t="str" cm="1">
        <f t="array" ref="C582">IF(AF582&lt;&gt;"",
IFERROR(INDEX('LaunchPad Markbook'!A:A,MATCH(AH582,'LaunchPad Markbook'!D:D,0),0),"-"),"")</f>
        <v/>
      </c>
      <c r="D582" s="27"/>
      <c r="E582" s="27"/>
      <c r="F582" s="27"/>
      <c r="G582" s="14">
        <f>IF(OR(H582&gt;AB$2,I582&gt;AC$2,J582&gt;AD$2,
P582&gt;1,V582&gt;1,
L582&gt;'Group List A'!E$2,M582&gt;'Group List A'!F$2,N582&gt;'Group List A'!G$2,
R582&gt;'Group List B'!E$2,S582&gt;'Group List B'!F$2,T582&gt;'Group List B'!G$2),"Exceed",
IF(OR(H582=AB$2,I582=AC$2,J582=AD$2,
P582=1,V582=1,
L582='Group List A'!E$2,M582='Group List A'!F$2,N582='Group List A'!G$2,
R582='Group List B'!E$2,S582='Group List B'!F$2,T582='Group List B'!G$2),"Limit",0))</f>
        <v>0</v>
      </c>
      <c r="H582" s="29">
        <f t="shared" si="137"/>
        <v>0</v>
      </c>
      <c r="I582" s="29">
        <f t="shared" si="138"/>
        <v>0</v>
      </c>
      <c r="J582" s="29">
        <f t="shared" si="139"/>
        <v>0</v>
      </c>
      <c r="K582" s="32" t="str" cm="1">
        <f t="array" ref="K582">IF(AF582&lt;&gt;"",IFERROR(INDEX('Group List A'!B:B,MATCH(AI582,'Group List A'!A:A,0),0),"-"),"")</f>
        <v/>
      </c>
      <c r="L582" s="33">
        <f t="shared" si="140"/>
        <v>0</v>
      </c>
      <c r="M582" s="33">
        <f t="shared" si="141"/>
        <v>0</v>
      </c>
      <c r="N582" s="33">
        <f t="shared" si="142"/>
        <v>0</v>
      </c>
      <c r="O582" s="28"/>
      <c r="P582" s="33">
        <f t="shared" si="143"/>
        <v>0</v>
      </c>
      <c r="Q582" s="35" t="str" cm="1">
        <f t="array" ref="Q582">IF(AF582&lt;&gt;"",IFERROR(INDEX('Group List B'!B:B,MATCH(AI582,'Group List B'!A:A,0),0),"-"),"")</f>
        <v/>
      </c>
      <c r="R582" s="36">
        <f t="shared" si="144"/>
        <v>0</v>
      </c>
      <c r="S582" s="36">
        <f t="shared" si="145"/>
        <v>0</v>
      </c>
      <c r="T582" s="36">
        <f t="shared" si="146"/>
        <v>0</v>
      </c>
      <c r="U582" s="28"/>
      <c r="V582" s="37">
        <f t="shared" si="147"/>
        <v>0</v>
      </c>
      <c r="W582" s="41"/>
      <c r="X582" s="27"/>
      <c r="Y582" s="27"/>
      <c r="Z582" s="27"/>
      <c r="AA582" s="15"/>
      <c r="AB582" s="17"/>
      <c r="AC582" s="17"/>
      <c r="AD582" s="17"/>
      <c r="AE582" s="90"/>
      <c r="AF582" s="82" t="str">
        <f t="shared" si="148"/>
        <v/>
      </c>
      <c r="AG582" s="83" t="str">
        <f t="shared" si="149"/>
        <v/>
      </c>
      <c r="AH582" s="82" t="str">
        <f t="shared" si="150"/>
        <v/>
      </c>
      <c r="AI582" s="82" t="str">
        <f t="shared" si="151"/>
        <v/>
      </c>
      <c r="AJ582" s="90"/>
      <c r="AP582" s="88"/>
    </row>
    <row r="583" spans="1:42" x14ac:dyDescent="0.25">
      <c r="A583" s="2"/>
      <c r="C583" s="68" t="str" cm="1">
        <f t="array" ref="C583">IF(AF583&lt;&gt;"",
IFERROR(INDEX('LaunchPad Markbook'!A:A,MATCH(AH583,'LaunchPad Markbook'!D:D,0),0),"-"),"")</f>
        <v/>
      </c>
      <c r="D583" s="27"/>
      <c r="E583" s="27"/>
      <c r="F583" s="27"/>
      <c r="G583" s="14">
        <f>IF(OR(H583&gt;AB$2,I583&gt;AC$2,J583&gt;AD$2,
P583&gt;1,V583&gt;1,
L583&gt;'Group List A'!E$2,M583&gt;'Group List A'!F$2,N583&gt;'Group List A'!G$2,
R583&gt;'Group List B'!E$2,S583&gt;'Group List B'!F$2,T583&gt;'Group List B'!G$2),"Exceed",
IF(OR(H583=AB$2,I583=AC$2,J583=AD$2,
P583=1,V583=1,
L583='Group List A'!E$2,M583='Group List A'!F$2,N583='Group List A'!G$2,
R583='Group List B'!E$2,S583='Group List B'!F$2,T583='Group List B'!G$2),"Limit",0))</f>
        <v>0</v>
      </c>
      <c r="H583" s="29">
        <f t="shared" si="137"/>
        <v>0</v>
      </c>
      <c r="I583" s="29">
        <f t="shared" si="138"/>
        <v>0</v>
      </c>
      <c r="J583" s="29">
        <f t="shared" si="139"/>
        <v>0</v>
      </c>
      <c r="K583" s="32" t="str" cm="1">
        <f t="array" ref="K583">IF(AF583&lt;&gt;"",IFERROR(INDEX('Group List A'!B:B,MATCH(AI583,'Group List A'!A:A,0),0),"-"),"")</f>
        <v/>
      </c>
      <c r="L583" s="33">
        <f t="shared" si="140"/>
        <v>0</v>
      </c>
      <c r="M583" s="33">
        <f t="shared" si="141"/>
        <v>0</v>
      </c>
      <c r="N583" s="33">
        <f t="shared" si="142"/>
        <v>0</v>
      </c>
      <c r="O583" s="28"/>
      <c r="P583" s="33">
        <f t="shared" si="143"/>
        <v>0</v>
      </c>
      <c r="Q583" s="35" t="str" cm="1">
        <f t="array" ref="Q583">IF(AF583&lt;&gt;"",IFERROR(INDEX('Group List B'!B:B,MATCH(AI583,'Group List B'!A:A,0),0),"-"),"")</f>
        <v/>
      </c>
      <c r="R583" s="36">
        <f t="shared" si="144"/>
        <v>0</v>
      </c>
      <c r="S583" s="36">
        <f t="shared" si="145"/>
        <v>0</v>
      </c>
      <c r="T583" s="36">
        <f t="shared" si="146"/>
        <v>0</v>
      </c>
      <c r="U583" s="28"/>
      <c r="V583" s="37">
        <f t="shared" si="147"/>
        <v>0</v>
      </c>
      <c r="W583" s="41"/>
      <c r="X583" s="27"/>
      <c r="Y583" s="27"/>
      <c r="Z583" s="27"/>
      <c r="AA583" s="15"/>
      <c r="AB583" s="17"/>
      <c r="AC583" s="17"/>
      <c r="AD583" s="17"/>
      <c r="AE583" s="90"/>
      <c r="AF583" s="82" t="str">
        <f t="shared" si="148"/>
        <v/>
      </c>
      <c r="AG583" s="83" t="str">
        <f t="shared" si="149"/>
        <v/>
      </c>
      <c r="AH583" s="82" t="str">
        <f t="shared" si="150"/>
        <v/>
      </c>
      <c r="AI583" s="82" t="str">
        <f t="shared" si="151"/>
        <v/>
      </c>
      <c r="AJ583" s="90"/>
      <c r="AP583" s="88"/>
    </row>
    <row r="584" spans="1:42" x14ac:dyDescent="0.25">
      <c r="A584" s="2"/>
      <c r="C584" s="68" t="str" cm="1">
        <f t="array" ref="C584">IF(AF584&lt;&gt;"",
IFERROR(INDEX('LaunchPad Markbook'!A:A,MATCH(AH584,'LaunchPad Markbook'!D:D,0),0),"-"),"")</f>
        <v/>
      </c>
      <c r="D584" s="27"/>
      <c r="E584" s="27"/>
      <c r="F584" s="27"/>
      <c r="G584" s="14">
        <f>IF(OR(H584&gt;AB$2,I584&gt;AC$2,J584&gt;AD$2,
P584&gt;1,V584&gt;1,
L584&gt;'Group List A'!E$2,M584&gt;'Group List A'!F$2,N584&gt;'Group List A'!G$2,
R584&gt;'Group List B'!E$2,S584&gt;'Group List B'!F$2,T584&gt;'Group List B'!G$2),"Exceed",
IF(OR(H584=AB$2,I584=AC$2,J584=AD$2,
P584=1,V584=1,
L584='Group List A'!E$2,M584='Group List A'!F$2,N584='Group List A'!G$2,
R584='Group List B'!E$2,S584='Group List B'!F$2,T584='Group List B'!G$2),"Limit",0))</f>
        <v>0</v>
      </c>
      <c r="H584" s="29">
        <f t="shared" si="137"/>
        <v>0</v>
      </c>
      <c r="I584" s="29">
        <f t="shared" si="138"/>
        <v>0</v>
      </c>
      <c r="J584" s="29">
        <f t="shared" si="139"/>
        <v>0</v>
      </c>
      <c r="K584" s="32" t="str" cm="1">
        <f t="array" ref="K584">IF(AF584&lt;&gt;"",IFERROR(INDEX('Group List A'!B:B,MATCH(AI584,'Group List A'!A:A,0),0),"-"),"")</f>
        <v/>
      </c>
      <c r="L584" s="33">
        <f t="shared" si="140"/>
        <v>0</v>
      </c>
      <c r="M584" s="33">
        <f t="shared" si="141"/>
        <v>0</v>
      </c>
      <c r="N584" s="33">
        <f t="shared" si="142"/>
        <v>0</v>
      </c>
      <c r="O584" s="28"/>
      <c r="P584" s="33">
        <f t="shared" si="143"/>
        <v>0</v>
      </c>
      <c r="Q584" s="35" t="str" cm="1">
        <f t="array" ref="Q584">IF(AF584&lt;&gt;"",IFERROR(INDEX('Group List B'!B:B,MATCH(AI584,'Group List B'!A:A,0),0),"-"),"")</f>
        <v/>
      </c>
      <c r="R584" s="36">
        <f t="shared" si="144"/>
        <v>0</v>
      </c>
      <c r="S584" s="36">
        <f t="shared" si="145"/>
        <v>0</v>
      </c>
      <c r="T584" s="36">
        <f t="shared" si="146"/>
        <v>0</v>
      </c>
      <c r="U584" s="28"/>
      <c r="V584" s="37">
        <f t="shared" si="147"/>
        <v>0</v>
      </c>
      <c r="W584" s="41"/>
      <c r="X584" s="27"/>
      <c r="Y584" s="27"/>
      <c r="Z584" s="27"/>
      <c r="AA584" s="15"/>
      <c r="AB584" s="17"/>
      <c r="AC584" s="17"/>
      <c r="AD584" s="17"/>
      <c r="AE584" s="90"/>
      <c r="AF584" s="82" t="str">
        <f t="shared" si="148"/>
        <v/>
      </c>
      <c r="AG584" s="83" t="str">
        <f t="shared" si="149"/>
        <v/>
      </c>
      <c r="AH584" s="82" t="str">
        <f t="shared" si="150"/>
        <v/>
      </c>
      <c r="AI584" s="82" t="str">
        <f t="shared" si="151"/>
        <v/>
      </c>
      <c r="AJ584" s="90"/>
      <c r="AP584" s="88"/>
    </row>
    <row r="585" spans="1:42" x14ac:dyDescent="0.25">
      <c r="A585" s="2"/>
      <c r="C585" s="68" t="str" cm="1">
        <f t="array" ref="C585">IF(AF585&lt;&gt;"",
IFERROR(INDEX('LaunchPad Markbook'!A:A,MATCH(AH585,'LaunchPad Markbook'!D:D,0),0),"-"),"")</f>
        <v/>
      </c>
      <c r="D585" s="27"/>
      <c r="E585" s="27"/>
      <c r="F585" s="27"/>
      <c r="G585" s="14">
        <f>IF(OR(H585&gt;AB$2,I585&gt;AC$2,J585&gt;AD$2,
P585&gt;1,V585&gt;1,
L585&gt;'Group List A'!E$2,M585&gt;'Group List A'!F$2,N585&gt;'Group List A'!G$2,
R585&gt;'Group List B'!E$2,S585&gt;'Group List B'!F$2,T585&gt;'Group List B'!G$2),"Exceed",
IF(OR(H585=AB$2,I585=AC$2,J585=AD$2,
P585=1,V585=1,
L585='Group List A'!E$2,M585='Group List A'!F$2,N585='Group List A'!G$2,
R585='Group List B'!E$2,S585='Group List B'!F$2,T585='Group List B'!G$2),"Limit",0))</f>
        <v>0</v>
      </c>
      <c r="H585" s="29">
        <f t="shared" si="137"/>
        <v>0</v>
      </c>
      <c r="I585" s="29">
        <f t="shared" si="138"/>
        <v>0</v>
      </c>
      <c r="J585" s="29">
        <f t="shared" si="139"/>
        <v>0</v>
      </c>
      <c r="K585" s="32" t="str" cm="1">
        <f t="array" ref="K585">IF(AF585&lt;&gt;"",IFERROR(INDEX('Group List A'!B:B,MATCH(AI585,'Group List A'!A:A,0),0),"-"),"")</f>
        <v/>
      </c>
      <c r="L585" s="33">
        <f t="shared" si="140"/>
        <v>0</v>
      </c>
      <c r="M585" s="33">
        <f t="shared" si="141"/>
        <v>0</v>
      </c>
      <c r="N585" s="33">
        <f t="shared" si="142"/>
        <v>0</v>
      </c>
      <c r="O585" s="28"/>
      <c r="P585" s="33">
        <f t="shared" si="143"/>
        <v>0</v>
      </c>
      <c r="Q585" s="35" t="str" cm="1">
        <f t="array" ref="Q585">IF(AF585&lt;&gt;"",IFERROR(INDEX('Group List B'!B:B,MATCH(AI585,'Group List B'!A:A,0),0),"-"),"")</f>
        <v/>
      </c>
      <c r="R585" s="36">
        <f t="shared" si="144"/>
        <v>0</v>
      </c>
      <c r="S585" s="36">
        <f t="shared" si="145"/>
        <v>0</v>
      </c>
      <c r="T585" s="36">
        <f t="shared" si="146"/>
        <v>0</v>
      </c>
      <c r="U585" s="28"/>
      <c r="V585" s="37">
        <f t="shared" si="147"/>
        <v>0</v>
      </c>
      <c r="W585" s="41"/>
      <c r="X585" s="27"/>
      <c r="Y585" s="27"/>
      <c r="Z585" s="27"/>
      <c r="AA585" s="15"/>
      <c r="AB585" s="17"/>
      <c r="AC585" s="17"/>
      <c r="AD585" s="17"/>
      <c r="AE585" s="90"/>
      <c r="AF585" s="82" t="str">
        <f t="shared" si="148"/>
        <v/>
      </c>
      <c r="AG585" s="83" t="str">
        <f t="shared" si="149"/>
        <v/>
      </c>
      <c r="AH585" s="82" t="str">
        <f t="shared" si="150"/>
        <v/>
      </c>
      <c r="AI585" s="82" t="str">
        <f t="shared" si="151"/>
        <v/>
      </c>
      <c r="AJ585" s="90"/>
      <c r="AP585" s="88"/>
    </row>
    <row r="586" spans="1:42" x14ac:dyDescent="0.25">
      <c r="A586" s="2"/>
      <c r="C586" s="68" t="str" cm="1">
        <f t="array" ref="C586">IF(AF586&lt;&gt;"",
IFERROR(INDEX('LaunchPad Markbook'!A:A,MATCH(AH586,'LaunchPad Markbook'!D:D,0),0),"-"),"")</f>
        <v/>
      </c>
      <c r="D586" s="27"/>
      <c r="E586" s="27"/>
      <c r="F586" s="27"/>
      <c r="G586" s="14">
        <f>IF(OR(H586&gt;AB$2,I586&gt;AC$2,J586&gt;AD$2,
P586&gt;1,V586&gt;1,
L586&gt;'Group List A'!E$2,M586&gt;'Group List A'!F$2,N586&gt;'Group List A'!G$2,
R586&gt;'Group List B'!E$2,S586&gt;'Group List B'!F$2,T586&gt;'Group List B'!G$2),"Exceed",
IF(OR(H586=AB$2,I586=AC$2,J586=AD$2,
P586=1,V586=1,
L586='Group List A'!E$2,M586='Group List A'!F$2,N586='Group List A'!G$2,
R586='Group List B'!E$2,S586='Group List B'!F$2,T586='Group List B'!G$2),"Limit",0))</f>
        <v>0</v>
      </c>
      <c r="H586" s="29">
        <f t="shared" si="137"/>
        <v>0</v>
      </c>
      <c r="I586" s="29">
        <f t="shared" si="138"/>
        <v>0</v>
      </c>
      <c r="J586" s="29">
        <f t="shared" si="139"/>
        <v>0</v>
      </c>
      <c r="K586" s="32" t="str" cm="1">
        <f t="array" ref="K586">IF(AF586&lt;&gt;"",IFERROR(INDEX('Group List A'!B:B,MATCH(AI586,'Group List A'!A:A,0),0),"-"),"")</f>
        <v/>
      </c>
      <c r="L586" s="33">
        <f t="shared" si="140"/>
        <v>0</v>
      </c>
      <c r="M586" s="33">
        <f t="shared" si="141"/>
        <v>0</v>
      </c>
      <c r="N586" s="33">
        <f t="shared" si="142"/>
        <v>0</v>
      </c>
      <c r="O586" s="28"/>
      <c r="P586" s="33">
        <f t="shared" si="143"/>
        <v>0</v>
      </c>
      <c r="Q586" s="35" t="str" cm="1">
        <f t="array" ref="Q586">IF(AF586&lt;&gt;"",IFERROR(INDEX('Group List B'!B:B,MATCH(AI586,'Group List B'!A:A,0),0),"-"),"")</f>
        <v/>
      </c>
      <c r="R586" s="36">
        <f t="shared" si="144"/>
        <v>0</v>
      </c>
      <c r="S586" s="36">
        <f t="shared" si="145"/>
        <v>0</v>
      </c>
      <c r="T586" s="36">
        <f t="shared" si="146"/>
        <v>0</v>
      </c>
      <c r="U586" s="28"/>
      <c r="V586" s="37">
        <f t="shared" si="147"/>
        <v>0</v>
      </c>
      <c r="W586" s="41"/>
      <c r="X586" s="27"/>
      <c r="Y586" s="27"/>
      <c r="Z586" s="27"/>
      <c r="AA586" s="15"/>
      <c r="AB586" s="17"/>
      <c r="AC586" s="17"/>
      <c r="AD586" s="17"/>
      <c r="AE586" s="90"/>
      <c r="AF586" s="82" t="str">
        <f t="shared" si="148"/>
        <v/>
      </c>
      <c r="AG586" s="83" t="str">
        <f t="shared" si="149"/>
        <v/>
      </c>
      <c r="AH586" s="82" t="str">
        <f t="shared" si="150"/>
        <v/>
      </c>
      <c r="AI586" s="82" t="str">
        <f t="shared" si="151"/>
        <v/>
      </c>
      <c r="AJ586" s="90"/>
      <c r="AP586" s="88"/>
    </row>
    <row r="587" spans="1:42" x14ac:dyDescent="0.25">
      <c r="A587" s="2"/>
      <c r="C587" s="68" t="str" cm="1">
        <f t="array" ref="C587">IF(AF587&lt;&gt;"",
IFERROR(INDEX('LaunchPad Markbook'!A:A,MATCH(AH587,'LaunchPad Markbook'!D:D,0),0),"-"),"")</f>
        <v/>
      </c>
      <c r="D587" s="27"/>
      <c r="E587" s="27"/>
      <c r="F587" s="27"/>
      <c r="G587" s="14">
        <f>IF(OR(H587&gt;AB$2,I587&gt;AC$2,J587&gt;AD$2,
P587&gt;1,V587&gt;1,
L587&gt;'Group List A'!E$2,M587&gt;'Group List A'!F$2,N587&gt;'Group List A'!G$2,
R587&gt;'Group List B'!E$2,S587&gt;'Group List B'!F$2,T587&gt;'Group List B'!G$2),"Exceed",
IF(OR(H587=AB$2,I587=AC$2,J587=AD$2,
P587=1,V587=1,
L587='Group List A'!E$2,M587='Group List A'!F$2,N587='Group List A'!G$2,
R587='Group List B'!E$2,S587='Group List B'!F$2,T587='Group List B'!G$2),"Limit",0))</f>
        <v>0</v>
      </c>
      <c r="H587" s="29">
        <f t="shared" si="137"/>
        <v>0</v>
      </c>
      <c r="I587" s="29">
        <f t="shared" si="138"/>
        <v>0</v>
      </c>
      <c r="J587" s="29">
        <f t="shared" si="139"/>
        <v>0</v>
      </c>
      <c r="K587" s="32" t="str" cm="1">
        <f t="array" ref="K587">IF(AF587&lt;&gt;"",IFERROR(INDEX('Group List A'!B:B,MATCH(AI587,'Group List A'!A:A,0),0),"-"),"")</f>
        <v/>
      </c>
      <c r="L587" s="33">
        <f t="shared" si="140"/>
        <v>0</v>
      </c>
      <c r="M587" s="33">
        <f t="shared" si="141"/>
        <v>0</v>
      </c>
      <c r="N587" s="33">
        <f t="shared" si="142"/>
        <v>0</v>
      </c>
      <c r="O587" s="28"/>
      <c r="P587" s="33">
        <f t="shared" si="143"/>
        <v>0</v>
      </c>
      <c r="Q587" s="35" t="str" cm="1">
        <f t="array" ref="Q587">IF(AF587&lt;&gt;"",IFERROR(INDEX('Group List B'!B:B,MATCH(AI587,'Group List B'!A:A,0),0),"-"),"")</f>
        <v/>
      </c>
      <c r="R587" s="36">
        <f t="shared" si="144"/>
        <v>0</v>
      </c>
      <c r="S587" s="36">
        <f t="shared" si="145"/>
        <v>0</v>
      </c>
      <c r="T587" s="36">
        <f t="shared" si="146"/>
        <v>0</v>
      </c>
      <c r="U587" s="28"/>
      <c r="V587" s="37">
        <f t="shared" si="147"/>
        <v>0</v>
      </c>
      <c r="W587" s="41"/>
      <c r="X587" s="27"/>
      <c r="Y587" s="27"/>
      <c r="Z587" s="27"/>
      <c r="AA587" s="15"/>
      <c r="AB587" s="17"/>
      <c r="AC587" s="17"/>
      <c r="AD587" s="17"/>
      <c r="AE587" s="90"/>
      <c r="AF587" s="82" t="str">
        <f t="shared" si="148"/>
        <v/>
      </c>
      <c r="AG587" s="83" t="str">
        <f t="shared" si="149"/>
        <v/>
      </c>
      <c r="AH587" s="82" t="str">
        <f t="shared" si="150"/>
        <v/>
      </c>
      <c r="AI587" s="82" t="str">
        <f t="shared" si="151"/>
        <v/>
      </c>
      <c r="AJ587" s="90"/>
      <c r="AP587" s="88"/>
    </row>
    <row r="588" spans="1:42" x14ac:dyDescent="0.25">
      <c r="A588" s="2"/>
      <c r="C588" s="68" t="str" cm="1">
        <f t="array" ref="C588">IF(AF588&lt;&gt;"",
IFERROR(INDEX('LaunchPad Markbook'!A:A,MATCH(AH588,'LaunchPad Markbook'!D:D,0),0),"-"),"")</f>
        <v/>
      </c>
      <c r="D588" s="27"/>
      <c r="E588" s="27"/>
      <c r="F588" s="27"/>
      <c r="G588" s="14">
        <f>IF(OR(H588&gt;AB$2,I588&gt;AC$2,J588&gt;AD$2,
P588&gt;1,V588&gt;1,
L588&gt;'Group List A'!E$2,M588&gt;'Group List A'!F$2,N588&gt;'Group List A'!G$2,
R588&gt;'Group List B'!E$2,S588&gt;'Group List B'!F$2,T588&gt;'Group List B'!G$2),"Exceed",
IF(OR(H588=AB$2,I588=AC$2,J588=AD$2,
P588=1,V588=1,
L588='Group List A'!E$2,M588='Group List A'!F$2,N588='Group List A'!G$2,
R588='Group List B'!E$2,S588='Group List B'!F$2,T588='Group List B'!G$2),"Limit",0))</f>
        <v>0</v>
      </c>
      <c r="H588" s="29">
        <f t="shared" si="137"/>
        <v>0</v>
      </c>
      <c r="I588" s="29">
        <f t="shared" si="138"/>
        <v>0</v>
      </c>
      <c r="J588" s="29">
        <f t="shared" si="139"/>
        <v>0</v>
      </c>
      <c r="K588" s="32" t="str" cm="1">
        <f t="array" ref="K588">IF(AF588&lt;&gt;"",IFERROR(INDEX('Group List A'!B:B,MATCH(AI588,'Group List A'!A:A,0),0),"-"),"")</f>
        <v/>
      </c>
      <c r="L588" s="33">
        <f t="shared" si="140"/>
        <v>0</v>
      </c>
      <c r="M588" s="33">
        <f t="shared" si="141"/>
        <v>0</v>
      </c>
      <c r="N588" s="33">
        <f t="shared" si="142"/>
        <v>0</v>
      </c>
      <c r="O588" s="28"/>
      <c r="P588" s="33">
        <f t="shared" si="143"/>
        <v>0</v>
      </c>
      <c r="Q588" s="35" t="str" cm="1">
        <f t="array" ref="Q588">IF(AF588&lt;&gt;"",IFERROR(INDEX('Group List B'!B:B,MATCH(AI588,'Group List B'!A:A,0),0),"-"),"")</f>
        <v/>
      </c>
      <c r="R588" s="36">
        <f t="shared" si="144"/>
        <v>0</v>
      </c>
      <c r="S588" s="36">
        <f t="shared" si="145"/>
        <v>0</v>
      </c>
      <c r="T588" s="36">
        <f t="shared" si="146"/>
        <v>0</v>
      </c>
      <c r="U588" s="28"/>
      <c r="V588" s="37">
        <f t="shared" si="147"/>
        <v>0</v>
      </c>
      <c r="W588" s="41"/>
      <c r="X588" s="27"/>
      <c r="Y588" s="27"/>
      <c r="Z588" s="27"/>
      <c r="AA588" s="15"/>
      <c r="AB588" s="17"/>
      <c r="AC588" s="17"/>
      <c r="AD588" s="17"/>
      <c r="AE588" s="90"/>
      <c r="AF588" s="82" t="str">
        <f t="shared" si="148"/>
        <v/>
      </c>
      <c r="AG588" s="83" t="str">
        <f t="shared" si="149"/>
        <v/>
      </c>
      <c r="AH588" s="82" t="str">
        <f t="shared" si="150"/>
        <v/>
      </c>
      <c r="AI588" s="82" t="str">
        <f t="shared" si="151"/>
        <v/>
      </c>
      <c r="AJ588" s="90"/>
      <c r="AP588" s="88"/>
    </row>
    <row r="589" spans="1:42" x14ac:dyDescent="0.25">
      <c r="A589" s="2"/>
      <c r="C589" s="68" t="str" cm="1">
        <f t="array" ref="C589">IF(AF589&lt;&gt;"",
IFERROR(INDEX('LaunchPad Markbook'!A:A,MATCH(AH589,'LaunchPad Markbook'!D:D,0),0),"-"),"")</f>
        <v/>
      </c>
      <c r="D589" s="27"/>
      <c r="E589" s="27"/>
      <c r="F589" s="27"/>
      <c r="G589" s="14">
        <f>IF(OR(H589&gt;AB$2,I589&gt;AC$2,J589&gt;AD$2,
P589&gt;1,V589&gt;1,
L589&gt;'Group List A'!E$2,M589&gt;'Group List A'!F$2,N589&gt;'Group List A'!G$2,
R589&gt;'Group List B'!E$2,S589&gt;'Group List B'!F$2,T589&gt;'Group List B'!G$2),"Exceed",
IF(OR(H589=AB$2,I589=AC$2,J589=AD$2,
P589=1,V589=1,
L589='Group List A'!E$2,M589='Group List A'!F$2,N589='Group List A'!G$2,
R589='Group List B'!E$2,S589='Group List B'!F$2,T589='Group List B'!G$2),"Limit",0))</f>
        <v>0</v>
      </c>
      <c r="H589" s="29">
        <f t="shared" si="137"/>
        <v>0</v>
      </c>
      <c r="I589" s="29">
        <f t="shared" si="138"/>
        <v>0</v>
      </c>
      <c r="J589" s="29">
        <f t="shared" si="139"/>
        <v>0</v>
      </c>
      <c r="K589" s="32" t="str" cm="1">
        <f t="array" ref="K589">IF(AF589&lt;&gt;"",IFERROR(INDEX('Group List A'!B:B,MATCH(AI589,'Group List A'!A:A,0),0),"-"),"")</f>
        <v/>
      </c>
      <c r="L589" s="33">
        <f t="shared" si="140"/>
        <v>0</v>
      </c>
      <c r="M589" s="33">
        <f t="shared" si="141"/>
        <v>0</v>
      </c>
      <c r="N589" s="33">
        <f t="shared" si="142"/>
        <v>0</v>
      </c>
      <c r="O589" s="28"/>
      <c r="P589" s="33">
        <f t="shared" si="143"/>
        <v>0</v>
      </c>
      <c r="Q589" s="35" t="str" cm="1">
        <f t="array" ref="Q589">IF(AF589&lt;&gt;"",IFERROR(INDEX('Group List B'!B:B,MATCH(AI589,'Group List B'!A:A,0),0),"-"),"")</f>
        <v/>
      </c>
      <c r="R589" s="36">
        <f t="shared" si="144"/>
        <v>0</v>
      </c>
      <c r="S589" s="36">
        <f t="shared" si="145"/>
        <v>0</v>
      </c>
      <c r="T589" s="36">
        <f t="shared" si="146"/>
        <v>0</v>
      </c>
      <c r="U589" s="28"/>
      <c r="V589" s="37">
        <f t="shared" si="147"/>
        <v>0</v>
      </c>
      <c r="W589" s="41"/>
      <c r="X589" s="27"/>
      <c r="Y589" s="27"/>
      <c r="Z589" s="27"/>
      <c r="AA589" s="15"/>
      <c r="AB589" s="17"/>
      <c r="AC589" s="17"/>
      <c r="AD589" s="17"/>
      <c r="AE589" s="90"/>
      <c r="AF589" s="82" t="str">
        <f t="shared" si="148"/>
        <v/>
      </c>
      <c r="AG589" s="83" t="str">
        <f t="shared" si="149"/>
        <v/>
      </c>
      <c r="AH589" s="82" t="str">
        <f t="shared" si="150"/>
        <v/>
      </c>
      <c r="AI589" s="82" t="str">
        <f t="shared" si="151"/>
        <v/>
      </c>
      <c r="AJ589" s="90"/>
      <c r="AP589" s="88"/>
    </row>
    <row r="590" spans="1:42" x14ac:dyDescent="0.25">
      <c r="A590" s="2"/>
      <c r="C590" s="68" t="str" cm="1">
        <f t="array" ref="C590">IF(AF590&lt;&gt;"",
IFERROR(INDEX('LaunchPad Markbook'!A:A,MATCH(AH590,'LaunchPad Markbook'!D:D,0),0),"-"),"")</f>
        <v/>
      </c>
      <c r="D590" s="27"/>
      <c r="E590" s="27"/>
      <c r="F590" s="27"/>
      <c r="G590" s="14">
        <f>IF(OR(H590&gt;AB$2,I590&gt;AC$2,J590&gt;AD$2,
P590&gt;1,V590&gt;1,
L590&gt;'Group List A'!E$2,M590&gt;'Group List A'!F$2,N590&gt;'Group List A'!G$2,
R590&gt;'Group List B'!E$2,S590&gt;'Group List B'!F$2,T590&gt;'Group List B'!G$2),"Exceed",
IF(OR(H590=AB$2,I590=AC$2,J590=AD$2,
P590=1,V590=1,
L590='Group List A'!E$2,M590='Group List A'!F$2,N590='Group List A'!G$2,
R590='Group List B'!E$2,S590='Group List B'!F$2,T590='Group List B'!G$2),"Limit",0))</f>
        <v>0</v>
      </c>
      <c r="H590" s="29">
        <f t="shared" si="137"/>
        <v>0</v>
      </c>
      <c r="I590" s="29">
        <f t="shared" si="138"/>
        <v>0</v>
      </c>
      <c r="J590" s="29">
        <f t="shared" si="139"/>
        <v>0</v>
      </c>
      <c r="K590" s="32" t="str" cm="1">
        <f t="array" ref="K590">IF(AF590&lt;&gt;"",IFERROR(INDEX('Group List A'!B:B,MATCH(AI590,'Group List A'!A:A,0),0),"-"),"")</f>
        <v/>
      </c>
      <c r="L590" s="33">
        <f t="shared" si="140"/>
        <v>0</v>
      </c>
      <c r="M590" s="33">
        <f t="shared" si="141"/>
        <v>0</v>
      </c>
      <c r="N590" s="33">
        <f t="shared" si="142"/>
        <v>0</v>
      </c>
      <c r="O590" s="28"/>
      <c r="P590" s="33">
        <f t="shared" si="143"/>
        <v>0</v>
      </c>
      <c r="Q590" s="35" t="str" cm="1">
        <f t="array" ref="Q590">IF(AF590&lt;&gt;"",IFERROR(INDEX('Group List B'!B:B,MATCH(AI590,'Group List B'!A:A,0),0),"-"),"")</f>
        <v/>
      </c>
      <c r="R590" s="36">
        <f t="shared" si="144"/>
        <v>0</v>
      </c>
      <c r="S590" s="36">
        <f t="shared" si="145"/>
        <v>0</v>
      </c>
      <c r="T590" s="36">
        <f t="shared" si="146"/>
        <v>0</v>
      </c>
      <c r="U590" s="28"/>
      <c r="V590" s="37">
        <f t="shared" si="147"/>
        <v>0</v>
      </c>
      <c r="W590" s="41"/>
      <c r="X590" s="27"/>
      <c r="Y590" s="27"/>
      <c r="Z590" s="27"/>
      <c r="AA590" s="15"/>
      <c r="AB590" s="17"/>
      <c r="AC590" s="17"/>
      <c r="AD590" s="17"/>
      <c r="AE590" s="90"/>
      <c r="AF590" s="82" t="str">
        <f t="shared" si="148"/>
        <v/>
      </c>
      <c r="AG590" s="83" t="str">
        <f t="shared" si="149"/>
        <v/>
      </c>
      <c r="AH590" s="82" t="str">
        <f t="shared" si="150"/>
        <v/>
      </c>
      <c r="AI590" s="82" t="str">
        <f t="shared" si="151"/>
        <v/>
      </c>
      <c r="AJ590" s="90"/>
      <c r="AP590" s="88"/>
    </row>
    <row r="591" spans="1:42" x14ac:dyDescent="0.25">
      <c r="A591" s="2"/>
      <c r="C591" s="68" t="str" cm="1">
        <f t="array" ref="C591">IF(AF591&lt;&gt;"",
IFERROR(INDEX('LaunchPad Markbook'!A:A,MATCH(AH591,'LaunchPad Markbook'!D:D,0),0),"-"),"")</f>
        <v/>
      </c>
      <c r="D591" s="27"/>
      <c r="E591" s="27"/>
      <c r="F591" s="27"/>
      <c r="G591" s="14">
        <f>IF(OR(H591&gt;AB$2,I591&gt;AC$2,J591&gt;AD$2,
P591&gt;1,V591&gt;1,
L591&gt;'Group List A'!E$2,M591&gt;'Group List A'!F$2,N591&gt;'Group List A'!G$2,
R591&gt;'Group List B'!E$2,S591&gt;'Group List B'!F$2,T591&gt;'Group List B'!G$2),"Exceed",
IF(OR(H591=AB$2,I591=AC$2,J591=AD$2,
P591=1,V591=1,
L591='Group List A'!E$2,M591='Group List A'!F$2,N591='Group List A'!G$2,
R591='Group List B'!E$2,S591='Group List B'!F$2,T591='Group List B'!G$2),"Limit",0))</f>
        <v>0</v>
      </c>
      <c r="H591" s="29">
        <f t="shared" si="137"/>
        <v>0</v>
      </c>
      <c r="I591" s="29">
        <f t="shared" si="138"/>
        <v>0</v>
      </c>
      <c r="J591" s="29">
        <f t="shared" si="139"/>
        <v>0</v>
      </c>
      <c r="K591" s="32" t="str" cm="1">
        <f t="array" ref="K591">IF(AF591&lt;&gt;"",IFERROR(INDEX('Group List A'!B:B,MATCH(AI591,'Group List A'!A:A,0),0),"-"),"")</f>
        <v/>
      </c>
      <c r="L591" s="33">
        <f t="shared" si="140"/>
        <v>0</v>
      </c>
      <c r="M591" s="33">
        <f t="shared" si="141"/>
        <v>0</v>
      </c>
      <c r="N591" s="33">
        <f t="shared" si="142"/>
        <v>0</v>
      </c>
      <c r="O591" s="28"/>
      <c r="P591" s="33">
        <f t="shared" si="143"/>
        <v>0</v>
      </c>
      <c r="Q591" s="35" t="str" cm="1">
        <f t="array" ref="Q591">IF(AF591&lt;&gt;"",IFERROR(INDEX('Group List B'!B:B,MATCH(AI591,'Group List B'!A:A,0),0),"-"),"")</f>
        <v/>
      </c>
      <c r="R591" s="36">
        <f t="shared" si="144"/>
        <v>0</v>
      </c>
      <c r="S591" s="36">
        <f t="shared" si="145"/>
        <v>0</v>
      </c>
      <c r="T591" s="36">
        <f t="shared" si="146"/>
        <v>0</v>
      </c>
      <c r="U591" s="28"/>
      <c r="V591" s="37">
        <f t="shared" si="147"/>
        <v>0</v>
      </c>
      <c r="W591" s="41"/>
      <c r="X591" s="27"/>
      <c r="Y591" s="27"/>
      <c r="Z591" s="27"/>
      <c r="AA591" s="15"/>
      <c r="AB591" s="17"/>
      <c r="AC591" s="17"/>
      <c r="AD591" s="17"/>
      <c r="AE591" s="90"/>
      <c r="AF591" s="82" t="str">
        <f t="shared" si="148"/>
        <v/>
      </c>
      <c r="AG591" s="83" t="str">
        <f t="shared" si="149"/>
        <v/>
      </c>
      <c r="AH591" s="82" t="str">
        <f t="shared" si="150"/>
        <v/>
      </c>
      <c r="AI591" s="82" t="str">
        <f t="shared" si="151"/>
        <v/>
      </c>
      <c r="AJ591" s="90"/>
      <c r="AP591" s="88"/>
    </row>
    <row r="592" spans="1:42" x14ac:dyDescent="0.25">
      <c r="A592" s="2"/>
      <c r="C592" s="68" t="str" cm="1">
        <f t="array" ref="C592">IF(AF592&lt;&gt;"",
IFERROR(INDEX('LaunchPad Markbook'!A:A,MATCH(AH592,'LaunchPad Markbook'!D:D,0),0),"-"),"")</f>
        <v/>
      </c>
      <c r="D592" s="27"/>
      <c r="E592" s="27"/>
      <c r="F592" s="27"/>
      <c r="G592" s="14">
        <f>IF(OR(H592&gt;AB$2,I592&gt;AC$2,J592&gt;AD$2,
P592&gt;1,V592&gt;1,
L592&gt;'Group List A'!E$2,M592&gt;'Group List A'!F$2,N592&gt;'Group List A'!G$2,
R592&gt;'Group List B'!E$2,S592&gt;'Group List B'!F$2,T592&gt;'Group List B'!G$2),"Exceed",
IF(OR(H592=AB$2,I592=AC$2,J592=AD$2,
P592=1,V592=1,
L592='Group List A'!E$2,M592='Group List A'!F$2,N592='Group List A'!G$2,
R592='Group List B'!E$2,S592='Group List B'!F$2,T592='Group List B'!G$2),"Limit",0))</f>
        <v>0</v>
      </c>
      <c r="H592" s="29">
        <f t="shared" si="137"/>
        <v>0</v>
      </c>
      <c r="I592" s="29">
        <f t="shared" si="138"/>
        <v>0</v>
      </c>
      <c r="J592" s="29">
        <f t="shared" si="139"/>
        <v>0</v>
      </c>
      <c r="K592" s="32" t="str" cm="1">
        <f t="array" ref="K592">IF(AF592&lt;&gt;"",IFERROR(INDEX('Group List A'!B:B,MATCH(AI592,'Group List A'!A:A,0),0),"-"),"")</f>
        <v/>
      </c>
      <c r="L592" s="33">
        <f t="shared" si="140"/>
        <v>0</v>
      </c>
      <c r="M592" s="33">
        <f t="shared" si="141"/>
        <v>0</v>
      </c>
      <c r="N592" s="33">
        <f t="shared" si="142"/>
        <v>0</v>
      </c>
      <c r="O592" s="28"/>
      <c r="P592" s="33">
        <f t="shared" si="143"/>
        <v>0</v>
      </c>
      <c r="Q592" s="35" t="str" cm="1">
        <f t="array" ref="Q592">IF(AF592&lt;&gt;"",IFERROR(INDEX('Group List B'!B:B,MATCH(AI592,'Group List B'!A:A,0),0),"-"),"")</f>
        <v/>
      </c>
      <c r="R592" s="36">
        <f t="shared" si="144"/>
        <v>0</v>
      </c>
      <c r="S592" s="36">
        <f t="shared" si="145"/>
        <v>0</v>
      </c>
      <c r="T592" s="36">
        <f t="shared" si="146"/>
        <v>0</v>
      </c>
      <c r="U592" s="28"/>
      <c r="V592" s="37">
        <f t="shared" si="147"/>
        <v>0</v>
      </c>
      <c r="W592" s="41"/>
      <c r="X592" s="27"/>
      <c r="Y592" s="27"/>
      <c r="Z592" s="27"/>
      <c r="AA592" s="15"/>
      <c r="AB592" s="17"/>
      <c r="AC592" s="17"/>
      <c r="AD592" s="17"/>
      <c r="AE592" s="90"/>
      <c r="AF592" s="82" t="str">
        <f t="shared" si="148"/>
        <v/>
      </c>
      <c r="AG592" s="83" t="str">
        <f t="shared" si="149"/>
        <v/>
      </c>
      <c r="AH592" s="82" t="str">
        <f t="shared" si="150"/>
        <v/>
      </c>
      <c r="AI592" s="82" t="str">
        <f t="shared" si="151"/>
        <v/>
      </c>
      <c r="AJ592" s="90"/>
      <c r="AP592" s="88"/>
    </row>
    <row r="593" spans="1:42" x14ac:dyDescent="0.25">
      <c r="A593" s="2"/>
      <c r="C593" s="68" t="str" cm="1">
        <f t="array" ref="C593">IF(AF593&lt;&gt;"",
IFERROR(INDEX('LaunchPad Markbook'!A:A,MATCH(AH593,'LaunchPad Markbook'!D:D,0),0),"-"),"")</f>
        <v/>
      </c>
      <c r="D593" s="27"/>
      <c r="E593" s="27"/>
      <c r="F593" s="27"/>
      <c r="G593" s="14">
        <f>IF(OR(H593&gt;AB$2,I593&gt;AC$2,J593&gt;AD$2,
P593&gt;1,V593&gt;1,
L593&gt;'Group List A'!E$2,M593&gt;'Group List A'!F$2,N593&gt;'Group List A'!G$2,
R593&gt;'Group List B'!E$2,S593&gt;'Group List B'!F$2,T593&gt;'Group List B'!G$2),"Exceed",
IF(OR(H593=AB$2,I593=AC$2,J593=AD$2,
P593=1,V593=1,
L593='Group List A'!E$2,M593='Group List A'!F$2,N593='Group List A'!G$2,
R593='Group List B'!E$2,S593='Group List B'!F$2,T593='Group List B'!G$2),"Limit",0))</f>
        <v>0</v>
      </c>
      <c r="H593" s="29">
        <f t="shared" si="137"/>
        <v>0</v>
      </c>
      <c r="I593" s="29">
        <f t="shared" si="138"/>
        <v>0</v>
      </c>
      <c r="J593" s="29">
        <f t="shared" si="139"/>
        <v>0</v>
      </c>
      <c r="K593" s="32" t="str" cm="1">
        <f t="array" ref="K593">IF(AF593&lt;&gt;"",IFERROR(INDEX('Group List A'!B:B,MATCH(AI593,'Group List A'!A:A,0),0),"-"),"")</f>
        <v/>
      </c>
      <c r="L593" s="33">
        <f t="shared" si="140"/>
        <v>0</v>
      </c>
      <c r="M593" s="33">
        <f t="shared" si="141"/>
        <v>0</v>
      </c>
      <c r="N593" s="33">
        <f t="shared" si="142"/>
        <v>0</v>
      </c>
      <c r="O593" s="28"/>
      <c r="P593" s="33">
        <f t="shared" si="143"/>
        <v>0</v>
      </c>
      <c r="Q593" s="35" t="str" cm="1">
        <f t="array" ref="Q593">IF(AF593&lt;&gt;"",IFERROR(INDEX('Group List B'!B:B,MATCH(AI593,'Group List B'!A:A,0),0),"-"),"")</f>
        <v/>
      </c>
      <c r="R593" s="36">
        <f t="shared" si="144"/>
        <v>0</v>
      </c>
      <c r="S593" s="36">
        <f t="shared" si="145"/>
        <v>0</v>
      </c>
      <c r="T593" s="36">
        <f t="shared" si="146"/>
        <v>0</v>
      </c>
      <c r="U593" s="28"/>
      <c r="V593" s="37">
        <f t="shared" si="147"/>
        <v>0</v>
      </c>
      <c r="W593" s="41"/>
      <c r="X593" s="27"/>
      <c r="Y593" s="27"/>
      <c r="Z593" s="27"/>
      <c r="AA593" s="15"/>
      <c r="AB593" s="17"/>
      <c r="AC593" s="17"/>
      <c r="AD593" s="17"/>
      <c r="AE593" s="90"/>
      <c r="AF593" s="82" t="str">
        <f t="shared" si="148"/>
        <v/>
      </c>
      <c r="AG593" s="83" t="str">
        <f t="shared" si="149"/>
        <v/>
      </c>
      <c r="AH593" s="82" t="str">
        <f t="shared" si="150"/>
        <v/>
      </c>
      <c r="AI593" s="82" t="str">
        <f t="shared" si="151"/>
        <v/>
      </c>
      <c r="AJ593" s="90"/>
      <c r="AP593" s="88"/>
    </row>
    <row r="594" spans="1:42" x14ac:dyDescent="0.25">
      <c r="A594" s="2"/>
      <c r="C594" s="68" t="str" cm="1">
        <f t="array" ref="C594">IF(AF594&lt;&gt;"",
IFERROR(INDEX('LaunchPad Markbook'!A:A,MATCH(AH594,'LaunchPad Markbook'!D:D,0),0),"-"),"")</f>
        <v/>
      </c>
      <c r="D594" s="27"/>
      <c r="E594" s="27"/>
      <c r="F594" s="27"/>
      <c r="G594" s="14">
        <f>IF(OR(H594&gt;AB$2,I594&gt;AC$2,J594&gt;AD$2,
P594&gt;1,V594&gt;1,
L594&gt;'Group List A'!E$2,M594&gt;'Group List A'!F$2,N594&gt;'Group List A'!G$2,
R594&gt;'Group List B'!E$2,S594&gt;'Group List B'!F$2,T594&gt;'Group List B'!G$2),"Exceed",
IF(OR(H594=AB$2,I594=AC$2,J594=AD$2,
P594=1,V594=1,
L594='Group List A'!E$2,M594='Group List A'!F$2,N594='Group List A'!G$2,
R594='Group List B'!E$2,S594='Group List B'!F$2,T594='Group List B'!G$2),"Limit",0))</f>
        <v>0</v>
      </c>
      <c r="H594" s="29">
        <f t="shared" si="137"/>
        <v>0</v>
      </c>
      <c r="I594" s="29">
        <f t="shared" si="138"/>
        <v>0</v>
      </c>
      <c r="J594" s="29">
        <f t="shared" si="139"/>
        <v>0</v>
      </c>
      <c r="K594" s="32" t="str" cm="1">
        <f t="array" ref="K594">IF(AF594&lt;&gt;"",IFERROR(INDEX('Group List A'!B:B,MATCH(AI594,'Group List A'!A:A,0),0),"-"),"")</f>
        <v/>
      </c>
      <c r="L594" s="33">
        <f t="shared" si="140"/>
        <v>0</v>
      </c>
      <c r="M594" s="33">
        <f t="shared" si="141"/>
        <v>0</v>
      </c>
      <c r="N594" s="33">
        <f t="shared" si="142"/>
        <v>0</v>
      </c>
      <c r="O594" s="28"/>
      <c r="P594" s="33">
        <f t="shared" si="143"/>
        <v>0</v>
      </c>
      <c r="Q594" s="35" t="str" cm="1">
        <f t="array" ref="Q594">IF(AF594&lt;&gt;"",IFERROR(INDEX('Group List B'!B:B,MATCH(AI594,'Group List B'!A:A,0),0),"-"),"")</f>
        <v/>
      </c>
      <c r="R594" s="36">
        <f t="shared" si="144"/>
        <v>0</v>
      </c>
      <c r="S594" s="36">
        <f t="shared" si="145"/>
        <v>0</v>
      </c>
      <c r="T594" s="36">
        <f t="shared" si="146"/>
        <v>0</v>
      </c>
      <c r="U594" s="28"/>
      <c r="V594" s="37">
        <f t="shared" si="147"/>
        <v>0</v>
      </c>
      <c r="W594" s="41"/>
      <c r="X594" s="27"/>
      <c r="Y594" s="27"/>
      <c r="Z594" s="27"/>
      <c r="AA594" s="15"/>
      <c r="AB594" s="17"/>
      <c r="AC594" s="17"/>
      <c r="AD594" s="17"/>
      <c r="AE594" s="90"/>
      <c r="AF594" s="82" t="str">
        <f t="shared" si="148"/>
        <v/>
      </c>
      <c r="AG594" s="83" t="str">
        <f t="shared" si="149"/>
        <v/>
      </c>
      <c r="AH594" s="82" t="str">
        <f t="shared" si="150"/>
        <v/>
      </c>
      <c r="AI594" s="82" t="str">
        <f t="shared" si="151"/>
        <v/>
      </c>
      <c r="AJ594" s="90"/>
      <c r="AP594" s="88"/>
    </row>
    <row r="595" spans="1:42" x14ac:dyDescent="0.25">
      <c r="A595" s="2"/>
      <c r="C595" s="68" t="str" cm="1">
        <f t="array" ref="C595">IF(AF595&lt;&gt;"",
IFERROR(INDEX('LaunchPad Markbook'!A:A,MATCH(AH595,'LaunchPad Markbook'!D:D,0),0),"-"),"")</f>
        <v/>
      </c>
      <c r="D595" s="27"/>
      <c r="E595" s="27"/>
      <c r="F595" s="27"/>
      <c r="G595" s="14">
        <f>IF(OR(H595&gt;AB$2,I595&gt;AC$2,J595&gt;AD$2,
P595&gt;1,V595&gt;1,
L595&gt;'Group List A'!E$2,M595&gt;'Group List A'!F$2,N595&gt;'Group List A'!G$2,
R595&gt;'Group List B'!E$2,S595&gt;'Group List B'!F$2,T595&gt;'Group List B'!G$2),"Exceed",
IF(OR(H595=AB$2,I595=AC$2,J595=AD$2,
P595=1,V595=1,
L595='Group List A'!E$2,M595='Group List A'!F$2,N595='Group List A'!G$2,
R595='Group List B'!E$2,S595='Group List B'!F$2,T595='Group List B'!G$2),"Limit",0))</f>
        <v>0</v>
      </c>
      <c r="H595" s="29">
        <f t="shared" si="137"/>
        <v>0</v>
      </c>
      <c r="I595" s="29">
        <f t="shared" si="138"/>
        <v>0</v>
      </c>
      <c r="J595" s="29">
        <f t="shared" si="139"/>
        <v>0</v>
      </c>
      <c r="K595" s="32" t="str" cm="1">
        <f t="array" ref="K595">IF(AF595&lt;&gt;"",IFERROR(INDEX('Group List A'!B:B,MATCH(AI595,'Group List A'!A:A,0),0),"-"),"")</f>
        <v/>
      </c>
      <c r="L595" s="33">
        <f t="shared" si="140"/>
        <v>0</v>
      </c>
      <c r="M595" s="33">
        <f t="shared" si="141"/>
        <v>0</v>
      </c>
      <c r="N595" s="33">
        <f t="shared" si="142"/>
        <v>0</v>
      </c>
      <c r="O595" s="28"/>
      <c r="P595" s="33">
        <f t="shared" si="143"/>
        <v>0</v>
      </c>
      <c r="Q595" s="35" t="str" cm="1">
        <f t="array" ref="Q595">IF(AF595&lt;&gt;"",IFERROR(INDEX('Group List B'!B:B,MATCH(AI595,'Group List B'!A:A,0),0),"-"),"")</f>
        <v/>
      </c>
      <c r="R595" s="36">
        <f t="shared" si="144"/>
        <v>0</v>
      </c>
      <c r="S595" s="36">
        <f t="shared" si="145"/>
        <v>0</v>
      </c>
      <c r="T595" s="36">
        <f t="shared" si="146"/>
        <v>0</v>
      </c>
      <c r="U595" s="28"/>
      <c r="V595" s="37">
        <f t="shared" si="147"/>
        <v>0</v>
      </c>
      <c r="W595" s="41"/>
      <c r="X595" s="27"/>
      <c r="Y595" s="27"/>
      <c r="Z595" s="27"/>
      <c r="AA595" s="15"/>
      <c r="AB595" s="17"/>
      <c r="AC595" s="17"/>
      <c r="AD595" s="17"/>
      <c r="AE595" s="90"/>
      <c r="AF595" s="82" t="str">
        <f t="shared" si="148"/>
        <v/>
      </c>
      <c r="AG595" s="83" t="str">
        <f t="shared" si="149"/>
        <v/>
      </c>
      <c r="AH595" s="82" t="str">
        <f t="shared" si="150"/>
        <v/>
      </c>
      <c r="AI595" s="82" t="str">
        <f t="shared" si="151"/>
        <v/>
      </c>
      <c r="AJ595" s="90"/>
      <c r="AP595" s="88"/>
    </row>
    <row r="596" spans="1:42" x14ac:dyDescent="0.25">
      <c r="A596" s="2"/>
      <c r="C596" s="68" t="str" cm="1">
        <f t="array" ref="C596">IF(AF596&lt;&gt;"",
IFERROR(INDEX('LaunchPad Markbook'!A:A,MATCH(AH596,'LaunchPad Markbook'!D:D,0),0),"-"),"")</f>
        <v/>
      </c>
      <c r="D596" s="27"/>
      <c r="E596" s="27"/>
      <c r="F596" s="27"/>
      <c r="G596" s="14">
        <f>IF(OR(H596&gt;AB$2,I596&gt;AC$2,J596&gt;AD$2,
P596&gt;1,V596&gt;1,
L596&gt;'Group List A'!E$2,M596&gt;'Group List A'!F$2,N596&gt;'Group List A'!G$2,
R596&gt;'Group List B'!E$2,S596&gt;'Group List B'!F$2,T596&gt;'Group List B'!G$2),"Exceed",
IF(OR(H596=AB$2,I596=AC$2,J596=AD$2,
P596=1,V596=1,
L596='Group List A'!E$2,M596='Group List A'!F$2,N596='Group List A'!G$2,
R596='Group List B'!E$2,S596='Group List B'!F$2,T596='Group List B'!G$2),"Limit",0))</f>
        <v>0</v>
      </c>
      <c r="H596" s="29">
        <f t="shared" si="137"/>
        <v>0</v>
      </c>
      <c r="I596" s="29">
        <f t="shared" si="138"/>
        <v>0</v>
      </c>
      <c r="J596" s="29">
        <f t="shared" si="139"/>
        <v>0</v>
      </c>
      <c r="K596" s="32" t="str" cm="1">
        <f t="array" ref="K596">IF(AF596&lt;&gt;"",IFERROR(INDEX('Group List A'!B:B,MATCH(AI596,'Group List A'!A:A,0),0),"-"),"")</f>
        <v/>
      </c>
      <c r="L596" s="33">
        <f t="shared" si="140"/>
        <v>0</v>
      </c>
      <c r="M596" s="33">
        <f t="shared" si="141"/>
        <v>0</v>
      </c>
      <c r="N596" s="33">
        <f t="shared" si="142"/>
        <v>0</v>
      </c>
      <c r="O596" s="28"/>
      <c r="P596" s="33">
        <f t="shared" si="143"/>
        <v>0</v>
      </c>
      <c r="Q596" s="35" t="str" cm="1">
        <f t="array" ref="Q596">IF(AF596&lt;&gt;"",IFERROR(INDEX('Group List B'!B:B,MATCH(AI596,'Group List B'!A:A,0),0),"-"),"")</f>
        <v/>
      </c>
      <c r="R596" s="36">
        <f t="shared" si="144"/>
        <v>0</v>
      </c>
      <c r="S596" s="36">
        <f t="shared" si="145"/>
        <v>0</v>
      </c>
      <c r="T596" s="36">
        <f t="shared" si="146"/>
        <v>0</v>
      </c>
      <c r="U596" s="28"/>
      <c r="V596" s="37">
        <f t="shared" si="147"/>
        <v>0</v>
      </c>
      <c r="W596" s="41"/>
      <c r="X596" s="27"/>
      <c r="Y596" s="27"/>
      <c r="Z596" s="27"/>
      <c r="AA596" s="15"/>
      <c r="AB596" s="17"/>
      <c r="AC596" s="17"/>
      <c r="AD596" s="17"/>
      <c r="AE596" s="90"/>
      <c r="AF596" s="82" t="str">
        <f t="shared" si="148"/>
        <v/>
      </c>
      <c r="AG596" s="83" t="str">
        <f t="shared" si="149"/>
        <v/>
      </c>
      <c r="AH596" s="82" t="str">
        <f t="shared" si="150"/>
        <v/>
      </c>
      <c r="AI596" s="82" t="str">
        <f t="shared" si="151"/>
        <v/>
      </c>
      <c r="AJ596" s="90"/>
      <c r="AP596" s="88"/>
    </row>
    <row r="597" spans="1:42" x14ac:dyDescent="0.25">
      <c r="A597" s="2"/>
      <c r="C597" s="68" t="str" cm="1">
        <f t="array" ref="C597">IF(AF597&lt;&gt;"",
IFERROR(INDEX('LaunchPad Markbook'!A:A,MATCH(AH597,'LaunchPad Markbook'!D:D,0),0),"-"),"")</f>
        <v/>
      </c>
      <c r="D597" s="27"/>
      <c r="E597" s="27"/>
      <c r="F597" s="27"/>
      <c r="G597" s="14">
        <f>IF(OR(H597&gt;AB$2,I597&gt;AC$2,J597&gt;AD$2,
P597&gt;1,V597&gt;1,
L597&gt;'Group List A'!E$2,M597&gt;'Group List A'!F$2,N597&gt;'Group List A'!G$2,
R597&gt;'Group List B'!E$2,S597&gt;'Group List B'!F$2,T597&gt;'Group List B'!G$2),"Exceed",
IF(OR(H597=AB$2,I597=AC$2,J597=AD$2,
P597=1,V597=1,
L597='Group List A'!E$2,M597='Group List A'!F$2,N597='Group List A'!G$2,
R597='Group List B'!E$2,S597='Group List B'!F$2,T597='Group List B'!G$2),"Limit",0))</f>
        <v>0</v>
      </c>
      <c r="H597" s="29">
        <f t="shared" si="137"/>
        <v>0</v>
      </c>
      <c r="I597" s="29">
        <f t="shared" si="138"/>
        <v>0</v>
      </c>
      <c r="J597" s="29">
        <f t="shared" si="139"/>
        <v>0</v>
      </c>
      <c r="K597" s="32" t="str" cm="1">
        <f t="array" ref="K597">IF(AF597&lt;&gt;"",IFERROR(INDEX('Group List A'!B:B,MATCH(AI597,'Group List A'!A:A,0),0),"-"),"")</f>
        <v/>
      </c>
      <c r="L597" s="33">
        <f t="shared" si="140"/>
        <v>0</v>
      </c>
      <c r="M597" s="33">
        <f t="shared" si="141"/>
        <v>0</v>
      </c>
      <c r="N597" s="33">
        <f t="shared" si="142"/>
        <v>0</v>
      </c>
      <c r="O597" s="28"/>
      <c r="P597" s="33">
        <f t="shared" si="143"/>
        <v>0</v>
      </c>
      <c r="Q597" s="35" t="str" cm="1">
        <f t="array" ref="Q597">IF(AF597&lt;&gt;"",IFERROR(INDEX('Group List B'!B:B,MATCH(AI597,'Group List B'!A:A,0),0),"-"),"")</f>
        <v/>
      </c>
      <c r="R597" s="36">
        <f t="shared" si="144"/>
        <v>0</v>
      </c>
      <c r="S597" s="36">
        <f t="shared" si="145"/>
        <v>0</v>
      </c>
      <c r="T597" s="36">
        <f t="shared" si="146"/>
        <v>0</v>
      </c>
      <c r="U597" s="28"/>
      <c r="V597" s="37">
        <f t="shared" si="147"/>
        <v>0</v>
      </c>
      <c r="W597" s="41"/>
      <c r="X597" s="27"/>
      <c r="Y597" s="27"/>
      <c r="Z597" s="27"/>
      <c r="AA597" s="15"/>
      <c r="AB597" s="17"/>
      <c r="AC597" s="17"/>
      <c r="AD597" s="17"/>
      <c r="AE597" s="90"/>
      <c r="AF597" s="82" t="str">
        <f t="shared" si="148"/>
        <v/>
      </c>
      <c r="AG597" s="83" t="str">
        <f t="shared" si="149"/>
        <v/>
      </c>
      <c r="AH597" s="82" t="str">
        <f t="shared" si="150"/>
        <v/>
      </c>
      <c r="AI597" s="82" t="str">
        <f t="shared" si="151"/>
        <v/>
      </c>
      <c r="AJ597" s="90"/>
      <c r="AP597" s="88"/>
    </row>
    <row r="598" spans="1:42" x14ac:dyDescent="0.25">
      <c r="A598" s="2"/>
      <c r="C598" s="68" t="str" cm="1">
        <f t="array" ref="C598">IF(AF598&lt;&gt;"",
IFERROR(INDEX('LaunchPad Markbook'!A:A,MATCH(AH598,'LaunchPad Markbook'!D:D,0),0),"-"),"")</f>
        <v/>
      </c>
      <c r="D598" s="27"/>
      <c r="E598" s="27"/>
      <c r="F598" s="27"/>
      <c r="G598" s="14">
        <f>IF(OR(H598&gt;AB$2,I598&gt;AC$2,J598&gt;AD$2,
P598&gt;1,V598&gt;1,
L598&gt;'Group List A'!E$2,M598&gt;'Group List A'!F$2,N598&gt;'Group List A'!G$2,
R598&gt;'Group List B'!E$2,S598&gt;'Group List B'!F$2,T598&gt;'Group List B'!G$2),"Exceed",
IF(OR(H598=AB$2,I598=AC$2,J598=AD$2,
P598=1,V598=1,
L598='Group List A'!E$2,M598='Group List A'!F$2,N598='Group List A'!G$2,
R598='Group List B'!E$2,S598='Group List B'!F$2,T598='Group List B'!G$2),"Limit",0))</f>
        <v>0</v>
      </c>
      <c r="H598" s="29">
        <f t="shared" si="137"/>
        <v>0</v>
      </c>
      <c r="I598" s="29">
        <f t="shared" si="138"/>
        <v>0</v>
      </c>
      <c r="J598" s="29">
        <f t="shared" si="139"/>
        <v>0</v>
      </c>
      <c r="K598" s="32" t="str" cm="1">
        <f t="array" ref="K598">IF(AF598&lt;&gt;"",IFERROR(INDEX('Group List A'!B:B,MATCH(AI598,'Group List A'!A:A,0),0),"-"),"")</f>
        <v/>
      </c>
      <c r="L598" s="33">
        <f t="shared" si="140"/>
        <v>0</v>
      </c>
      <c r="M598" s="33">
        <f t="shared" si="141"/>
        <v>0</v>
      </c>
      <c r="N598" s="33">
        <f t="shared" si="142"/>
        <v>0</v>
      </c>
      <c r="O598" s="28"/>
      <c r="P598" s="33">
        <f t="shared" si="143"/>
        <v>0</v>
      </c>
      <c r="Q598" s="35" t="str" cm="1">
        <f t="array" ref="Q598">IF(AF598&lt;&gt;"",IFERROR(INDEX('Group List B'!B:B,MATCH(AI598,'Group List B'!A:A,0),0),"-"),"")</f>
        <v/>
      </c>
      <c r="R598" s="36">
        <f t="shared" si="144"/>
        <v>0</v>
      </c>
      <c r="S598" s="36">
        <f t="shared" si="145"/>
        <v>0</v>
      </c>
      <c r="T598" s="36">
        <f t="shared" si="146"/>
        <v>0</v>
      </c>
      <c r="U598" s="28"/>
      <c r="V598" s="37">
        <f t="shared" si="147"/>
        <v>0</v>
      </c>
      <c r="W598" s="41"/>
      <c r="X598" s="27"/>
      <c r="Y598" s="27"/>
      <c r="Z598" s="27"/>
      <c r="AA598" s="15"/>
      <c r="AB598" s="17"/>
      <c r="AC598" s="17"/>
      <c r="AD598" s="17"/>
      <c r="AE598" s="90"/>
      <c r="AF598" s="82" t="str">
        <f t="shared" si="148"/>
        <v/>
      </c>
      <c r="AG598" s="83" t="str">
        <f t="shared" si="149"/>
        <v/>
      </c>
      <c r="AH598" s="82" t="str">
        <f t="shared" si="150"/>
        <v/>
      </c>
      <c r="AI598" s="82" t="str">
        <f t="shared" si="151"/>
        <v/>
      </c>
      <c r="AJ598" s="90"/>
      <c r="AP598" s="88"/>
    </row>
    <row r="599" spans="1:42" x14ac:dyDescent="0.25">
      <c r="A599" s="2"/>
      <c r="C599" s="68" t="str" cm="1">
        <f t="array" ref="C599">IF(AF599&lt;&gt;"",
IFERROR(INDEX('LaunchPad Markbook'!A:A,MATCH(AH599,'LaunchPad Markbook'!D:D,0),0),"-"),"")</f>
        <v/>
      </c>
      <c r="D599" s="27"/>
      <c r="E599" s="27"/>
      <c r="F599" s="27"/>
      <c r="G599" s="14">
        <f>IF(OR(H599&gt;AB$2,I599&gt;AC$2,J599&gt;AD$2,
P599&gt;1,V599&gt;1,
L599&gt;'Group List A'!E$2,M599&gt;'Group List A'!F$2,N599&gt;'Group List A'!G$2,
R599&gt;'Group List B'!E$2,S599&gt;'Group List B'!F$2,T599&gt;'Group List B'!G$2),"Exceed",
IF(OR(H599=AB$2,I599=AC$2,J599=AD$2,
P599=1,V599=1,
L599='Group List A'!E$2,M599='Group List A'!F$2,N599='Group List A'!G$2,
R599='Group List B'!E$2,S599='Group List B'!F$2,T599='Group List B'!G$2),"Limit",0))</f>
        <v>0</v>
      </c>
      <c r="H599" s="29">
        <f t="shared" si="137"/>
        <v>0</v>
      </c>
      <c r="I599" s="29">
        <f t="shared" si="138"/>
        <v>0</v>
      </c>
      <c r="J599" s="29">
        <f t="shared" si="139"/>
        <v>0</v>
      </c>
      <c r="K599" s="32" t="str" cm="1">
        <f t="array" ref="K599">IF(AF599&lt;&gt;"",IFERROR(INDEX('Group List A'!B:B,MATCH(AI599,'Group List A'!A:A,0),0),"-"),"")</f>
        <v/>
      </c>
      <c r="L599" s="33">
        <f t="shared" si="140"/>
        <v>0</v>
      </c>
      <c r="M599" s="33">
        <f t="shared" si="141"/>
        <v>0</v>
      </c>
      <c r="N599" s="33">
        <f t="shared" si="142"/>
        <v>0</v>
      </c>
      <c r="O599" s="28"/>
      <c r="P599" s="33">
        <f t="shared" si="143"/>
        <v>0</v>
      </c>
      <c r="Q599" s="35" t="str" cm="1">
        <f t="array" ref="Q599">IF(AF599&lt;&gt;"",IFERROR(INDEX('Group List B'!B:B,MATCH(AI599,'Group List B'!A:A,0),0),"-"),"")</f>
        <v/>
      </c>
      <c r="R599" s="36">
        <f t="shared" si="144"/>
        <v>0</v>
      </c>
      <c r="S599" s="36">
        <f t="shared" si="145"/>
        <v>0</v>
      </c>
      <c r="T599" s="36">
        <f t="shared" si="146"/>
        <v>0</v>
      </c>
      <c r="U599" s="28"/>
      <c r="V599" s="37">
        <f t="shared" si="147"/>
        <v>0</v>
      </c>
      <c r="W599" s="41"/>
      <c r="X599" s="27"/>
      <c r="Y599" s="27"/>
      <c r="Z599" s="27"/>
      <c r="AA599" s="15"/>
      <c r="AB599" s="17"/>
      <c r="AC599" s="17"/>
      <c r="AD599" s="17"/>
      <c r="AE599" s="90"/>
      <c r="AF599" s="82" t="str">
        <f t="shared" si="148"/>
        <v/>
      </c>
      <c r="AG599" s="83" t="str">
        <f t="shared" si="149"/>
        <v/>
      </c>
      <c r="AH599" s="82" t="str">
        <f t="shared" si="150"/>
        <v/>
      </c>
      <c r="AI599" s="82" t="str">
        <f t="shared" si="151"/>
        <v/>
      </c>
      <c r="AJ599" s="90"/>
      <c r="AP599" s="88"/>
    </row>
    <row r="600" spans="1:42" x14ac:dyDescent="0.25">
      <c r="A600" s="2"/>
      <c r="C600" s="68" t="str" cm="1">
        <f t="array" ref="C600">IF(AF600&lt;&gt;"",
IFERROR(INDEX('LaunchPad Markbook'!A:A,MATCH(AH600,'LaunchPad Markbook'!D:D,0),0),"-"),"")</f>
        <v/>
      </c>
      <c r="D600" s="27"/>
      <c r="E600" s="27"/>
      <c r="F600" s="27"/>
      <c r="G600" s="14">
        <f>IF(OR(H600&gt;AB$2,I600&gt;AC$2,J600&gt;AD$2,
P600&gt;1,V600&gt;1,
L600&gt;'Group List A'!E$2,M600&gt;'Group List A'!F$2,N600&gt;'Group List A'!G$2,
R600&gt;'Group List B'!E$2,S600&gt;'Group List B'!F$2,T600&gt;'Group List B'!G$2),"Exceed",
IF(OR(H600=AB$2,I600=AC$2,J600=AD$2,
P600=1,V600=1,
L600='Group List A'!E$2,M600='Group List A'!F$2,N600='Group List A'!G$2,
R600='Group List B'!E$2,S600='Group List B'!F$2,T600='Group List B'!G$2),"Limit",0))</f>
        <v>0</v>
      </c>
      <c r="H600" s="29">
        <f t="shared" si="137"/>
        <v>0</v>
      </c>
      <c r="I600" s="29">
        <f t="shared" si="138"/>
        <v>0</v>
      </c>
      <c r="J600" s="29">
        <f t="shared" si="139"/>
        <v>0</v>
      </c>
      <c r="K600" s="32" t="str" cm="1">
        <f t="array" ref="K600">IF(AF600&lt;&gt;"",IFERROR(INDEX('Group List A'!B:B,MATCH(AI600,'Group List A'!A:A,0),0),"-"),"")</f>
        <v/>
      </c>
      <c r="L600" s="33">
        <f t="shared" si="140"/>
        <v>0</v>
      </c>
      <c r="M600" s="33">
        <f t="shared" si="141"/>
        <v>0</v>
      </c>
      <c r="N600" s="33">
        <f t="shared" si="142"/>
        <v>0</v>
      </c>
      <c r="O600" s="28"/>
      <c r="P600" s="33">
        <f t="shared" si="143"/>
        <v>0</v>
      </c>
      <c r="Q600" s="35" t="str" cm="1">
        <f t="array" ref="Q600">IF(AF600&lt;&gt;"",IFERROR(INDEX('Group List B'!B:B,MATCH(AI600,'Group List B'!A:A,0),0),"-"),"")</f>
        <v/>
      </c>
      <c r="R600" s="36">
        <f t="shared" si="144"/>
        <v>0</v>
      </c>
      <c r="S600" s="36">
        <f t="shared" si="145"/>
        <v>0</v>
      </c>
      <c r="T600" s="36">
        <f t="shared" si="146"/>
        <v>0</v>
      </c>
      <c r="U600" s="28"/>
      <c r="V600" s="37">
        <f t="shared" si="147"/>
        <v>0</v>
      </c>
      <c r="W600" s="41"/>
      <c r="X600" s="27"/>
      <c r="Y600" s="27"/>
      <c r="Z600" s="27"/>
      <c r="AA600" s="15"/>
      <c r="AB600" s="17"/>
      <c r="AC600" s="17"/>
      <c r="AD600" s="17"/>
      <c r="AE600" s="90"/>
      <c r="AF600" s="82" t="str">
        <f t="shared" si="148"/>
        <v/>
      </c>
      <c r="AG600" s="83" t="str">
        <f t="shared" si="149"/>
        <v/>
      </c>
      <c r="AH600" s="82" t="str">
        <f t="shared" si="150"/>
        <v/>
      </c>
      <c r="AI600" s="82" t="str">
        <f t="shared" si="151"/>
        <v/>
      </c>
      <c r="AJ600" s="90"/>
      <c r="AP600" s="88"/>
    </row>
    <row r="601" spans="1:42" x14ac:dyDescent="0.25">
      <c r="A601" s="2"/>
      <c r="C601" s="68" t="str" cm="1">
        <f t="array" ref="C601">IF(AF601&lt;&gt;"",
IFERROR(INDEX('LaunchPad Markbook'!A:A,MATCH(AH601,'LaunchPad Markbook'!D:D,0),0),"-"),"")</f>
        <v/>
      </c>
      <c r="D601" s="27"/>
      <c r="E601" s="27"/>
      <c r="F601" s="27"/>
      <c r="G601" s="14">
        <f>IF(OR(H601&gt;AB$2,I601&gt;AC$2,J601&gt;AD$2,
P601&gt;1,V601&gt;1,
L601&gt;'Group List A'!E$2,M601&gt;'Group List A'!F$2,N601&gt;'Group List A'!G$2,
R601&gt;'Group List B'!E$2,S601&gt;'Group List B'!F$2,T601&gt;'Group List B'!G$2),"Exceed",
IF(OR(H601=AB$2,I601=AC$2,J601=AD$2,
P601=1,V601=1,
L601='Group List A'!E$2,M601='Group List A'!F$2,N601='Group List A'!G$2,
R601='Group List B'!E$2,S601='Group List B'!F$2,T601='Group List B'!G$2),"Limit",0))</f>
        <v>0</v>
      </c>
      <c r="H601" s="29">
        <f t="shared" si="137"/>
        <v>0</v>
      </c>
      <c r="I601" s="29">
        <f t="shared" si="138"/>
        <v>0</v>
      </c>
      <c r="J601" s="29">
        <f t="shared" si="139"/>
        <v>0</v>
      </c>
      <c r="K601" s="32" t="str" cm="1">
        <f t="array" ref="K601">IF(AF601&lt;&gt;"",IFERROR(INDEX('Group List A'!B:B,MATCH(AI601,'Group List A'!A:A,0),0),"-"),"")</f>
        <v/>
      </c>
      <c r="L601" s="33">
        <f t="shared" si="140"/>
        <v>0</v>
      </c>
      <c r="M601" s="33">
        <f t="shared" si="141"/>
        <v>0</v>
      </c>
      <c r="N601" s="33">
        <f t="shared" si="142"/>
        <v>0</v>
      </c>
      <c r="O601" s="28"/>
      <c r="P601" s="33">
        <f t="shared" si="143"/>
        <v>0</v>
      </c>
      <c r="Q601" s="35" t="str" cm="1">
        <f t="array" ref="Q601">IF(AF601&lt;&gt;"",IFERROR(INDEX('Group List B'!B:B,MATCH(AI601,'Group List B'!A:A,0),0),"-"),"")</f>
        <v/>
      </c>
      <c r="R601" s="36">
        <f t="shared" si="144"/>
        <v>0</v>
      </c>
      <c r="S601" s="36">
        <f t="shared" si="145"/>
        <v>0</v>
      </c>
      <c r="T601" s="36">
        <f t="shared" si="146"/>
        <v>0</v>
      </c>
      <c r="U601" s="28"/>
      <c r="V601" s="37">
        <f t="shared" si="147"/>
        <v>0</v>
      </c>
      <c r="W601" s="41"/>
      <c r="X601" s="27"/>
      <c r="Y601" s="27"/>
      <c r="Z601" s="27"/>
      <c r="AA601" s="15"/>
      <c r="AB601" s="17"/>
      <c r="AC601" s="17"/>
      <c r="AD601" s="17"/>
      <c r="AE601" s="90"/>
      <c r="AF601" s="82" t="str">
        <f t="shared" si="148"/>
        <v/>
      </c>
      <c r="AG601" s="83" t="str">
        <f t="shared" si="149"/>
        <v/>
      </c>
      <c r="AH601" s="82" t="str">
        <f t="shared" si="150"/>
        <v/>
      </c>
      <c r="AI601" s="82" t="str">
        <f t="shared" si="151"/>
        <v/>
      </c>
      <c r="AJ601" s="90"/>
      <c r="AP601" s="88"/>
    </row>
    <row r="602" spans="1:42" x14ac:dyDescent="0.25">
      <c r="A602" s="2"/>
      <c r="C602" s="68" t="str" cm="1">
        <f t="array" ref="C602">IF(AF602&lt;&gt;"",
IFERROR(INDEX('LaunchPad Markbook'!A:A,MATCH(AH602,'LaunchPad Markbook'!D:D,0),0),"-"),"")</f>
        <v/>
      </c>
      <c r="D602" s="27"/>
      <c r="E602" s="27"/>
      <c r="F602" s="27"/>
      <c r="G602" s="14">
        <f>IF(OR(H602&gt;AB$2,I602&gt;AC$2,J602&gt;AD$2,
P602&gt;1,V602&gt;1,
L602&gt;'Group List A'!E$2,M602&gt;'Group List A'!F$2,N602&gt;'Group List A'!G$2,
R602&gt;'Group List B'!E$2,S602&gt;'Group List B'!F$2,T602&gt;'Group List B'!G$2),"Exceed",
IF(OR(H602=AB$2,I602=AC$2,J602=AD$2,
P602=1,V602=1,
L602='Group List A'!E$2,M602='Group List A'!F$2,N602='Group List A'!G$2,
R602='Group List B'!E$2,S602='Group List B'!F$2,T602='Group List B'!G$2),"Limit",0))</f>
        <v>0</v>
      </c>
      <c r="H602" s="29">
        <f t="shared" si="137"/>
        <v>0</v>
      </c>
      <c r="I602" s="29">
        <f t="shared" si="138"/>
        <v>0</v>
      </c>
      <c r="J602" s="29">
        <f t="shared" si="139"/>
        <v>0</v>
      </c>
      <c r="K602" s="32" t="str" cm="1">
        <f t="array" ref="K602">IF(AF602&lt;&gt;"",IFERROR(INDEX('Group List A'!B:B,MATCH(AI602,'Group List A'!A:A,0),0),"-"),"")</f>
        <v/>
      </c>
      <c r="L602" s="33">
        <f t="shared" si="140"/>
        <v>0</v>
      </c>
      <c r="M602" s="33">
        <f t="shared" si="141"/>
        <v>0</v>
      </c>
      <c r="N602" s="33">
        <f t="shared" si="142"/>
        <v>0</v>
      </c>
      <c r="O602" s="28"/>
      <c r="P602" s="33">
        <f t="shared" si="143"/>
        <v>0</v>
      </c>
      <c r="Q602" s="35" t="str" cm="1">
        <f t="array" ref="Q602">IF(AF602&lt;&gt;"",IFERROR(INDEX('Group List B'!B:B,MATCH(AI602,'Group List B'!A:A,0),0),"-"),"")</f>
        <v/>
      </c>
      <c r="R602" s="36">
        <f t="shared" si="144"/>
        <v>0</v>
      </c>
      <c r="S602" s="36">
        <f t="shared" si="145"/>
        <v>0</v>
      </c>
      <c r="T602" s="36">
        <f t="shared" si="146"/>
        <v>0</v>
      </c>
      <c r="U602" s="28"/>
      <c r="V602" s="37">
        <f t="shared" si="147"/>
        <v>0</v>
      </c>
      <c r="W602" s="41"/>
      <c r="X602" s="27"/>
      <c r="Y602" s="27"/>
      <c r="Z602" s="27"/>
      <c r="AA602" s="15"/>
      <c r="AB602" s="17"/>
      <c r="AC602" s="17"/>
      <c r="AD602" s="17"/>
      <c r="AE602" s="90"/>
      <c r="AF602" s="82" t="str">
        <f t="shared" si="148"/>
        <v/>
      </c>
      <c r="AG602" s="83" t="str">
        <f t="shared" si="149"/>
        <v/>
      </c>
      <c r="AH602" s="82" t="str">
        <f t="shared" si="150"/>
        <v/>
      </c>
      <c r="AI602" s="82" t="str">
        <f t="shared" si="151"/>
        <v/>
      </c>
      <c r="AJ602" s="90"/>
      <c r="AP602" s="88"/>
    </row>
    <row r="603" spans="1:42" x14ac:dyDescent="0.25">
      <c r="A603" s="2"/>
      <c r="C603" s="68" t="str" cm="1">
        <f t="array" ref="C603">IF(AF603&lt;&gt;"",
IFERROR(INDEX('LaunchPad Markbook'!A:A,MATCH(AH603,'LaunchPad Markbook'!D:D,0),0),"-"),"")</f>
        <v/>
      </c>
      <c r="D603" s="27"/>
      <c r="E603" s="27"/>
      <c r="F603" s="27"/>
      <c r="G603" s="14">
        <f>IF(OR(H603&gt;AB$2,I603&gt;AC$2,J603&gt;AD$2,
P603&gt;1,V603&gt;1,
L603&gt;'Group List A'!E$2,M603&gt;'Group List A'!F$2,N603&gt;'Group List A'!G$2,
R603&gt;'Group List B'!E$2,S603&gt;'Group List B'!F$2,T603&gt;'Group List B'!G$2),"Exceed",
IF(OR(H603=AB$2,I603=AC$2,J603=AD$2,
P603=1,V603=1,
L603='Group List A'!E$2,M603='Group List A'!F$2,N603='Group List A'!G$2,
R603='Group List B'!E$2,S603='Group List B'!F$2,T603='Group List B'!G$2),"Limit",0))</f>
        <v>0</v>
      </c>
      <c r="H603" s="29">
        <f t="shared" si="137"/>
        <v>0</v>
      </c>
      <c r="I603" s="29">
        <f t="shared" si="138"/>
        <v>0</v>
      </c>
      <c r="J603" s="29">
        <f t="shared" si="139"/>
        <v>0</v>
      </c>
      <c r="K603" s="32" t="str" cm="1">
        <f t="array" ref="K603">IF(AF603&lt;&gt;"",IFERROR(INDEX('Group List A'!B:B,MATCH(AI603,'Group List A'!A:A,0),0),"-"),"")</f>
        <v/>
      </c>
      <c r="L603" s="33">
        <f t="shared" si="140"/>
        <v>0</v>
      </c>
      <c r="M603" s="33">
        <f t="shared" si="141"/>
        <v>0</v>
      </c>
      <c r="N603" s="33">
        <f t="shared" si="142"/>
        <v>0</v>
      </c>
      <c r="O603" s="28"/>
      <c r="P603" s="33">
        <f t="shared" si="143"/>
        <v>0</v>
      </c>
      <c r="Q603" s="35" t="str" cm="1">
        <f t="array" ref="Q603">IF(AF603&lt;&gt;"",IFERROR(INDEX('Group List B'!B:B,MATCH(AI603,'Group List B'!A:A,0),0),"-"),"")</f>
        <v/>
      </c>
      <c r="R603" s="36">
        <f t="shared" si="144"/>
        <v>0</v>
      </c>
      <c r="S603" s="36">
        <f t="shared" si="145"/>
        <v>0</v>
      </c>
      <c r="T603" s="36">
        <f t="shared" si="146"/>
        <v>0</v>
      </c>
      <c r="U603" s="28"/>
      <c r="V603" s="37">
        <f t="shared" si="147"/>
        <v>0</v>
      </c>
      <c r="W603" s="41"/>
      <c r="X603" s="27"/>
      <c r="Y603" s="27"/>
      <c r="Z603" s="27"/>
      <c r="AA603" s="15"/>
      <c r="AB603" s="17"/>
      <c r="AC603" s="17"/>
      <c r="AD603" s="17"/>
      <c r="AE603" s="90"/>
      <c r="AF603" s="82" t="str">
        <f t="shared" si="148"/>
        <v/>
      </c>
      <c r="AG603" s="83" t="str">
        <f t="shared" si="149"/>
        <v/>
      </c>
      <c r="AH603" s="82" t="str">
        <f t="shared" si="150"/>
        <v/>
      </c>
      <c r="AI603" s="82" t="str">
        <f t="shared" si="151"/>
        <v/>
      </c>
      <c r="AJ603" s="90"/>
      <c r="AP603" s="88"/>
    </row>
    <row r="604" spans="1:42" x14ac:dyDescent="0.25">
      <c r="A604" s="2"/>
      <c r="C604" s="68" t="str" cm="1">
        <f t="array" ref="C604">IF(AF604&lt;&gt;"",
IFERROR(INDEX('LaunchPad Markbook'!A:A,MATCH(AH604,'LaunchPad Markbook'!D:D,0),0),"-"),"")</f>
        <v/>
      </c>
      <c r="D604" s="27"/>
      <c r="E604" s="27"/>
      <c r="F604" s="27"/>
      <c r="G604" s="14">
        <f>IF(OR(H604&gt;AB$2,I604&gt;AC$2,J604&gt;AD$2,
P604&gt;1,V604&gt;1,
L604&gt;'Group List A'!E$2,M604&gt;'Group List A'!F$2,N604&gt;'Group List A'!G$2,
R604&gt;'Group List B'!E$2,S604&gt;'Group List B'!F$2,T604&gt;'Group List B'!G$2),"Exceed",
IF(OR(H604=AB$2,I604=AC$2,J604=AD$2,
P604=1,V604=1,
L604='Group List A'!E$2,M604='Group List A'!F$2,N604='Group List A'!G$2,
R604='Group List B'!E$2,S604='Group List B'!F$2,T604='Group List B'!G$2),"Limit",0))</f>
        <v>0</v>
      </c>
      <c r="H604" s="29">
        <f t="shared" si="137"/>
        <v>0</v>
      </c>
      <c r="I604" s="29">
        <f t="shared" si="138"/>
        <v>0</v>
      </c>
      <c r="J604" s="29">
        <f t="shared" si="139"/>
        <v>0</v>
      </c>
      <c r="K604" s="32" t="str" cm="1">
        <f t="array" ref="K604">IF(AF604&lt;&gt;"",IFERROR(INDEX('Group List A'!B:B,MATCH(AI604,'Group List A'!A:A,0),0),"-"),"")</f>
        <v/>
      </c>
      <c r="L604" s="33">
        <f t="shared" si="140"/>
        <v>0</v>
      </c>
      <c r="M604" s="33">
        <f t="shared" si="141"/>
        <v>0</v>
      </c>
      <c r="N604" s="33">
        <f t="shared" si="142"/>
        <v>0</v>
      </c>
      <c r="O604" s="28"/>
      <c r="P604" s="33">
        <f t="shared" si="143"/>
        <v>0</v>
      </c>
      <c r="Q604" s="35" t="str" cm="1">
        <f t="array" ref="Q604">IF(AF604&lt;&gt;"",IFERROR(INDEX('Group List B'!B:B,MATCH(AI604,'Group List B'!A:A,0),0),"-"),"")</f>
        <v/>
      </c>
      <c r="R604" s="36">
        <f t="shared" si="144"/>
        <v>0</v>
      </c>
      <c r="S604" s="36">
        <f t="shared" si="145"/>
        <v>0</v>
      </c>
      <c r="T604" s="36">
        <f t="shared" si="146"/>
        <v>0</v>
      </c>
      <c r="U604" s="28"/>
      <c r="V604" s="37">
        <f t="shared" si="147"/>
        <v>0</v>
      </c>
      <c r="W604" s="41"/>
      <c r="X604" s="27"/>
      <c r="Y604" s="27"/>
      <c r="Z604" s="27"/>
      <c r="AA604" s="15"/>
      <c r="AB604" s="17"/>
      <c r="AC604" s="17"/>
      <c r="AD604" s="17"/>
      <c r="AE604" s="90"/>
      <c r="AF604" s="82" t="str">
        <f t="shared" si="148"/>
        <v/>
      </c>
      <c r="AG604" s="83" t="str">
        <f t="shared" si="149"/>
        <v/>
      </c>
      <c r="AH604" s="82" t="str">
        <f t="shared" si="150"/>
        <v/>
      </c>
      <c r="AI604" s="82" t="str">
        <f t="shared" si="151"/>
        <v/>
      </c>
      <c r="AJ604" s="90"/>
      <c r="AP604" s="88"/>
    </row>
    <row r="605" spans="1:42" x14ac:dyDescent="0.25">
      <c r="A605" s="2"/>
      <c r="C605" s="68" t="str" cm="1">
        <f t="array" ref="C605">IF(AF605&lt;&gt;"",
IFERROR(INDEX('LaunchPad Markbook'!A:A,MATCH(AH605,'LaunchPad Markbook'!D:D,0),0),"-"),"")</f>
        <v/>
      </c>
      <c r="D605" s="27"/>
      <c r="E605" s="27"/>
      <c r="F605" s="27"/>
      <c r="G605" s="14">
        <f>IF(OR(H605&gt;AB$2,I605&gt;AC$2,J605&gt;AD$2,
P605&gt;1,V605&gt;1,
L605&gt;'Group List A'!E$2,M605&gt;'Group List A'!F$2,N605&gt;'Group List A'!G$2,
R605&gt;'Group List B'!E$2,S605&gt;'Group List B'!F$2,T605&gt;'Group List B'!G$2),"Exceed",
IF(OR(H605=AB$2,I605=AC$2,J605=AD$2,
P605=1,V605=1,
L605='Group List A'!E$2,M605='Group List A'!F$2,N605='Group List A'!G$2,
R605='Group List B'!E$2,S605='Group List B'!F$2,T605='Group List B'!G$2),"Limit",0))</f>
        <v>0</v>
      </c>
      <c r="H605" s="29">
        <f t="shared" si="137"/>
        <v>0</v>
      </c>
      <c r="I605" s="29">
        <f t="shared" si="138"/>
        <v>0</v>
      </c>
      <c r="J605" s="29">
        <f t="shared" si="139"/>
        <v>0</v>
      </c>
      <c r="K605" s="32" t="str" cm="1">
        <f t="array" ref="K605">IF(AF605&lt;&gt;"",IFERROR(INDEX('Group List A'!B:B,MATCH(AI605,'Group List A'!A:A,0),0),"-"),"")</f>
        <v/>
      </c>
      <c r="L605" s="33">
        <f t="shared" si="140"/>
        <v>0</v>
      </c>
      <c r="M605" s="33">
        <f t="shared" si="141"/>
        <v>0</v>
      </c>
      <c r="N605" s="33">
        <f t="shared" si="142"/>
        <v>0</v>
      </c>
      <c r="O605" s="28"/>
      <c r="P605" s="33">
        <f t="shared" si="143"/>
        <v>0</v>
      </c>
      <c r="Q605" s="35" t="str" cm="1">
        <f t="array" ref="Q605">IF(AF605&lt;&gt;"",IFERROR(INDEX('Group List B'!B:B,MATCH(AI605,'Group List B'!A:A,0),0),"-"),"")</f>
        <v/>
      </c>
      <c r="R605" s="36">
        <f t="shared" si="144"/>
        <v>0</v>
      </c>
      <c r="S605" s="36">
        <f t="shared" si="145"/>
        <v>0</v>
      </c>
      <c r="T605" s="36">
        <f t="shared" si="146"/>
        <v>0</v>
      </c>
      <c r="U605" s="28"/>
      <c r="V605" s="37">
        <f t="shared" si="147"/>
        <v>0</v>
      </c>
      <c r="W605" s="41"/>
      <c r="X605" s="27"/>
      <c r="Y605" s="27"/>
      <c r="Z605" s="27"/>
      <c r="AA605" s="15"/>
      <c r="AB605" s="17"/>
      <c r="AC605" s="17"/>
      <c r="AD605" s="17"/>
      <c r="AE605" s="90"/>
      <c r="AF605" s="82" t="str">
        <f t="shared" si="148"/>
        <v/>
      </c>
      <c r="AG605" s="83" t="str">
        <f t="shared" si="149"/>
        <v/>
      </c>
      <c r="AH605" s="82" t="str">
        <f t="shared" si="150"/>
        <v/>
      </c>
      <c r="AI605" s="82" t="str">
        <f t="shared" si="151"/>
        <v/>
      </c>
      <c r="AJ605" s="90"/>
      <c r="AP605" s="88"/>
    </row>
    <row r="606" spans="1:42" x14ac:dyDescent="0.25">
      <c r="A606" s="2"/>
      <c r="C606" s="68" t="str" cm="1">
        <f t="array" ref="C606">IF(AF606&lt;&gt;"",
IFERROR(INDEX('LaunchPad Markbook'!A:A,MATCH(AH606,'LaunchPad Markbook'!D:D,0),0),"-"),"")</f>
        <v/>
      </c>
      <c r="D606" s="27"/>
      <c r="E606" s="27"/>
      <c r="F606" s="27"/>
      <c r="G606" s="14">
        <f>IF(OR(H606&gt;AB$2,I606&gt;AC$2,J606&gt;AD$2,
P606&gt;1,V606&gt;1,
L606&gt;'Group List A'!E$2,M606&gt;'Group List A'!F$2,N606&gt;'Group List A'!G$2,
R606&gt;'Group List B'!E$2,S606&gt;'Group List B'!F$2,T606&gt;'Group List B'!G$2),"Exceed",
IF(OR(H606=AB$2,I606=AC$2,J606=AD$2,
P606=1,V606=1,
L606='Group List A'!E$2,M606='Group List A'!F$2,N606='Group List A'!G$2,
R606='Group List B'!E$2,S606='Group List B'!F$2,T606='Group List B'!G$2),"Limit",0))</f>
        <v>0</v>
      </c>
      <c r="H606" s="29">
        <f t="shared" si="137"/>
        <v>0</v>
      </c>
      <c r="I606" s="29">
        <f t="shared" si="138"/>
        <v>0</v>
      </c>
      <c r="J606" s="29">
        <f t="shared" si="139"/>
        <v>0</v>
      </c>
      <c r="K606" s="32" t="str" cm="1">
        <f t="array" ref="K606">IF(AF606&lt;&gt;"",IFERROR(INDEX('Group List A'!B:B,MATCH(AI606,'Group List A'!A:A,0),0),"-"),"")</f>
        <v/>
      </c>
      <c r="L606" s="33">
        <f t="shared" si="140"/>
        <v>0</v>
      </c>
      <c r="M606" s="33">
        <f t="shared" si="141"/>
        <v>0</v>
      </c>
      <c r="N606" s="33">
        <f t="shared" si="142"/>
        <v>0</v>
      </c>
      <c r="O606" s="28"/>
      <c r="P606" s="33">
        <f t="shared" si="143"/>
        <v>0</v>
      </c>
      <c r="Q606" s="35" t="str" cm="1">
        <f t="array" ref="Q606">IF(AF606&lt;&gt;"",IFERROR(INDEX('Group List B'!B:B,MATCH(AI606,'Group List B'!A:A,0),0),"-"),"")</f>
        <v/>
      </c>
      <c r="R606" s="36">
        <f t="shared" si="144"/>
        <v>0</v>
      </c>
      <c r="S606" s="36">
        <f t="shared" si="145"/>
        <v>0</v>
      </c>
      <c r="T606" s="36">
        <f t="shared" si="146"/>
        <v>0</v>
      </c>
      <c r="U606" s="28"/>
      <c r="V606" s="37">
        <f t="shared" si="147"/>
        <v>0</v>
      </c>
      <c r="W606" s="41"/>
      <c r="X606" s="27"/>
      <c r="Y606" s="27"/>
      <c r="Z606" s="27"/>
      <c r="AA606" s="15"/>
      <c r="AB606" s="17"/>
      <c r="AC606" s="17"/>
      <c r="AD606" s="17"/>
      <c r="AE606" s="90"/>
      <c r="AF606" s="82" t="str">
        <f t="shared" si="148"/>
        <v/>
      </c>
      <c r="AG606" s="83" t="str">
        <f t="shared" si="149"/>
        <v/>
      </c>
      <c r="AH606" s="82" t="str">
        <f t="shared" si="150"/>
        <v/>
      </c>
      <c r="AI606" s="82" t="str">
        <f t="shared" si="151"/>
        <v/>
      </c>
      <c r="AJ606" s="90"/>
      <c r="AP606" s="88"/>
    </row>
    <row r="607" spans="1:42" x14ac:dyDescent="0.25">
      <c r="A607" s="2"/>
      <c r="C607" s="68" t="str" cm="1">
        <f t="array" ref="C607">IF(AF607&lt;&gt;"",
IFERROR(INDEX('LaunchPad Markbook'!A:A,MATCH(AH607,'LaunchPad Markbook'!D:D,0),0),"-"),"")</f>
        <v/>
      </c>
      <c r="D607" s="27"/>
      <c r="E607" s="27"/>
      <c r="F607" s="27"/>
      <c r="G607" s="14">
        <f>IF(OR(H607&gt;AB$2,I607&gt;AC$2,J607&gt;AD$2,
P607&gt;1,V607&gt;1,
L607&gt;'Group List A'!E$2,M607&gt;'Group List A'!F$2,N607&gt;'Group List A'!G$2,
R607&gt;'Group List B'!E$2,S607&gt;'Group List B'!F$2,T607&gt;'Group List B'!G$2),"Exceed",
IF(OR(H607=AB$2,I607=AC$2,J607=AD$2,
P607=1,V607=1,
L607='Group List A'!E$2,M607='Group List A'!F$2,N607='Group List A'!G$2,
R607='Group List B'!E$2,S607='Group List B'!F$2,T607='Group List B'!G$2),"Limit",0))</f>
        <v>0</v>
      </c>
      <c r="H607" s="29">
        <f t="shared" si="137"/>
        <v>0</v>
      </c>
      <c r="I607" s="29">
        <f t="shared" si="138"/>
        <v>0</v>
      </c>
      <c r="J607" s="29">
        <f t="shared" si="139"/>
        <v>0</v>
      </c>
      <c r="K607" s="32" t="str" cm="1">
        <f t="array" ref="K607">IF(AF607&lt;&gt;"",IFERROR(INDEX('Group List A'!B:B,MATCH(AI607,'Group List A'!A:A,0),0),"-"),"")</f>
        <v/>
      </c>
      <c r="L607" s="33">
        <f t="shared" si="140"/>
        <v>0</v>
      </c>
      <c r="M607" s="33">
        <f t="shared" si="141"/>
        <v>0</v>
      </c>
      <c r="N607" s="33">
        <f t="shared" si="142"/>
        <v>0</v>
      </c>
      <c r="O607" s="28"/>
      <c r="P607" s="33">
        <f t="shared" si="143"/>
        <v>0</v>
      </c>
      <c r="Q607" s="35" t="str" cm="1">
        <f t="array" ref="Q607">IF(AF607&lt;&gt;"",IFERROR(INDEX('Group List B'!B:B,MATCH(AI607,'Group List B'!A:A,0),0),"-"),"")</f>
        <v/>
      </c>
      <c r="R607" s="36">
        <f t="shared" si="144"/>
        <v>0</v>
      </c>
      <c r="S607" s="36">
        <f t="shared" si="145"/>
        <v>0</v>
      </c>
      <c r="T607" s="36">
        <f t="shared" si="146"/>
        <v>0</v>
      </c>
      <c r="U607" s="28"/>
      <c r="V607" s="37">
        <f t="shared" si="147"/>
        <v>0</v>
      </c>
      <c r="W607" s="41"/>
      <c r="X607" s="27"/>
      <c r="Y607" s="27"/>
      <c r="Z607" s="27"/>
      <c r="AA607" s="15"/>
      <c r="AB607" s="17"/>
      <c r="AC607" s="17"/>
      <c r="AD607" s="17"/>
      <c r="AE607" s="90"/>
      <c r="AF607" s="82" t="str">
        <f t="shared" si="148"/>
        <v/>
      </c>
      <c r="AG607" s="83" t="str">
        <f t="shared" si="149"/>
        <v/>
      </c>
      <c r="AH607" s="82" t="str">
        <f t="shared" si="150"/>
        <v/>
      </c>
      <c r="AI607" s="82" t="str">
        <f t="shared" si="151"/>
        <v/>
      </c>
      <c r="AJ607" s="90"/>
      <c r="AP607" s="88"/>
    </row>
    <row r="608" spans="1:42" x14ac:dyDescent="0.25">
      <c r="A608" s="2"/>
      <c r="C608" s="68" t="str" cm="1">
        <f t="array" ref="C608">IF(AF608&lt;&gt;"",
IFERROR(INDEX('LaunchPad Markbook'!A:A,MATCH(AH608,'LaunchPad Markbook'!D:D,0),0),"-"),"")</f>
        <v/>
      </c>
      <c r="D608" s="27"/>
      <c r="E608" s="27"/>
      <c r="F608" s="27"/>
      <c r="G608" s="14">
        <f>IF(OR(H608&gt;AB$2,I608&gt;AC$2,J608&gt;AD$2,
P608&gt;1,V608&gt;1,
L608&gt;'Group List A'!E$2,M608&gt;'Group List A'!F$2,N608&gt;'Group List A'!G$2,
R608&gt;'Group List B'!E$2,S608&gt;'Group List B'!F$2,T608&gt;'Group List B'!G$2),"Exceed",
IF(OR(H608=AB$2,I608=AC$2,J608=AD$2,
P608=1,V608=1,
L608='Group List A'!E$2,M608='Group List A'!F$2,N608='Group List A'!G$2,
R608='Group List B'!E$2,S608='Group List B'!F$2,T608='Group List B'!G$2),"Limit",0))</f>
        <v>0</v>
      </c>
      <c r="H608" s="29">
        <f t="shared" si="137"/>
        <v>0</v>
      </c>
      <c r="I608" s="29">
        <f t="shared" si="138"/>
        <v>0</v>
      </c>
      <c r="J608" s="29">
        <f t="shared" si="139"/>
        <v>0</v>
      </c>
      <c r="K608" s="32" t="str" cm="1">
        <f t="array" ref="K608">IF(AF608&lt;&gt;"",IFERROR(INDEX('Group List A'!B:B,MATCH(AI608,'Group List A'!A:A,0),0),"-"),"")</f>
        <v/>
      </c>
      <c r="L608" s="33">
        <f t="shared" si="140"/>
        <v>0</v>
      </c>
      <c r="M608" s="33">
        <f t="shared" si="141"/>
        <v>0</v>
      </c>
      <c r="N608" s="33">
        <f t="shared" si="142"/>
        <v>0</v>
      </c>
      <c r="O608" s="28"/>
      <c r="P608" s="33">
        <f t="shared" si="143"/>
        <v>0</v>
      </c>
      <c r="Q608" s="35" t="str" cm="1">
        <f t="array" ref="Q608">IF(AF608&lt;&gt;"",IFERROR(INDEX('Group List B'!B:B,MATCH(AI608,'Group List B'!A:A,0),0),"-"),"")</f>
        <v/>
      </c>
      <c r="R608" s="36">
        <f t="shared" si="144"/>
        <v>0</v>
      </c>
      <c r="S608" s="36">
        <f t="shared" si="145"/>
        <v>0</v>
      </c>
      <c r="T608" s="36">
        <f t="shared" si="146"/>
        <v>0</v>
      </c>
      <c r="U608" s="28"/>
      <c r="V608" s="37">
        <f t="shared" si="147"/>
        <v>0</v>
      </c>
      <c r="W608" s="41"/>
      <c r="X608" s="27"/>
      <c r="Y608" s="27"/>
      <c r="Z608" s="27"/>
      <c r="AA608" s="15"/>
      <c r="AB608" s="17"/>
      <c r="AC608" s="17"/>
      <c r="AD608" s="17"/>
      <c r="AE608" s="90"/>
      <c r="AF608" s="82" t="str">
        <f t="shared" si="148"/>
        <v/>
      </c>
      <c r="AG608" s="83" t="str">
        <f t="shared" si="149"/>
        <v/>
      </c>
      <c r="AH608" s="82" t="str">
        <f t="shared" si="150"/>
        <v/>
      </c>
      <c r="AI608" s="82" t="str">
        <f t="shared" si="151"/>
        <v/>
      </c>
      <c r="AJ608" s="90"/>
      <c r="AP608" s="88"/>
    </row>
    <row r="609" spans="1:42" x14ac:dyDescent="0.25">
      <c r="A609" s="2"/>
      <c r="C609" s="68" t="str" cm="1">
        <f t="array" ref="C609">IF(AF609&lt;&gt;"",
IFERROR(INDEX('LaunchPad Markbook'!A:A,MATCH(AH609,'LaunchPad Markbook'!D:D,0),0),"-"),"")</f>
        <v/>
      </c>
      <c r="D609" s="27"/>
      <c r="E609" s="27"/>
      <c r="F609" s="27"/>
      <c r="G609" s="14">
        <f>IF(OR(H609&gt;AB$2,I609&gt;AC$2,J609&gt;AD$2,
P609&gt;1,V609&gt;1,
L609&gt;'Group List A'!E$2,M609&gt;'Group List A'!F$2,N609&gt;'Group List A'!G$2,
R609&gt;'Group List B'!E$2,S609&gt;'Group List B'!F$2,T609&gt;'Group List B'!G$2),"Exceed",
IF(OR(H609=AB$2,I609=AC$2,J609=AD$2,
P609=1,V609=1,
L609='Group List A'!E$2,M609='Group List A'!F$2,N609='Group List A'!G$2,
R609='Group List B'!E$2,S609='Group List B'!F$2,T609='Group List B'!G$2),"Limit",0))</f>
        <v>0</v>
      </c>
      <c r="H609" s="29">
        <f t="shared" si="137"/>
        <v>0</v>
      </c>
      <c r="I609" s="29">
        <f t="shared" si="138"/>
        <v>0</v>
      </c>
      <c r="J609" s="29">
        <f t="shared" si="139"/>
        <v>0</v>
      </c>
      <c r="K609" s="32" t="str" cm="1">
        <f t="array" ref="K609">IF(AF609&lt;&gt;"",IFERROR(INDEX('Group List A'!B:B,MATCH(AI609,'Group List A'!A:A,0),0),"-"),"")</f>
        <v/>
      </c>
      <c r="L609" s="33">
        <f t="shared" si="140"/>
        <v>0</v>
      </c>
      <c r="M609" s="33">
        <f t="shared" si="141"/>
        <v>0</v>
      </c>
      <c r="N609" s="33">
        <f t="shared" si="142"/>
        <v>0</v>
      </c>
      <c r="O609" s="28"/>
      <c r="P609" s="33">
        <f t="shared" si="143"/>
        <v>0</v>
      </c>
      <c r="Q609" s="35" t="str" cm="1">
        <f t="array" ref="Q609">IF(AF609&lt;&gt;"",IFERROR(INDEX('Group List B'!B:B,MATCH(AI609,'Group List B'!A:A,0),0),"-"),"")</f>
        <v/>
      </c>
      <c r="R609" s="36">
        <f t="shared" si="144"/>
        <v>0</v>
      </c>
      <c r="S609" s="36">
        <f t="shared" si="145"/>
        <v>0</v>
      </c>
      <c r="T609" s="36">
        <f t="shared" si="146"/>
        <v>0</v>
      </c>
      <c r="U609" s="28"/>
      <c r="V609" s="37">
        <f t="shared" si="147"/>
        <v>0</v>
      </c>
      <c r="W609" s="41"/>
      <c r="X609" s="27"/>
      <c r="Y609" s="27"/>
      <c r="Z609" s="27"/>
      <c r="AA609" s="15"/>
      <c r="AB609" s="17"/>
      <c r="AC609" s="17"/>
      <c r="AD609" s="17"/>
      <c r="AE609" s="90"/>
      <c r="AF609" s="82" t="str">
        <f t="shared" si="148"/>
        <v/>
      </c>
      <c r="AG609" s="83" t="str">
        <f t="shared" si="149"/>
        <v/>
      </c>
      <c r="AH609" s="82" t="str">
        <f t="shared" si="150"/>
        <v/>
      </c>
      <c r="AI609" s="82" t="str">
        <f t="shared" si="151"/>
        <v/>
      </c>
      <c r="AJ609" s="90"/>
      <c r="AP609" s="88"/>
    </row>
    <row r="610" spans="1:42" x14ac:dyDescent="0.25">
      <c r="A610" s="2"/>
      <c r="C610" s="68" t="str" cm="1">
        <f t="array" ref="C610">IF(AF610&lt;&gt;"",
IFERROR(INDEX('LaunchPad Markbook'!A:A,MATCH(AH610,'LaunchPad Markbook'!D:D,0),0),"-"),"")</f>
        <v/>
      </c>
      <c r="D610" s="27"/>
      <c r="E610" s="27"/>
      <c r="F610" s="27"/>
      <c r="G610" s="14">
        <f>IF(OR(H610&gt;AB$2,I610&gt;AC$2,J610&gt;AD$2,
P610&gt;1,V610&gt;1,
L610&gt;'Group List A'!E$2,M610&gt;'Group List A'!F$2,N610&gt;'Group List A'!G$2,
R610&gt;'Group List B'!E$2,S610&gt;'Group List B'!F$2,T610&gt;'Group List B'!G$2),"Exceed",
IF(OR(H610=AB$2,I610=AC$2,J610=AD$2,
P610=1,V610=1,
L610='Group List A'!E$2,M610='Group List A'!F$2,N610='Group List A'!G$2,
R610='Group List B'!E$2,S610='Group List B'!F$2,T610='Group List B'!G$2),"Limit",0))</f>
        <v>0</v>
      </c>
      <c r="H610" s="29">
        <f t="shared" si="137"/>
        <v>0</v>
      </c>
      <c r="I610" s="29">
        <f t="shared" si="138"/>
        <v>0</v>
      </c>
      <c r="J610" s="29">
        <f t="shared" si="139"/>
        <v>0</v>
      </c>
      <c r="K610" s="32" t="str" cm="1">
        <f t="array" ref="K610">IF(AF610&lt;&gt;"",IFERROR(INDEX('Group List A'!B:B,MATCH(AI610,'Group List A'!A:A,0),0),"-"),"")</f>
        <v/>
      </c>
      <c r="L610" s="33">
        <f t="shared" si="140"/>
        <v>0</v>
      </c>
      <c r="M610" s="33">
        <f t="shared" si="141"/>
        <v>0</v>
      </c>
      <c r="N610" s="33">
        <f t="shared" si="142"/>
        <v>0</v>
      </c>
      <c r="O610" s="28"/>
      <c r="P610" s="33">
        <f t="shared" si="143"/>
        <v>0</v>
      </c>
      <c r="Q610" s="35" t="str" cm="1">
        <f t="array" ref="Q610">IF(AF610&lt;&gt;"",IFERROR(INDEX('Group List B'!B:B,MATCH(AI610,'Group List B'!A:A,0),0),"-"),"")</f>
        <v/>
      </c>
      <c r="R610" s="36">
        <f t="shared" si="144"/>
        <v>0</v>
      </c>
      <c r="S610" s="36">
        <f t="shared" si="145"/>
        <v>0</v>
      </c>
      <c r="T610" s="36">
        <f t="shared" si="146"/>
        <v>0</v>
      </c>
      <c r="U610" s="28"/>
      <c r="V610" s="37">
        <f t="shared" si="147"/>
        <v>0</v>
      </c>
      <c r="W610" s="41"/>
      <c r="X610" s="27"/>
      <c r="Y610" s="27"/>
      <c r="Z610" s="27"/>
      <c r="AA610" s="15"/>
      <c r="AB610" s="17"/>
      <c r="AC610" s="17"/>
      <c r="AD610" s="17"/>
      <c r="AE610" s="90"/>
      <c r="AF610" s="82" t="str">
        <f t="shared" si="148"/>
        <v/>
      </c>
      <c r="AG610" s="83" t="str">
        <f t="shared" si="149"/>
        <v/>
      </c>
      <c r="AH610" s="82" t="str">
        <f t="shared" si="150"/>
        <v/>
      </c>
      <c r="AI610" s="82" t="str">
        <f t="shared" si="151"/>
        <v/>
      </c>
      <c r="AJ610" s="90"/>
      <c r="AP610" s="88"/>
    </row>
    <row r="611" spans="1:42" x14ac:dyDescent="0.25">
      <c r="A611" s="2"/>
      <c r="C611" s="68" t="str" cm="1">
        <f t="array" ref="C611">IF(AF611&lt;&gt;"",
IFERROR(INDEX('LaunchPad Markbook'!A:A,MATCH(AH611,'LaunchPad Markbook'!D:D,0),0),"-"),"")</f>
        <v/>
      </c>
      <c r="D611" s="27"/>
      <c r="E611" s="27"/>
      <c r="F611" s="27"/>
      <c r="G611" s="14">
        <f>IF(OR(H611&gt;AB$2,I611&gt;AC$2,J611&gt;AD$2,
P611&gt;1,V611&gt;1,
L611&gt;'Group List A'!E$2,M611&gt;'Group List A'!F$2,N611&gt;'Group List A'!G$2,
R611&gt;'Group List B'!E$2,S611&gt;'Group List B'!F$2,T611&gt;'Group List B'!G$2),"Exceed",
IF(OR(H611=AB$2,I611=AC$2,J611=AD$2,
P611=1,V611=1,
L611='Group List A'!E$2,M611='Group List A'!F$2,N611='Group List A'!G$2,
R611='Group List B'!E$2,S611='Group List B'!F$2,T611='Group List B'!G$2),"Limit",0))</f>
        <v>0</v>
      </c>
      <c r="H611" s="29">
        <f t="shared" si="137"/>
        <v>0</v>
      </c>
      <c r="I611" s="29">
        <f t="shared" si="138"/>
        <v>0</v>
      </c>
      <c r="J611" s="29">
        <f t="shared" si="139"/>
        <v>0</v>
      </c>
      <c r="K611" s="32" t="str" cm="1">
        <f t="array" ref="K611">IF(AF611&lt;&gt;"",IFERROR(INDEX('Group List A'!B:B,MATCH(AI611,'Group List A'!A:A,0),0),"-"),"")</f>
        <v/>
      </c>
      <c r="L611" s="33">
        <f t="shared" si="140"/>
        <v>0</v>
      </c>
      <c r="M611" s="33">
        <f t="shared" si="141"/>
        <v>0</v>
      </c>
      <c r="N611" s="33">
        <f t="shared" si="142"/>
        <v>0</v>
      </c>
      <c r="O611" s="28"/>
      <c r="P611" s="33">
        <f t="shared" si="143"/>
        <v>0</v>
      </c>
      <c r="Q611" s="35" t="str" cm="1">
        <f t="array" ref="Q611">IF(AF611&lt;&gt;"",IFERROR(INDEX('Group List B'!B:B,MATCH(AI611,'Group List B'!A:A,0),0),"-"),"")</f>
        <v/>
      </c>
      <c r="R611" s="36">
        <f t="shared" si="144"/>
        <v>0</v>
      </c>
      <c r="S611" s="36">
        <f t="shared" si="145"/>
        <v>0</v>
      </c>
      <c r="T611" s="36">
        <f t="shared" si="146"/>
        <v>0</v>
      </c>
      <c r="U611" s="28"/>
      <c r="V611" s="37">
        <f t="shared" si="147"/>
        <v>0</v>
      </c>
      <c r="W611" s="41"/>
      <c r="X611" s="27"/>
      <c r="Y611" s="27"/>
      <c r="Z611" s="27"/>
      <c r="AA611" s="15"/>
      <c r="AB611" s="17"/>
      <c r="AC611" s="17"/>
      <c r="AD611" s="17"/>
      <c r="AE611" s="90"/>
      <c r="AF611" s="82" t="str">
        <f t="shared" si="148"/>
        <v/>
      </c>
      <c r="AG611" s="83" t="str">
        <f t="shared" si="149"/>
        <v/>
      </c>
      <c r="AH611" s="82" t="str">
        <f t="shared" si="150"/>
        <v/>
      </c>
      <c r="AI611" s="82" t="str">
        <f t="shared" si="151"/>
        <v/>
      </c>
      <c r="AJ611" s="90"/>
      <c r="AP611" s="88"/>
    </row>
    <row r="612" spans="1:42" x14ac:dyDescent="0.25">
      <c r="A612" s="2"/>
      <c r="C612" s="68" t="str" cm="1">
        <f t="array" ref="C612">IF(AF612&lt;&gt;"",
IFERROR(INDEX('LaunchPad Markbook'!A:A,MATCH(AH612,'LaunchPad Markbook'!D:D,0),0),"-"),"")</f>
        <v/>
      </c>
      <c r="D612" s="27"/>
      <c r="E612" s="27"/>
      <c r="F612" s="27"/>
      <c r="G612" s="14">
        <f>IF(OR(H612&gt;AB$2,I612&gt;AC$2,J612&gt;AD$2,
P612&gt;1,V612&gt;1,
L612&gt;'Group List A'!E$2,M612&gt;'Group List A'!F$2,N612&gt;'Group List A'!G$2,
R612&gt;'Group List B'!E$2,S612&gt;'Group List B'!F$2,T612&gt;'Group List B'!G$2),"Exceed",
IF(OR(H612=AB$2,I612=AC$2,J612=AD$2,
P612=1,V612=1,
L612='Group List A'!E$2,M612='Group List A'!F$2,N612='Group List A'!G$2,
R612='Group List B'!E$2,S612='Group List B'!F$2,T612='Group List B'!G$2),"Limit",0))</f>
        <v>0</v>
      </c>
      <c r="H612" s="29">
        <f t="shared" si="137"/>
        <v>0</v>
      </c>
      <c r="I612" s="29">
        <f t="shared" si="138"/>
        <v>0</v>
      </c>
      <c r="J612" s="29">
        <f t="shared" si="139"/>
        <v>0</v>
      </c>
      <c r="K612" s="32" t="str" cm="1">
        <f t="array" ref="K612">IF(AF612&lt;&gt;"",IFERROR(INDEX('Group List A'!B:B,MATCH(AI612,'Group List A'!A:A,0),0),"-"),"")</f>
        <v/>
      </c>
      <c r="L612" s="33">
        <f t="shared" si="140"/>
        <v>0</v>
      </c>
      <c r="M612" s="33">
        <f t="shared" si="141"/>
        <v>0</v>
      </c>
      <c r="N612" s="33">
        <f t="shared" si="142"/>
        <v>0</v>
      </c>
      <c r="O612" s="28"/>
      <c r="P612" s="33">
        <f t="shared" si="143"/>
        <v>0</v>
      </c>
      <c r="Q612" s="35" t="str" cm="1">
        <f t="array" ref="Q612">IF(AF612&lt;&gt;"",IFERROR(INDEX('Group List B'!B:B,MATCH(AI612,'Group List B'!A:A,0),0),"-"),"")</f>
        <v/>
      </c>
      <c r="R612" s="36">
        <f t="shared" si="144"/>
        <v>0</v>
      </c>
      <c r="S612" s="36">
        <f t="shared" si="145"/>
        <v>0</v>
      </c>
      <c r="T612" s="36">
        <f t="shared" si="146"/>
        <v>0</v>
      </c>
      <c r="U612" s="28"/>
      <c r="V612" s="37">
        <f t="shared" si="147"/>
        <v>0</v>
      </c>
      <c r="W612" s="41"/>
      <c r="X612" s="27"/>
      <c r="Y612" s="27"/>
      <c r="Z612" s="27"/>
      <c r="AA612" s="15"/>
      <c r="AB612" s="17"/>
      <c r="AC612" s="17"/>
      <c r="AD612" s="17"/>
      <c r="AE612" s="90"/>
      <c r="AF612" s="82" t="str">
        <f t="shared" si="148"/>
        <v/>
      </c>
      <c r="AG612" s="83" t="str">
        <f t="shared" si="149"/>
        <v/>
      </c>
      <c r="AH612" s="82" t="str">
        <f t="shared" si="150"/>
        <v/>
      </c>
      <c r="AI612" s="82" t="str">
        <f t="shared" si="151"/>
        <v/>
      </c>
      <c r="AJ612" s="90"/>
      <c r="AP612" s="88"/>
    </row>
    <row r="613" spans="1:42" x14ac:dyDescent="0.25">
      <c r="A613" s="2"/>
      <c r="C613" s="68" t="str" cm="1">
        <f t="array" ref="C613">IF(AF613&lt;&gt;"",
IFERROR(INDEX('LaunchPad Markbook'!A:A,MATCH(AH613,'LaunchPad Markbook'!D:D,0),0),"-"),"")</f>
        <v/>
      </c>
      <c r="D613" s="27"/>
      <c r="E613" s="27"/>
      <c r="F613" s="27"/>
      <c r="G613" s="14">
        <f>IF(OR(H613&gt;AB$2,I613&gt;AC$2,J613&gt;AD$2,
P613&gt;1,V613&gt;1,
L613&gt;'Group List A'!E$2,M613&gt;'Group List A'!F$2,N613&gt;'Group List A'!G$2,
R613&gt;'Group List B'!E$2,S613&gt;'Group List B'!F$2,T613&gt;'Group List B'!G$2),"Exceed",
IF(OR(H613=AB$2,I613=AC$2,J613=AD$2,
P613=1,V613=1,
L613='Group List A'!E$2,M613='Group List A'!F$2,N613='Group List A'!G$2,
R613='Group List B'!E$2,S613='Group List B'!F$2,T613='Group List B'!G$2),"Limit",0))</f>
        <v>0</v>
      </c>
      <c r="H613" s="29">
        <f t="shared" si="137"/>
        <v>0</v>
      </c>
      <c r="I613" s="29">
        <f t="shared" si="138"/>
        <v>0</v>
      </c>
      <c r="J613" s="29">
        <f t="shared" si="139"/>
        <v>0</v>
      </c>
      <c r="K613" s="32" t="str" cm="1">
        <f t="array" ref="K613">IF(AF613&lt;&gt;"",IFERROR(INDEX('Group List A'!B:B,MATCH(AI613,'Group List A'!A:A,0),0),"-"),"")</f>
        <v/>
      </c>
      <c r="L613" s="33">
        <f t="shared" si="140"/>
        <v>0</v>
      </c>
      <c r="M613" s="33">
        <f t="shared" si="141"/>
        <v>0</v>
      </c>
      <c r="N613" s="33">
        <f t="shared" si="142"/>
        <v>0</v>
      </c>
      <c r="O613" s="28"/>
      <c r="P613" s="33">
        <f t="shared" si="143"/>
        <v>0</v>
      </c>
      <c r="Q613" s="35" t="str" cm="1">
        <f t="array" ref="Q613">IF(AF613&lt;&gt;"",IFERROR(INDEX('Group List B'!B:B,MATCH(AI613,'Group List B'!A:A,0),0),"-"),"")</f>
        <v/>
      </c>
      <c r="R613" s="36">
        <f t="shared" si="144"/>
        <v>0</v>
      </c>
      <c r="S613" s="36">
        <f t="shared" si="145"/>
        <v>0</v>
      </c>
      <c r="T613" s="36">
        <f t="shared" si="146"/>
        <v>0</v>
      </c>
      <c r="U613" s="28"/>
      <c r="V613" s="37">
        <f t="shared" si="147"/>
        <v>0</v>
      </c>
      <c r="W613" s="41"/>
      <c r="X613" s="27"/>
      <c r="Y613" s="27"/>
      <c r="Z613" s="27"/>
      <c r="AA613" s="15"/>
      <c r="AB613" s="17"/>
      <c r="AC613" s="17"/>
      <c r="AD613" s="17"/>
      <c r="AE613" s="90"/>
      <c r="AF613" s="82" t="str">
        <f t="shared" si="148"/>
        <v/>
      </c>
      <c r="AG613" s="83" t="str">
        <f t="shared" si="149"/>
        <v/>
      </c>
      <c r="AH613" s="82" t="str">
        <f t="shared" si="150"/>
        <v/>
      </c>
      <c r="AI613" s="82" t="str">
        <f t="shared" si="151"/>
        <v/>
      </c>
      <c r="AJ613" s="90"/>
      <c r="AP613" s="88"/>
    </row>
    <row r="614" spans="1:42" x14ac:dyDescent="0.25">
      <c r="A614" s="2"/>
      <c r="C614" s="68" t="str" cm="1">
        <f t="array" ref="C614">IF(AF614&lt;&gt;"",
IFERROR(INDEX('LaunchPad Markbook'!A:A,MATCH(AH614,'LaunchPad Markbook'!D:D,0),0),"-"),"")</f>
        <v/>
      </c>
      <c r="D614" s="27"/>
      <c r="E614" s="27"/>
      <c r="F614" s="27"/>
      <c r="G614" s="14">
        <f>IF(OR(H614&gt;AB$2,I614&gt;AC$2,J614&gt;AD$2,
P614&gt;1,V614&gt;1,
L614&gt;'Group List A'!E$2,M614&gt;'Group List A'!F$2,N614&gt;'Group List A'!G$2,
R614&gt;'Group List B'!E$2,S614&gt;'Group List B'!F$2,T614&gt;'Group List B'!G$2),"Exceed",
IF(OR(H614=AB$2,I614=AC$2,J614=AD$2,
P614=1,V614=1,
L614='Group List A'!E$2,M614='Group List A'!F$2,N614='Group List A'!G$2,
R614='Group List B'!E$2,S614='Group List B'!F$2,T614='Group List B'!G$2),"Limit",0))</f>
        <v>0</v>
      </c>
      <c r="H614" s="29">
        <f t="shared" si="137"/>
        <v>0</v>
      </c>
      <c r="I614" s="29">
        <f t="shared" si="138"/>
        <v>0</v>
      </c>
      <c r="J614" s="29">
        <f t="shared" si="139"/>
        <v>0</v>
      </c>
      <c r="K614" s="32" t="str" cm="1">
        <f t="array" ref="K614">IF(AF614&lt;&gt;"",IFERROR(INDEX('Group List A'!B:B,MATCH(AI614,'Group List A'!A:A,0),0),"-"),"")</f>
        <v/>
      </c>
      <c r="L614" s="33">
        <f t="shared" si="140"/>
        <v>0</v>
      </c>
      <c r="M614" s="33">
        <f t="shared" si="141"/>
        <v>0</v>
      </c>
      <c r="N614" s="33">
        <f t="shared" si="142"/>
        <v>0</v>
      </c>
      <c r="O614" s="28"/>
      <c r="P614" s="33">
        <f t="shared" si="143"/>
        <v>0</v>
      </c>
      <c r="Q614" s="35" t="str" cm="1">
        <f t="array" ref="Q614">IF(AF614&lt;&gt;"",IFERROR(INDEX('Group List B'!B:B,MATCH(AI614,'Group List B'!A:A,0),0),"-"),"")</f>
        <v/>
      </c>
      <c r="R614" s="36">
        <f t="shared" si="144"/>
        <v>0</v>
      </c>
      <c r="S614" s="36">
        <f t="shared" si="145"/>
        <v>0</v>
      </c>
      <c r="T614" s="36">
        <f t="shared" si="146"/>
        <v>0</v>
      </c>
      <c r="U614" s="28"/>
      <c r="V614" s="37">
        <f t="shared" si="147"/>
        <v>0</v>
      </c>
      <c r="W614" s="41"/>
      <c r="X614" s="27"/>
      <c r="Y614" s="27"/>
      <c r="Z614" s="27"/>
      <c r="AA614" s="15"/>
      <c r="AB614" s="17"/>
      <c r="AC614" s="17"/>
      <c r="AD614" s="17"/>
      <c r="AE614" s="90"/>
      <c r="AF614" s="82" t="str">
        <f t="shared" si="148"/>
        <v/>
      </c>
      <c r="AG614" s="83" t="str">
        <f t="shared" si="149"/>
        <v/>
      </c>
      <c r="AH614" s="82" t="str">
        <f t="shared" si="150"/>
        <v/>
      </c>
      <c r="AI614" s="82" t="str">
        <f t="shared" si="151"/>
        <v/>
      </c>
      <c r="AJ614" s="90"/>
      <c r="AP614" s="88"/>
    </row>
    <row r="615" spans="1:42" x14ac:dyDescent="0.25">
      <c r="A615" s="2"/>
      <c r="C615" s="68" t="str" cm="1">
        <f t="array" ref="C615">IF(AF615&lt;&gt;"",
IFERROR(INDEX('LaunchPad Markbook'!A:A,MATCH(AH615,'LaunchPad Markbook'!D:D,0),0),"-"),"")</f>
        <v/>
      </c>
      <c r="D615" s="27"/>
      <c r="E615" s="27"/>
      <c r="F615" s="27"/>
      <c r="G615" s="14">
        <f>IF(OR(H615&gt;AB$2,I615&gt;AC$2,J615&gt;AD$2,
P615&gt;1,V615&gt;1,
L615&gt;'Group List A'!E$2,M615&gt;'Group List A'!F$2,N615&gt;'Group List A'!G$2,
R615&gt;'Group List B'!E$2,S615&gt;'Group List B'!F$2,T615&gt;'Group List B'!G$2),"Exceed",
IF(OR(H615=AB$2,I615=AC$2,J615=AD$2,
P615=1,V615=1,
L615='Group List A'!E$2,M615='Group List A'!F$2,N615='Group List A'!G$2,
R615='Group List B'!E$2,S615='Group List B'!F$2,T615='Group List B'!G$2),"Limit",0))</f>
        <v>0</v>
      </c>
      <c r="H615" s="29">
        <f t="shared" si="137"/>
        <v>0</v>
      </c>
      <c r="I615" s="29">
        <f t="shared" si="138"/>
        <v>0</v>
      </c>
      <c r="J615" s="29">
        <f t="shared" si="139"/>
        <v>0</v>
      </c>
      <c r="K615" s="32" t="str" cm="1">
        <f t="array" ref="K615">IF(AF615&lt;&gt;"",IFERROR(INDEX('Group List A'!B:B,MATCH(AI615,'Group List A'!A:A,0),0),"-"),"")</f>
        <v/>
      </c>
      <c r="L615" s="33">
        <f t="shared" si="140"/>
        <v>0</v>
      </c>
      <c r="M615" s="33">
        <f t="shared" si="141"/>
        <v>0</v>
      </c>
      <c r="N615" s="33">
        <f t="shared" si="142"/>
        <v>0</v>
      </c>
      <c r="O615" s="28"/>
      <c r="P615" s="33">
        <f t="shared" si="143"/>
        <v>0</v>
      </c>
      <c r="Q615" s="35" t="str" cm="1">
        <f t="array" ref="Q615">IF(AF615&lt;&gt;"",IFERROR(INDEX('Group List B'!B:B,MATCH(AI615,'Group List B'!A:A,0),0),"-"),"")</f>
        <v/>
      </c>
      <c r="R615" s="36">
        <f t="shared" si="144"/>
        <v>0</v>
      </c>
      <c r="S615" s="36">
        <f t="shared" si="145"/>
        <v>0</v>
      </c>
      <c r="T615" s="36">
        <f t="shared" si="146"/>
        <v>0</v>
      </c>
      <c r="U615" s="28"/>
      <c r="V615" s="37">
        <f t="shared" si="147"/>
        <v>0</v>
      </c>
      <c r="W615" s="41"/>
      <c r="X615" s="27"/>
      <c r="Y615" s="27"/>
      <c r="Z615" s="27"/>
      <c r="AA615" s="15"/>
      <c r="AB615" s="17"/>
      <c r="AC615" s="17"/>
      <c r="AD615" s="17"/>
      <c r="AE615" s="90"/>
      <c r="AF615" s="82" t="str">
        <f t="shared" si="148"/>
        <v/>
      </c>
      <c r="AG615" s="83" t="str">
        <f t="shared" si="149"/>
        <v/>
      </c>
      <c r="AH615" s="82" t="str">
        <f t="shared" si="150"/>
        <v/>
      </c>
      <c r="AI615" s="82" t="str">
        <f t="shared" si="151"/>
        <v/>
      </c>
      <c r="AJ615" s="90"/>
      <c r="AP615" s="88"/>
    </row>
    <row r="616" spans="1:42" x14ac:dyDescent="0.25">
      <c r="A616" s="2"/>
      <c r="C616" s="68" t="str" cm="1">
        <f t="array" ref="C616">IF(AF616&lt;&gt;"",
IFERROR(INDEX('LaunchPad Markbook'!A:A,MATCH(AH616,'LaunchPad Markbook'!D:D,0),0),"-"),"")</f>
        <v/>
      </c>
      <c r="D616" s="27"/>
      <c r="E616" s="27"/>
      <c r="F616" s="27"/>
      <c r="G616" s="14">
        <f>IF(OR(H616&gt;AB$2,I616&gt;AC$2,J616&gt;AD$2,
P616&gt;1,V616&gt;1,
L616&gt;'Group List A'!E$2,M616&gt;'Group List A'!F$2,N616&gt;'Group List A'!G$2,
R616&gt;'Group List B'!E$2,S616&gt;'Group List B'!F$2,T616&gt;'Group List B'!G$2),"Exceed",
IF(OR(H616=AB$2,I616=AC$2,J616=AD$2,
P616=1,V616=1,
L616='Group List A'!E$2,M616='Group List A'!F$2,N616='Group List A'!G$2,
R616='Group List B'!E$2,S616='Group List B'!F$2,T616='Group List B'!G$2),"Limit",0))</f>
        <v>0</v>
      </c>
      <c r="H616" s="29">
        <f t="shared" si="137"/>
        <v>0</v>
      </c>
      <c r="I616" s="29">
        <f t="shared" si="138"/>
        <v>0</v>
      </c>
      <c r="J616" s="29">
        <f t="shared" si="139"/>
        <v>0</v>
      </c>
      <c r="K616" s="32" t="str" cm="1">
        <f t="array" ref="K616">IF(AF616&lt;&gt;"",IFERROR(INDEX('Group List A'!B:B,MATCH(AI616,'Group List A'!A:A,0),0),"-"),"")</f>
        <v/>
      </c>
      <c r="L616" s="33">
        <f t="shared" si="140"/>
        <v>0</v>
      </c>
      <c r="M616" s="33">
        <f t="shared" si="141"/>
        <v>0</v>
      </c>
      <c r="N616" s="33">
        <f t="shared" si="142"/>
        <v>0</v>
      </c>
      <c r="O616" s="28"/>
      <c r="P616" s="33">
        <f t="shared" si="143"/>
        <v>0</v>
      </c>
      <c r="Q616" s="35" t="str" cm="1">
        <f t="array" ref="Q616">IF(AF616&lt;&gt;"",IFERROR(INDEX('Group List B'!B:B,MATCH(AI616,'Group List B'!A:A,0),0),"-"),"")</f>
        <v/>
      </c>
      <c r="R616" s="36">
        <f t="shared" si="144"/>
        <v>0</v>
      </c>
      <c r="S616" s="36">
        <f t="shared" si="145"/>
        <v>0</v>
      </c>
      <c r="T616" s="36">
        <f t="shared" si="146"/>
        <v>0</v>
      </c>
      <c r="U616" s="28"/>
      <c r="V616" s="37">
        <f t="shared" si="147"/>
        <v>0</v>
      </c>
      <c r="W616" s="41"/>
      <c r="X616" s="27"/>
      <c r="Y616" s="27"/>
      <c r="Z616" s="27"/>
      <c r="AA616" s="15"/>
      <c r="AB616" s="17"/>
      <c r="AC616" s="17"/>
      <c r="AD616" s="17"/>
      <c r="AE616" s="90"/>
      <c r="AF616" s="82" t="str">
        <f t="shared" si="148"/>
        <v/>
      </c>
      <c r="AG616" s="83" t="str">
        <f t="shared" si="149"/>
        <v/>
      </c>
      <c r="AH616" s="82" t="str">
        <f t="shared" si="150"/>
        <v/>
      </c>
      <c r="AI616" s="82" t="str">
        <f t="shared" si="151"/>
        <v/>
      </c>
      <c r="AJ616" s="90"/>
      <c r="AP616" s="88"/>
    </row>
    <row r="617" spans="1:42" x14ac:dyDescent="0.25">
      <c r="A617" s="2"/>
      <c r="C617" s="68" t="str" cm="1">
        <f t="array" ref="C617">IF(AF617&lt;&gt;"",
IFERROR(INDEX('LaunchPad Markbook'!A:A,MATCH(AH617,'LaunchPad Markbook'!D:D,0),0),"-"),"")</f>
        <v/>
      </c>
      <c r="D617" s="27"/>
      <c r="E617" s="27"/>
      <c r="F617" s="27"/>
      <c r="G617" s="14">
        <f>IF(OR(H617&gt;AB$2,I617&gt;AC$2,J617&gt;AD$2,
P617&gt;1,V617&gt;1,
L617&gt;'Group List A'!E$2,M617&gt;'Group List A'!F$2,N617&gt;'Group List A'!G$2,
R617&gt;'Group List B'!E$2,S617&gt;'Group List B'!F$2,T617&gt;'Group List B'!G$2),"Exceed",
IF(OR(H617=AB$2,I617=AC$2,J617=AD$2,
P617=1,V617=1,
L617='Group List A'!E$2,M617='Group List A'!F$2,N617='Group List A'!G$2,
R617='Group List B'!E$2,S617='Group List B'!F$2,T617='Group List B'!G$2),"Limit",0))</f>
        <v>0</v>
      </c>
      <c r="H617" s="29">
        <f t="shared" si="137"/>
        <v>0</v>
      </c>
      <c r="I617" s="29">
        <f t="shared" si="138"/>
        <v>0</v>
      </c>
      <c r="J617" s="29">
        <f t="shared" si="139"/>
        <v>0</v>
      </c>
      <c r="K617" s="32" t="str" cm="1">
        <f t="array" ref="K617">IF(AF617&lt;&gt;"",IFERROR(INDEX('Group List A'!B:B,MATCH(AI617,'Group List A'!A:A,0),0),"-"),"")</f>
        <v/>
      </c>
      <c r="L617" s="33">
        <f t="shared" si="140"/>
        <v>0</v>
      </c>
      <c r="M617" s="33">
        <f t="shared" si="141"/>
        <v>0</v>
      </c>
      <c r="N617" s="33">
        <f t="shared" si="142"/>
        <v>0</v>
      </c>
      <c r="O617" s="28"/>
      <c r="P617" s="33">
        <f t="shared" si="143"/>
        <v>0</v>
      </c>
      <c r="Q617" s="35" t="str" cm="1">
        <f t="array" ref="Q617">IF(AF617&lt;&gt;"",IFERROR(INDEX('Group List B'!B:B,MATCH(AI617,'Group List B'!A:A,0),0),"-"),"")</f>
        <v/>
      </c>
      <c r="R617" s="36">
        <f t="shared" si="144"/>
        <v>0</v>
      </c>
      <c r="S617" s="36">
        <f t="shared" si="145"/>
        <v>0</v>
      </c>
      <c r="T617" s="36">
        <f t="shared" si="146"/>
        <v>0</v>
      </c>
      <c r="U617" s="28"/>
      <c r="V617" s="37">
        <f t="shared" si="147"/>
        <v>0</v>
      </c>
      <c r="W617" s="41"/>
      <c r="X617" s="27"/>
      <c r="Y617" s="27"/>
      <c r="Z617" s="27"/>
      <c r="AA617" s="15"/>
      <c r="AB617" s="17"/>
      <c r="AC617" s="17"/>
      <c r="AD617" s="17"/>
      <c r="AE617" s="90"/>
      <c r="AF617" s="82" t="str">
        <f t="shared" si="148"/>
        <v/>
      </c>
      <c r="AG617" s="83" t="str">
        <f t="shared" si="149"/>
        <v/>
      </c>
      <c r="AH617" s="82" t="str">
        <f t="shared" si="150"/>
        <v/>
      </c>
      <c r="AI617" s="82" t="str">
        <f t="shared" si="151"/>
        <v/>
      </c>
      <c r="AJ617" s="90"/>
      <c r="AP617" s="88"/>
    </row>
    <row r="618" spans="1:42" x14ac:dyDescent="0.25">
      <c r="A618" s="2"/>
      <c r="C618" s="68" t="str" cm="1">
        <f t="array" ref="C618">IF(AF618&lt;&gt;"",
IFERROR(INDEX('LaunchPad Markbook'!A:A,MATCH(AH618,'LaunchPad Markbook'!D:D,0),0),"-"),"")</f>
        <v/>
      </c>
      <c r="D618" s="27"/>
      <c r="E618" s="27"/>
      <c r="F618" s="27"/>
      <c r="G618" s="14">
        <f>IF(OR(H618&gt;AB$2,I618&gt;AC$2,J618&gt;AD$2,
P618&gt;1,V618&gt;1,
L618&gt;'Group List A'!E$2,M618&gt;'Group List A'!F$2,N618&gt;'Group List A'!G$2,
R618&gt;'Group List B'!E$2,S618&gt;'Group List B'!F$2,T618&gt;'Group List B'!G$2),"Exceed",
IF(OR(H618=AB$2,I618=AC$2,J618=AD$2,
P618=1,V618=1,
L618='Group List A'!E$2,M618='Group List A'!F$2,N618='Group List A'!G$2,
R618='Group List B'!E$2,S618='Group List B'!F$2,T618='Group List B'!G$2),"Limit",0))</f>
        <v>0</v>
      </c>
      <c r="H618" s="29">
        <f t="shared" si="137"/>
        <v>0</v>
      </c>
      <c r="I618" s="29">
        <f t="shared" si="138"/>
        <v>0</v>
      </c>
      <c r="J618" s="29">
        <f t="shared" si="139"/>
        <v>0</v>
      </c>
      <c r="K618" s="32" t="str" cm="1">
        <f t="array" ref="K618">IF(AF618&lt;&gt;"",IFERROR(INDEX('Group List A'!B:B,MATCH(AI618,'Group List A'!A:A,0),0),"-"),"")</f>
        <v/>
      </c>
      <c r="L618" s="33">
        <f t="shared" si="140"/>
        <v>0</v>
      </c>
      <c r="M618" s="33">
        <f t="shared" si="141"/>
        <v>0</v>
      </c>
      <c r="N618" s="33">
        <f t="shared" si="142"/>
        <v>0</v>
      </c>
      <c r="O618" s="28"/>
      <c r="P618" s="33">
        <f t="shared" si="143"/>
        <v>0</v>
      </c>
      <c r="Q618" s="35" t="str" cm="1">
        <f t="array" ref="Q618">IF(AF618&lt;&gt;"",IFERROR(INDEX('Group List B'!B:B,MATCH(AI618,'Group List B'!A:A,0),0),"-"),"")</f>
        <v/>
      </c>
      <c r="R618" s="36">
        <f t="shared" si="144"/>
        <v>0</v>
      </c>
      <c r="S618" s="36">
        <f t="shared" si="145"/>
        <v>0</v>
      </c>
      <c r="T618" s="36">
        <f t="shared" si="146"/>
        <v>0</v>
      </c>
      <c r="U618" s="28"/>
      <c r="V618" s="37">
        <f t="shared" si="147"/>
        <v>0</v>
      </c>
      <c r="W618" s="41"/>
      <c r="X618" s="27"/>
      <c r="Y618" s="27"/>
      <c r="Z618" s="27"/>
      <c r="AA618" s="15"/>
      <c r="AB618" s="17"/>
      <c r="AC618" s="17"/>
      <c r="AD618" s="17"/>
      <c r="AE618" s="90"/>
      <c r="AF618" s="82" t="str">
        <f t="shared" si="148"/>
        <v/>
      </c>
      <c r="AG618" s="83" t="str">
        <f t="shared" si="149"/>
        <v/>
      </c>
      <c r="AH618" s="82" t="str">
        <f t="shared" si="150"/>
        <v/>
      </c>
      <c r="AI618" s="82" t="str">
        <f t="shared" si="151"/>
        <v/>
      </c>
      <c r="AJ618" s="90"/>
      <c r="AP618" s="88"/>
    </row>
    <row r="619" spans="1:42" x14ac:dyDescent="0.25">
      <c r="A619" s="2"/>
      <c r="C619" s="68" t="str" cm="1">
        <f t="array" ref="C619">IF(AF619&lt;&gt;"",
IFERROR(INDEX('LaunchPad Markbook'!A:A,MATCH(AH619,'LaunchPad Markbook'!D:D,0),0),"-"),"")</f>
        <v/>
      </c>
      <c r="D619" s="27"/>
      <c r="E619" s="27"/>
      <c r="F619" s="27"/>
      <c r="G619" s="14">
        <f>IF(OR(H619&gt;AB$2,I619&gt;AC$2,J619&gt;AD$2,
P619&gt;1,V619&gt;1,
L619&gt;'Group List A'!E$2,M619&gt;'Group List A'!F$2,N619&gt;'Group List A'!G$2,
R619&gt;'Group List B'!E$2,S619&gt;'Group List B'!F$2,T619&gt;'Group List B'!G$2),"Exceed",
IF(OR(H619=AB$2,I619=AC$2,J619=AD$2,
P619=1,V619=1,
L619='Group List A'!E$2,M619='Group List A'!F$2,N619='Group List A'!G$2,
R619='Group List B'!E$2,S619='Group List B'!F$2,T619='Group List B'!G$2),"Limit",0))</f>
        <v>0</v>
      </c>
      <c r="H619" s="29">
        <f t="shared" si="137"/>
        <v>0</v>
      </c>
      <c r="I619" s="29">
        <f t="shared" si="138"/>
        <v>0</v>
      </c>
      <c r="J619" s="29">
        <f t="shared" si="139"/>
        <v>0</v>
      </c>
      <c r="K619" s="32" t="str" cm="1">
        <f t="array" ref="K619">IF(AF619&lt;&gt;"",IFERROR(INDEX('Group List A'!B:B,MATCH(AI619,'Group List A'!A:A,0),0),"-"),"")</f>
        <v/>
      </c>
      <c r="L619" s="33">
        <f t="shared" si="140"/>
        <v>0</v>
      </c>
      <c r="M619" s="33">
        <f t="shared" si="141"/>
        <v>0</v>
      </c>
      <c r="N619" s="33">
        <f t="shared" si="142"/>
        <v>0</v>
      </c>
      <c r="O619" s="28"/>
      <c r="P619" s="33">
        <f t="shared" si="143"/>
        <v>0</v>
      </c>
      <c r="Q619" s="35" t="str" cm="1">
        <f t="array" ref="Q619">IF(AF619&lt;&gt;"",IFERROR(INDEX('Group List B'!B:B,MATCH(AI619,'Group List B'!A:A,0),0),"-"),"")</f>
        <v/>
      </c>
      <c r="R619" s="36">
        <f t="shared" si="144"/>
        <v>0</v>
      </c>
      <c r="S619" s="36">
        <f t="shared" si="145"/>
        <v>0</v>
      </c>
      <c r="T619" s="36">
        <f t="shared" si="146"/>
        <v>0</v>
      </c>
      <c r="U619" s="28"/>
      <c r="V619" s="37">
        <f t="shared" si="147"/>
        <v>0</v>
      </c>
      <c r="W619" s="41"/>
      <c r="X619" s="27"/>
      <c r="Y619" s="27"/>
      <c r="Z619" s="27"/>
      <c r="AA619" s="15"/>
      <c r="AB619" s="17"/>
      <c r="AC619" s="17"/>
      <c r="AD619" s="17"/>
      <c r="AE619" s="90"/>
      <c r="AF619" s="82" t="str">
        <f t="shared" si="148"/>
        <v/>
      </c>
      <c r="AG619" s="83" t="str">
        <f t="shared" si="149"/>
        <v/>
      </c>
      <c r="AH619" s="82" t="str">
        <f t="shared" si="150"/>
        <v/>
      </c>
      <c r="AI619" s="82" t="str">
        <f t="shared" si="151"/>
        <v/>
      </c>
      <c r="AJ619" s="90"/>
      <c r="AP619" s="88"/>
    </row>
    <row r="620" spans="1:42" x14ac:dyDescent="0.25">
      <c r="A620" s="2"/>
      <c r="C620" s="68" t="str" cm="1">
        <f t="array" ref="C620">IF(AF620&lt;&gt;"",
IFERROR(INDEX('LaunchPad Markbook'!A:A,MATCH(AH620,'LaunchPad Markbook'!D:D,0),0),"-"),"")</f>
        <v/>
      </c>
      <c r="D620" s="27"/>
      <c r="E620" s="27"/>
      <c r="F620" s="27"/>
      <c r="G620" s="14">
        <f>IF(OR(H620&gt;AB$2,I620&gt;AC$2,J620&gt;AD$2,
P620&gt;1,V620&gt;1,
L620&gt;'Group List A'!E$2,M620&gt;'Group List A'!F$2,N620&gt;'Group List A'!G$2,
R620&gt;'Group List B'!E$2,S620&gt;'Group List B'!F$2,T620&gt;'Group List B'!G$2),"Exceed",
IF(OR(H620=AB$2,I620=AC$2,J620=AD$2,
P620=1,V620=1,
L620='Group List A'!E$2,M620='Group List A'!F$2,N620='Group List A'!G$2,
R620='Group List B'!E$2,S620='Group List B'!F$2,T620='Group List B'!G$2),"Limit",0))</f>
        <v>0</v>
      </c>
      <c r="H620" s="29">
        <f t="shared" si="137"/>
        <v>0</v>
      </c>
      <c r="I620" s="29">
        <f t="shared" si="138"/>
        <v>0</v>
      </c>
      <c r="J620" s="29">
        <f t="shared" si="139"/>
        <v>0</v>
      </c>
      <c r="K620" s="32" t="str" cm="1">
        <f t="array" ref="K620">IF(AF620&lt;&gt;"",IFERROR(INDEX('Group List A'!B:B,MATCH(AI620,'Group List A'!A:A,0),0),"-"),"")</f>
        <v/>
      </c>
      <c r="L620" s="33">
        <f t="shared" si="140"/>
        <v>0</v>
      </c>
      <c r="M620" s="33">
        <f t="shared" si="141"/>
        <v>0</v>
      </c>
      <c r="N620" s="33">
        <f t="shared" si="142"/>
        <v>0</v>
      </c>
      <c r="O620" s="28"/>
      <c r="P620" s="33">
        <f t="shared" si="143"/>
        <v>0</v>
      </c>
      <c r="Q620" s="35" t="str" cm="1">
        <f t="array" ref="Q620">IF(AF620&lt;&gt;"",IFERROR(INDEX('Group List B'!B:B,MATCH(AI620,'Group List B'!A:A,0),0),"-"),"")</f>
        <v/>
      </c>
      <c r="R620" s="36">
        <f t="shared" si="144"/>
        <v>0</v>
      </c>
      <c r="S620" s="36">
        <f t="shared" si="145"/>
        <v>0</v>
      </c>
      <c r="T620" s="36">
        <f t="shared" si="146"/>
        <v>0</v>
      </c>
      <c r="U620" s="28"/>
      <c r="V620" s="37">
        <f t="shared" si="147"/>
        <v>0</v>
      </c>
      <c r="W620" s="41"/>
      <c r="X620" s="27"/>
      <c r="Y620" s="27"/>
      <c r="Z620" s="27"/>
      <c r="AA620" s="15"/>
      <c r="AB620" s="17"/>
      <c r="AC620" s="17"/>
      <c r="AD620" s="17"/>
      <c r="AE620" s="90"/>
      <c r="AF620" s="82" t="str">
        <f t="shared" si="148"/>
        <v/>
      </c>
      <c r="AG620" s="83" t="str">
        <f t="shared" si="149"/>
        <v/>
      </c>
      <c r="AH620" s="82" t="str">
        <f t="shared" si="150"/>
        <v/>
      </c>
      <c r="AI620" s="82" t="str">
        <f t="shared" si="151"/>
        <v/>
      </c>
      <c r="AJ620" s="90"/>
      <c r="AP620" s="88"/>
    </row>
    <row r="621" spans="1:42" x14ac:dyDescent="0.25">
      <c r="A621" s="2"/>
      <c r="C621" s="68" t="str" cm="1">
        <f t="array" ref="C621">IF(AF621&lt;&gt;"",
IFERROR(INDEX('LaunchPad Markbook'!A:A,MATCH(AH621,'LaunchPad Markbook'!D:D,0),0),"-"),"")</f>
        <v/>
      </c>
      <c r="D621" s="27"/>
      <c r="E621" s="27"/>
      <c r="F621" s="27"/>
      <c r="G621" s="14">
        <f>IF(OR(H621&gt;AB$2,I621&gt;AC$2,J621&gt;AD$2,
P621&gt;1,V621&gt;1,
L621&gt;'Group List A'!E$2,M621&gt;'Group List A'!F$2,N621&gt;'Group List A'!G$2,
R621&gt;'Group List B'!E$2,S621&gt;'Group List B'!F$2,T621&gt;'Group List B'!G$2),"Exceed",
IF(OR(H621=AB$2,I621=AC$2,J621=AD$2,
P621=1,V621=1,
L621='Group List A'!E$2,M621='Group List A'!F$2,N621='Group List A'!G$2,
R621='Group List B'!E$2,S621='Group List B'!F$2,T621='Group List B'!G$2),"Limit",0))</f>
        <v>0</v>
      </c>
      <c r="H621" s="29">
        <f t="shared" si="137"/>
        <v>0</v>
      </c>
      <c r="I621" s="29">
        <f t="shared" si="138"/>
        <v>0</v>
      </c>
      <c r="J621" s="29">
        <f t="shared" si="139"/>
        <v>0</v>
      </c>
      <c r="K621" s="32" t="str" cm="1">
        <f t="array" ref="K621">IF(AF621&lt;&gt;"",IFERROR(INDEX('Group List A'!B:B,MATCH(AI621,'Group List A'!A:A,0),0),"-"),"")</f>
        <v/>
      </c>
      <c r="L621" s="33">
        <f t="shared" si="140"/>
        <v>0</v>
      </c>
      <c r="M621" s="33">
        <f t="shared" si="141"/>
        <v>0</v>
      </c>
      <c r="N621" s="33">
        <f t="shared" si="142"/>
        <v>0</v>
      </c>
      <c r="O621" s="28"/>
      <c r="P621" s="33">
        <f t="shared" si="143"/>
        <v>0</v>
      </c>
      <c r="Q621" s="35" t="str" cm="1">
        <f t="array" ref="Q621">IF(AF621&lt;&gt;"",IFERROR(INDEX('Group List B'!B:B,MATCH(AI621,'Group List B'!A:A,0),0),"-"),"")</f>
        <v/>
      </c>
      <c r="R621" s="36">
        <f t="shared" si="144"/>
        <v>0</v>
      </c>
      <c r="S621" s="36">
        <f t="shared" si="145"/>
        <v>0</v>
      </c>
      <c r="T621" s="36">
        <f t="shared" si="146"/>
        <v>0</v>
      </c>
      <c r="U621" s="28"/>
      <c r="V621" s="37">
        <f t="shared" si="147"/>
        <v>0</v>
      </c>
      <c r="W621" s="41"/>
      <c r="X621" s="27"/>
      <c r="Y621" s="27"/>
      <c r="Z621" s="27"/>
      <c r="AA621" s="15"/>
      <c r="AB621" s="17"/>
      <c r="AC621" s="17"/>
      <c r="AD621" s="17"/>
      <c r="AE621" s="90"/>
      <c r="AF621" s="82" t="str">
        <f t="shared" si="148"/>
        <v/>
      </c>
      <c r="AG621" s="83" t="str">
        <f t="shared" si="149"/>
        <v/>
      </c>
      <c r="AH621" s="82" t="str">
        <f t="shared" si="150"/>
        <v/>
      </c>
      <c r="AI621" s="82" t="str">
        <f t="shared" si="151"/>
        <v/>
      </c>
      <c r="AJ621" s="90"/>
      <c r="AP621" s="88"/>
    </row>
    <row r="622" spans="1:42" x14ac:dyDescent="0.25">
      <c r="A622" s="2"/>
      <c r="C622" s="68" t="str" cm="1">
        <f t="array" ref="C622">IF(AF622&lt;&gt;"",
IFERROR(INDEX('LaunchPad Markbook'!A:A,MATCH(AH622,'LaunchPad Markbook'!D:D,0),0),"-"),"")</f>
        <v/>
      </c>
      <c r="D622" s="27"/>
      <c r="E622" s="27"/>
      <c r="F622" s="27"/>
      <c r="G622" s="14">
        <f>IF(OR(H622&gt;AB$2,I622&gt;AC$2,J622&gt;AD$2,
P622&gt;1,V622&gt;1,
L622&gt;'Group List A'!E$2,M622&gt;'Group List A'!F$2,N622&gt;'Group List A'!G$2,
R622&gt;'Group List B'!E$2,S622&gt;'Group List B'!F$2,T622&gt;'Group List B'!G$2),"Exceed",
IF(OR(H622=AB$2,I622=AC$2,J622=AD$2,
P622=1,V622=1,
L622='Group List A'!E$2,M622='Group List A'!F$2,N622='Group List A'!G$2,
R622='Group List B'!E$2,S622='Group List B'!F$2,T622='Group List B'!G$2),"Limit",0))</f>
        <v>0</v>
      </c>
      <c r="H622" s="29">
        <f t="shared" si="137"/>
        <v>0</v>
      </c>
      <c r="I622" s="29">
        <f t="shared" si="138"/>
        <v>0</v>
      </c>
      <c r="J622" s="29">
        <f t="shared" si="139"/>
        <v>0</v>
      </c>
      <c r="K622" s="32" t="str" cm="1">
        <f t="array" ref="K622">IF(AF622&lt;&gt;"",IFERROR(INDEX('Group List A'!B:B,MATCH(AI622,'Group List A'!A:A,0),0),"-"),"")</f>
        <v/>
      </c>
      <c r="L622" s="33">
        <f t="shared" si="140"/>
        <v>0</v>
      </c>
      <c r="M622" s="33">
        <f t="shared" si="141"/>
        <v>0</v>
      </c>
      <c r="N622" s="33">
        <f t="shared" si="142"/>
        <v>0</v>
      </c>
      <c r="O622" s="28"/>
      <c r="P622" s="33">
        <f t="shared" si="143"/>
        <v>0</v>
      </c>
      <c r="Q622" s="35" t="str" cm="1">
        <f t="array" ref="Q622">IF(AF622&lt;&gt;"",IFERROR(INDEX('Group List B'!B:B,MATCH(AI622,'Group List B'!A:A,0),0),"-"),"")</f>
        <v/>
      </c>
      <c r="R622" s="36">
        <f t="shared" si="144"/>
        <v>0</v>
      </c>
      <c r="S622" s="36">
        <f t="shared" si="145"/>
        <v>0</v>
      </c>
      <c r="T622" s="36">
        <f t="shared" si="146"/>
        <v>0</v>
      </c>
      <c r="U622" s="28"/>
      <c r="V622" s="37">
        <f t="shared" si="147"/>
        <v>0</v>
      </c>
      <c r="W622" s="41"/>
      <c r="X622" s="27"/>
      <c r="Y622" s="27"/>
      <c r="Z622" s="27"/>
      <c r="AA622" s="15"/>
      <c r="AB622" s="17"/>
      <c r="AC622" s="17"/>
      <c r="AD622" s="17"/>
      <c r="AE622" s="90"/>
      <c r="AF622" s="82" t="str">
        <f t="shared" si="148"/>
        <v/>
      </c>
      <c r="AG622" s="83" t="str">
        <f t="shared" si="149"/>
        <v/>
      </c>
      <c r="AH622" s="82" t="str">
        <f t="shared" si="150"/>
        <v/>
      </c>
      <c r="AI622" s="82" t="str">
        <f t="shared" si="151"/>
        <v/>
      </c>
      <c r="AJ622" s="90"/>
      <c r="AP622" s="88"/>
    </row>
    <row r="623" spans="1:42" x14ac:dyDescent="0.25">
      <c r="A623" s="2"/>
      <c r="C623" s="68" t="str" cm="1">
        <f t="array" ref="C623">IF(AF623&lt;&gt;"",
IFERROR(INDEX('LaunchPad Markbook'!A:A,MATCH(AH623,'LaunchPad Markbook'!D:D,0),0),"-"),"")</f>
        <v/>
      </c>
      <c r="D623" s="27"/>
      <c r="E623" s="27"/>
      <c r="F623" s="27"/>
      <c r="G623" s="14">
        <f>IF(OR(H623&gt;AB$2,I623&gt;AC$2,J623&gt;AD$2,
P623&gt;1,V623&gt;1,
L623&gt;'Group List A'!E$2,M623&gt;'Group List A'!F$2,N623&gt;'Group List A'!G$2,
R623&gt;'Group List B'!E$2,S623&gt;'Group List B'!F$2,T623&gt;'Group List B'!G$2),"Exceed",
IF(OR(H623=AB$2,I623=AC$2,J623=AD$2,
P623=1,V623=1,
L623='Group List A'!E$2,M623='Group List A'!F$2,N623='Group List A'!G$2,
R623='Group List B'!E$2,S623='Group List B'!F$2,T623='Group List B'!G$2),"Limit",0))</f>
        <v>0</v>
      </c>
      <c r="H623" s="29">
        <f t="shared" si="137"/>
        <v>0</v>
      </c>
      <c r="I623" s="29">
        <f t="shared" si="138"/>
        <v>0</v>
      </c>
      <c r="J623" s="29">
        <f t="shared" si="139"/>
        <v>0</v>
      </c>
      <c r="K623" s="32" t="str" cm="1">
        <f t="array" ref="K623">IF(AF623&lt;&gt;"",IFERROR(INDEX('Group List A'!B:B,MATCH(AI623,'Group List A'!A:A,0),0),"-"),"")</f>
        <v/>
      </c>
      <c r="L623" s="33">
        <f t="shared" si="140"/>
        <v>0</v>
      </c>
      <c r="M623" s="33">
        <f t="shared" si="141"/>
        <v>0</v>
      </c>
      <c r="N623" s="33">
        <f t="shared" si="142"/>
        <v>0</v>
      </c>
      <c r="O623" s="28"/>
      <c r="P623" s="33">
        <f t="shared" si="143"/>
        <v>0</v>
      </c>
      <c r="Q623" s="35" t="str" cm="1">
        <f t="array" ref="Q623">IF(AF623&lt;&gt;"",IFERROR(INDEX('Group List B'!B:B,MATCH(AI623,'Group List B'!A:A,0),0),"-"),"")</f>
        <v/>
      </c>
      <c r="R623" s="36">
        <f t="shared" si="144"/>
        <v>0</v>
      </c>
      <c r="S623" s="36">
        <f t="shared" si="145"/>
        <v>0</v>
      </c>
      <c r="T623" s="36">
        <f t="shared" si="146"/>
        <v>0</v>
      </c>
      <c r="U623" s="28"/>
      <c r="V623" s="37">
        <f t="shared" si="147"/>
        <v>0</v>
      </c>
      <c r="W623" s="41"/>
      <c r="X623" s="27"/>
      <c r="Y623" s="27"/>
      <c r="Z623" s="27"/>
      <c r="AA623" s="15"/>
      <c r="AB623" s="17"/>
      <c r="AC623" s="17"/>
      <c r="AD623" s="17"/>
      <c r="AE623" s="90"/>
      <c r="AF623" s="82" t="str">
        <f t="shared" si="148"/>
        <v/>
      </c>
      <c r="AG623" s="83" t="str">
        <f t="shared" si="149"/>
        <v/>
      </c>
      <c r="AH623" s="82" t="str">
        <f t="shared" si="150"/>
        <v/>
      </c>
      <c r="AI623" s="82" t="str">
        <f t="shared" si="151"/>
        <v/>
      </c>
      <c r="AJ623" s="90"/>
      <c r="AP623" s="88"/>
    </row>
    <row r="624" spans="1:42" x14ac:dyDescent="0.25">
      <c r="A624" s="2"/>
      <c r="C624" s="68" t="str" cm="1">
        <f t="array" ref="C624">IF(AF624&lt;&gt;"",
IFERROR(INDEX('LaunchPad Markbook'!A:A,MATCH(AH624,'LaunchPad Markbook'!D:D,0),0),"-"),"")</f>
        <v/>
      </c>
      <c r="D624" s="27"/>
      <c r="E624" s="27"/>
      <c r="F624" s="27"/>
      <c r="G624" s="14">
        <f>IF(OR(H624&gt;AB$2,I624&gt;AC$2,J624&gt;AD$2,
P624&gt;1,V624&gt;1,
L624&gt;'Group List A'!E$2,M624&gt;'Group List A'!F$2,N624&gt;'Group List A'!G$2,
R624&gt;'Group List B'!E$2,S624&gt;'Group List B'!F$2,T624&gt;'Group List B'!G$2),"Exceed",
IF(OR(H624=AB$2,I624=AC$2,J624=AD$2,
P624=1,V624=1,
L624='Group List A'!E$2,M624='Group List A'!F$2,N624='Group List A'!G$2,
R624='Group List B'!E$2,S624='Group List B'!F$2,T624='Group List B'!G$2),"Limit",0))</f>
        <v>0</v>
      </c>
      <c r="H624" s="29">
        <f t="shared" si="137"/>
        <v>0</v>
      </c>
      <c r="I624" s="29">
        <f t="shared" si="138"/>
        <v>0</v>
      </c>
      <c r="J624" s="29">
        <f t="shared" si="139"/>
        <v>0</v>
      </c>
      <c r="K624" s="32" t="str" cm="1">
        <f t="array" ref="K624">IF(AF624&lt;&gt;"",IFERROR(INDEX('Group List A'!B:B,MATCH(AI624,'Group List A'!A:A,0),0),"-"),"")</f>
        <v/>
      </c>
      <c r="L624" s="33">
        <f t="shared" si="140"/>
        <v>0</v>
      </c>
      <c r="M624" s="33">
        <f t="shared" si="141"/>
        <v>0</v>
      </c>
      <c r="N624" s="33">
        <f t="shared" si="142"/>
        <v>0</v>
      </c>
      <c r="O624" s="28"/>
      <c r="P624" s="33">
        <f t="shared" si="143"/>
        <v>0</v>
      </c>
      <c r="Q624" s="35" t="str" cm="1">
        <f t="array" ref="Q624">IF(AF624&lt;&gt;"",IFERROR(INDEX('Group List B'!B:B,MATCH(AI624,'Group List B'!A:A,0),0),"-"),"")</f>
        <v/>
      </c>
      <c r="R624" s="36">
        <f t="shared" si="144"/>
        <v>0</v>
      </c>
      <c r="S624" s="36">
        <f t="shared" si="145"/>
        <v>0</v>
      </c>
      <c r="T624" s="36">
        <f t="shared" si="146"/>
        <v>0</v>
      </c>
      <c r="U624" s="28"/>
      <c r="V624" s="37">
        <f t="shared" si="147"/>
        <v>0</v>
      </c>
      <c r="W624" s="41"/>
      <c r="X624" s="27"/>
      <c r="Y624" s="27"/>
      <c r="Z624" s="27"/>
      <c r="AA624" s="15"/>
      <c r="AB624" s="17"/>
      <c r="AC624" s="17"/>
      <c r="AD624" s="17"/>
      <c r="AE624" s="90"/>
      <c r="AF624" s="82" t="str">
        <f t="shared" si="148"/>
        <v/>
      </c>
      <c r="AG624" s="83" t="str">
        <f t="shared" si="149"/>
        <v/>
      </c>
      <c r="AH624" s="82" t="str">
        <f t="shared" si="150"/>
        <v/>
      </c>
      <c r="AI624" s="82" t="str">
        <f t="shared" si="151"/>
        <v/>
      </c>
      <c r="AJ624" s="90"/>
      <c r="AP624" s="88"/>
    </row>
    <row r="625" spans="1:42" x14ac:dyDescent="0.25">
      <c r="A625" s="2"/>
      <c r="C625" s="68" t="str" cm="1">
        <f t="array" ref="C625">IF(AF625&lt;&gt;"",
IFERROR(INDEX('LaunchPad Markbook'!A:A,MATCH(AH625,'LaunchPad Markbook'!D:D,0),0),"-"),"")</f>
        <v/>
      </c>
      <c r="D625" s="27"/>
      <c r="E625" s="27"/>
      <c r="F625" s="27"/>
      <c r="G625" s="14">
        <f>IF(OR(H625&gt;AB$2,I625&gt;AC$2,J625&gt;AD$2,
P625&gt;1,V625&gt;1,
L625&gt;'Group List A'!E$2,M625&gt;'Group List A'!F$2,N625&gt;'Group List A'!G$2,
R625&gt;'Group List B'!E$2,S625&gt;'Group List B'!F$2,T625&gt;'Group List B'!G$2),"Exceed",
IF(OR(H625=AB$2,I625=AC$2,J625=AD$2,
P625=1,V625=1,
L625='Group List A'!E$2,M625='Group List A'!F$2,N625='Group List A'!G$2,
R625='Group List B'!E$2,S625='Group List B'!F$2,T625='Group List B'!G$2),"Limit",0))</f>
        <v>0</v>
      </c>
      <c r="H625" s="29">
        <f t="shared" si="137"/>
        <v>0</v>
      </c>
      <c r="I625" s="29">
        <f t="shared" si="138"/>
        <v>0</v>
      </c>
      <c r="J625" s="29">
        <f t="shared" si="139"/>
        <v>0</v>
      </c>
      <c r="K625" s="32" t="str" cm="1">
        <f t="array" ref="K625">IF(AF625&lt;&gt;"",IFERROR(INDEX('Group List A'!B:B,MATCH(AI625,'Group List A'!A:A,0),0),"-"),"")</f>
        <v/>
      </c>
      <c r="L625" s="33">
        <f t="shared" si="140"/>
        <v>0</v>
      </c>
      <c r="M625" s="33">
        <f t="shared" si="141"/>
        <v>0</v>
      </c>
      <c r="N625" s="33">
        <f t="shared" si="142"/>
        <v>0</v>
      </c>
      <c r="O625" s="28"/>
      <c r="P625" s="33">
        <f t="shared" si="143"/>
        <v>0</v>
      </c>
      <c r="Q625" s="35" t="str" cm="1">
        <f t="array" ref="Q625">IF(AF625&lt;&gt;"",IFERROR(INDEX('Group List B'!B:B,MATCH(AI625,'Group List B'!A:A,0),0),"-"),"")</f>
        <v/>
      </c>
      <c r="R625" s="36">
        <f t="shared" si="144"/>
        <v>0</v>
      </c>
      <c r="S625" s="36">
        <f t="shared" si="145"/>
        <v>0</v>
      </c>
      <c r="T625" s="36">
        <f t="shared" si="146"/>
        <v>0</v>
      </c>
      <c r="U625" s="28"/>
      <c r="V625" s="37">
        <f t="shared" si="147"/>
        <v>0</v>
      </c>
      <c r="W625" s="41"/>
      <c r="X625" s="27"/>
      <c r="Y625" s="27"/>
      <c r="Z625" s="27"/>
      <c r="AA625" s="15"/>
      <c r="AB625" s="17"/>
      <c r="AC625" s="17"/>
      <c r="AD625" s="17"/>
      <c r="AE625" s="90"/>
      <c r="AF625" s="82" t="str">
        <f t="shared" si="148"/>
        <v/>
      </c>
      <c r="AG625" s="83" t="str">
        <f t="shared" si="149"/>
        <v/>
      </c>
      <c r="AH625" s="82" t="str">
        <f t="shared" si="150"/>
        <v/>
      </c>
      <c r="AI625" s="82" t="str">
        <f t="shared" si="151"/>
        <v/>
      </c>
      <c r="AJ625" s="90"/>
      <c r="AP625" s="88"/>
    </row>
    <row r="626" spans="1:42" x14ac:dyDescent="0.25">
      <c r="A626" s="2"/>
      <c r="C626" s="68" t="str" cm="1">
        <f t="array" ref="C626">IF(AF626&lt;&gt;"",
IFERROR(INDEX('LaunchPad Markbook'!A:A,MATCH(AH626,'LaunchPad Markbook'!D:D,0),0),"-"),"")</f>
        <v/>
      </c>
      <c r="D626" s="27"/>
      <c r="E626" s="27"/>
      <c r="F626" s="27"/>
      <c r="G626" s="14">
        <f>IF(OR(H626&gt;AB$2,I626&gt;AC$2,J626&gt;AD$2,
P626&gt;1,V626&gt;1,
L626&gt;'Group List A'!E$2,M626&gt;'Group List A'!F$2,N626&gt;'Group List A'!G$2,
R626&gt;'Group List B'!E$2,S626&gt;'Group List B'!F$2,T626&gt;'Group List B'!G$2),"Exceed",
IF(OR(H626=AB$2,I626=AC$2,J626=AD$2,
P626=1,V626=1,
L626='Group List A'!E$2,M626='Group List A'!F$2,N626='Group List A'!G$2,
R626='Group List B'!E$2,S626='Group List B'!F$2,T626='Group List B'!G$2),"Limit",0))</f>
        <v>0</v>
      </c>
      <c r="H626" s="29">
        <f t="shared" si="137"/>
        <v>0</v>
      </c>
      <c r="I626" s="29">
        <f t="shared" si="138"/>
        <v>0</v>
      </c>
      <c r="J626" s="29">
        <f t="shared" si="139"/>
        <v>0</v>
      </c>
      <c r="K626" s="32" t="str" cm="1">
        <f t="array" ref="K626">IF(AF626&lt;&gt;"",IFERROR(INDEX('Group List A'!B:B,MATCH(AI626,'Group List A'!A:A,0),0),"-"),"")</f>
        <v/>
      </c>
      <c r="L626" s="33">
        <f t="shared" si="140"/>
        <v>0</v>
      </c>
      <c r="M626" s="33">
        <f t="shared" si="141"/>
        <v>0</v>
      </c>
      <c r="N626" s="33">
        <f t="shared" si="142"/>
        <v>0</v>
      </c>
      <c r="O626" s="28"/>
      <c r="P626" s="33">
        <f t="shared" si="143"/>
        <v>0</v>
      </c>
      <c r="Q626" s="35" t="str" cm="1">
        <f t="array" ref="Q626">IF(AF626&lt;&gt;"",IFERROR(INDEX('Group List B'!B:B,MATCH(AI626,'Group List B'!A:A,0),0),"-"),"")</f>
        <v/>
      </c>
      <c r="R626" s="36">
        <f t="shared" si="144"/>
        <v>0</v>
      </c>
      <c r="S626" s="36">
        <f t="shared" si="145"/>
        <v>0</v>
      </c>
      <c r="T626" s="36">
        <f t="shared" si="146"/>
        <v>0</v>
      </c>
      <c r="U626" s="28"/>
      <c r="V626" s="37">
        <f t="shared" si="147"/>
        <v>0</v>
      </c>
      <c r="W626" s="41"/>
      <c r="X626" s="27"/>
      <c r="Y626" s="27"/>
      <c r="Z626" s="27"/>
      <c r="AA626" s="15"/>
      <c r="AB626" s="17"/>
      <c r="AC626" s="17"/>
      <c r="AD626" s="17"/>
      <c r="AE626" s="90"/>
      <c r="AF626" s="82" t="str">
        <f t="shared" si="148"/>
        <v/>
      </c>
      <c r="AG626" s="83" t="str">
        <f t="shared" si="149"/>
        <v/>
      </c>
      <c r="AH626" s="82" t="str">
        <f t="shared" si="150"/>
        <v/>
      </c>
      <c r="AI626" s="82" t="str">
        <f t="shared" si="151"/>
        <v/>
      </c>
      <c r="AJ626" s="90"/>
      <c r="AP626" s="88"/>
    </row>
    <row r="627" spans="1:42" x14ac:dyDescent="0.25">
      <c r="A627" s="2"/>
      <c r="C627" s="68" t="str" cm="1">
        <f t="array" ref="C627">IF(AF627&lt;&gt;"",
IFERROR(INDEX('LaunchPad Markbook'!A:A,MATCH(AH627,'LaunchPad Markbook'!D:D,0),0),"-"),"")</f>
        <v/>
      </c>
      <c r="D627" s="27"/>
      <c r="E627" s="27"/>
      <c r="F627" s="27"/>
      <c r="G627" s="14">
        <f>IF(OR(H627&gt;AB$2,I627&gt;AC$2,J627&gt;AD$2,
P627&gt;1,V627&gt;1,
L627&gt;'Group List A'!E$2,M627&gt;'Group List A'!F$2,N627&gt;'Group List A'!G$2,
R627&gt;'Group List B'!E$2,S627&gt;'Group List B'!F$2,T627&gt;'Group List B'!G$2),"Exceed",
IF(OR(H627=AB$2,I627=AC$2,J627=AD$2,
P627=1,V627=1,
L627='Group List A'!E$2,M627='Group List A'!F$2,N627='Group List A'!G$2,
R627='Group List B'!E$2,S627='Group List B'!F$2,T627='Group List B'!G$2),"Limit",0))</f>
        <v>0</v>
      </c>
      <c r="H627" s="29">
        <f t="shared" si="137"/>
        <v>0</v>
      </c>
      <c r="I627" s="29">
        <f t="shared" si="138"/>
        <v>0</v>
      </c>
      <c r="J627" s="29">
        <f t="shared" si="139"/>
        <v>0</v>
      </c>
      <c r="K627" s="32" t="str" cm="1">
        <f t="array" ref="K627">IF(AF627&lt;&gt;"",IFERROR(INDEX('Group List A'!B:B,MATCH(AI627,'Group List A'!A:A,0),0),"-"),"")</f>
        <v/>
      </c>
      <c r="L627" s="33">
        <f t="shared" si="140"/>
        <v>0</v>
      </c>
      <c r="M627" s="33">
        <f t="shared" si="141"/>
        <v>0</v>
      </c>
      <c r="N627" s="33">
        <f t="shared" si="142"/>
        <v>0</v>
      </c>
      <c r="O627" s="28"/>
      <c r="P627" s="33">
        <f t="shared" si="143"/>
        <v>0</v>
      </c>
      <c r="Q627" s="35" t="str" cm="1">
        <f t="array" ref="Q627">IF(AF627&lt;&gt;"",IFERROR(INDEX('Group List B'!B:B,MATCH(AI627,'Group List B'!A:A,0),0),"-"),"")</f>
        <v/>
      </c>
      <c r="R627" s="36">
        <f t="shared" si="144"/>
        <v>0</v>
      </c>
      <c r="S627" s="36">
        <f t="shared" si="145"/>
        <v>0</v>
      </c>
      <c r="T627" s="36">
        <f t="shared" si="146"/>
        <v>0</v>
      </c>
      <c r="U627" s="28"/>
      <c r="V627" s="37">
        <f t="shared" si="147"/>
        <v>0</v>
      </c>
      <c r="W627" s="41"/>
      <c r="X627" s="27"/>
      <c r="Y627" s="27"/>
      <c r="Z627" s="27"/>
      <c r="AA627" s="15"/>
      <c r="AB627" s="17"/>
      <c r="AC627" s="17"/>
      <c r="AD627" s="17"/>
      <c r="AE627" s="90"/>
      <c r="AF627" s="82" t="str">
        <f t="shared" si="148"/>
        <v/>
      </c>
      <c r="AG627" s="83" t="str">
        <f t="shared" si="149"/>
        <v/>
      </c>
      <c r="AH627" s="82" t="str">
        <f t="shared" si="150"/>
        <v/>
      </c>
      <c r="AI627" s="82" t="str">
        <f t="shared" si="151"/>
        <v/>
      </c>
      <c r="AJ627" s="90"/>
      <c r="AP627" s="88"/>
    </row>
    <row r="628" spans="1:42" x14ac:dyDescent="0.25">
      <c r="A628" s="2"/>
      <c r="C628" s="68" t="str" cm="1">
        <f t="array" ref="C628">IF(AF628&lt;&gt;"",
IFERROR(INDEX('LaunchPad Markbook'!A:A,MATCH(AH628,'LaunchPad Markbook'!D:D,0),0),"-"),"")</f>
        <v/>
      </c>
      <c r="D628" s="27"/>
      <c r="E628" s="27"/>
      <c r="F628" s="27"/>
      <c r="G628" s="14">
        <f>IF(OR(H628&gt;AB$2,I628&gt;AC$2,J628&gt;AD$2,
P628&gt;1,V628&gt;1,
L628&gt;'Group List A'!E$2,M628&gt;'Group List A'!F$2,N628&gt;'Group List A'!G$2,
R628&gt;'Group List B'!E$2,S628&gt;'Group List B'!F$2,T628&gt;'Group List B'!G$2),"Exceed",
IF(OR(H628=AB$2,I628=AC$2,J628=AD$2,
P628=1,V628=1,
L628='Group List A'!E$2,M628='Group List A'!F$2,N628='Group List A'!G$2,
R628='Group List B'!E$2,S628='Group List B'!F$2,T628='Group List B'!G$2),"Limit",0))</f>
        <v>0</v>
      </c>
      <c r="H628" s="29">
        <f t="shared" si="137"/>
        <v>0</v>
      </c>
      <c r="I628" s="29">
        <f t="shared" si="138"/>
        <v>0</v>
      </c>
      <c r="J628" s="29">
        <f t="shared" si="139"/>
        <v>0</v>
      </c>
      <c r="K628" s="32" t="str" cm="1">
        <f t="array" ref="K628">IF(AF628&lt;&gt;"",IFERROR(INDEX('Group List A'!B:B,MATCH(AI628,'Group List A'!A:A,0),0),"-"),"")</f>
        <v/>
      </c>
      <c r="L628" s="33">
        <f t="shared" si="140"/>
        <v>0</v>
      </c>
      <c r="M628" s="33">
        <f t="shared" si="141"/>
        <v>0</v>
      </c>
      <c r="N628" s="33">
        <f t="shared" si="142"/>
        <v>0</v>
      </c>
      <c r="O628" s="28"/>
      <c r="P628" s="33">
        <f t="shared" si="143"/>
        <v>0</v>
      </c>
      <c r="Q628" s="35" t="str" cm="1">
        <f t="array" ref="Q628">IF(AF628&lt;&gt;"",IFERROR(INDEX('Group List B'!B:B,MATCH(AI628,'Group List B'!A:A,0),0),"-"),"")</f>
        <v/>
      </c>
      <c r="R628" s="36">
        <f t="shared" si="144"/>
        <v>0</v>
      </c>
      <c r="S628" s="36">
        <f t="shared" si="145"/>
        <v>0</v>
      </c>
      <c r="T628" s="36">
        <f t="shared" si="146"/>
        <v>0</v>
      </c>
      <c r="U628" s="28"/>
      <c r="V628" s="37">
        <f t="shared" si="147"/>
        <v>0</v>
      </c>
      <c r="W628" s="41"/>
      <c r="X628" s="27"/>
      <c r="Y628" s="27"/>
      <c r="Z628" s="27"/>
      <c r="AA628" s="15"/>
      <c r="AB628" s="17"/>
      <c r="AC628" s="17"/>
      <c r="AD628" s="17"/>
      <c r="AE628" s="90"/>
      <c r="AF628" s="82" t="str">
        <f t="shared" si="148"/>
        <v/>
      </c>
      <c r="AG628" s="83" t="str">
        <f t="shared" si="149"/>
        <v/>
      </c>
      <c r="AH628" s="82" t="str">
        <f t="shared" si="150"/>
        <v/>
      </c>
      <c r="AI628" s="82" t="str">
        <f t="shared" si="151"/>
        <v/>
      </c>
      <c r="AJ628" s="90"/>
      <c r="AP628" s="88"/>
    </row>
    <row r="629" spans="1:42" x14ac:dyDescent="0.25">
      <c r="A629" s="2"/>
      <c r="C629" s="68" t="str" cm="1">
        <f t="array" ref="C629">IF(AF629&lt;&gt;"",
IFERROR(INDEX('LaunchPad Markbook'!A:A,MATCH(AH629,'LaunchPad Markbook'!D:D,0),0),"-"),"")</f>
        <v/>
      </c>
      <c r="D629" s="27"/>
      <c r="E629" s="27"/>
      <c r="F629" s="27"/>
      <c r="G629" s="14">
        <f>IF(OR(H629&gt;AB$2,I629&gt;AC$2,J629&gt;AD$2,
P629&gt;1,V629&gt;1,
L629&gt;'Group List A'!E$2,M629&gt;'Group List A'!F$2,N629&gt;'Group List A'!G$2,
R629&gt;'Group List B'!E$2,S629&gt;'Group List B'!F$2,T629&gt;'Group List B'!G$2),"Exceed",
IF(OR(H629=AB$2,I629=AC$2,J629=AD$2,
P629=1,V629=1,
L629='Group List A'!E$2,M629='Group List A'!F$2,N629='Group List A'!G$2,
R629='Group List B'!E$2,S629='Group List B'!F$2,T629='Group List B'!G$2),"Limit",0))</f>
        <v>0</v>
      </c>
      <c r="H629" s="29">
        <f t="shared" si="137"/>
        <v>0</v>
      </c>
      <c r="I629" s="29">
        <f t="shared" si="138"/>
        <v>0</v>
      </c>
      <c r="J629" s="29">
        <f t="shared" si="139"/>
        <v>0</v>
      </c>
      <c r="K629" s="32" t="str" cm="1">
        <f t="array" ref="K629">IF(AF629&lt;&gt;"",IFERROR(INDEX('Group List A'!B:B,MATCH(AI629,'Group List A'!A:A,0),0),"-"),"")</f>
        <v/>
      </c>
      <c r="L629" s="33">
        <f t="shared" si="140"/>
        <v>0</v>
      </c>
      <c r="M629" s="33">
        <f t="shared" si="141"/>
        <v>0</v>
      </c>
      <c r="N629" s="33">
        <f t="shared" si="142"/>
        <v>0</v>
      </c>
      <c r="O629" s="28"/>
      <c r="P629" s="33">
        <f t="shared" si="143"/>
        <v>0</v>
      </c>
      <c r="Q629" s="35" t="str" cm="1">
        <f t="array" ref="Q629">IF(AF629&lt;&gt;"",IFERROR(INDEX('Group List B'!B:B,MATCH(AI629,'Group List B'!A:A,0),0),"-"),"")</f>
        <v/>
      </c>
      <c r="R629" s="36">
        <f t="shared" si="144"/>
        <v>0</v>
      </c>
      <c r="S629" s="36">
        <f t="shared" si="145"/>
        <v>0</v>
      </c>
      <c r="T629" s="36">
        <f t="shared" si="146"/>
        <v>0</v>
      </c>
      <c r="U629" s="28"/>
      <c r="V629" s="37">
        <f t="shared" si="147"/>
        <v>0</v>
      </c>
      <c r="W629" s="41"/>
      <c r="X629" s="27"/>
      <c r="Y629" s="27"/>
      <c r="Z629" s="27"/>
      <c r="AA629" s="15"/>
      <c r="AB629" s="17"/>
      <c r="AC629" s="17"/>
      <c r="AD629" s="17"/>
      <c r="AE629" s="90"/>
      <c r="AF629" s="82" t="str">
        <f t="shared" si="148"/>
        <v/>
      </c>
      <c r="AG629" s="83" t="str">
        <f t="shared" si="149"/>
        <v/>
      </c>
      <c r="AH629" s="82" t="str">
        <f t="shared" si="150"/>
        <v/>
      </c>
      <c r="AI629" s="82" t="str">
        <f t="shared" si="151"/>
        <v/>
      </c>
      <c r="AJ629" s="90"/>
      <c r="AP629" s="88"/>
    </row>
    <row r="630" spans="1:42" x14ac:dyDescent="0.25">
      <c r="A630" s="2"/>
      <c r="C630" s="68" t="str" cm="1">
        <f t="array" ref="C630">IF(AF630&lt;&gt;"",
IFERROR(INDEX('LaunchPad Markbook'!A:A,MATCH(AH630,'LaunchPad Markbook'!D:D,0),0),"-"),"")</f>
        <v/>
      </c>
      <c r="D630" s="27"/>
      <c r="E630" s="27"/>
      <c r="F630" s="27"/>
      <c r="G630" s="14">
        <f>IF(OR(H630&gt;AB$2,I630&gt;AC$2,J630&gt;AD$2,
P630&gt;1,V630&gt;1,
L630&gt;'Group List A'!E$2,M630&gt;'Group List A'!F$2,N630&gt;'Group List A'!G$2,
R630&gt;'Group List B'!E$2,S630&gt;'Group List B'!F$2,T630&gt;'Group List B'!G$2),"Exceed",
IF(OR(H630=AB$2,I630=AC$2,J630=AD$2,
P630=1,V630=1,
L630='Group List A'!E$2,M630='Group List A'!F$2,N630='Group List A'!G$2,
R630='Group List B'!E$2,S630='Group List B'!F$2,T630='Group List B'!G$2),"Limit",0))</f>
        <v>0</v>
      </c>
      <c r="H630" s="29">
        <f t="shared" si="137"/>
        <v>0</v>
      </c>
      <c r="I630" s="29">
        <f t="shared" si="138"/>
        <v>0</v>
      </c>
      <c r="J630" s="29">
        <f t="shared" si="139"/>
        <v>0</v>
      </c>
      <c r="K630" s="32" t="str" cm="1">
        <f t="array" ref="K630">IF(AF630&lt;&gt;"",IFERROR(INDEX('Group List A'!B:B,MATCH(AI630,'Group List A'!A:A,0),0),"-"),"")</f>
        <v/>
      </c>
      <c r="L630" s="33">
        <f t="shared" si="140"/>
        <v>0</v>
      </c>
      <c r="M630" s="33">
        <f t="shared" si="141"/>
        <v>0</v>
      </c>
      <c r="N630" s="33">
        <f t="shared" si="142"/>
        <v>0</v>
      </c>
      <c r="O630" s="28"/>
      <c r="P630" s="33">
        <f t="shared" si="143"/>
        <v>0</v>
      </c>
      <c r="Q630" s="35" t="str" cm="1">
        <f t="array" ref="Q630">IF(AF630&lt;&gt;"",IFERROR(INDEX('Group List B'!B:B,MATCH(AI630,'Group List B'!A:A,0),0),"-"),"")</f>
        <v/>
      </c>
      <c r="R630" s="36">
        <f t="shared" si="144"/>
        <v>0</v>
      </c>
      <c r="S630" s="36">
        <f t="shared" si="145"/>
        <v>0</v>
      </c>
      <c r="T630" s="36">
        <f t="shared" si="146"/>
        <v>0</v>
      </c>
      <c r="U630" s="28"/>
      <c r="V630" s="37">
        <f t="shared" si="147"/>
        <v>0</v>
      </c>
      <c r="W630" s="41"/>
      <c r="X630" s="27"/>
      <c r="Y630" s="27"/>
      <c r="Z630" s="27"/>
      <c r="AA630" s="15"/>
      <c r="AB630" s="17"/>
      <c r="AC630" s="17"/>
      <c r="AD630" s="17"/>
      <c r="AE630" s="90"/>
      <c r="AF630" s="82" t="str">
        <f t="shared" si="148"/>
        <v/>
      </c>
      <c r="AG630" s="83" t="str">
        <f t="shared" si="149"/>
        <v/>
      </c>
      <c r="AH630" s="82" t="str">
        <f t="shared" si="150"/>
        <v/>
      </c>
      <c r="AI630" s="82" t="str">
        <f t="shared" si="151"/>
        <v/>
      </c>
      <c r="AJ630" s="90"/>
      <c r="AP630" s="88"/>
    </row>
    <row r="631" spans="1:42" x14ac:dyDescent="0.25">
      <c r="A631" s="2"/>
      <c r="C631" s="68" t="str" cm="1">
        <f t="array" ref="C631">IF(AF631&lt;&gt;"",
IFERROR(INDEX('LaunchPad Markbook'!A:A,MATCH(AH631,'LaunchPad Markbook'!D:D,0),0),"-"),"")</f>
        <v/>
      </c>
      <c r="D631" s="27"/>
      <c r="E631" s="27"/>
      <c r="F631" s="27"/>
      <c r="G631" s="14">
        <f>IF(OR(H631&gt;AB$2,I631&gt;AC$2,J631&gt;AD$2,
P631&gt;1,V631&gt;1,
L631&gt;'Group List A'!E$2,M631&gt;'Group List A'!F$2,N631&gt;'Group List A'!G$2,
R631&gt;'Group List B'!E$2,S631&gt;'Group List B'!F$2,T631&gt;'Group List B'!G$2),"Exceed",
IF(OR(H631=AB$2,I631=AC$2,J631=AD$2,
P631=1,V631=1,
L631='Group List A'!E$2,M631='Group List A'!F$2,N631='Group List A'!G$2,
R631='Group List B'!E$2,S631='Group List B'!F$2,T631='Group List B'!G$2),"Limit",0))</f>
        <v>0</v>
      </c>
      <c r="H631" s="29">
        <f t="shared" si="137"/>
        <v>0</v>
      </c>
      <c r="I631" s="29">
        <f t="shared" si="138"/>
        <v>0</v>
      </c>
      <c r="J631" s="29">
        <f t="shared" si="139"/>
        <v>0</v>
      </c>
      <c r="K631" s="32" t="str" cm="1">
        <f t="array" ref="K631">IF(AF631&lt;&gt;"",IFERROR(INDEX('Group List A'!B:B,MATCH(AI631,'Group List A'!A:A,0),0),"-"),"")</f>
        <v/>
      </c>
      <c r="L631" s="33">
        <f t="shared" si="140"/>
        <v>0</v>
      </c>
      <c r="M631" s="33">
        <f t="shared" si="141"/>
        <v>0</v>
      </c>
      <c r="N631" s="33">
        <f t="shared" si="142"/>
        <v>0</v>
      </c>
      <c r="O631" s="28"/>
      <c r="P631" s="33">
        <f t="shared" si="143"/>
        <v>0</v>
      </c>
      <c r="Q631" s="35" t="str" cm="1">
        <f t="array" ref="Q631">IF(AF631&lt;&gt;"",IFERROR(INDEX('Group List B'!B:B,MATCH(AI631,'Group List B'!A:A,0),0),"-"),"")</f>
        <v/>
      </c>
      <c r="R631" s="36">
        <f t="shared" si="144"/>
        <v>0</v>
      </c>
      <c r="S631" s="36">
        <f t="shared" si="145"/>
        <v>0</v>
      </c>
      <c r="T631" s="36">
        <f t="shared" si="146"/>
        <v>0</v>
      </c>
      <c r="U631" s="28"/>
      <c r="V631" s="37">
        <f t="shared" si="147"/>
        <v>0</v>
      </c>
      <c r="W631" s="41"/>
      <c r="X631" s="27"/>
      <c r="Y631" s="27"/>
      <c r="Z631" s="27"/>
      <c r="AA631" s="15"/>
      <c r="AB631" s="17"/>
      <c r="AC631" s="17"/>
      <c r="AD631" s="17"/>
      <c r="AE631" s="90"/>
      <c r="AF631" s="82" t="str">
        <f t="shared" si="148"/>
        <v/>
      </c>
      <c r="AG631" s="83" t="str">
        <f t="shared" si="149"/>
        <v/>
      </c>
      <c r="AH631" s="82" t="str">
        <f t="shared" si="150"/>
        <v/>
      </c>
      <c r="AI631" s="82" t="str">
        <f t="shared" si="151"/>
        <v/>
      </c>
      <c r="AJ631" s="90"/>
      <c r="AP631" s="88"/>
    </row>
    <row r="632" spans="1:42" x14ac:dyDescent="0.25">
      <c r="A632" s="2"/>
      <c r="C632" s="68" t="str" cm="1">
        <f t="array" ref="C632">IF(AF632&lt;&gt;"",
IFERROR(INDEX('LaunchPad Markbook'!A:A,MATCH(AH632,'LaunchPad Markbook'!D:D,0),0),"-"),"")</f>
        <v/>
      </c>
      <c r="D632" s="27"/>
      <c r="E632" s="27"/>
      <c r="F632" s="27"/>
      <c r="G632" s="14">
        <f>IF(OR(H632&gt;AB$2,I632&gt;AC$2,J632&gt;AD$2,
P632&gt;1,V632&gt;1,
L632&gt;'Group List A'!E$2,M632&gt;'Group List A'!F$2,N632&gt;'Group List A'!G$2,
R632&gt;'Group List B'!E$2,S632&gt;'Group List B'!F$2,T632&gt;'Group List B'!G$2),"Exceed",
IF(OR(H632=AB$2,I632=AC$2,J632=AD$2,
P632=1,V632=1,
L632='Group List A'!E$2,M632='Group List A'!F$2,N632='Group List A'!G$2,
R632='Group List B'!E$2,S632='Group List B'!F$2,T632='Group List B'!G$2),"Limit",0))</f>
        <v>0</v>
      </c>
      <c r="H632" s="29">
        <f t="shared" si="137"/>
        <v>0</v>
      </c>
      <c r="I632" s="29">
        <f t="shared" si="138"/>
        <v>0</v>
      </c>
      <c r="J632" s="29">
        <f t="shared" si="139"/>
        <v>0</v>
      </c>
      <c r="K632" s="32" t="str" cm="1">
        <f t="array" ref="K632">IF(AF632&lt;&gt;"",IFERROR(INDEX('Group List A'!B:B,MATCH(AI632,'Group List A'!A:A,0),0),"-"),"")</f>
        <v/>
      </c>
      <c r="L632" s="33">
        <f t="shared" si="140"/>
        <v>0</v>
      </c>
      <c r="M632" s="33">
        <f t="shared" si="141"/>
        <v>0</v>
      </c>
      <c r="N632" s="33">
        <f t="shared" si="142"/>
        <v>0</v>
      </c>
      <c r="O632" s="28"/>
      <c r="P632" s="33">
        <f t="shared" si="143"/>
        <v>0</v>
      </c>
      <c r="Q632" s="35" t="str" cm="1">
        <f t="array" ref="Q632">IF(AF632&lt;&gt;"",IFERROR(INDEX('Group List B'!B:B,MATCH(AI632,'Group List B'!A:A,0),0),"-"),"")</f>
        <v/>
      </c>
      <c r="R632" s="36">
        <f t="shared" si="144"/>
        <v>0</v>
      </c>
      <c r="S632" s="36">
        <f t="shared" si="145"/>
        <v>0</v>
      </c>
      <c r="T632" s="36">
        <f t="shared" si="146"/>
        <v>0</v>
      </c>
      <c r="U632" s="28"/>
      <c r="V632" s="37">
        <f t="shared" si="147"/>
        <v>0</v>
      </c>
      <c r="W632" s="41"/>
      <c r="X632" s="27"/>
      <c r="Y632" s="27"/>
      <c r="Z632" s="27"/>
      <c r="AA632" s="15"/>
      <c r="AB632" s="17"/>
      <c r="AC632" s="17"/>
      <c r="AD632" s="17"/>
      <c r="AE632" s="90"/>
      <c r="AF632" s="82" t="str">
        <f t="shared" si="148"/>
        <v/>
      </c>
      <c r="AG632" s="83" t="str">
        <f t="shared" si="149"/>
        <v/>
      </c>
      <c r="AH632" s="82" t="str">
        <f t="shared" si="150"/>
        <v/>
      </c>
      <c r="AI632" s="82" t="str">
        <f t="shared" si="151"/>
        <v/>
      </c>
      <c r="AJ632" s="90"/>
      <c r="AP632" s="88"/>
    </row>
    <row r="633" spans="1:42" x14ac:dyDescent="0.25">
      <c r="A633" s="2"/>
      <c r="C633" s="68" t="str" cm="1">
        <f t="array" ref="C633">IF(AF633&lt;&gt;"",
IFERROR(INDEX('LaunchPad Markbook'!A:A,MATCH(AH633,'LaunchPad Markbook'!D:D,0),0),"-"),"")</f>
        <v/>
      </c>
      <c r="D633" s="27"/>
      <c r="E633" s="27"/>
      <c r="F633" s="27"/>
      <c r="G633" s="14">
        <f>IF(OR(H633&gt;AB$2,I633&gt;AC$2,J633&gt;AD$2,
P633&gt;1,V633&gt;1,
L633&gt;'Group List A'!E$2,M633&gt;'Group List A'!F$2,N633&gt;'Group List A'!G$2,
R633&gt;'Group List B'!E$2,S633&gt;'Group List B'!F$2,T633&gt;'Group List B'!G$2),"Exceed",
IF(OR(H633=AB$2,I633=AC$2,J633=AD$2,
P633=1,V633=1,
L633='Group List A'!E$2,M633='Group List A'!F$2,N633='Group List A'!G$2,
R633='Group List B'!E$2,S633='Group List B'!F$2,T633='Group List B'!G$2),"Limit",0))</f>
        <v>0</v>
      </c>
      <c r="H633" s="29">
        <f t="shared" si="137"/>
        <v>0</v>
      </c>
      <c r="I633" s="29">
        <f t="shared" si="138"/>
        <v>0</v>
      </c>
      <c r="J633" s="29">
        <f t="shared" si="139"/>
        <v>0</v>
      </c>
      <c r="K633" s="32" t="str" cm="1">
        <f t="array" ref="K633">IF(AF633&lt;&gt;"",IFERROR(INDEX('Group List A'!B:B,MATCH(AI633,'Group List A'!A:A,0),0),"-"),"")</f>
        <v/>
      </c>
      <c r="L633" s="33">
        <f t="shared" si="140"/>
        <v>0</v>
      </c>
      <c r="M633" s="33">
        <f t="shared" si="141"/>
        <v>0</v>
      </c>
      <c r="N633" s="33">
        <f t="shared" si="142"/>
        <v>0</v>
      </c>
      <c r="O633" s="28"/>
      <c r="P633" s="33">
        <f t="shared" si="143"/>
        <v>0</v>
      </c>
      <c r="Q633" s="35" t="str" cm="1">
        <f t="array" ref="Q633">IF(AF633&lt;&gt;"",IFERROR(INDEX('Group List B'!B:B,MATCH(AI633,'Group List B'!A:A,0),0),"-"),"")</f>
        <v/>
      </c>
      <c r="R633" s="36">
        <f t="shared" si="144"/>
        <v>0</v>
      </c>
      <c r="S633" s="36">
        <f t="shared" si="145"/>
        <v>0</v>
      </c>
      <c r="T633" s="36">
        <f t="shared" si="146"/>
        <v>0</v>
      </c>
      <c r="U633" s="28"/>
      <c r="V633" s="37">
        <f t="shared" si="147"/>
        <v>0</v>
      </c>
      <c r="W633" s="41"/>
      <c r="X633" s="27"/>
      <c r="Y633" s="27"/>
      <c r="Z633" s="27"/>
      <c r="AA633" s="15"/>
      <c r="AB633" s="17"/>
      <c r="AC633" s="17"/>
      <c r="AD633" s="17"/>
      <c r="AE633" s="90"/>
      <c r="AF633" s="82" t="str">
        <f t="shared" si="148"/>
        <v/>
      </c>
      <c r="AG633" s="83" t="str">
        <f t="shared" si="149"/>
        <v/>
      </c>
      <c r="AH633" s="82" t="str">
        <f t="shared" si="150"/>
        <v/>
      </c>
      <c r="AI633" s="82" t="str">
        <f t="shared" si="151"/>
        <v/>
      </c>
      <c r="AJ633" s="90"/>
      <c r="AP633" s="88"/>
    </row>
    <row r="634" spans="1:42" x14ac:dyDescent="0.25">
      <c r="A634" s="2"/>
      <c r="C634" s="68" t="str" cm="1">
        <f t="array" ref="C634">IF(AF634&lt;&gt;"",
IFERROR(INDEX('LaunchPad Markbook'!A:A,MATCH(AH634,'LaunchPad Markbook'!D:D,0),0),"-"),"")</f>
        <v/>
      </c>
      <c r="D634" s="27"/>
      <c r="E634" s="27"/>
      <c r="F634" s="27"/>
      <c r="G634" s="14">
        <f>IF(OR(H634&gt;AB$2,I634&gt;AC$2,J634&gt;AD$2,
P634&gt;1,V634&gt;1,
L634&gt;'Group List A'!E$2,M634&gt;'Group List A'!F$2,N634&gt;'Group List A'!G$2,
R634&gt;'Group List B'!E$2,S634&gt;'Group List B'!F$2,T634&gt;'Group List B'!G$2),"Exceed",
IF(OR(H634=AB$2,I634=AC$2,J634=AD$2,
P634=1,V634=1,
L634='Group List A'!E$2,M634='Group List A'!F$2,N634='Group List A'!G$2,
R634='Group List B'!E$2,S634='Group List B'!F$2,T634='Group List B'!G$2),"Limit",0))</f>
        <v>0</v>
      </c>
      <c r="H634" s="29">
        <f t="shared" si="137"/>
        <v>0</v>
      </c>
      <c r="I634" s="29">
        <f t="shared" si="138"/>
        <v>0</v>
      </c>
      <c r="J634" s="29">
        <f t="shared" si="139"/>
        <v>0</v>
      </c>
      <c r="K634" s="32" t="str" cm="1">
        <f t="array" ref="K634">IF(AF634&lt;&gt;"",IFERROR(INDEX('Group List A'!B:B,MATCH(AI634,'Group List A'!A:A,0),0),"-"),"")</f>
        <v/>
      </c>
      <c r="L634" s="33">
        <f t="shared" si="140"/>
        <v>0</v>
      </c>
      <c r="M634" s="33">
        <f t="shared" si="141"/>
        <v>0</v>
      </c>
      <c r="N634" s="33">
        <f t="shared" si="142"/>
        <v>0</v>
      </c>
      <c r="O634" s="28"/>
      <c r="P634" s="33">
        <f t="shared" si="143"/>
        <v>0</v>
      </c>
      <c r="Q634" s="35" t="str" cm="1">
        <f t="array" ref="Q634">IF(AF634&lt;&gt;"",IFERROR(INDEX('Group List B'!B:B,MATCH(AI634,'Group List B'!A:A,0),0),"-"),"")</f>
        <v/>
      </c>
      <c r="R634" s="36">
        <f t="shared" si="144"/>
        <v>0</v>
      </c>
      <c r="S634" s="36">
        <f t="shared" si="145"/>
        <v>0</v>
      </c>
      <c r="T634" s="36">
        <f t="shared" si="146"/>
        <v>0</v>
      </c>
      <c r="U634" s="28"/>
      <c r="V634" s="37">
        <f t="shared" si="147"/>
        <v>0</v>
      </c>
      <c r="W634" s="41"/>
      <c r="X634" s="27"/>
      <c r="Y634" s="27"/>
      <c r="Z634" s="27"/>
      <c r="AA634" s="15"/>
      <c r="AB634" s="17"/>
      <c r="AC634" s="17"/>
      <c r="AD634" s="17"/>
      <c r="AE634" s="90"/>
      <c r="AF634" s="82" t="str">
        <f t="shared" si="148"/>
        <v/>
      </c>
      <c r="AG634" s="83" t="str">
        <f t="shared" si="149"/>
        <v/>
      </c>
      <c r="AH634" s="82" t="str">
        <f t="shared" si="150"/>
        <v/>
      </c>
      <c r="AI634" s="82" t="str">
        <f t="shared" si="151"/>
        <v/>
      </c>
      <c r="AJ634" s="90"/>
      <c r="AP634" s="88"/>
    </row>
    <row r="635" spans="1:42" x14ac:dyDescent="0.25">
      <c r="A635" s="2"/>
      <c r="C635" s="68" t="str" cm="1">
        <f t="array" ref="C635">IF(AF635&lt;&gt;"",
IFERROR(INDEX('LaunchPad Markbook'!A:A,MATCH(AH635,'LaunchPad Markbook'!D:D,0),0),"-"),"")</f>
        <v/>
      </c>
      <c r="D635" s="27"/>
      <c r="E635" s="27"/>
      <c r="F635" s="27"/>
      <c r="G635" s="14">
        <f>IF(OR(H635&gt;AB$2,I635&gt;AC$2,J635&gt;AD$2,
P635&gt;1,V635&gt;1,
L635&gt;'Group List A'!E$2,M635&gt;'Group List A'!F$2,N635&gt;'Group List A'!G$2,
R635&gt;'Group List B'!E$2,S635&gt;'Group List B'!F$2,T635&gt;'Group List B'!G$2),"Exceed",
IF(OR(H635=AB$2,I635=AC$2,J635=AD$2,
P635=1,V635=1,
L635='Group List A'!E$2,M635='Group List A'!F$2,N635='Group List A'!G$2,
R635='Group List B'!E$2,S635='Group List B'!F$2,T635='Group List B'!G$2),"Limit",0))</f>
        <v>0</v>
      </c>
      <c r="H635" s="29">
        <f t="shared" si="137"/>
        <v>0</v>
      </c>
      <c r="I635" s="29">
        <f t="shared" si="138"/>
        <v>0</v>
      </c>
      <c r="J635" s="29">
        <f t="shared" si="139"/>
        <v>0</v>
      </c>
      <c r="K635" s="32" t="str" cm="1">
        <f t="array" ref="K635">IF(AF635&lt;&gt;"",IFERROR(INDEX('Group List A'!B:B,MATCH(AI635,'Group List A'!A:A,0),0),"-"),"")</f>
        <v/>
      </c>
      <c r="L635" s="33">
        <f t="shared" si="140"/>
        <v>0</v>
      </c>
      <c r="M635" s="33">
        <f t="shared" si="141"/>
        <v>0</v>
      </c>
      <c r="N635" s="33">
        <f t="shared" si="142"/>
        <v>0</v>
      </c>
      <c r="O635" s="28"/>
      <c r="P635" s="33">
        <f t="shared" si="143"/>
        <v>0</v>
      </c>
      <c r="Q635" s="35" t="str" cm="1">
        <f t="array" ref="Q635">IF(AF635&lt;&gt;"",IFERROR(INDEX('Group List B'!B:B,MATCH(AI635,'Group List B'!A:A,0),0),"-"),"")</f>
        <v/>
      </c>
      <c r="R635" s="36">
        <f t="shared" si="144"/>
        <v>0</v>
      </c>
      <c r="S635" s="36">
        <f t="shared" si="145"/>
        <v>0</v>
      </c>
      <c r="T635" s="36">
        <f t="shared" si="146"/>
        <v>0</v>
      </c>
      <c r="U635" s="28"/>
      <c r="V635" s="37">
        <f t="shared" si="147"/>
        <v>0</v>
      </c>
      <c r="W635" s="41"/>
      <c r="X635" s="27"/>
      <c r="Y635" s="27"/>
      <c r="Z635" s="27"/>
      <c r="AA635" s="15"/>
      <c r="AB635" s="17"/>
      <c r="AC635" s="17"/>
      <c r="AD635" s="17"/>
      <c r="AE635" s="90"/>
      <c r="AF635" s="82" t="str">
        <f t="shared" si="148"/>
        <v/>
      </c>
      <c r="AG635" s="83" t="str">
        <f t="shared" si="149"/>
        <v/>
      </c>
      <c r="AH635" s="82" t="str">
        <f t="shared" si="150"/>
        <v/>
      </c>
      <c r="AI635" s="82" t="str">
        <f t="shared" si="151"/>
        <v/>
      </c>
      <c r="AJ635" s="90"/>
      <c r="AP635" s="88"/>
    </row>
    <row r="636" spans="1:42" x14ac:dyDescent="0.25">
      <c r="A636" s="2"/>
      <c r="C636" s="68" t="str" cm="1">
        <f t="array" ref="C636">IF(AF636&lt;&gt;"",
IFERROR(INDEX('LaunchPad Markbook'!A:A,MATCH(AH636,'LaunchPad Markbook'!D:D,0),0),"-"),"")</f>
        <v/>
      </c>
      <c r="D636" s="27"/>
      <c r="E636" s="27"/>
      <c r="F636" s="27"/>
      <c r="G636" s="14">
        <f>IF(OR(H636&gt;AB$2,I636&gt;AC$2,J636&gt;AD$2,
P636&gt;1,V636&gt;1,
L636&gt;'Group List A'!E$2,M636&gt;'Group List A'!F$2,N636&gt;'Group List A'!G$2,
R636&gt;'Group List B'!E$2,S636&gt;'Group List B'!F$2,T636&gt;'Group List B'!G$2),"Exceed",
IF(OR(H636=AB$2,I636=AC$2,J636=AD$2,
P636=1,V636=1,
L636='Group List A'!E$2,M636='Group List A'!F$2,N636='Group List A'!G$2,
R636='Group List B'!E$2,S636='Group List B'!F$2,T636='Group List B'!G$2),"Limit",0))</f>
        <v>0</v>
      </c>
      <c r="H636" s="29">
        <f t="shared" si="137"/>
        <v>0</v>
      </c>
      <c r="I636" s="29">
        <f t="shared" si="138"/>
        <v>0</v>
      </c>
      <c r="J636" s="29">
        <f t="shared" si="139"/>
        <v>0</v>
      </c>
      <c r="K636" s="32" t="str" cm="1">
        <f t="array" ref="K636">IF(AF636&lt;&gt;"",IFERROR(INDEX('Group List A'!B:B,MATCH(AI636,'Group List A'!A:A,0),0),"-"),"")</f>
        <v/>
      </c>
      <c r="L636" s="33">
        <f t="shared" si="140"/>
        <v>0</v>
      </c>
      <c r="M636" s="33">
        <f t="shared" si="141"/>
        <v>0</v>
      </c>
      <c r="N636" s="33">
        <f t="shared" si="142"/>
        <v>0</v>
      </c>
      <c r="O636" s="28"/>
      <c r="P636" s="33">
        <f t="shared" si="143"/>
        <v>0</v>
      </c>
      <c r="Q636" s="35" t="str" cm="1">
        <f t="array" ref="Q636">IF(AF636&lt;&gt;"",IFERROR(INDEX('Group List B'!B:B,MATCH(AI636,'Group List B'!A:A,0),0),"-"),"")</f>
        <v/>
      </c>
      <c r="R636" s="36">
        <f t="shared" si="144"/>
        <v>0</v>
      </c>
      <c r="S636" s="36">
        <f t="shared" si="145"/>
        <v>0</v>
      </c>
      <c r="T636" s="36">
        <f t="shared" si="146"/>
        <v>0</v>
      </c>
      <c r="U636" s="28"/>
      <c r="V636" s="37">
        <f t="shared" si="147"/>
        <v>0</v>
      </c>
      <c r="W636" s="41"/>
      <c r="X636" s="27"/>
      <c r="Y636" s="27"/>
      <c r="Z636" s="27"/>
      <c r="AA636" s="15"/>
      <c r="AB636" s="17"/>
      <c r="AC636" s="17"/>
      <c r="AD636" s="17"/>
      <c r="AE636" s="90"/>
      <c r="AF636" s="82" t="str">
        <f t="shared" si="148"/>
        <v/>
      </c>
      <c r="AG636" s="83" t="str">
        <f t="shared" si="149"/>
        <v/>
      </c>
      <c r="AH636" s="82" t="str">
        <f t="shared" si="150"/>
        <v/>
      </c>
      <c r="AI636" s="82" t="str">
        <f t="shared" si="151"/>
        <v/>
      </c>
      <c r="AJ636" s="90"/>
      <c r="AP636" s="88"/>
    </row>
    <row r="637" spans="1:42" x14ac:dyDescent="0.25">
      <c r="A637" s="2"/>
      <c r="C637" s="68" t="str" cm="1">
        <f t="array" ref="C637">IF(AF637&lt;&gt;"",
IFERROR(INDEX('LaunchPad Markbook'!A:A,MATCH(AH637,'LaunchPad Markbook'!D:D,0),0),"-"),"")</f>
        <v/>
      </c>
      <c r="D637" s="27"/>
      <c r="E637" s="27"/>
      <c r="F637" s="27"/>
      <c r="G637" s="14">
        <f>IF(OR(H637&gt;AB$2,I637&gt;AC$2,J637&gt;AD$2,
P637&gt;1,V637&gt;1,
L637&gt;'Group List A'!E$2,M637&gt;'Group List A'!F$2,N637&gt;'Group List A'!G$2,
R637&gt;'Group List B'!E$2,S637&gt;'Group List B'!F$2,T637&gt;'Group List B'!G$2),"Exceed",
IF(OR(H637=AB$2,I637=AC$2,J637=AD$2,
P637=1,V637=1,
L637='Group List A'!E$2,M637='Group List A'!F$2,N637='Group List A'!G$2,
R637='Group List B'!E$2,S637='Group List B'!F$2,T637='Group List B'!G$2),"Limit",0))</f>
        <v>0</v>
      </c>
      <c r="H637" s="29">
        <f t="shared" si="137"/>
        <v>0</v>
      </c>
      <c r="I637" s="29">
        <f t="shared" si="138"/>
        <v>0</v>
      </c>
      <c r="J637" s="29">
        <f t="shared" si="139"/>
        <v>0</v>
      </c>
      <c r="K637" s="32" t="str" cm="1">
        <f t="array" ref="K637">IF(AF637&lt;&gt;"",IFERROR(INDEX('Group List A'!B:B,MATCH(AI637,'Group List A'!A:A,0),0),"-"),"")</f>
        <v/>
      </c>
      <c r="L637" s="33">
        <f t="shared" si="140"/>
        <v>0</v>
      </c>
      <c r="M637" s="33">
        <f t="shared" si="141"/>
        <v>0</v>
      </c>
      <c r="N637" s="33">
        <f t="shared" si="142"/>
        <v>0</v>
      </c>
      <c r="O637" s="28"/>
      <c r="P637" s="33">
        <f t="shared" si="143"/>
        <v>0</v>
      </c>
      <c r="Q637" s="35" t="str" cm="1">
        <f t="array" ref="Q637">IF(AF637&lt;&gt;"",IFERROR(INDEX('Group List B'!B:B,MATCH(AI637,'Group List B'!A:A,0),0),"-"),"")</f>
        <v/>
      </c>
      <c r="R637" s="36">
        <f t="shared" si="144"/>
        <v>0</v>
      </c>
      <c r="S637" s="36">
        <f t="shared" si="145"/>
        <v>0</v>
      </c>
      <c r="T637" s="36">
        <f t="shared" si="146"/>
        <v>0</v>
      </c>
      <c r="U637" s="28"/>
      <c r="V637" s="37">
        <f t="shared" si="147"/>
        <v>0</v>
      </c>
      <c r="W637" s="41"/>
      <c r="X637" s="27"/>
      <c r="Y637" s="27"/>
      <c r="Z637" s="27"/>
      <c r="AA637" s="15"/>
      <c r="AB637" s="17"/>
      <c r="AC637" s="17"/>
      <c r="AD637" s="17"/>
      <c r="AE637" s="90"/>
      <c r="AF637" s="82" t="str">
        <f t="shared" si="148"/>
        <v/>
      </c>
      <c r="AG637" s="83" t="str">
        <f t="shared" si="149"/>
        <v/>
      </c>
      <c r="AH637" s="82" t="str">
        <f t="shared" si="150"/>
        <v/>
      </c>
      <c r="AI637" s="82" t="str">
        <f t="shared" si="151"/>
        <v/>
      </c>
      <c r="AJ637" s="90"/>
      <c r="AP637" s="88"/>
    </row>
    <row r="638" spans="1:42" x14ac:dyDescent="0.25">
      <c r="A638" s="2"/>
      <c r="C638" s="68" t="str" cm="1">
        <f t="array" ref="C638">IF(AF638&lt;&gt;"",
IFERROR(INDEX('LaunchPad Markbook'!A:A,MATCH(AH638,'LaunchPad Markbook'!D:D,0),0),"-"),"")</f>
        <v/>
      </c>
      <c r="D638" s="27"/>
      <c r="E638" s="27"/>
      <c r="F638" s="27"/>
      <c r="G638" s="14">
        <f>IF(OR(H638&gt;AB$2,I638&gt;AC$2,J638&gt;AD$2,
P638&gt;1,V638&gt;1,
L638&gt;'Group List A'!E$2,M638&gt;'Group List A'!F$2,N638&gt;'Group List A'!G$2,
R638&gt;'Group List B'!E$2,S638&gt;'Group List B'!F$2,T638&gt;'Group List B'!G$2),"Exceed",
IF(OR(H638=AB$2,I638=AC$2,J638=AD$2,
P638=1,V638=1,
L638='Group List A'!E$2,M638='Group List A'!F$2,N638='Group List A'!G$2,
R638='Group List B'!E$2,S638='Group List B'!F$2,T638='Group List B'!G$2),"Limit",0))</f>
        <v>0</v>
      </c>
      <c r="H638" s="29">
        <f t="shared" si="137"/>
        <v>0</v>
      </c>
      <c r="I638" s="29">
        <f t="shared" si="138"/>
        <v>0</v>
      </c>
      <c r="J638" s="29">
        <f t="shared" si="139"/>
        <v>0</v>
      </c>
      <c r="K638" s="32" t="str" cm="1">
        <f t="array" ref="K638">IF(AF638&lt;&gt;"",IFERROR(INDEX('Group List A'!B:B,MATCH(AI638,'Group List A'!A:A,0),0),"-"),"")</f>
        <v/>
      </c>
      <c r="L638" s="33">
        <f t="shared" si="140"/>
        <v>0</v>
      </c>
      <c r="M638" s="33">
        <f t="shared" si="141"/>
        <v>0</v>
      </c>
      <c r="N638" s="33">
        <f t="shared" si="142"/>
        <v>0</v>
      </c>
      <c r="O638" s="28"/>
      <c r="P638" s="33">
        <f t="shared" si="143"/>
        <v>0</v>
      </c>
      <c r="Q638" s="35" t="str" cm="1">
        <f t="array" ref="Q638">IF(AF638&lt;&gt;"",IFERROR(INDEX('Group List B'!B:B,MATCH(AI638,'Group List B'!A:A,0),0),"-"),"")</f>
        <v/>
      </c>
      <c r="R638" s="36">
        <f t="shared" si="144"/>
        <v>0</v>
      </c>
      <c r="S638" s="36">
        <f t="shared" si="145"/>
        <v>0</v>
      </c>
      <c r="T638" s="36">
        <f t="shared" si="146"/>
        <v>0</v>
      </c>
      <c r="U638" s="28"/>
      <c r="V638" s="37">
        <f t="shared" si="147"/>
        <v>0</v>
      </c>
      <c r="W638" s="41"/>
      <c r="X638" s="27"/>
      <c r="Y638" s="27"/>
      <c r="Z638" s="27"/>
      <c r="AA638" s="15"/>
      <c r="AB638" s="17"/>
      <c r="AC638" s="17"/>
      <c r="AD638" s="17"/>
      <c r="AE638" s="90"/>
      <c r="AF638" s="82" t="str">
        <f t="shared" si="148"/>
        <v/>
      </c>
      <c r="AG638" s="83" t="str">
        <f t="shared" si="149"/>
        <v/>
      </c>
      <c r="AH638" s="82" t="str">
        <f t="shared" si="150"/>
        <v/>
      </c>
      <c r="AI638" s="82" t="str">
        <f t="shared" si="151"/>
        <v/>
      </c>
      <c r="AJ638" s="90"/>
      <c r="AP638" s="88"/>
    </row>
    <row r="639" spans="1:42" x14ac:dyDescent="0.25">
      <c r="A639" s="2"/>
      <c r="C639" s="68" t="str" cm="1">
        <f t="array" ref="C639">IF(AF639&lt;&gt;"",
IFERROR(INDEX('LaunchPad Markbook'!A:A,MATCH(AH639,'LaunchPad Markbook'!D:D,0),0),"-"),"")</f>
        <v/>
      </c>
      <c r="D639" s="27"/>
      <c r="E639" s="27"/>
      <c r="F639" s="27"/>
      <c r="G639" s="14">
        <f>IF(OR(H639&gt;AB$2,I639&gt;AC$2,J639&gt;AD$2,
P639&gt;1,V639&gt;1,
L639&gt;'Group List A'!E$2,M639&gt;'Group List A'!F$2,N639&gt;'Group List A'!G$2,
R639&gt;'Group List B'!E$2,S639&gt;'Group List B'!F$2,T639&gt;'Group List B'!G$2),"Exceed",
IF(OR(H639=AB$2,I639=AC$2,J639=AD$2,
P639=1,V639=1,
L639='Group List A'!E$2,M639='Group List A'!F$2,N639='Group List A'!G$2,
R639='Group List B'!E$2,S639='Group List B'!F$2,T639='Group List B'!G$2),"Limit",0))</f>
        <v>0</v>
      </c>
      <c r="H639" s="29">
        <f t="shared" si="137"/>
        <v>0</v>
      </c>
      <c r="I639" s="29">
        <f t="shared" si="138"/>
        <v>0</v>
      </c>
      <c r="J639" s="29">
        <f t="shared" si="139"/>
        <v>0</v>
      </c>
      <c r="K639" s="32" t="str" cm="1">
        <f t="array" ref="K639">IF(AF639&lt;&gt;"",IFERROR(INDEX('Group List A'!B:B,MATCH(AI639,'Group List A'!A:A,0),0),"-"),"")</f>
        <v/>
      </c>
      <c r="L639" s="33">
        <f t="shared" si="140"/>
        <v>0</v>
      </c>
      <c r="M639" s="33">
        <f t="shared" si="141"/>
        <v>0</v>
      </c>
      <c r="N639" s="33">
        <f t="shared" si="142"/>
        <v>0</v>
      </c>
      <c r="O639" s="28"/>
      <c r="P639" s="33">
        <f t="shared" si="143"/>
        <v>0</v>
      </c>
      <c r="Q639" s="35" t="str" cm="1">
        <f t="array" ref="Q639">IF(AF639&lt;&gt;"",IFERROR(INDEX('Group List B'!B:B,MATCH(AI639,'Group List B'!A:A,0),0),"-"),"")</f>
        <v/>
      </c>
      <c r="R639" s="36">
        <f t="shared" si="144"/>
        <v>0</v>
      </c>
      <c r="S639" s="36">
        <f t="shared" si="145"/>
        <v>0</v>
      </c>
      <c r="T639" s="36">
        <f t="shared" si="146"/>
        <v>0</v>
      </c>
      <c r="U639" s="28"/>
      <c r="V639" s="37">
        <f t="shared" si="147"/>
        <v>0</v>
      </c>
      <c r="W639" s="41"/>
      <c r="X639" s="27"/>
      <c r="Y639" s="27"/>
      <c r="Z639" s="27"/>
      <c r="AA639" s="15"/>
      <c r="AB639" s="17"/>
      <c r="AC639" s="17"/>
      <c r="AD639" s="17"/>
      <c r="AE639" s="90"/>
      <c r="AF639" s="82" t="str">
        <f t="shared" si="148"/>
        <v/>
      </c>
      <c r="AG639" s="83" t="str">
        <f t="shared" si="149"/>
        <v/>
      </c>
      <c r="AH639" s="82" t="str">
        <f t="shared" si="150"/>
        <v/>
      </c>
      <c r="AI639" s="82" t="str">
        <f t="shared" si="151"/>
        <v/>
      </c>
      <c r="AJ639" s="90"/>
      <c r="AP639" s="88"/>
    </row>
    <row r="640" spans="1:42" x14ac:dyDescent="0.25">
      <c r="A640" s="2"/>
      <c r="C640" s="68" t="str" cm="1">
        <f t="array" ref="C640">IF(AF640&lt;&gt;"",
IFERROR(INDEX('LaunchPad Markbook'!A:A,MATCH(AH640,'LaunchPad Markbook'!D:D,0),0),"-"),"")</f>
        <v/>
      </c>
      <c r="D640" s="27"/>
      <c r="E640" s="27"/>
      <c r="F640" s="27"/>
      <c r="G640" s="14">
        <f>IF(OR(H640&gt;AB$2,I640&gt;AC$2,J640&gt;AD$2,
P640&gt;1,V640&gt;1,
L640&gt;'Group List A'!E$2,M640&gt;'Group List A'!F$2,N640&gt;'Group List A'!G$2,
R640&gt;'Group List B'!E$2,S640&gt;'Group List B'!F$2,T640&gt;'Group List B'!G$2),"Exceed",
IF(OR(H640=AB$2,I640=AC$2,J640=AD$2,
P640=1,V640=1,
L640='Group List A'!E$2,M640='Group List A'!F$2,N640='Group List A'!G$2,
R640='Group List B'!E$2,S640='Group List B'!F$2,T640='Group List B'!G$2),"Limit",0))</f>
        <v>0</v>
      </c>
      <c r="H640" s="29">
        <f t="shared" si="137"/>
        <v>0</v>
      </c>
      <c r="I640" s="29">
        <f t="shared" si="138"/>
        <v>0</v>
      </c>
      <c r="J640" s="29">
        <f t="shared" si="139"/>
        <v>0</v>
      </c>
      <c r="K640" s="32" t="str" cm="1">
        <f t="array" ref="K640">IF(AF640&lt;&gt;"",IFERROR(INDEX('Group List A'!B:B,MATCH(AI640,'Group List A'!A:A,0),0),"-"),"")</f>
        <v/>
      </c>
      <c r="L640" s="33">
        <f t="shared" si="140"/>
        <v>0</v>
      </c>
      <c r="M640" s="33">
        <f t="shared" si="141"/>
        <v>0</v>
      </c>
      <c r="N640" s="33">
        <f t="shared" si="142"/>
        <v>0</v>
      </c>
      <c r="O640" s="28"/>
      <c r="P640" s="33">
        <f t="shared" si="143"/>
        <v>0</v>
      </c>
      <c r="Q640" s="35" t="str" cm="1">
        <f t="array" ref="Q640">IF(AF640&lt;&gt;"",IFERROR(INDEX('Group List B'!B:B,MATCH(AI640,'Group List B'!A:A,0),0),"-"),"")</f>
        <v/>
      </c>
      <c r="R640" s="36">
        <f t="shared" si="144"/>
        <v>0</v>
      </c>
      <c r="S640" s="36">
        <f t="shared" si="145"/>
        <v>0</v>
      </c>
      <c r="T640" s="36">
        <f t="shared" si="146"/>
        <v>0</v>
      </c>
      <c r="U640" s="28"/>
      <c r="V640" s="37">
        <f t="shared" si="147"/>
        <v>0</v>
      </c>
      <c r="W640" s="41"/>
      <c r="X640" s="27"/>
      <c r="Y640" s="27"/>
      <c r="Z640" s="27"/>
      <c r="AA640" s="15"/>
      <c r="AB640" s="17"/>
      <c r="AC640" s="17"/>
      <c r="AD640" s="17"/>
      <c r="AE640" s="90"/>
      <c r="AF640" s="82" t="str">
        <f t="shared" si="148"/>
        <v/>
      </c>
      <c r="AG640" s="83" t="str">
        <f t="shared" si="149"/>
        <v/>
      </c>
      <c r="AH640" s="82" t="str">
        <f t="shared" si="150"/>
        <v/>
      </c>
      <c r="AI640" s="82" t="str">
        <f t="shared" si="151"/>
        <v/>
      </c>
      <c r="AJ640" s="90"/>
      <c r="AP640" s="88"/>
    </row>
    <row r="641" spans="1:42" x14ac:dyDescent="0.25">
      <c r="A641" s="2"/>
      <c r="C641" s="68" t="str" cm="1">
        <f t="array" ref="C641">IF(AF641&lt;&gt;"",
IFERROR(INDEX('LaunchPad Markbook'!A:A,MATCH(AH641,'LaunchPad Markbook'!D:D,0),0),"-"),"")</f>
        <v/>
      </c>
      <c r="D641" s="27"/>
      <c r="E641" s="27"/>
      <c r="F641" s="27"/>
      <c r="G641" s="14">
        <f>IF(OR(H641&gt;AB$2,I641&gt;AC$2,J641&gt;AD$2,
P641&gt;1,V641&gt;1,
L641&gt;'Group List A'!E$2,M641&gt;'Group List A'!F$2,N641&gt;'Group List A'!G$2,
R641&gt;'Group List B'!E$2,S641&gt;'Group List B'!F$2,T641&gt;'Group List B'!G$2),"Exceed",
IF(OR(H641=AB$2,I641=AC$2,J641=AD$2,
P641=1,V641=1,
L641='Group List A'!E$2,M641='Group List A'!F$2,N641='Group List A'!G$2,
R641='Group List B'!E$2,S641='Group List B'!F$2,T641='Group List B'!G$2),"Limit",0))</f>
        <v>0</v>
      </c>
      <c r="H641" s="29">
        <f t="shared" si="137"/>
        <v>0</v>
      </c>
      <c r="I641" s="29">
        <f t="shared" si="138"/>
        <v>0</v>
      </c>
      <c r="J641" s="29">
        <f t="shared" si="139"/>
        <v>0</v>
      </c>
      <c r="K641" s="32" t="str" cm="1">
        <f t="array" ref="K641">IF(AF641&lt;&gt;"",IFERROR(INDEX('Group List A'!B:B,MATCH(AI641,'Group List A'!A:A,0),0),"-"),"")</f>
        <v/>
      </c>
      <c r="L641" s="33">
        <f t="shared" si="140"/>
        <v>0</v>
      </c>
      <c r="M641" s="33">
        <f t="shared" si="141"/>
        <v>0</v>
      </c>
      <c r="N641" s="33">
        <f t="shared" si="142"/>
        <v>0</v>
      </c>
      <c r="O641" s="28"/>
      <c r="P641" s="33">
        <f t="shared" si="143"/>
        <v>0</v>
      </c>
      <c r="Q641" s="35" t="str" cm="1">
        <f t="array" ref="Q641">IF(AF641&lt;&gt;"",IFERROR(INDEX('Group List B'!B:B,MATCH(AI641,'Group List B'!A:A,0),0),"-"),"")</f>
        <v/>
      </c>
      <c r="R641" s="36">
        <f t="shared" si="144"/>
        <v>0</v>
      </c>
      <c r="S641" s="36">
        <f t="shared" si="145"/>
        <v>0</v>
      </c>
      <c r="T641" s="36">
        <f t="shared" si="146"/>
        <v>0</v>
      </c>
      <c r="U641" s="28"/>
      <c r="V641" s="37">
        <f t="shared" si="147"/>
        <v>0</v>
      </c>
      <c r="W641" s="41"/>
      <c r="X641" s="27"/>
      <c r="Y641" s="27"/>
      <c r="Z641" s="27"/>
      <c r="AA641" s="15"/>
      <c r="AB641" s="17"/>
      <c r="AC641" s="17"/>
      <c r="AD641" s="17"/>
      <c r="AE641" s="90"/>
      <c r="AF641" s="82" t="str">
        <f t="shared" si="148"/>
        <v/>
      </c>
      <c r="AG641" s="83" t="str">
        <f t="shared" si="149"/>
        <v/>
      </c>
      <c r="AH641" s="82" t="str">
        <f t="shared" si="150"/>
        <v/>
      </c>
      <c r="AI641" s="82" t="str">
        <f t="shared" si="151"/>
        <v/>
      </c>
      <c r="AJ641" s="90"/>
      <c r="AP641" s="88"/>
    </row>
    <row r="642" spans="1:42" x14ac:dyDescent="0.25">
      <c r="A642" s="2"/>
      <c r="C642" s="68" t="str" cm="1">
        <f t="array" ref="C642">IF(AF642&lt;&gt;"",
IFERROR(INDEX('LaunchPad Markbook'!A:A,MATCH(AH642,'LaunchPad Markbook'!D:D,0),0),"-"),"")</f>
        <v/>
      </c>
      <c r="D642" s="27"/>
      <c r="E642" s="27"/>
      <c r="F642" s="27"/>
      <c r="G642" s="14">
        <f>IF(OR(H642&gt;AB$2,I642&gt;AC$2,J642&gt;AD$2,
P642&gt;1,V642&gt;1,
L642&gt;'Group List A'!E$2,M642&gt;'Group List A'!F$2,N642&gt;'Group List A'!G$2,
R642&gt;'Group List B'!E$2,S642&gt;'Group List B'!F$2,T642&gt;'Group List B'!G$2),"Exceed",
IF(OR(H642=AB$2,I642=AC$2,J642=AD$2,
P642=1,V642=1,
L642='Group List A'!E$2,M642='Group List A'!F$2,N642='Group List A'!G$2,
R642='Group List B'!E$2,S642='Group List B'!F$2,T642='Group List B'!G$2),"Limit",0))</f>
        <v>0</v>
      </c>
      <c r="H642" s="29">
        <f t="shared" si="137"/>
        <v>0</v>
      </c>
      <c r="I642" s="29">
        <f t="shared" si="138"/>
        <v>0</v>
      </c>
      <c r="J642" s="29">
        <f t="shared" si="139"/>
        <v>0</v>
      </c>
      <c r="K642" s="32" t="str" cm="1">
        <f t="array" ref="K642">IF(AF642&lt;&gt;"",IFERROR(INDEX('Group List A'!B:B,MATCH(AI642,'Group List A'!A:A,0),0),"-"),"")</f>
        <v/>
      </c>
      <c r="L642" s="33">
        <f t="shared" si="140"/>
        <v>0</v>
      </c>
      <c r="M642" s="33">
        <f t="shared" si="141"/>
        <v>0</v>
      </c>
      <c r="N642" s="33">
        <f t="shared" si="142"/>
        <v>0</v>
      </c>
      <c r="O642" s="28"/>
      <c r="P642" s="33">
        <f t="shared" si="143"/>
        <v>0</v>
      </c>
      <c r="Q642" s="35" t="str" cm="1">
        <f t="array" ref="Q642">IF(AF642&lt;&gt;"",IFERROR(INDEX('Group List B'!B:B,MATCH(AI642,'Group List B'!A:A,0),0),"-"),"")</f>
        <v/>
      </c>
      <c r="R642" s="36">
        <f t="shared" si="144"/>
        <v>0</v>
      </c>
      <c r="S642" s="36">
        <f t="shared" si="145"/>
        <v>0</v>
      </c>
      <c r="T642" s="36">
        <f t="shared" si="146"/>
        <v>0</v>
      </c>
      <c r="U642" s="28"/>
      <c r="V642" s="37">
        <f t="shared" si="147"/>
        <v>0</v>
      </c>
      <c r="W642" s="41"/>
      <c r="X642" s="27"/>
      <c r="Y642" s="27"/>
      <c r="Z642" s="27"/>
      <c r="AA642" s="15"/>
      <c r="AB642" s="17"/>
      <c r="AC642" s="17"/>
      <c r="AD642" s="17"/>
      <c r="AE642" s="90"/>
      <c r="AF642" s="82" t="str">
        <f t="shared" si="148"/>
        <v/>
      </c>
      <c r="AG642" s="83" t="str">
        <f t="shared" si="149"/>
        <v/>
      </c>
      <c r="AH642" s="82" t="str">
        <f t="shared" si="150"/>
        <v/>
      </c>
      <c r="AI642" s="82" t="str">
        <f t="shared" si="151"/>
        <v/>
      </c>
      <c r="AJ642" s="90"/>
      <c r="AP642" s="88"/>
    </row>
    <row r="643" spans="1:42" x14ac:dyDescent="0.25">
      <c r="A643" s="2"/>
      <c r="C643" s="68" t="str" cm="1">
        <f t="array" ref="C643">IF(AF643&lt;&gt;"",
IFERROR(INDEX('LaunchPad Markbook'!A:A,MATCH(AH643,'LaunchPad Markbook'!D:D,0),0),"-"),"")</f>
        <v/>
      </c>
      <c r="D643" s="27"/>
      <c r="E643" s="27"/>
      <c r="F643" s="27"/>
      <c r="G643" s="14">
        <f>IF(OR(H643&gt;AB$2,I643&gt;AC$2,J643&gt;AD$2,
P643&gt;1,V643&gt;1,
L643&gt;'Group List A'!E$2,M643&gt;'Group List A'!F$2,N643&gt;'Group List A'!G$2,
R643&gt;'Group List B'!E$2,S643&gt;'Group List B'!F$2,T643&gt;'Group List B'!G$2),"Exceed",
IF(OR(H643=AB$2,I643=AC$2,J643=AD$2,
P643=1,V643=1,
L643='Group List A'!E$2,M643='Group List A'!F$2,N643='Group List A'!G$2,
R643='Group List B'!E$2,S643='Group List B'!F$2,T643='Group List B'!G$2),"Limit",0))</f>
        <v>0</v>
      </c>
      <c r="H643" s="29">
        <f t="shared" ref="H643:H706" si="152">IF(AND(K643="-",Q643="-"),
SUMIFS(D$2:D$2000,$AH$2:$AH$2000,$AH643),0)</f>
        <v>0</v>
      </c>
      <c r="I643" s="29">
        <f t="shared" ref="I643:I706" si="153">IF(AND(K643="-",Q643="-"),
SUMIFS(E$2:E$2000,$AH$2:$AH$2000,$AH643),0)</f>
        <v>0</v>
      </c>
      <c r="J643" s="29">
        <f t="shared" ref="J643:J706" si="154">IF(AND(K643="-",Q643="-"),
SUMIFS(F$2:F$2000,$AH$2:$AH$2000,$AH643),0)</f>
        <v>0</v>
      </c>
      <c r="K643" s="32" t="str" cm="1">
        <f t="array" ref="K643">IF(AF643&lt;&gt;"",IFERROR(INDEX('Group List A'!B:B,MATCH(AI643,'Group List A'!A:A,0),0),"-"),"")</f>
        <v/>
      </c>
      <c r="L643" s="33">
        <f t="shared" ref="L643:L706" si="155">IF($K643&lt;&gt;"-",SUMIFS(D$2:D$2000,$K$2:$K$2000,$K643),0)</f>
        <v>0</v>
      </c>
      <c r="M643" s="33">
        <f t="shared" ref="M643:M706" si="156">IF($K643&lt;&gt;"-",SUMIFS(E$2:E$2000,$K$2:$K$2000,$K643),0)</f>
        <v>0</v>
      </c>
      <c r="N643" s="33">
        <f t="shared" ref="N643:N706" si="157">IF($K643&lt;&gt;"-",SUMIFS(F$2:F$2000,$K$2:$K$2000,$K643),0)</f>
        <v>0</v>
      </c>
      <c r="O643" s="28"/>
      <c r="P643" s="33">
        <f t="shared" ref="P643:P706" si="158">SUMIFS(O$2:O$2000,$AH$2:$AH$2000,$AH643)</f>
        <v>0</v>
      </c>
      <c r="Q643" s="35" t="str" cm="1">
        <f t="array" ref="Q643">IF(AF643&lt;&gt;"",IFERROR(INDEX('Group List B'!B:B,MATCH(AI643,'Group List B'!A:A,0),0),"-"),"")</f>
        <v/>
      </c>
      <c r="R643" s="36">
        <f t="shared" ref="R643:R706" si="159">IF($Q643&lt;&gt;"-",SUMIFS(D$2:D$2000,$Q$2:$Q$2000,$Q643),0)</f>
        <v>0</v>
      </c>
      <c r="S643" s="36">
        <f t="shared" ref="S643:S706" si="160">IF($Q643&lt;&gt;"-",SUMIFS(E$2:E$2000,$Q$2:$Q$2000,$Q643),0)</f>
        <v>0</v>
      </c>
      <c r="T643" s="36">
        <f t="shared" ref="T643:T706" si="161">IF($Q643&lt;&gt;"-",SUMIFS(F$2:F$2000,$Q$2:$Q$2000,$Q643),0)</f>
        <v>0</v>
      </c>
      <c r="U643" s="28"/>
      <c r="V643" s="37">
        <f t="shared" ref="V643:V706" si="162">SUMIFS(U$2:U$2000,$AH$2:$AH$2000,$AH643)</f>
        <v>0</v>
      </c>
      <c r="W643" s="41"/>
      <c r="X643" s="27"/>
      <c r="Y643" s="27"/>
      <c r="Z643" s="27"/>
      <c r="AA643" s="15"/>
      <c r="AB643" s="17"/>
      <c r="AC643" s="17"/>
      <c r="AD643" s="17"/>
      <c r="AE643" s="90"/>
      <c r="AF643" s="82" t="str">
        <f t="shared" ref="AF643:AF706" si="163">IF(A643&lt;&gt;"",A643,"")</f>
        <v/>
      </c>
      <c r="AG643" s="83" t="str">
        <f t="shared" ref="AG643:AG706" si="164">IF(MID(AF643,1,1)="N","STUDENT",
IF(MID(AF643,1,1)="S","STAFF",
IF(MID(AF643,1,1)="V","VISITOR",
IF(AF643&lt;&gt;"","ERROR",""))))</f>
        <v/>
      </c>
      <c r="AH643" s="82" t="str">
        <f t="shared" ref="AH643:AH706" si="165">IF(AG643="STUDENT","N"&amp;(MID(AF643,2,8)-0),
IF(AG643="STAFF","S"&amp;MID(AF643,2,8),""))</f>
        <v/>
      </c>
      <c r="AI643" s="82" t="str">
        <f t="shared" ref="AI643:AI706" si="166">IF(AG643="STUDENT",(MID(AF643,2,8)-0),
IF(AG643="STAFF","STAFF",""))</f>
        <v/>
      </c>
      <c r="AJ643" s="90"/>
      <c r="AP643" s="88"/>
    </row>
    <row r="644" spans="1:42" x14ac:dyDescent="0.25">
      <c r="A644" s="2"/>
      <c r="C644" s="68" t="str" cm="1">
        <f t="array" ref="C644">IF(AF644&lt;&gt;"",
IFERROR(INDEX('LaunchPad Markbook'!A:A,MATCH(AH644,'LaunchPad Markbook'!D:D,0),0),"-"),"")</f>
        <v/>
      </c>
      <c r="D644" s="27"/>
      <c r="E644" s="27"/>
      <c r="F644" s="27"/>
      <c r="G644" s="14">
        <f>IF(OR(H644&gt;AB$2,I644&gt;AC$2,J644&gt;AD$2,
P644&gt;1,V644&gt;1,
L644&gt;'Group List A'!E$2,M644&gt;'Group List A'!F$2,N644&gt;'Group List A'!G$2,
R644&gt;'Group List B'!E$2,S644&gt;'Group List B'!F$2,T644&gt;'Group List B'!G$2),"Exceed",
IF(OR(H644=AB$2,I644=AC$2,J644=AD$2,
P644=1,V644=1,
L644='Group List A'!E$2,M644='Group List A'!F$2,N644='Group List A'!G$2,
R644='Group List B'!E$2,S644='Group List B'!F$2,T644='Group List B'!G$2),"Limit",0))</f>
        <v>0</v>
      </c>
      <c r="H644" s="29">
        <f t="shared" si="152"/>
        <v>0</v>
      </c>
      <c r="I644" s="29">
        <f t="shared" si="153"/>
        <v>0</v>
      </c>
      <c r="J644" s="29">
        <f t="shared" si="154"/>
        <v>0</v>
      </c>
      <c r="K644" s="32" t="str" cm="1">
        <f t="array" ref="K644">IF(AF644&lt;&gt;"",IFERROR(INDEX('Group List A'!B:B,MATCH(AI644,'Group List A'!A:A,0),0),"-"),"")</f>
        <v/>
      </c>
      <c r="L644" s="33">
        <f t="shared" si="155"/>
        <v>0</v>
      </c>
      <c r="M644" s="33">
        <f t="shared" si="156"/>
        <v>0</v>
      </c>
      <c r="N644" s="33">
        <f t="shared" si="157"/>
        <v>0</v>
      </c>
      <c r="O644" s="28"/>
      <c r="P644" s="33">
        <f t="shared" si="158"/>
        <v>0</v>
      </c>
      <c r="Q644" s="35" t="str" cm="1">
        <f t="array" ref="Q644">IF(AF644&lt;&gt;"",IFERROR(INDEX('Group List B'!B:B,MATCH(AI644,'Group List B'!A:A,0),0),"-"),"")</f>
        <v/>
      </c>
      <c r="R644" s="36">
        <f t="shared" si="159"/>
        <v>0</v>
      </c>
      <c r="S644" s="36">
        <f t="shared" si="160"/>
        <v>0</v>
      </c>
      <c r="T644" s="36">
        <f t="shared" si="161"/>
        <v>0</v>
      </c>
      <c r="U644" s="28"/>
      <c r="V644" s="37">
        <f t="shared" si="162"/>
        <v>0</v>
      </c>
      <c r="W644" s="41"/>
      <c r="X644" s="27"/>
      <c r="Y644" s="27"/>
      <c r="Z644" s="27"/>
      <c r="AA644" s="15"/>
      <c r="AB644" s="17"/>
      <c r="AC644" s="17"/>
      <c r="AD644" s="17"/>
      <c r="AE644" s="90"/>
      <c r="AF644" s="82" t="str">
        <f t="shared" si="163"/>
        <v/>
      </c>
      <c r="AG644" s="83" t="str">
        <f t="shared" si="164"/>
        <v/>
      </c>
      <c r="AH644" s="82" t="str">
        <f t="shared" si="165"/>
        <v/>
      </c>
      <c r="AI644" s="82" t="str">
        <f t="shared" si="166"/>
        <v/>
      </c>
      <c r="AJ644" s="90"/>
      <c r="AP644" s="88"/>
    </row>
    <row r="645" spans="1:42" x14ac:dyDescent="0.25">
      <c r="A645" s="2"/>
      <c r="C645" s="68" t="str" cm="1">
        <f t="array" ref="C645">IF(AF645&lt;&gt;"",
IFERROR(INDEX('LaunchPad Markbook'!A:A,MATCH(AH645,'LaunchPad Markbook'!D:D,0),0),"-"),"")</f>
        <v/>
      </c>
      <c r="D645" s="27"/>
      <c r="E645" s="27"/>
      <c r="F645" s="27"/>
      <c r="G645" s="14">
        <f>IF(OR(H645&gt;AB$2,I645&gt;AC$2,J645&gt;AD$2,
P645&gt;1,V645&gt;1,
L645&gt;'Group List A'!E$2,M645&gt;'Group List A'!F$2,N645&gt;'Group List A'!G$2,
R645&gt;'Group List B'!E$2,S645&gt;'Group List B'!F$2,T645&gt;'Group List B'!G$2),"Exceed",
IF(OR(H645=AB$2,I645=AC$2,J645=AD$2,
P645=1,V645=1,
L645='Group List A'!E$2,M645='Group List A'!F$2,N645='Group List A'!G$2,
R645='Group List B'!E$2,S645='Group List B'!F$2,T645='Group List B'!G$2),"Limit",0))</f>
        <v>0</v>
      </c>
      <c r="H645" s="29">
        <f t="shared" si="152"/>
        <v>0</v>
      </c>
      <c r="I645" s="29">
        <f t="shared" si="153"/>
        <v>0</v>
      </c>
      <c r="J645" s="29">
        <f t="shared" si="154"/>
        <v>0</v>
      </c>
      <c r="K645" s="32" t="str" cm="1">
        <f t="array" ref="K645">IF(AF645&lt;&gt;"",IFERROR(INDEX('Group List A'!B:B,MATCH(AI645,'Group List A'!A:A,0),0),"-"),"")</f>
        <v/>
      </c>
      <c r="L645" s="33">
        <f t="shared" si="155"/>
        <v>0</v>
      </c>
      <c r="M645" s="33">
        <f t="shared" si="156"/>
        <v>0</v>
      </c>
      <c r="N645" s="33">
        <f t="shared" si="157"/>
        <v>0</v>
      </c>
      <c r="O645" s="28"/>
      <c r="P645" s="33">
        <f t="shared" si="158"/>
        <v>0</v>
      </c>
      <c r="Q645" s="35" t="str" cm="1">
        <f t="array" ref="Q645">IF(AF645&lt;&gt;"",IFERROR(INDEX('Group List B'!B:B,MATCH(AI645,'Group List B'!A:A,0),0),"-"),"")</f>
        <v/>
      </c>
      <c r="R645" s="36">
        <f t="shared" si="159"/>
        <v>0</v>
      </c>
      <c r="S645" s="36">
        <f t="shared" si="160"/>
        <v>0</v>
      </c>
      <c r="T645" s="36">
        <f t="shared" si="161"/>
        <v>0</v>
      </c>
      <c r="U645" s="28"/>
      <c r="V645" s="37">
        <f t="shared" si="162"/>
        <v>0</v>
      </c>
      <c r="W645" s="41"/>
      <c r="X645" s="27"/>
      <c r="Y645" s="27"/>
      <c r="Z645" s="27"/>
      <c r="AA645" s="15"/>
      <c r="AB645" s="17"/>
      <c r="AC645" s="17"/>
      <c r="AD645" s="17"/>
      <c r="AE645" s="90"/>
      <c r="AF645" s="82" t="str">
        <f t="shared" si="163"/>
        <v/>
      </c>
      <c r="AG645" s="83" t="str">
        <f t="shared" si="164"/>
        <v/>
      </c>
      <c r="AH645" s="82" t="str">
        <f t="shared" si="165"/>
        <v/>
      </c>
      <c r="AI645" s="82" t="str">
        <f t="shared" si="166"/>
        <v/>
      </c>
      <c r="AJ645" s="90"/>
      <c r="AP645" s="88"/>
    </row>
    <row r="646" spans="1:42" x14ac:dyDescent="0.25">
      <c r="A646" s="2"/>
      <c r="C646" s="68" t="str" cm="1">
        <f t="array" ref="C646">IF(AF646&lt;&gt;"",
IFERROR(INDEX('LaunchPad Markbook'!A:A,MATCH(AH646,'LaunchPad Markbook'!D:D,0),0),"-"),"")</f>
        <v/>
      </c>
      <c r="D646" s="27"/>
      <c r="E646" s="27"/>
      <c r="F646" s="27"/>
      <c r="G646" s="14">
        <f>IF(OR(H646&gt;AB$2,I646&gt;AC$2,J646&gt;AD$2,
P646&gt;1,V646&gt;1,
L646&gt;'Group List A'!E$2,M646&gt;'Group List A'!F$2,N646&gt;'Group List A'!G$2,
R646&gt;'Group List B'!E$2,S646&gt;'Group List B'!F$2,T646&gt;'Group List B'!G$2),"Exceed",
IF(OR(H646=AB$2,I646=AC$2,J646=AD$2,
P646=1,V646=1,
L646='Group List A'!E$2,M646='Group List A'!F$2,N646='Group List A'!G$2,
R646='Group List B'!E$2,S646='Group List B'!F$2,T646='Group List B'!G$2),"Limit",0))</f>
        <v>0</v>
      </c>
      <c r="H646" s="29">
        <f t="shared" si="152"/>
        <v>0</v>
      </c>
      <c r="I646" s="29">
        <f t="shared" si="153"/>
        <v>0</v>
      </c>
      <c r="J646" s="29">
        <f t="shared" si="154"/>
        <v>0</v>
      </c>
      <c r="K646" s="32" t="str" cm="1">
        <f t="array" ref="K646">IF(AF646&lt;&gt;"",IFERROR(INDEX('Group List A'!B:B,MATCH(AI646,'Group List A'!A:A,0),0),"-"),"")</f>
        <v/>
      </c>
      <c r="L646" s="33">
        <f t="shared" si="155"/>
        <v>0</v>
      </c>
      <c r="M646" s="33">
        <f t="shared" si="156"/>
        <v>0</v>
      </c>
      <c r="N646" s="33">
        <f t="shared" si="157"/>
        <v>0</v>
      </c>
      <c r="O646" s="28"/>
      <c r="P646" s="33">
        <f t="shared" si="158"/>
        <v>0</v>
      </c>
      <c r="Q646" s="35" t="str" cm="1">
        <f t="array" ref="Q646">IF(AF646&lt;&gt;"",IFERROR(INDEX('Group List B'!B:B,MATCH(AI646,'Group List B'!A:A,0),0),"-"),"")</f>
        <v/>
      </c>
      <c r="R646" s="36">
        <f t="shared" si="159"/>
        <v>0</v>
      </c>
      <c r="S646" s="36">
        <f t="shared" si="160"/>
        <v>0</v>
      </c>
      <c r="T646" s="36">
        <f t="shared" si="161"/>
        <v>0</v>
      </c>
      <c r="U646" s="28"/>
      <c r="V646" s="37">
        <f t="shared" si="162"/>
        <v>0</v>
      </c>
      <c r="W646" s="41"/>
      <c r="X646" s="27"/>
      <c r="Y646" s="27"/>
      <c r="Z646" s="27"/>
      <c r="AA646" s="15"/>
      <c r="AB646" s="17"/>
      <c r="AC646" s="17"/>
      <c r="AD646" s="17"/>
      <c r="AE646" s="90"/>
      <c r="AF646" s="82" t="str">
        <f t="shared" si="163"/>
        <v/>
      </c>
      <c r="AG646" s="83" t="str">
        <f t="shared" si="164"/>
        <v/>
      </c>
      <c r="AH646" s="82" t="str">
        <f t="shared" si="165"/>
        <v/>
      </c>
      <c r="AI646" s="82" t="str">
        <f t="shared" si="166"/>
        <v/>
      </c>
      <c r="AJ646" s="90"/>
      <c r="AP646" s="88"/>
    </row>
    <row r="647" spans="1:42" x14ac:dyDescent="0.25">
      <c r="A647" s="2"/>
      <c r="C647" s="68" t="str" cm="1">
        <f t="array" ref="C647">IF(AF647&lt;&gt;"",
IFERROR(INDEX('LaunchPad Markbook'!A:A,MATCH(AH647,'LaunchPad Markbook'!D:D,0),0),"-"),"")</f>
        <v/>
      </c>
      <c r="D647" s="27"/>
      <c r="E647" s="27"/>
      <c r="F647" s="27"/>
      <c r="G647" s="14">
        <f>IF(OR(H647&gt;AB$2,I647&gt;AC$2,J647&gt;AD$2,
P647&gt;1,V647&gt;1,
L647&gt;'Group List A'!E$2,M647&gt;'Group List A'!F$2,N647&gt;'Group List A'!G$2,
R647&gt;'Group List B'!E$2,S647&gt;'Group List B'!F$2,T647&gt;'Group List B'!G$2),"Exceed",
IF(OR(H647=AB$2,I647=AC$2,J647=AD$2,
P647=1,V647=1,
L647='Group List A'!E$2,M647='Group List A'!F$2,N647='Group List A'!G$2,
R647='Group List B'!E$2,S647='Group List B'!F$2,T647='Group List B'!G$2),"Limit",0))</f>
        <v>0</v>
      </c>
      <c r="H647" s="29">
        <f t="shared" si="152"/>
        <v>0</v>
      </c>
      <c r="I647" s="29">
        <f t="shared" si="153"/>
        <v>0</v>
      </c>
      <c r="J647" s="29">
        <f t="shared" si="154"/>
        <v>0</v>
      </c>
      <c r="K647" s="32" t="str" cm="1">
        <f t="array" ref="K647">IF(AF647&lt;&gt;"",IFERROR(INDEX('Group List A'!B:B,MATCH(AI647,'Group List A'!A:A,0),0),"-"),"")</f>
        <v/>
      </c>
      <c r="L647" s="33">
        <f t="shared" si="155"/>
        <v>0</v>
      </c>
      <c r="M647" s="33">
        <f t="shared" si="156"/>
        <v>0</v>
      </c>
      <c r="N647" s="33">
        <f t="shared" si="157"/>
        <v>0</v>
      </c>
      <c r="O647" s="28"/>
      <c r="P647" s="33">
        <f t="shared" si="158"/>
        <v>0</v>
      </c>
      <c r="Q647" s="35" t="str" cm="1">
        <f t="array" ref="Q647">IF(AF647&lt;&gt;"",IFERROR(INDEX('Group List B'!B:B,MATCH(AI647,'Group List B'!A:A,0),0),"-"),"")</f>
        <v/>
      </c>
      <c r="R647" s="36">
        <f t="shared" si="159"/>
        <v>0</v>
      </c>
      <c r="S647" s="36">
        <f t="shared" si="160"/>
        <v>0</v>
      </c>
      <c r="T647" s="36">
        <f t="shared" si="161"/>
        <v>0</v>
      </c>
      <c r="U647" s="28"/>
      <c r="V647" s="37">
        <f t="shared" si="162"/>
        <v>0</v>
      </c>
      <c r="W647" s="41"/>
      <c r="X647" s="27"/>
      <c r="Y647" s="27"/>
      <c r="Z647" s="27"/>
      <c r="AA647" s="15"/>
      <c r="AB647" s="17"/>
      <c r="AC647" s="17"/>
      <c r="AD647" s="17"/>
      <c r="AE647" s="90"/>
      <c r="AF647" s="82" t="str">
        <f t="shared" si="163"/>
        <v/>
      </c>
      <c r="AG647" s="83" t="str">
        <f t="shared" si="164"/>
        <v/>
      </c>
      <c r="AH647" s="82" t="str">
        <f t="shared" si="165"/>
        <v/>
      </c>
      <c r="AI647" s="82" t="str">
        <f t="shared" si="166"/>
        <v/>
      </c>
      <c r="AJ647" s="90"/>
      <c r="AP647" s="88"/>
    </row>
    <row r="648" spans="1:42" x14ac:dyDescent="0.25">
      <c r="A648" s="2"/>
      <c r="C648" s="68" t="str" cm="1">
        <f t="array" ref="C648">IF(AF648&lt;&gt;"",
IFERROR(INDEX('LaunchPad Markbook'!A:A,MATCH(AH648,'LaunchPad Markbook'!D:D,0),0),"-"),"")</f>
        <v/>
      </c>
      <c r="D648" s="27"/>
      <c r="E648" s="27"/>
      <c r="F648" s="27"/>
      <c r="G648" s="14">
        <f>IF(OR(H648&gt;AB$2,I648&gt;AC$2,J648&gt;AD$2,
P648&gt;1,V648&gt;1,
L648&gt;'Group List A'!E$2,M648&gt;'Group List A'!F$2,N648&gt;'Group List A'!G$2,
R648&gt;'Group List B'!E$2,S648&gt;'Group List B'!F$2,T648&gt;'Group List B'!G$2),"Exceed",
IF(OR(H648=AB$2,I648=AC$2,J648=AD$2,
P648=1,V648=1,
L648='Group List A'!E$2,M648='Group List A'!F$2,N648='Group List A'!G$2,
R648='Group List B'!E$2,S648='Group List B'!F$2,T648='Group List B'!G$2),"Limit",0))</f>
        <v>0</v>
      </c>
      <c r="H648" s="29">
        <f t="shared" si="152"/>
        <v>0</v>
      </c>
      <c r="I648" s="29">
        <f t="shared" si="153"/>
        <v>0</v>
      </c>
      <c r="J648" s="29">
        <f t="shared" si="154"/>
        <v>0</v>
      </c>
      <c r="K648" s="32" t="str" cm="1">
        <f t="array" ref="K648">IF(AF648&lt;&gt;"",IFERROR(INDEX('Group List A'!B:B,MATCH(AI648,'Group List A'!A:A,0),0),"-"),"")</f>
        <v/>
      </c>
      <c r="L648" s="33">
        <f t="shared" si="155"/>
        <v>0</v>
      </c>
      <c r="M648" s="33">
        <f t="shared" si="156"/>
        <v>0</v>
      </c>
      <c r="N648" s="33">
        <f t="shared" si="157"/>
        <v>0</v>
      </c>
      <c r="O648" s="28"/>
      <c r="P648" s="33">
        <f t="shared" si="158"/>
        <v>0</v>
      </c>
      <c r="Q648" s="35" t="str" cm="1">
        <f t="array" ref="Q648">IF(AF648&lt;&gt;"",IFERROR(INDEX('Group List B'!B:B,MATCH(AI648,'Group List B'!A:A,0),0),"-"),"")</f>
        <v/>
      </c>
      <c r="R648" s="36">
        <f t="shared" si="159"/>
        <v>0</v>
      </c>
      <c r="S648" s="36">
        <f t="shared" si="160"/>
        <v>0</v>
      </c>
      <c r="T648" s="36">
        <f t="shared" si="161"/>
        <v>0</v>
      </c>
      <c r="U648" s="28"/>
      <c r="V648" s="37">
        <f t="shared" si="162"/>
        <v>0</v>
      </c>
      <c r="W648" s="41"/>
      <c r="X648" s="27"/>
      <c r="Y648" s="27"/>
      <c r="Z648" s="27"/>
      <c r="AA648" s="15"/>
      <c r="AB648" s="17"/>
      <c r="AC648" s="17"/>
      <c r="AD648" s="17"/>
      <c r="AE648" s="90"/>
      <c r="AF648" s="82" t="str">
        <f t="shared" si="163"/>
        <v/>
      </c>
      <c r="AG648" s="83" t="str">
        <f t="shared" si="164"/>
        <v/>
      </c>
      <c r="AH648" s="82" t="str">
        <f t="shared" si="165"/>
        <v/>
      </c>
      <c r="AI648" s="82" t="str">
        <f t="shared" si="166"/>
        <v/>
      </c>
      <c r="AJ648" s="90"/>
      <c r="AP648" s="88"/>
    </row>
    <row r="649" spans="1:42" x14ac:dyDescent="0.25">
      <c r="A649" s="2"/>
      <c r="C649" s="68" t="str" cm="1">
        <f t="array" ref="C649">IF(AF649&lt;&gt;"",
IFERROR(INDEX('LaunchPad Markbook'!A:A,MATCH(AH649,'LaunchPad Markbook'!D:D,0),0),"-"),"")</f>
        <v/>
      </c>
      <c r="D649" s="27"/>
      <c r="E649" s="27"/>
      <c r="F649" s="27"/>
      <c r="G649" s="14">
        <f>IF(OR(H649&gt;AB$2,I649&gt;AC$2,J649&gt;AD$2,
P649&gt;1,V649&gt;1,
L649&gt;'Group List A'!E$2,M649&gt;'Group List A'!F$2,N649&gt;'Group List A'!G$2,
R649&gt;'Group List B'!E$2,S649&gt;'Group List B'!F$2,T649&gt;'Group List B'!G$2),"Exceed",
IF(OR(H649=AB$2,I649=AC$2,J649=AD$2,
P649=1,V649=1,
L649='Group List A'!E$2,M649='Group List A'!F$2,N649='Group List A'!G$2,
R649='Group List B'!E$2,S649='Group List B'!F$2,T649='Group List B'!G$2),"Limit",0))</f>
        <v>0</v>
      </c>
      <c r="H649" s="29">
        <f t="shared" si="152"/>
        <v>0</v>
      </c>
      <c r="I649" s="29">
        <f t="shared" si="153"/>
        <v>0</v>
      </c>
      <c r="J649" s="29">
        <f t="shared" si="154"/>
        <v>0</v>
      </c>
      <c r="K649" s="32" t="str" cm="1">
        <f t="array" ref="K649">IF(AF649&lt;&gt;"",IFERROR(INDEX('Group List A'!B:B,MATCH(AI649,'Group List A'!A:A,0),0),"-"),"")</f>
        <v/>
      </c>
      <c r="L649" s="33">
        <f t="shared" si="155"/>
        <v>0</v>
      </c>
      <c r="M649" s="33">
        <f t="shared" si="156"/>
        <v>0</v>
      </c>
      <c r="N649" s="33">
        <f t="shared" si="157"/>
        <v>0</v>
      </c>
      <c r="O649" s="28"/>
      <c r="P649" s="33">
        <f t="shared" si="158"/>
        <v>0</v>
      </c>
      <c r="Q649" s="35" t="str" cm="1">
        <f t="array" ref="Q649">IF(AF649&lt;&gt;"",IFERROR(INDEX('Group List B'!B:B,MATCH(AI649,'Group List B'!A:A,0),0),"-"),"")</f>
        <v/>
      </c>
      <c r="R649" s="36">
        <f t="shared" si="159"/>
        <v>0</v>
      </c>
      <c r="S649" s="36">
        <f t="shared" si="160"/>
        <v>0</v>
      </c>
      <c r="T649" s="36">
        <f t="shared" si="161"/>
        <v>0</v>
      </c>
      <c r="U649" s="28"/>
      <c r="V649" s="37">
        <f t="shared" si="162"/>
        <v>0</v>
      </c>
      <c r="W649" s="41"/>
      <c r="X649" s="27"/>
      <c r="Y649" s="27"/>
      <c r="Z649" s="27"/>
      <c r="AA649" s="15"/>
      <c r="AB649" s="17"/>
      <c r="AC649" s="17"/>
      <c r="AD649" s="17"/>
      <c r="AE649" s="90"/>
      <c r="AF649" s="82" t="str">
        <f t="shared" si="163"/>
        <v/>
      </c>
      <c r="AG649" s="83" t="str">
        <f t="shared" si="164"/>
        <v/>
      </c>
      <c r="AH649" s="82" t="str">
        <f t="shared" si="165"/>
        <v/>
      </c>
      <c r="AI649" s="82" t="str">
        <f t="shared" si="166"/>
        <v/>
      </c>
      <c r="AJ649" s="90"/>
      <c r="AP649" s="88"/>
    </row>
    <row r="650" spans="1:42" x14ac:dyDescent="0.25">
      <c r="A650" s="2"/>
      <c r="C650" s="68" t="str" cm="1">
        <f t="array" ref="C650">IF(AF650&lt;&gt;"",
IFERROR(INDEX('LaunchPad Markbook'!A:A,MATCH(AH650,'LaunchPad Markbook'!D:D,0),0),"-"),"")</f>
        <v/>
      </c>
      <c r="D650" s="27"/>
      <c r="E650" s="27"/>
      <c r="F650" s="27"/>
      <c r="G650" s="14">
        <f>IF(OR(H650&gt;AB$2,I650&gt;AC$2,J650&gt;AD$2,
P650&gt;1,V650&gt;1,
L650&gt;'Group List A'!E$2,M650&gt;'Group List A'!F$2,N650&gt;'Group List A'!G$2,
R650&gt;'Group List B'!E$2,S650&gt;'Group List B'!F$2,T650&gt;'Group List B'!G$2),"Exceed",
IF(OR(H650=AB$2,I650=AC$2,J650=AD$2,
P650=1,V650=1,
L650='Group List A'!E$2,M650='Group List A'!F$2,N650='Group List A'!G$2,
R650='Group List B'!E$2,S650='Group List B'!F$2,T650='Group List B'!G$2),"Limit",0))</f>
        <v>0</v>
      </c>
      <c r="H650" s="29">
        <f t="shared" si="152"/>
        <v>0</v>
      </c>
      <c r="I650" s="29">
        <f t="shared" si="153"/>
        <v>0</v>
      </c>
      <c r="J650" s="29">
        <f t="shared" si="154"/>
        <v>0</v>
      </c>
      <c r="K650" s="32" t="str" cm="1">
        <f t="array" ref="K650">IF(AF650&lt;&gt;"",IFERROR(INDEX('Group List A'!B:B,MATCH(AI650,'Group List A'!A:A,0),0),"-"),"")</f>
        <v/>
      </c>
      <c r="L650" s="33">
        <f t="shared" si="155"/>
        <v>0</v>
      </c>
      <c r="M650" s="33">
        <f t="shared" si="156"/>
        <v>0</v>
      </c>
      <c r="N650" s="33">
        <f t="shared" si="157"/>
        <v>0</v>
      </c>
      <c r="O650" s="28"/>
      <c r="P650" s="33">
        <f t="shared" si="158"/>
        <v>0</v>
      </c>
      <c r="Q650" s="35" t="str" cm="1">
        <f t="array" ref="Q650">IF(AF650&lt;&gt;"",IFERROR(INDEX('Group List B'!B:B,MATCH(AI650,'Group List B'!A:A,0),0),"-"),"")</f>
        <v/>
      </c>
      <c r="R650" s="36">
        <f t="shared" si="159"/>
        <v>0</v>
      </c>
      <c r="S650" s="36">
        <f t="shared" si="160"/>
        <v>0</v>
      </c>
      <c r="T650" s="36">
        <f t="shared" si="161"/>
        <v>0</v>
      </c>
      <c r="U650" s="28"/>
      <c r="V650" s="37">
        <f t="shared" si="162"/>
        <v>0</v>
      </c>
      <c r="W650" s="41"/>
      <c r="X650" s="27"/>
      <c r="Y650" s="27"/>
      <c r="Z650" s="27"/>
      <c r="AA650" s="15"/>
      <c r="AB650" s="17"/>
      <c r="AC650" s="17"/>
      <c r="AD650" s="17"/>
      <c r="AE650" s="90"/>
      <c r="AF650" s="82" t="str">
        <f t="shared" si="163"/>
        <v/>
      </c>
      <c r="AG650" s="83" t="str">
        <f t="shared" si="164"/>
        <v/>
      </c>
      <c r="AH650" s="82" t="str">
        <f t="shared" si="165"/>
        <v/>
      </c>
      <c r="AI650" s="82" t="str">
        <f t="shared" si="166"/>
        <v/>
      </c>
      <c r="AJ650" s="90"/>
      <c r="AP650" s="88"/>
    </row>
    <row r="651" spans="1:42" x14ac:dyDescent="0.25">
      <c r="A651" s="2"/>
      <c r="C651" s="68" t="str" cm="1">
        <f t="array" ref="C651">IF(AF651&lt;&gt;"",
IFERROR(INDEX('LaunchPad Markbook'!A:A,MATCH(AH651,'LaunchPad Markbook'!D:D,0),0),"-"),"")</f>
        <v/>
      </c>
      <c r="D651" s="27"/>
      <c r="E651" s="27"/>
      <c r="F651" s="27"/>
      <c r="G651" s="14">
        <f>IF(OR(H651&gt;AB$2,I651&gt;AC$2,J651&gt;AD$2,
P651&gt;1,V651&gt;1,
L651&gt;'Group List A'!E$2,M651&gt;'Group List A'!F$2,N651&gt;'Group List A'!G$2,
R651&gt;'Group List B'!E$2,S651&gt;'Group List B'!F$2,T651&gt;'Group List B'!G$2),"Exceed",
IF(OR(H651=AB$2,I651=AC$2,J651=AD$2,
P651=1,V651=1,
L651='Group List A'!E$2,M651='Group List A'!F$2,N651='Group List A'!G$2,
R651='Group List B'!E$2,S651='Group List B'!F$2,T651='Group List B'!G$2),"Limit",0))</f>
        <v>0</v>
      </c>
      <c r="H651" s="29">
        <f t="shared" si="152"/>
        <v>0</v>
      </c>
      <c r="I651" s="29">
        <f t="shared" si="153"/>
        <v>0</v>
      </c>
      <c r="J651" s="29">
        <f t="shared" si="154"/>
        <v>0</v>
      </c>
      <c r="K651" s="32" t="str" cm="1">
        <f t="array" ref="K651">IF(AF651&lt;&gt;"",IFERROR(INDEX('Group List A'!B:B,MATCH(AI651,'Group List A'!A:A,0),0),"-"),"")</f>
        <v/>
      </c>
      <c r="L651" s="33">
        <f t="shared" si="155"/>
        <v>0</v>
      </c>
      <c r="M651" s="33">
        <f t="shared" si="156"/>
        <v>0</v>
      </c>
      <c r="N651" s="33">
        <f t="shared" si="157"/>
        <v>0</v>
      </c>
      <c r="O651" s="28"/>
      <c r="P651" s="33">
        <f t="shared" si="158"/>
        <v>0</v>
      </c>
      <c r="Q651" s="35" t="str" cm="1">
        <f t="array" ref="Q651">IF(AF651&lt;&gt;"",IFERROR(INDEX('Group List B'!B:B,MATCH(AI651,'Group List B'!A:A,0),0),"-"),"")</f>
        <v/>
      </c>
      <c r="R651" s="36">
        <f t="shared" si="159"/>
        <v>0</v>
      </c>
      <c r="S651" s="36">
        <f t="shared" si="160"/>
        <v>0</v>
      </c>
      <c r="T651" s="36">
        <f t="shared" si="161"/>
        <v>0</v>
      </c>
      <c r="U651" s="28"/>
      <c r="V651" s="37">
        <f t="shared" si="162"/>
        <v>0</v>
      </c>
      <c r="W651" s="41"/>
      <c r="X651" s="27"/>
      <c r="Y651" s="27"/>
      <c r="Z651" s="27"/>
      <c r="AA651" s="15"/>
      <c r="AB651" s="17"/>
      <c r="AC651" s="17"/>
      <c r="AD651" s="17"/>
      <c r="AE651" s="90"/>
      <c r="AF651" s="82" t="str">
        <f t="shared" si="163"/>
        <v/>
      </c>
      <c r="AG651" s="83" t="str">
        <f t="shared" si="164"/>
        <v/>
      </c>
      <c r="AH651" s="82" t="str">
        <f t="shared" si="165"/>
        <v/>
      </c>
      <c r="AI651" s="82" t="str">
        <f t="shared" si="166"/>
        <v/>
      </c>
      <c r="AJ651" s="90"/>
      <c r="AP651" s="88"/>
    </row>
    <row r="652" spans="1:42" x14ac:dyDescent="0.25">
      <c r="A652" s="2"/>
      <c r="C652" s="68" t="str" cm="1">
        <f t="array" ref="C652">IF(AF652&lt;&gt;"",
IFERROR(INDEX('LaunchPad Markbook'!A:A,MATCH(AH652,'LaunchPad Markbook'!D:D,0),0),"-"),"")</f>
        <v/>
      </c>
      <c r="D652" s="27"/>
      <c r="E652" s="27"/>
      <c r="F652" s="27"/>
      <c r="G652" s="14">
        <f>IF(OR(H652&gt;AB$2,I652&gt;AC$2,J652&gt;AD$2,
P652&gt;1,V652&gt;1,
L652&gt;'Group List A'!E$2,M652&gt;'Group List A'!F$2,N652&gt;'Group List A'!G$2,
R652&gt;'Group List B'!E$2,S652&gt;'Group List B'!F$2,T652&gt;'Group List B'!G$2),"Exceed",
IF(OR(H652=AB$2,I652=AC$2,J652=AD$2,
P652=1,V652=1,
L652='Group List A'!E$2,M652='Group List A'!F$2,N652='Group List A'!G$2,
R652='Group List B'!E$2,S652='Group List B'!F$2,T652='Group List B'!G$2),"Limit",0))</f>
        <v>0</v>
      </c>
      <c r="H652" s="29">
        <f t="shared" si="152"/>
        <v>0</v>
      </c>
      <c r="I652" s="29">
        <f t="shared" si="153"/>
        <v>0</v>
      </c>
      <c r="J652" s="29">
        <f t="shared" si="154"/>
        <v>0</v>
      </c>
      <c r="K652" s="32" t="str" cm="1">
        <f t="array" ref="K652">IF(AF652&lt;&gt;"",IFERROR(INDEX('Group List A'!B:B,MATCH(AI652,'Group List A'!A:A,0),0),"-"),"")</f>
        <v/>
      </c>
      <c r="L652" s="33">
        <f t="shared" si="155"/>
        <v>0</v>
      </c>
      <c r="M652" s="33">
        <f t="shared" si="156"/>
        <v>0</v>
      </c>
      <c r="N652" s="33">
        <f t="shared" si="157"/>
        <v>0</v>
      </c>
      <c r="O652" s="28"/>
      <c r="P652" s="33">
        <f t="shared" si="158"/>
        <v>0</v>
      </c>
      <c r="Q652" s="35" t="str" cm="1">
        <f t="array" ref="Q652">IF(AF652&lt;&gt;"",IFERROR(INDEX('Group List B'!B:B,MATCH(AI652,'Group List B'!A:A,0),0),"-"),"")</f>
        <v/>
      </c>
      <c r="R652" s="36">
        <f t="shared" si="159"/>
        <v>0</v>
      </c>
      <c r="S652" s="36">
        <f t="shared" si="160"/>
        <v>0</v>
      </c>
      <c r="T652" s="36">
        <f t="shared" si="161"/>
        <v>0</v>
      </c>
      <c r="U652" s="28"/>
      <c r="V652" s="37">
        <f t="shared" si="162"/>
        <v>0</v>
      </c>
      <c r="W652" s="41"/>
      <c r="X652" s="27"/>
      <c r="Y652" s="27"/>
      <c r="Z652" s="27"/>
      <c r="AA652" s="15"/>
      <c r="AB652" s="17"/>
      <c r="AC652" s="17"/>
      <c r="AD652" s="17"/>
      <c r="AE652" s="90"/>
      <c r="AF652" s="82" t="str">
        <f t="shared" si="163"/>
        <v/>
      </c>
      <c r="AG652" s="83" t="str">
        <f t="shared" si="164"/>
        <v/>
      </c>
      <c r="AH652" s="82" t="str">
        <f t="shared" si="165"/>
        <v/>
      </c>
      <c r="AI652" s="82" t="str">
        <f t="shared" si="166"/>
        <v/>
      </c>
      <c r="AJ652" s="90"/>
      <c r="AP652" s="88"/>
    </row>
    <row r="653" spans="1:42" x14ac:dyDescent="0.25">
      <c r="A653" s="2"/>
      <c r="C653" s="68" t="str" cm="1">
        <f t="array" ref="C653">IF(AF653&lt;&gt;"",
IFERROR(INDEX('LaunchPad Markbook'!A:A,MATCH(AH653,'LaunchPad Markbook'!D:D,0),0),"-"),"")</f>
        <v/>
      </c>
      <c r="D653" s="27"/>
      <c r="E653" s="27"/>
      <c r="F653" s="27"/>
      <c r="G653" s="14">
        <f>IF(OR(H653&gt;AB$2,I653&gt;AC$2,J653&gt;AD$2,
P653&gt;1,V653&gt;1,
L653&gt;'Group List A'!E$2,M653&gt;'Group List A'!F$2,N653&gt;'Group List A'!G$2,
R653&gt;'Group List B'!E$2,S653&gt;'Group List B'!F$2,T653&gt;'Group List B'!G$2),"Exceed",
IF(OR(H653=AB$2,I653=AC$2,J653=AD$2,
P653=1,V653=1,
L653='Group List A'!E$2,M653='Group List A'!F$2,N653='Group List A'!G$2,
R653='Group List B'!E$2,S653='Group List B'!F$2,T653='Group List B'!G$2),"Limit",0))</f>
        <v>0</v>
      </c>
      <c r="H653" s="29">
        <f t="shared" si="152"/>
        <v>0</v>
      </c>
      <c r="I653" s="29">
        <f t="shared" si="153"/>
        <v>0</v>
      </c>
      <c r="J653" s="29">
        <f t="shared" si="154"/>
        <v>0</v>
      </c>
      <c r="K653" s="32" t="str" cm="1">
        <f t="array" ref="K653">IF(AF653&lt;&gt;"",IFERROR(INDEX('Group List A'!B:B,MATCH(AI653,'Group List A'!A:A,0),0),"-"),"")</f>
        <v/>
      </c>
      <c r="L653" s="33">
        <f t="shared" si="155"/>
        <v>0</v>
      </c>
      <c r="M653" s="33">
        <f t="shared" si="156"/>
        <v>0</v>
      </c>
      <c r="N653" s="33">
        <f t="shared" si="157"/>
        <v>0</v>
      </c>
      <c r="O653" s="28"/>
      <c r="P653" s="33">
        <f t="shared" si="158"/>
        <v>0</v>
      </c>
      <c r="Q653" s="35" t="str" cm="1">
        <f t="array" ref="Q653">IF(AF653&lt;&gt;"",IFERROR(INDEX('Group List B'!B:B,MATCH(AI653,'Group List B'!A:A,0),0),"-"),"")</f>
        <v/>
      </c>
      <c r="R653" s="36">
        <f t="shared" si="159"/>
        <v>0</v>
      </c>
      <c r="S653" s="36">
        <f t="shared" si="160"/>
        <v>0</v>
      </c>
      <c r="T653" s="36">
        <f t="shared" si="161"/>
        <v>0</v>
      </c>
      <c r="U653" s="28"/>
      <c r="V653" s="37">
        <f t="shared" si="162"/>
        <v>0</v>
      </c>
      <c r="W653" s="41"/>
      <c r="X653" s="27"/>
      <c r="Y653" s="27"/>
      <c r="Z653" s="27"/>
      <c r="AA653" s="15"/>
      <c r="AB653" s="17"/>
      <c r="AC653" s="17"/>
      <c r="AD653" s="17"/>
      <c r="AE653" s="90"/>
      <c r="AF653" s="82" t="str">
        <f t="shared" si="163"/>
        <v/>
      </c>
      <c r="AG653" s="83" t="str">
        <f t="shared" si="164"/>
        <v/>
      </c>
      <c r="AH653" s="82" t="str">
        <f t="shared" si="165"/>
        <v/>
      </c>
      <c r="AI653" s="82" t="str">
        <f t="shared" si="166"/>
        <v/>
      </c>
      <c r="AJ653" s="90"/>
      <c r="AP653" s="88"/>
    </row>
    <row r="654" spans="1:42" x14ac:dyDescent="0.25">
      <c r="A654" s="2"/>
      <c r="C654" s="68" t="str" cm="1">
        <f t="array" ref="C654">IF(AF654&lt;&gt;"",
IFERROR(INDEX('LaunchPad Markbook'!A:A,MATCH(AH654,'LaunchPad Markbook'!D:D,0),0),"-"),"")</f>
        <v/>
      </c>
      <c r="D654" s="27"/>
      <c r="E654" s="27"/>
      <c r="F654" s="27"/>
      <c r="G654" s="14">
        <f>IF(OR(H654&gt;AB$2,I654&gt;AC$2,J654&gt;AD$2,
P654&gt;1,V654&gt;1,
L654&gt;'Group List A'!E$2,M654&gt;'Group List A'!F$2,N654&gt;'Group List A'!G$2,
R654&gt;'Group List B'!E$2,S654&gt;'Group List B'!F$2,T654&gt;'Group List B'!G$2),"Exceed",
IF(OR(H654=AB$2,I654=AC$2,J654=AD$2,
P654=1,V654=1,
L654='Group List A'!E$2,M654='Group List A'!F$2,N654='Group List A'!G$2,
R654='Group List B'!E$2,S654='Group List B'!F$2,T654='Group List B'!G$2),"Limit",0))</f>
        <v>0</v>
      </c>
      <c r="H654" s="29">
        <f t="shared" si="152"/>
        <v>0</v>
      </c>
      <c r="I654" s="29">
        <f t="shared" si="153"/>
        <v>0</v>
      </c>
      <c r="J654" s="29">
        <f t="shared" si="154"/>
        <v>0</v>
      </c>
      <c r="K654" s="32" t="str" cm="1">
        <f t="array" ref="K654">IF(AF654&lt;&gt;"",IFERROR(INDEX('Group List A'!B:B,MATCH(AI654,'Group List A'!A:A,0),0),"-"),"")</f>
        <v/>
      </c>
      <c r="L654" s="33">
        <f t="shared" si="155"/>
        <v>0</v>
      </c>
      <c r="M654" s="33">
        <f t="shared" si="156"/>
        <v>0</v>
      </c>
      <c r="N654" s="33">
        <f t="shared" si="157"/>
        <v>0</v>
      </c>
      <c r="O654" s="28"/>
      <c r="P654" s="33">
        <f t="shared" si="158"/>
        <v>0</v>
      </c>
      <c r="Q654" s="35" t="str" cm="1">
        <f t="array" ref="Q654">IF(AF654&lt;&gt;"",IFERROR(INDEX('Group List B'!B:B,MATCH(AI654,'Group List B'!A:A,0),0),"-"),"")</f>
        <v/>
      </c>
      <c r="R654" s="36">
        <f t="shared" si="159"/>
        <v>0</v>
      </c>
      <c r="S654" s="36">
        <f t="shared" si="160"/>
        <v>0</v>
      </c>
      <c r="T654" s="36">
        <f t="shared" si="161"/>
        <v>0</v>
      </c>
      <c r="U654" s="28"/>
      <c r="V654" s="37">
        <f t="shared" si="162"/>
        <v>0</v>
      </c>
      <c r="W654" s="41"/>
      <c r="X654" s="27"/>
      <c r="Y654" s="27"/>
      <c r="Z654" s="27"/>
      <c r="AA654" s="15"/>
      <c r="AB654" s="17"/>
      <c r="AC654" s="17"/>
      <c r="AD654" s="17"/>
      <c r="AE654" s="90"/>
      <c r="AF654" s="82" t="str">
        <f t="shared" si="163"/>
        <v/>
      </c>
      <c r="AG654" s="83" t="str">
        <f t="shared" si="164"/>
        <v/>
      </c>
      <c r="AH654" s="82" t="str">
        <f t="shared" si="165"/>
        <v/>
      </c>
      <c r="AI654" s="82" t="str">
        <f t="shared" si="166"/>
        <v/>
      </c>
      <c r="AJ654" s="90"/>
      <c r="AP654" s="88"/>
    </row>
    <row r="655" spans="1:42" x14ac:dyDescent="0.25">
      <c r="A655" s="2"/>
      <c r="C655" s="68" t="str" cm="1">
        <f t="array" ref="C655">IF(AF655&lt;&gt;"",
IFERROR(INDEX('LaunchPad Markbook'!A:A,MATCH(AH655,'LaunchPad Markbook'!D:D,0),0),"-"),"")</f>
        <v/>
      </c>
      <c r="D655" s="27"/>
      <c r="E655" s="27"/>
      <c r="F655" s="27"/>
      <c r="G655" s="14">
        <f>IF(OR(H655&gt;AB$2,I655&gt;AC$2,J655&gt;AD$2,
P655&gt;1,V655&gt;1,
L655&gt;'Group List A'!E$2,M655&gt;'Group List A'!F$2,N655&gt;'Group List A'!G$2,
R655&gt;'Group List B'!E$2,S655&gt;'Group List B'!F$2,T655&gt;'Group List B'!G$2),"Exceed",
IF(OR(H655=AB$2,I655=AC$2,J655=AD$2,
P655=1,V655=1,
L655='Group List A'!E$2,M655='Group List A'!F$2,N655='Group List A'!G$2,
R655='Group List B'!E$2,S655='Group List B'!F$2,T655='Group List B'!G$2),"Limit",0))</f>
        <v>0</v>
      </c>
      <c r="H655" s="29">
        <f t="shared" si="152"/>
        <v>0</v>
      </c>
      <c r="I655" s="29">
        <f t="shared" si="153"/>
        <v>0</v>
      </c>
      <c r="J655" s="29">
        <f t="shared" si="154"/>
        <v>0</v>
      </c>
      <c r="K655" s="32" t="str" cm="1">
        <f t="array" ref="K655">IF(AF655&lt;&gt;"",IFERROR(INDEX('Group List A'!B:B,MATCH(AI655,'Group List A'!A:A,0),0),"-"),"")</f>
        <v/>
      </c>
      <c r="L655" s="33">
        <f t="shared" si="155"/>
        <v>0</v>
      </c>
      <c r="M655" s="33">
        <f t="shared" si="156"/>
        <v>0</v>
      </c>
      <c r="N655" s="33">
        <f t="shared" si="157"/>
        <v>0</v>
      </c>
      <c r="O655" s="28"/>
      <c r="P655" s="33">
        <f t="shared" si="158"/>
        <v>0</v>
      </c>
      <c r="Q655" s="35" t="str" cm="1">
        <f t="array" ref="Q655">IF(AF655&lt;&gt;"",IFERROR(INDEX('Group List B'!B:B,MATCH(AI655,'Group List B'!A:A,0),0),"-"),"")</f>
        <v/>
      </c>
      <c r="R655" s="36">
        <f t="shared" si="159"/>
        <v>0</v>
      </c>
      <c r="S655" s="36">
        <f t="shared" si="160"/>
        <v>0</v>
      </c>
      <c r="T655" s="36">
        <f t="shared" si="161"/>
        <v>0</v>
      </c>
      <c r="U655" s="28"/>
      <c r="V655" s="37">
        <f t="shared" si="162"/>
        <v>0</v>
      </c>
      <c r="W655" s="41"/>
      <c r="X655" s="27"/>
      <c r="Y655" s="27"/>
      <c r="Z655" s="27"/>
      <c r="AA655" s="15"/>
      <c r="AB655" s="17"/>
      <c r="AC655" s="17"/>
      <c r="AD655" s="17"/>
      <c r="AE655" s="90"/>
      <c r="AF655" s="82" t="str">
        <f t="shared" si="163"/>
        <v/>
      </c>
      <c r="AG655" s="83" t="str">
        <f t="shared" si="164"/>
        <v/>
      </c>
      <c r="AH655" s="82" t="str">
        <f t="shared" si="165"/>
        <v/>
      </c>
      <c r="AI655" s="82" t="str">
        <f t="shared" si="166"/>
        <v/>
      </c>
      <c r="AJ655" s="90"/>
      <c r="AP655" s="88"/>
    </row>
    <row r="656" spans="1:42" x14ac:dyDescent="0.25">
      <c r="A656" s="2"/>
      <c r="C656" s="68" t="str" cm="1">
        <f t="array" ref="C656">IF(AF656&lt;&gt;"",
IFERROR(INDEX('LaunchPad Markbook'!A:A,MATCH(AH656,'LaunchPad Markbook'!D:D,0),0),"-"),"")</f>
        <v/>
      </c>
      <c r="D656" s="27"/>
      <c r="E656" s="27"/>
      <c r="F656" s="27"/>
      <c r="G656" s="14">
        <f>IF(OR(H656&gt;AB$2,I656&gt;AC$2,J656&gt;AD$2,
P656&gt;1,V656&gt;1,
L656&gt;'Group List A'!E$2,M656&gt;'Group List A'!F$2,N656&gt;'Group List A'!G$2,
R656&gt;'Group List B'!E$2,S656&gt;'Group List B'!F$2,T656&gt;'Group List B'!G$2),"Exceed",
IF(OR(H656=AB$2,I656=AC$2,J656=AD$2,
P656=1,V656=1,
L656='Group List A'!E$2,M656='Group List A'!F$2,N656='Group List A'!G$2,
R656='Group List B'!E$2,S656='Group List B'!F$2,T656='Group List B'!G$2),"Limit",0))</f>
        <v>0</v>
      </c>
      <c r="H656" s="29">
        <f t="shared" si="152"/>
        <v>0</v>
      </c>
      <c r="I656" s="29">
        <f t="shared" si="153"/>
        <v>0</v>
      </c>
      <c r="J656" s="29">
        <f t="shared" si="154"/>
        <v>0</v>
      </c>
      <c r="K656" s="32" t="str" cm="1">
        <f t="array" ref="K656">IF(AF656&lt;&gt;"",IFERROR(INDEX('Group List A'!B:B,MATCH(AI656,'Group List A'!A:A,0),0),"-"),"")</f>
        <v/>
      </c>
      <c r="L656" s="33">
        <f t="shared" si="155"/>
        <v>0</v>
      </c>
      <c r="M656" s="33">
        <f t="shared" si="156"/>
        <v>0</v>
      </c>
      <c r="N656" s="33">
        <f t="shared" si="157"/>
        <v>0</v>
      </c>
      <c r="O656" s="28"/>
      <c r="P656" s="33">
        <f t="shared" si="158"/>
        <v>0</v>
      </c>
      <c r="Q656" s="35" t="str" cm="1">
        <f t="array" ref="Q656">IF(AF656&lt;&gt;"",IFERROR(INDEX('Group List B'!B:B,MATCH(AI656,'Group List B'!A:A,0),0),"-"),"")</f>
        <v/>
      </c>
      <c r="R656" s="36">
        <f t="shared" si="159"/>
        <v>0</v>
      </c>
      <c r="S656" s="36">
        <f t="shared" si="160"/>
        <v>0</v>
      </c>
      <c r="T656" s="36">
        <f t="shared" si="161"/>
        <v>0</v>
      </c>
      <c r="U656" s="28"/>
      <c r="V656" s="37">
        <f t="shared" si="162"/>
        <v>0</v>
      </c>
      <c r="W656" s="41"/>
      <c r="X656" s="27"/>
      <c r="Y656" s="27"/>
      <c r="Z656" s="27"/>
      <c r="AA656" s="15"/>
      <c r="AB656" s="17"/>
      <c r="AC656" s="17"/>
      <c r="AD656" s="17"/>
      <c r="AE656" s="90"/>
      <c r="AF656" s="82" t="str">
        <f t="shared" si="163"/>
        <v/>
      </c>
      <c r="AG656" s="83" t="str">
        <f t="shared" si="164"/>
        <v/>
      </c>
      <c r="AH656" s="82" t="str">
        <f t="shared" si="165"/>
        <v/>
      </c>
      <c r="AI656" s="82" t="str">
        <f t="shared" si="166"/>
        <v/>
      </c>
      <c r="AJ656" s="90"/>
      <c r="AP656" s="88"/>
    </row>
    <row r="657" spans="1:42" x14ac:dyDescent="0.25">
      <c r="A657" s="2"/>
      <c r="C657" s="68" t="str" cm="1">
        <f t="array" ref="C657">IF(AF657&lt;&gt;"",
IFERROR(INDEX('LaunchPad Markbook'!A:A,MATCH(AH657,'LaunchPad Markbook'!D:D,0),0),"-"),"")</f>
        <v/>
      </c>
      <c r="D657" s="27"/>
      <c r="E657" s="27"/>
      <c r="F657" s="27"/>
      <c r="G657" s="14">
        <f>IF(OR(H657&gt;AB$2,I657&gt;AC$2,J657&gt;AD$2,
P657&gt;1,V657&gt;1,
L657&gt;'Group List A'!E$2,M657&gt;'Group List A'!F$2,N657&gt;'Group List A'!G$2,
R657&gt;'Group List B'!E$2,S657&gt;'Group List B'!F$2,T657&gt;'Group List B'!G$2),"Exceed",
IF(OR(H657=AB$2,I657=AC$2,J657=AD$2,
P657=1,V657=1,
L657='Group List A'!E$2,M657='Group List A'!F$2,N657='Group List A'!G$2,
R657='Group List B'!E$2,S657='Group List B'!F$2,T657='Group List B'!G$2),"Limit",0))</f>
        <v>0</v>
      </c>
      <c r="H657" s="29">
        <f t="shared" si="152"/>
        <v>0</v>
      </c>
      <c r="I657" s="29">
        <f t="shared" si="153"/>
        <v>0</v>
      </c>
      <c r="J657" s="29">
        <f t="shared" si="154"/>
        <v>0</v>
      </c>
      <c r="K657" s="32" t="str" cm="1">
        <f t="array" ref="K657">IF(AF657&lt;&gt;"",IFERROR(INDEX('Group List A'!B:B,MATCH(AI657,'Group List A'!A:A,0),0),"-"),"")</f>
        <v/>
      </c>
      <c r="L657" s="33">
        <f t="shared" si="155"/>
        <v>0</v>
      </c>
      <c r="M657" s="33">
        <f t="shared" si="156"/>
        <v>0</v>
      </c>
      <c r="N657" s="33">
        <f t="shared" si="157"/>
        <v>0</v>
      </c>
      <c r="O657" s="28"/>
      <c r="P657" s="33">
        <f t="shared" si="158"/>
        <v>0</v>
      </c>
      <c r="Q657" s="35" t="str" cm="1">
        <f t="array" ref="Q657">IF(AF657&lt;&gt;"",IFERROR(INDEX('Group List B'!B:B,MATCH(AI657,'Group List B'!A:A,0),0),"-"),"")</f>
        <v/>
      </c>
      <c r="R657" s="36">
        <f t="shared" si="159"/>
        <v>0</v>
      </c>
      <c r="S657" s="36">
        <f t="shared" si="160"/>
        <v>0</v>
      </c>
      <c r="T657" s="36">
        <f t="shared" si="161"/>
        <v>0</v>
      </c>
      <c r="U657" s="28"/>
      <c r="V657" s="37">
        <f t="shared" si="162"/>
        <v>0</v>
      </c>
      <c r="W657" s="41"/>
      <c r="X657" s="27"/>
      <c r="Y657" s="27"/>
      <c r="Z657" s="27"/>
      <c r="AA657" s="15"/>
      <c r="AB657" s="17"/>
      <c r="AC657" s="17"/>
      <c r="AD657" s="17"/>
      <c r="AE657" s="90"/>
      <c r="AF657" s="82" t="str">
        <f t="shared" si="163"/>
        <v/>
      </c>
      <c r="AG657" s="83" t="str">
        <f t="shared" si="164"/>
        <v/>
      </c>
      <c r="AH657" s="82" t="str">
        <f t="shared" si="165"/>
        <v/>
      </c>
      <c r="AI657" s="82" t="str">
        <f t="shared" si="166"/>
        <v/>
      </c>
      <c r="AJ657" s="90"/>
      <c r="AP657" s="88"/>
    </row>
    <row r="658" spans="1:42" x14ac:dyDescent="0.25">
      <c r="A658" s="2"/>
      <c r="C658" s="68" t="str" cm="1">
        <f t="array" ref="C658">IF(AF658&lt;&gt;"",
IFERROR(INDEX('LaunchPad Markbook'!A:A,MATCH(AH658,'LaunchPad Markbook'!D:D,0),0),"-"),"")</f>
        <v/>
      </c>
      <c r="D658" s="27"/>
      <c r="E658" s="27"/>
      <c r="F658" s="27"/>
      <c r="G658" s="14">
        <f>IF(OR(H658&gt;AB$2,I658&gt;AC$2,J658&gt;AD$2,
P658&gt;1,V658&gt;1,
L658&gt;'Group List A'!E$2,M658&gt;'Group List A'!F$2,N658&gt;'Group List A'!G$2,
R658&gt;'Group List B'!E$2,S658&gt;'Group List B'!F$2,T658&gt;'Group List B'!G$2),"Exceed",
IF(OR(H658=AB$2,I658=AC$2,J658=AD$2,
P658=1,V658=1,
L658='Group List A'!E$2,M658='Group List A'!F$2,N658='Group List A'!G$2,
R658='Group List B'!E$2,S658='Group List B'!F$2,T658='Group List B'!G$2),"Limit",0))</f>
        <v>0</v>
      </c>
      <c r="H658" s="29">
        <f t="shared" si="152"/>
        <v>0</v>
      </c>
      <c r="I658" s="29">
        <f t="shared" si="153"/>
        <v>0</v>
      </c>
      <c r="J658" s="29">
        <f t="shared" si="154"/>
        <v>0</v>
      </c>
      <c r="K658" s="32" t="str" cm="1">
        <f t="array" ref="K658">IF(AF658&lt;&gt;"",IFERROR(INDEX('Group List A'!B:B,MATCH(AI658,'Group List A'!A:A,0),0),"-"),"")</f>
        <v/>
      </c>
      <c r="L658" s="33">
        <f t="shared" si="155"/>
        <v>0</v>
      </c>
      <c r="M658" s="33">
        <f t="shared" si="156"/>
        <v>0</v>
      </c>
      <c r="N658" s="33">
        <f t="shared" si="157"/>
        <v>0</v>
      </c>
      <c r="O658" s="28"/>
      <c r="P658" s="33">
        <f t="shared" si="158"/>
        <v>0</v>
      </c>
      <c r="Q658" s="35" t="str" cm="1">
        <f t="array" ref="Q658">IF(AF658&lt;&gt;"",IFERROR(INDEX('Group List B'!B:B,MATCH(AI658,'Group List B'!A:A,0),0),"-"),"")</f>
        <v/>
      </c>
      <c r="R658" s="36">
        <f t="shared" si="159"/>
        <v>0</v>
      </c>
      <c r="S658" s="36">
        <f t="shared" si="160"/>
        <v>0</v>
      </c>
      <c r="T658" s="36">
        <f t="shared" si="161"/>
        <v>0</v>
      </c>
      <c r="U658" s="28"/>
      <c r="V658" s="37">
        <f t="shared" si="162"/>
        <v>0</v>
      </c>
      <c r="W658" s="41"/>
      <c r="X658" s="27"/>
      <c r="Y658" s="27"/>
      <c r="Z658" s="27"/>
      <c r="AA658" s="15"/>
      <c r="AB658" s="17"/>
      <c r="AC658" s="17"/>
      <c r="AD658" s="17"/>
      <c r="AE658" s="90"/>
      <c r="AF658" s="82" t="str">
        <f t="shared" si="163"/>
        <v/>
      </c>
      <c r="AG658" s="83" t="str">
        <f t="shared" si="164"/>
        <v/>
      </c>
      <c r="AH658" s="82" t="str">
        <f t="shared" si="165"/>
        <v/>
      </c>
      <c r="AI658" s="82" t="str">
        <f t="shared" si="166"/>
        <v/>
      </c>
      <c r="AJ658" s="90"/>
      <c r="AP658" s="88"/>
    </row>
    <row r="659" spans="1:42" x14ac:dyDescent="0.25">
      <c r="A659" s="2"/>
      <c r="C659" s="68" t="str" cm="1">
        <f t="array" ref="C659">IF(AF659&lt;&gt;"",
IFERROR(INDEX('LaunchPad Markbook'!A:A,MATCH(AH659,'LaunchPad Markbook'!D:D,0),0),"-"),"")</f>
        <v/>
      </c>
      <c r="D659" s="27"/>
      <c r="E659" s="27"/>
      <c r="F659" s="27"/>
      <c r="G659" s="14">
        <f>IF(OR(H659&gt;AB$2,I659&gt;AC$2,J659&gt;AD$2,
P659&gt;1,V659&gt;1,
L659&gt;'Group List A'!E$2,M659&gt;'Group List A'!F$2,N659&gt;'Group List A'!G$2,
R659&gt;'Group List B'!E$2,S659&gt;'Group List B'!F$2,T659&gt;'Group List B'!G$2),"Exceed",
IF(OR(H659=AB$2,I659=AC$2,J659=AD$2,
P659=1,V659=1,
L659='Group List A'!E$2,M659='Group List A'!F$2,N659='Group List A'!G$2,
R659='Group List B'!E$2,S659='Group List B'!F$2,T659='Group List B'!G$2),"Limit",0))</f>
        <v>0</v>
      </c>
      <c r="H659" s="29">
        <f t="shared" si="152"/>
        <v>0</v>
      </c>
      <c r="I659" s="29">
        <f t="shared" si="153"/>
        <v>0</v>
      </c>
      <c r="J659" s="29">
        <f t="shared" si="154"/>
        <v>0</v>
      </c>
      <c r="K659" s="32" t="str" cm="1">
        <f t="array" ref="K659">IF(AF659&lt;&gt;"",IFERROR(INDEX('Group List A'!B:B,MATCH(AI659,'Group List A'!A:A,0),0),"-"),"")</f>
        <v/>
      </c>
      <c r="L659" s="33">
        <f t="shared" si="155"/>
        <v>0</v>
      </c>
      <c r="M659" s="33">
        <f t="shared" si="156"/>
        <v>0</v>
      </c>
      <c r="N659" s="33">
        <f t="shared" si="157"/>
        <v>0</v>
      </c>
      <c r="O659" s="28"/>
      <c r="P659" s="33">
        <f t="shared" si="158"/>
        <v>0</v>
      </c>
      <c r="Q659" s="35" t="str" cm="1">
        <f t="array" ref="Q659">IF(AF659&lt;&gt;"",IFERROR(INDEX('Group List B'!B:B,MATCH(AI659,'Group List B'!A:A,0),0),"-"),"")</f>
        <v/>
      </c>
      <c r="R659" s="36">
        <f t="shared" si="159"/>
        <v>0</v>
      </c>
      <c r="S659" s="36">
        <f t="shared" si="160"/>
        <v>0</v>
      </c>
      <c r="T659" s="36">
        <f t="shared" si="161"/>
        <v>0</v>
      </c>
      <c r="U659" s="28"/>
      <c r="V659" s="37">
        <f t="shared" si="162"/>
        <v>0</v>
      </c>
      <c r="W659" s="41"/>
      <c r="X659" s="27"/>
      <c r="Y659" s="27"/>
      <c r="Z659" s="27"/>
      <c r="AA659" s="15"/>
      <c r="AB659" s="17"/>
      <c r="AC659" s="17"/>
      <c r="AD659" s="17"/>
      <c r="AE659" s="90"/>
      <c r="AF659" s="82" t="str">
        <f t="shared" si="163"/>
        <v/>
      </c>
      <c r="AG659" s="83" t="str">
        <f t="shared" si="164"/>
        <v/>
      </c>
      <c r="AH659" s="82" t="str">
        <f t="shared" si="165"/>
        <v/>
      </c>
      <c r="AI659" s="82" t="str">
        <f t="shared" si="166"/>
        <v/>
      </c>
      <c r="AJ659" s="90"/>
      <c r="AP659" s="88"/>
    </row>
    <row r="660" spans="1:42" x14ac:dyDescent="0.25">
      <c r="A660" s="2"/>
      <c r="C660" s="68" t="str" cm="1">
        <f t="array" ref="C660">IF(AF660&lt;&gt;"",
IFERROR(INDEX('LaunchPad Markbook'!A:A,MATCH(AH660,'LaunchPad Markbook'!D:D,0),0),"-"),"")</f>
        <v/>
      </c>
      <c r="D660" s="27"/>
      <c r="E660" s="27"/>
      <c r="F660" s="27"/>
      <c r="G660" s="14">
        <f>IF(OR(H660&gt;AB$2,I660&gt;AC$2,J660&gt;AD$2,
P660&gt;1,V660&gt;1,
L660&gt;'Group List A'!E$2,M660&gt;'Group List A'!F$2,N660&gt;'Group List A'!G$2,
R660&gt;'Group List B'!E$2,S660&gt;'Group List B'!F$2,T660&gt;'Group List B'!G$2),"Exceed",
IF(OR(H660=AB$2,I660=AC$2,J660=AD$2,
P660=1,V660=1,
L660='Group List A'!E$2,M660='Group List A'!F$2,N660='Group List A'!G$2,
R660='Group List B'!E$2,S660='Group List B'!F$2,T660='Group List B'!G$2),"Limit",0))</f>
        <v>0</v>
      </c>
      <c r="H660" s="29">
        <f t="shared" si="152"/>
        <v>0</v>
      </c>
      <c r="I660" s="29">
        <f t="shared" si="153"/>
        <v>0</v>
      </c>
      <c r="J660" s="29">
        <f t="shared" si="154"/>
        <v>0</v>
      </c>
      <c r="K660" s="32" t="str" cm="1">
        <f t="array" ref="K660">IF(AF660&lt;&gt;"",IFERROR(INDEX('Group List A'!B:B,MATCH(AI660,'Group List A'!A:A,0),0),"-"),"")</f>
        <v/>
      </c>
      <c r="L660" s="33">
        <f t="shared" si="155"/>
        <v>0</v>
      </c>
      <c r="M660" s="33">
        <f t="shared" si="156"/>
        <v>0</v>
      </c>
      <c r="N660" s="33">
        <f t="shared" si="157"/>
        <v>0</v>
      </c>
      <c r="O660" s="28"/>
      <c r="P660" s="33">
        <f t="shared" si="158"/>
        <v>0</v>
      </c>
      <c r="Q660" s="35" t="str" cm="1">
        <f t="array" ref="Q660">IF(AF660&lt;&gt;"",IFERROR(INDEX('Group List B'!B:B,MATCH(AI660,'Group List B'!A:A,0),0),"-"),"")</f>
        <v/>
      </c>
      <c r="R660" s="36">
        <f t="shared" si="159"/>
        <v>0</v>
      </c>
      <c r="S660" s="36">
        <f t="shared" si="160"/>
        <v>0</v>
      </c>
      <c r="T660" s="36">
        <f t="shared" si="161"/>
        <v>0</v>
      </c>
      <c r="U660" s="28"/>
      <c r="V660" s="37">
        <f t="shared" si="162"/>
        <v>0</v>
      </c>
      <c r="W660" s="41"/>
      <c r="X660" s="27"/>
      <c r="Y660" s="27"/>
      <c r="Z660" s="27"/>
      <c r="AA660" s="15"/>
      <c r="AB660" s="17"/>
      <c r="AC660" s="17"/>
      <c r="AD660" s="17"/>
      <c r="AE660" s="90"/>
      <c r="AF660" s="82" t="str">
        <f t="shared" si="163"/>
        <v/>
      </c>
      <c r="AG660" s="83" t="str">
        <f t="shared" si="164"/>
        <v/>
      </c>
      <c r="AH660" s="82" t="str">
        <f t="shared" si="165"/>
        <v/>
      </c>
      <c r="AI660" s="82" t="str">
        <f t="shared" si="166"/>
        <v/>
      </c>
      <c r="AJ660" s="90"/>
      <c r="AP660" s="88"/>
    </row>
    <row r="661" spans="1:42" x14ac:dyDescent="0.25">
      <c r="A661" s="2"/>
      <c r="C661" s="68" t="str" cm="1">
        <f t="array" ref="C661">IF(AF661&lt;&gt;"",
IFERROR(INDEX('LaunchPad Markbook'!A:A,MATCH(AH661,'LaunchPad Markbook'!D:D,0),0),"-"),"")</f>
        <v/>
      </c>
      <c r="D661" s="27"/>
      <c r="E661" s="27"/>
      <c r="F661" s="27"/>
      <c r="G661" s="14">
        <f>IF(OR(H661&gt;AB$2,I661&gt;AC$2,J661&gt;AD$2,
P661&gt;1,V661&gt;1,
L661&gt;'Group List A'!E$2,M661&gt;'Group List A'!F$2,N661&gt;'Group List A'!G$2,
R661&gt;'Group List B'!E$2,S661&gt;'Group List B'!F$2,T661&gt;'Group List B'!G$2),"Exceed",
IF(OR(H661=AB$2,I661=AC$2,J661=AD$2,
P661=1,V661=1,
L661='Group List A'!E$2,M661='Group List A'!F$2,N661='Group List A'!G$2,
R661='Group List B'!E$2,S661='Group List B'!F$2,T661='Group List B'!G$2),"Limit",0))</f>
        <v>0</v>
      </c>
      <c r="H661" s="29">
        <f t="shared" si="152"/>
        <v>0</v>
      </c>
      <c r="I661" s="29">
        <f t="shared" si="153"/>
        <v>0</v>
      </c>
      <c r="J661" s="29">
        <f t="shared" si="154"/>
        <v>0</v>
      </c>
      <c r="K661" s="32" t="str" cm="1">
        <f t="array" ref="K661">IF(AF661&lt;&gt;"",IFERROR(INDEX('Group List A'!B:B,MATCH(AI661,'Group List A'!A:A,0),0),"-"),"")</f>
        <v/>
      </c>
      <c r="L661" s="33">
        <f t="shared" si="155"/>
        <v>0</v>
      </c>
      <c r="M661" s="33">
        <f t="shared" si="156"/>
        <v>0</v>
      </c>
      <c r="N661" s="33">
        <f t="shared" si="157"/>
        <v>0</v>
      </c>
      <c r="O661" s="28"/>
      <c r="P661" s="33">
        <f t="shared" si="158"/>
        <v>0</v>
      </c>
      <c r="Q661" s="35" t="str" cm="1">
        <f t="array" ref="Q661">IF(AF661&lt;&gt;"",IFERROR(INDEX('Group List B'!B:B,MATCH(AI661,'Group List B'!A:A,0),0),"-"),"")</f>
        <v/>
      </c>
      <c r="R661" s="36">
        <f t="shared" si="159"/>
        <v>0</v>
      </c>
      <c r="S661" s="36">
        <f t="shared" si="160"/>
        <v>0</v>
      </c>
      <c r="T661" s="36">
        <f t="shared" si="161"/>
        <v>0</v>
      </c>
      <c r="U661" s="28"/>
      <c r="V661" s="37">
        <f t="shared" si="162"/>
        <v>0</v>
      </c>
      <c r="W661" s="41"/>
      <c r="X661" s="27"/>
      <c r="Y661" s="27"/>
      <c r="Z661" s="27"/>
      <c r="AA661" s="15"/>
      <c r="AB661" s="17"/>
      <c r="AC661" s="17"/>
      <c r="AD661" s="17"/>
      <c r="AE661" s="90"/>
      <c r="AF661" s="82" t="str">
        <f t="shared" si="163"/>
        <v/>
      </c>
      <c r="AG661" s="83" t="str">
        <f t="shared" si="164"/>
        <v/>
      </c>
      <c r="AH661" s="82" t="str">
        <f t="shared" si="165"/>
        <v/>
      </c>
      <c r="AI661" s="82" t="str">
        <f t="shared" si="166"/>
        <v/>
      </c>
      <c r="AJ661" s="90"/>
      <c r="AP661" s="88"/>
    </row>
    <row r="662" spans="1:42" x14ac:dyDescent="0.25">
      <c r="A662" s="2"/>
      <c r="C662" s="68" t="str" cm="1">
        <f t="array" ref="C662">IF(AF662&lt;&gt;"",
IFERROR(INDEX('LaunchPad Markbook'!A:A,MATCH(AH662,'LaunchPad Markbook'!D:D,0),0),"-"),"")</f>
        <v/>
      </c>
      <c r="D662" s="27"/>
      <c r="E662" s="27"/>
      <c r="F662" s="27"/>
      <c r="G662" s="14">
        <f>IF(OR(H662&gt;AB$2,I662&gt;AC$2,J662&gt;AD$2,
P662&gt;1,V662&gt;1,
L662&gt;'Group List A'!E$2,M662&gt;'Group List A'!F$2,N662&gt;'Group List A'!G$2,
R662&gt;'Group List B'!E$2,S662&gt;'Group List B'!F$2,T662&gt;'Group List B'!G$2),"Exceed",
IF(OR(H662=AB$2,I662=AC$2,J662=AD$2,
P662=1,V662=1,
L662='Group List A'!E$2,M662='Group List A'!F$2,N662='Group List A'!G$2,
R662='Group List B'!E$2,S662='Group List B'!F$2,T662='Group List B'!G$2),"Limit",0))</f>
        <v>0</v>
      </c>
      <c r="H662" s="29">
        <f t="shared" si="152"/>
        <v>0</v>
      </c>
      <c r="I662" s="29">
        <f t="shared" si="153"/>
        <v>0</v>
      </c>
      <c r="J662" s="29">
        <f t="shared" si="154"/>
        <v>0</v>
      </c>
      <c r="K662" s="32" t="str" cm="1">
        <f t="array" ref="K662">IF(AF662&lt;&gt;"",IFERROR(INDEX('Group List A'!B:B,MATCH(AI662,'Group List A'!A:A,0),0),"-"),"")</f>
        <v/>
      </c>
      <c r="L662" s="33">
        <f t="shared" si="155"/>
        <v>0</v>
      </c>
      <c r="M662" s="33">
        <f t="shared" si="156"/>
        <v>0</v>
      </c>
      <c r="N662" s="33">
        <f t="shared" si="157"/>
        <v>0</v>
      </c>
      <c r="O662" s="28"/>
      <c r="P662" s="33">
        <f t="shared" si="158"/>
        <v>0</v>
      </c>
      <c r="Q662" s="35" t="str" cm="1">
        <f t="array" ref="Q662">IF(AF662&lt;&gt;"",IFERROR(INDEX('Group List B'!B:B,MATCH(AI662,'Group List B'!A:A,0),0),"-"),"")</f>
        <v/>
      </c>
      <c r="R662" s="36">
        <f t="shared" si="159"/>
        <v>0</v>
      </c>
      <c r="S662" s="36">
        <f t="shared" si="160"/>
        <v>0</v>
      </c>
      <c r="T662" s="36">
        <f t="shared" si="161"/>
        <v>0</v>
      </c>
      <c r="U662" s="28"/>
      <c r="V662" s="37">
        <f t="shared" si="162"/>
        <v>0</v>
      </c>
      <c r="W662" s="41"/>
      <c r="X662" s="27"/>
      <c r="Y662" s="27"/>
      <c r="Z662" s="27"/>
      <c r="AA662" s="15"/>
      <c r="AB662" s="17"/>
      <c r="AC662" s="17"/>
      <c r="AD662" s="17"/>
      <c r="AE662" s="90"/>
      <c r="AF662" s="82" t="str">
        <f t="shared" si="163"/>
        <v/>
      </c>
      <c r="AG662" s="83" t="str">
        <f t="shared" si="164"/>
        <v/>
      </c>
      <c r="AH662" s="82" t="str">
        <f t="shared" si="165"/>
        <v/>
      </c>
      <c r="AI662" s="82" t="str">
        <f t="shared" si="166"/>
        <v/>
      </c>
      <c r="AJ662" s="90"/>
      <c r="AP662" s="88"/>
    </row>
    <row r="663" spans="1:42" x14ac:dyDescent="0.25">
      <c r="A663" s="2"/>
      <c r="C663" s="68" t="str" cm="1">
        <f t="array" ref="C663">IF(AF663&lt;&gt;"",
IFERROR(INDEX('LaunchPad Markbook'!A:A,MATCH(AH663,'LaunchPad Markbook'!D:D,0),0),"-"),"")</f>
        <v/>
      </c>
      <c r="D663" s="27"/>
      <c r="E663" s="27"/>
      <c r="F663" s="27"/>
      <c r="G663" s="14">
        <f>IF(OR(H663&gt;AB$2,I663&gt;AC$2,J663&gt;AD$2,
P663&gt;1,V663&gt;1,
L663&gt;'Group List A'!E$2,M663&gt;'Group List A'!F$2,N663&gt;'Group List A'!G$2,
R663&gt;'Group List B'!E$2,S663&gt;'Group List B'!F$2,T663&gt;'Group List B'!G$2),"Exceed",
IF(OR(H663=AB$2,I663=AC$2,J663=AD$2,
P663=1,V663=1,
L663='Group List A'!E$2,M663='Group List A'!F$2,N663='Group List A'!G$2,
R663='Group List B'!E$2,S663='Group List B'!F$2,T663='Group List B'!G$2),"Limit",0))</f>
        <v>0</v>
      </c>
      <c r="H663" s="29">
        <f t="shared" si="152"/>
        <v>0</v>
      </c>
      <c r="I663" s="29">
        <f t="shared" si="153"/>
        <v>0</v>
      </c>
      <c r="J663" s="29">
        <f t="shared" si="154"/>
        <v>0</v>
      </c>
      <c r="K663" s="32" t="str" cm="1">
        <f t="array" ref="K663">IF(AF663&lt;&gt;"",IFERROR(INDEX('Group List A'!B:B,MATCH(AI663,'Group List A'!A:A,0),0),"-"),"")</f>
        <v/>
      </c>
      <c r="L663" s="33">
        <f t="shared" si="155"/>
        <v>0</v>
      </c>
      <c r="M663" s="33">
        <f t="shared" si="156"/>
        <v>0</v>
      </c>
      <c r="N663" s="33">
        <f t="shared" si="157"/>
        <v>0</v>
      </c>
      <c r="O663" s="28"/>
      <c r="P663" s="33">
        <f t="shared" si="158"/>
        <v>0</v>
      </c>
      <c r="Q663" s="35" t="str" cm="1">
        <f t="array" ref="Q663">IF(AF663&lt;&gt;"",IFERROR(INDEX('Group List B'!B:B,MATCH(AI663,'Group List B'!A:A,0),0),"-"),"")</f>
        <v/>
      </c>
      <c r="R663" s="36">
        <f t="shared" si="159"/>
        <v>0</v>
      </c>
      <c r="S663" s="36">
        <f t="shared" si="160"/>
        <v>0</v>
      </c>
      <c r="T663" s="36">
        <f t="shared" si="161"/>
        <v>0</v>
      </c>
      <c r="U663" s="28"/>
      <c r="V663" s="37">
        <f t="shared" si="162"/>
        <v>0</v>
      </c>
      <c r="W663" s="41"/>
      <c r="X663" s="27"/>
      <c r="Y663" s="27"/>
      <c r="Z663" s="27"/>
      <c r="AA663" s="15"/>
      <c r="AB663" s="17"/>
      <c r="AC663" s="17"/>
      <c r="AD663" s="17"/>
      <c r="AE663" s="90"/>
      <c r="AF663" s="82" t="str">
        <f t="shared" si="163"/>
        <v/>
      </c>
      <c r="AG663" s="83" t="str">
        <f t="shared" si="164"/>
        <v/>
      </c>
      <c r="AH663" s="82" t="str">
        <f t="shared" si="165"/>
        <v/>
      </c>
      <c r="AI663" s="82" t="str">
        <f t="shared" si="166"/>
        <v/>
      </c>
      <c r="AJ663" s="90"/>
      <c r="AP663" s="88"/>
    </row>
    <row r="664" spans="1:42" x14ac:dyDescent="0.25">
      <c r="A664" s="2"/>
      <c r="C664" s="68" t="str" cm="1">
        <f t="array" ref="C664">IF(AF664&lt;&gt;"",
IFERROR(INDEX('LaunchPad Markbook'!A:A,MATCH(AH664,'LaunchPad Markbook'!D:D,0),0),"-"),"")</f>
        <v/>
      </c>
      <c r="D664" s="27"/>
      <c r="E664" s="27"/>
      <c r="F664" s="27"/>
      <c r="G664" s="14">
        <f>IF(OR(H664&gt;AB$2,I664&gt;AC$2,J664&gt;AD$2,
P664&gt;1,V664&gt;1,
L664&gt;'Group List A'!E$2,M664&gt;'Group List A'!F$2,N664&gt;'Group List A'!G$2,
R664&gt;'Group List B'!E$2,S664&gt;'Group List B'!F$2,T664&gt;'Group List B'!G$2),"Exceed",
IF(OR(H664=AB$2,I664=AC$2,J664=AD$2,
P664=1,V664=1,
L664='Group List A'!E$2,M664='Group List A'!F$2,N664='Group List A'!G$2,
R664='Group List B'!E$2,S664='Group List B'!F$2,T664='Group List B'!G$2),"Limit",0))</f>
        <v>0</v>
      </c>
      <c r="H664" s="29">
        <f t="shared" si="152"/>
        <v>0</v>
      </c>
      <c r="I664" s="29">
        <f t="shared" si="153"/>
        <v>0</v>
      </c>
      <c r="J664" s="29">
        <f t="shared" si="154"/>
        <v>0</v>
      </c>
      <c r="K664" s="32" t="str" cm="1">
        <f t="array" ref="K664">IF(AF664&lt;&gt;"",IFERROR(INDEX('Group List A'!B:B,MATCH(AI664,'Group List A'!A:A,0),0),"-"),"")</f>
        <v/>
      </c>
      <c r="L664" s="33">
        <f t="shared" si="155"/>
        <v>0</v>
      </c>
      <c r="M664" s="33">
        <f t="shared" si="156"/>
        <v>0</v>
      </c>
      <c r="N664" s="33">
        <f t="shared" si="157"/>
        <v>0</v>
      </c>
      <c r="O664" s="28"/>
      <c r="P664" s="33">
        <f t="shared" si="158"/>
        <v>0</v>
      </c>
      <c r="Q664" s="35" t="str" cm="1">
        <f t="array" ref="Q664">IF(AF664&lt;&gt;"",IFERROR(INDEX('Group List B'!B:B,MATCH(AI664,'Group List B'!A:A,0),0),"-"),"")</f>
        <v/>
      </c>
      <c r="R664" s="36">
        <f t="shared" si="159"/>
        <v>0</v>
      </c>
      <c r="S664" s="36">
        <f t="shared" si="160"/>
        <v>0</v>
      </c>
      <c r="T664" s="36">
        <f t="shared" si="161"/>
        <v>0</v>
      </c>
      <c r="U664" s="28"/>
      <c r="V664" s="37">
        <f t="shared" si="162"/>
        <v>0</v>
      </c>
      <c r="W664" s="41"/>
      <c r="X664" s="27"/>
      <c r="Y664" s="27"/>
      <c r="Z664" s="27"/>
      <c r="AA664" s="15"/>
      <c r="AB664" s="17"/>
      <c r="AC664" s="17"/>
      <c r="AD664" s="17"/>
      <c r="AE664" s="90"/>
      <c r="AF664" s="82" t="str">
        <f t="shared" si="163"/>
        <v/>
      </c>
      <c r="AG664" s="83" t="str">
        <f t="shared" si="164"/>
        <v/>
      </c>
      <c r="AH664" s="82" t="str">
        <f t="shared" si="165"/>
        <v/>
      </c>
      <c r="AI664" s="82" t="str">
        <f t="shared" si="166"/>
        <v/>
      </c>
      <c r="AJ664" s="90"/>
      <c r="AP664" s="88"/>
    </row>
    <row r="665" spans="1:42" x14ac:dyDescent="0.25">
      <c r="A665" s="2"/>
      <c r="C665" s="68" t="str" cm="1">
        <f t="array" ref="C665">IF(AF665&lt;&gt;"",
IFERROR(INDEX('LaunchPad Markbook'!A:A,MATCH(AH665,'LaunchPad Markbook'!D:D,0),0),"-"),"")</f>
        <v/>
      </c>
      <c r="D665" s="27"/>
      <c r="E665" s="27"/>
      <c r="F665" s="27"/>
      <c r="G665" s="14">
        <f>IF(OR(H665&gt;AB$2,I665&gt;AC$2,J665&gt;AD$2,
P665&gt;1,V665&gt;1,
L665&gt;'Group List A'!E$2,M665&gt;'Group List A'!F$2,N665&gt;'Group List A'!G$2,
R665&gt;'Group List B'!E$2,S665&gt;'Group List B'!F$2,T665&gt;'Group List B'!G$2),"Exceed",
IF(OR(H665=AB$2,I665=AC$2,J665=AD$2,
P665=1,V665=1,
L665='Group List A'!E$2,M665='Group List A'!F$2,N665='Group List A'!G$2,
R665='Group List B'!E$2,S665='Group List B'!F$2,T665='Group List B'!G$2),"Limit",0))</f>
        <v>0</v>
      </c>
      <c r="H665" s="29">
        <f t="shared" si="152"/>
        <v>0</v>
      </c>
      <c r="I665" s="29">
        <f t="shared" si="153"/>
        <v>0</v>
      </c>
      <c r="J665" s="29">
        <f t="shared" si="154"/>
        <v>0</v>
      </c>
      <c r="K665" s="32" t="str" cm="1">
        <f t="array" ref="K665">IF(AF665&lt;&gt;"",IFERROR(INDEX('Group List A'!B:B,MATCH(AI665,'Group List A'!A:A,0),0),"-"),"")</f>
        <v/>
      </c>
      <c r="L665" s="33">
        <f t="shared" si="155"/>
        <v>0</v>
      </c>
      <c r="M665" s="33">
        <f t="shared" si="156"/>
        <v>0</v>
      </c>
      <c r="N665" s="33">
        <f t="shared" si="157"/>
        <v>0</v>
      </c>
      <c r="O665" s="28"/>
      <c r="P665" s="33">
        <f t="shared" si="158"/>
        <v>0</v>
      </c>
      <c r="Q665" s="35" t="str" cm="1">
        <f t="array" ref="Q665">IF(AF665&lt;&gt;"",IFERROR(INDEX('Group List B'!B:B,MATCH(AI665,'Group List B'!A:A,0),0),"-"),"")</f>
        <v/>
      </c>
      <c r="R665" s="36">
        <f t="shared" si="159"/>
        <v>0</v>
      </c>
      <c r="S665" s="36">
        <f t="shared" si="160"/>
        <v>0</v>
      </c>
      <c r="T665" s="36">
        <f t="shared" si="161"/>
        <v>0</v>
      </c>
      <c r="U665" s="28"/>
      <c r="V665" s="37">
        <f t="shared" si="162"/>
        <v>0</v>
      </c>
      <c r="W665" s="41"/>
      <c r="X665" s="27"/>
      <c r="Y665" s="27"/>
      <c r="Z665" s="27"/>
      <c r="AA665" s="15"/>
      <c r="AB665" s="17"/>
      <c r="AC665" s="17"/>
      <c r="AD665" s="17"/>
      <c r="AE665" s="90"/>
      <c r="AF665" s="82" t="str">
        <f t="shared" si="163"/>
        <v/>
      </c>
      <c r="AG665" s="83" t="str">
        <f t="shared" si="164"/>
        <v/>
      </c>
      <c r="AH665" s="82" t="str">
        <f t="shared" si="165"/>
        <v/>
      </c>
      <c r="AI665" s="82" t="str">
        <f t="shared" si="166"/>
        <v/>
      </c>
      <c r="AJ665" s="90"/>
      <c r="AP665" s="88"/>
    </row>
    <row r="666" spans="1:42" x14ac:dyDescent="0.25">
      <c r="A666" s="2"/>
      <c r="C666" s="68" t="str" cm="1">
        <f t="array" ref="C666">IF(AF666&lt;&gt;"",
IFERROR(INDEX('LaunchPad Markbook'!A:A,MATCH(AH666,'LaunchPad Markbook'!D:D,0),0),"-"),"")</f>
        <v/>
      </c>
      <c r="D666" s="27"/>
      <c r="E666" s="27"/>
      <c r="F666" s="27"/>
      <c r="G666" s="14">
        <f>IF(OR(H666&gt;AB$2,I666&gt;AC$2,J666&gt;AD$2,
P666&gt;1,V666&gt;1,
L666&gt;'Group List A'!E$2,M666&gt;'Group List A'!F$2,N666&gt;'Group List A'!G$2,
R666&gt;'Group List B'!E$2,S666&gt;'Group List B'!F$2,T666&gt;'Group List B'!G$2),"Exceed",
IF(OR(H666=AB$2,I666=AC$2,J666=AD$2,
P666=1,V666=1,
L666='Group List A'!E$2,M666='Group List A'!F$2,N666='Group List A'!G$2,
R666='Group List B'!E$2,S666='Group List B'!F$2,T666='Group List B'!G$2),"Limit",0))</f>
        <v>0</v>
      </c>
      <c r="H666" s="29">
        <f t="shared" si="152"/>
        <v>0</v>
      </c>
      <c r="I666" s="29">
        <f t="shared" si="153"/>
        <v>0</v>
      </c>
      <c r="J666" s="29">
        <f t="shared" si="154"/>
        <v>0</v>
      </c>
      <c r="K666" s="32" t="str" cm="1">
        <f t="array" ref="K666">IF(AF666&lt;&gt;"",IFERROR(INDEX('Group List A'!B:B,MATCH(AI666,'Group List A'!A:A,0),0),"-"),"")</f>
        <v/>
      </c>
      <c r="L666" s="33">
        <f t="shared" si="155"/>
        <v>0</v>
      </c>
      <c r="M666" s="33">
        <f t="shared" si="156"/>
        <v>0</v>
      </c>
      <c r="N666" s="33">
        <f t="shared" si="157"/>
        <v>0</v>
      </c>
      <c r="O666" s="28"/>
      <c r="P666" s="33">
        <f t="shared" si="158"/>
        <v>0</v>
      </c>
      <c r="Q666" s="35" t="str" cm="1">
        <f t="array" ref="Q666">IF(AF666&lt;&gt;"",IFERROR(INDEX('Group List B'!B:B,MATCH(AI666,'Group List B'!A:A,0),0),"-"),"")</f>
        <v/>
      </c>
      <c r="R666" s="36">
        <f t="shared" si="159"/>
        <v>0</v>
      </c>
      <c r="S666" s="36">
        <f t="shared" si="160"/>
        <v>0</v>
      </c>
      <c r="T666" s="36">
        <f t="shared" si="161"/>
        <v>0</v>
      </c>
      <c r="U666" s="28"/>
      <c r="V666" s="37">
        <f t="shared" si="162"/>
        <v>0</v>
      </c>
      <c r="W666" s="41"/>
      <c r="X666" s="27"/>
      <c r="Y666" s="27"/>
      <c r="Z666" s="27"/>
      <c r="AA666" s="15"/>
      <c r="AB666" s="17"/>
      <c r="AC666" s="17"/>
      <c r="AD666" s="17"/>
      <c r="AE666" s="90"/>
      <c r="AF666" s="82" t="str">
        <f t="shared" si="163"/>
        <v/>
      </c>
      <c r="AG666" s="83" t="str">
        <f t="shared" si="164"/>
        <v/>
      </c>
      <c r="AH666" s="82" t="str">
        <f t="shared" si="165"/>
        <v/>
      </c>
      <c r="AI666" s="82" t="str">
        <f t="shared" si="166"/>
        <v/>
      </c>
      <c r="AJ666" s="90"/>
      <c r="AP666" s="88"/>
    </row>
    <row r="667" spans="1:42" x14ac:dyDescent="0.25">
      <c r="A667" s="2"/>
      <c r="C667" s="68" t="str" cm="1">
        <f t="array" ref="C667">IF(AF667&lt;&gt;"",
IFERROR(INDEX('LaunchPad Markbook'!A:A,MATCH(AH667,'LaunchPad Markbook'!D:D,0),0),"-"),"")</f>
        <v/>
      </c>
      <c r="D667" s="27"/>
      <c r="E667" s="27"/>
      <c r="F667" s="27"/>
      <c r="G667" s="14">
        <f>IF(OR(H667&gt;AB$2,I667&gt;AC$2,J667&gt;AD$2,
P667&gt;1,V667&gt;1,
L667&gt;'Group List A'!E$2,M667&gt;'Group List A'!F$2,N667&gt;'Group List A'!G$2,
R667&gt;'Group List B'!E$2,S667&gt;'Group List B'!F$2,T667&gt;'Group List B'!G$2),"Exceed",
IF(OR(H667=AB$2,I667=AC$2,J667=AD$2,
P667=1,V667=1,
L667='Group List A'!E$2,M667='Group List A'!F$2,N667='Group List A'!G$2,
R667='Group List B'!E$2,S667='Group List B'!F$2,T667='Group List B'!G$2),"Limit",0))</f>
        <v>0</v>
      </c>
      <c r="H667" s="29">
        <f t="shared" si="152"/>
        <v>0</v>
      </c>
      <c r="I667" s="29">
        <f t="shared" si="153"/>
        <v>0</v>
      </c>
      <c r="J667" s="29">
        <f t="shared" si="154"/>
        <v>0</v>
      </c>
      <c r="K667" s="32" t="str" cm="1">
        <f t="array" ref="K667">IF(AF667&lt;&gt;"",IFERROR(INDEX('Group List A'!B:B,MATCH(AI667,'Group List A'!A:A,0),0),"-"),"")</f>
        <v/>
      </c>
      <c r="L667" s="33">
        <f t="shared" si="155"/>
        <v>0</v>
      </c>
      <c r="M667" s="33">
        <f t="shared" si="156"/>
        <v>0</v>
      </c>
      <c r="N667" s="33">
        <f t="shared" si="157"/>
        <v>0</v>
      </c>
      <c r="O667" s="28"/>
      <c r="P667" s="33">
        <f t="shared" si="158"/>
        <v>0</v>
      </c>
      <c r="Q667" s="35" t="str" cm="1">
        <f t="array" ref="Q667">IF(AF667&lt;&gt;"",IFERROR(INDEX('Group List B'!B:B,MATCH(AI667,'Group List B'!A:A,0),0),"-"),"")</f>
        <v/>
      </c>
      <c r="R667" s="36">
        <f t="shared" si="159"/>
        <v>0</v>
      </c>
      <c r="S667" s="36">
        <f t="shared" si="160"/>
        <v>0</v>
      </c>
      <c r="T667" s="36">
        <f t="shared" si="161"/>
        <v>0</v>
      </c>
      <c r="U667" s="28"/>
      <c r="V667" s="37">
        <f t="shared" si="162"/>
        <v>0</v>
      </c>
      <c r="W667" s="41"/>
      <c r="X667" s="27"/>
      <c r="Y667" s="27"/>
      <c r="Z667" s="27"/>
      <c r="AA667" s="15"/>
      <c r="AB667" s="17"/>
      <c r="AC667" s="17"/>
      <c r="AD667" s="17"/>
      <c r="AE667" s="90"/>
      <c r="AF667" s="82" t="str">
        <f t="shared" si="163"/>
        <v/>
      </c>
      <c r="AG667" s="83" t="str">
        <f t="shared" si="164"/>
        <v/>
      </c>
      <c r="AH667" s="82" t="str">
        <f t="shared" si="165"/>
        <v/>
      </c>
      <c r="AI667" s="82" t="str">
        <f t="shared" si="166"/>
        <v/>
      </c>
      <c r="AJ667" s="90"/>
      <c r="AP667" s="88"/>
    </row>
    <row r="668" spans="1:42" x14ac:dyDescent="0.25">
      <c r="A668" s="2"/>
      <c r="C668" s="68" t="str" cm="1">
        <f t="array" ref="C668">IF(AF668&lt;&gt;"",
IFERROR(INDEX('LaunchPad Markbook'!A:A,MATCH(AH668,'LaunchPad Markbook'!D:D,0),0),"-"),"")</f>
        <v/>
      </c>
      <c r="D668" s="27"/>
      <c r="E668" s="27"/>
      <c r="F668" s="27"/>
      <c r="G668" s="14">
        <f>IF(OR(H668&gt;AB$2,I668&gt;AC$2,J668&gt;AD$2,
P668&gt;1,V668&gt;1,
L668&gt;'Group List A'!E$2,M668&gt;'Group List A'!F$2,N668&gt;'Group List A'!G$2,
R668&gt;'Group List B'!E$2,S668&gt;'Group List B'!F$2,T668&gt;'Group List B'!G$2),"Exceed",
IF(OR(H668=AB$2,I668=AC$2,J668=AD$2,
P668=1,V668=1,
L668='Group List A'!E$2,M668='Group List A'!F$2,N668='Group List A'!G$2,
R668='Group List B'!E$2,S668='Group List B'!F$2,T668='Group List B'!G$2),"Limit",0))</f>
        <v>0</v>
      </c>
      <c r="H668" s="29">
        <f t="shared" si="152"/>
        <v>0</v>
      </c>
      <c r="I668" s="29">
        <f t="shared" si="153"/>
        <v>0</v>
      </c>
      <c r="J668" s="29">
        <f t="shared" si="154"/>
        <v>0</v>
      </c>
      <c r="K668" s="32" t="str" cm="1">
        <f t="array" ref="K668">IF(AF668&lt;&gt;"",IFERROR(INDEX('Group List A'!B:B,MATCH(AI668,'Group List A'!A:A,0),0),"-"),"")</f>
        <v/>
      </c>
      <c r="L668" s="33">
        <f t="shared" si="155"/>
        <v>0</v>
      </c>
      <c r="M668" s="33">
        <f t="shared" si="156"/>
        <v>0</v>
      </c>
      <c r="N668" s="33">
        <f t="shared" si="157"/>
        <v>0</v>
      </c>
      <c r="O668" s="28"/>
      <c r="P668" s="33">
        <f t="shared" si="158"/>
        <v>0</v>
      </c>
      <c r="Q668" s="35" t="str" cm="1">
        <f t="array" ref="Q668">IF(AF668&lt;&gt;"",IFERROR(INDEX('Group List B'!B:B,MATCH(AI668,'Group List B'!A:A,0),0),"-"),"")</f>
        <v/>
      </c>
      <c r="R668" s="36">
        <f t="shared" si="159"/>
        <v>0</v>
      </c>
      <c r="S668" s="36">
        <f t="shared" si="160"/>
        <v>0</v>
      </c>
      <c r="T668" s="36">
        <f t="shared" si="161"/>
        <v>0</v>
      </c>
      <c r="U668" s="28"/>
      <c r="V668" s="37">
        <f t="shared" si="162"/>
        <v>0</v>
      </c>
      <c r="W668" s="41"/>
      <c r="X668" s="27"/>
      <c r="Y668" s="27"/>
      <c r="Z668" s="27"/>
      <c r="AA668" s="15"/>
      <c r="AB668" s="17"/>
      <c r="AC668" s="17"/>
      <c r="AD668" s="17"/>
      <c r="AE668" s="90"/>
      <c r="AF668" s="82" t="str">
        <f t="shared" si="163"/>
        <v/>
      </c>
      <c r="AG668" s="83" t="str">
        <f t="shared" si="164"/>
        <v/>
      </c>
      <c r="AH668" s="82" t="str">
        <f t="shared" si="165"/>
        <v/>
      </c>
      <c r="AI668" s="82" t="str">
        <f t="shared" si="166"/>
        <v/>
      </c>
      <c r="AJ668" s="90"/>
      <c r="AP668" s="88"/>
    </row>
    <row r="669" spans="1:42" x14ac:dyDescent="0.25">
      <c r="A669" s="2"/>
      <c r="C669" s="68" t="str" cm="1">
        <f t="array" ref="C669">IF(AF669&lt;&gt;"",
IFERROR(INDEX('LaunchPad Markbook'!A:A,MATCH(AH669,'LaunchPad Markbook'!D:D,0),0),"-"),"")</f>
        <v/>
      </c>
      <c r="D669" s="27"/>
      <c r="E669" s="27"/>
      <c r="F669" s="27"/>
      <c r="G669" s="14">
        <f>IF(OR(H669&gt;AB$2,I669&gt;AC$2,J669&gt;AD$2,
P669&gt;1,V669&gt;1,
L669&gt;'Group List A'!E$2,M669&gt;'Group List A'!F$2,N669&gt;'Group List A'!G$2,
R669&gt;'Group List B'!E$2,S669&gt;'Group List B'!F$2,T669&gt;'Group List B'!G$2),"Exceed",
IF(OR(H669=AB$2,I669=AC$2,J669=AD$2,
P669=1,V669=1,
L669='Group List A'!E$2,M669='Group List A'!F$2,N669='Group List A'!G$2,
R669='Group List B'!E$2,S669='Group List B'!F$2,T669='Group List B'!G$2),"Limit",0))</f>
        <v>0</v>
      </c>
      <c r="H669" s="29">
        <f t="shared" si="152"/>
        <v>0</v>
      </c>
      <c r="I669" s="29">
        <f t="shared" si="153"/>
        <v>0</v>
      </c>
      <c r="J669" s="29">
        <f t="shared" si="154"/>
        <v>0</v>
      </c>
      <c r="K669" s="32" t="str" cm="1">
        <f t="array" ref="K669">IF(AF669&lt;&gt;"",IFERROR(INDEX('Group List A'!B:B,MATCH(AI669,'Group List A'!A:A,0),0),"-"),"")</f>
        <v/>
      </c>
      <c r="L669" s="33">
        <f t="shared" si="155"/>
        <v>0</v>
      </c>
      <c r="M669" s="33">
        <f t="shared" si="156"/>
        <v>0</v>
      </c>
      <c r="N669" s="33">
        <f t="shared" si="157"/>
        <v>0</v>
      </c>
      <c r="O669" s="28"/>
      <c r="P669" s="33">
        <f t="shared" si="158"/>
        <v>0</v>
      </c>
      <c r="Q669" s="35" t="str" cm="1">
        <f t="array" ref="Q669">IF(AF669&lt;&gt;"",IFERROR(INDEX('Group List B'!B:B,MATCH(AI669,'Group List B'!A:A,0),0),"-"),"")</f>
        <v/>
      </c>
      <c r="R669" s="36">
        <f t="shared" si="159"/>
        <v>0</v>
      </c>
      <c r="S669" s="36">
        <f t="shared" si="160"/>
        <v>0</v>
      </c>
      <c r="T669" s="36">
        <f t="shared" si="161"/>
        <v>0</v>
      </c>
      <c r="U669" s="28"/>
      <c r="V669" s="37">
        <f t="shared" si="162"/>
        <v>0</v>
      </c>
      <c r="W669" s="41"/>
      <c r="X669" s="27"/>
      <c r="Y669" s="27"/>
      <c r="Z669" s="27"/>
      <c r="AA669" s="15"/>
      <c r="AB669" s="17"/>
      <c r="AC669" s="17"/>
      <c r="AD669" s="17"/>
      <c r="AE669" s="90"/>
      <c r="AF669" s="82" t="str">
        <f t="shared" si="163"/>
        <v/>
      </c>
      <c r="AG669" s="83" t="str">
        <f t="shared" si="164"/>
        <v/>
      </c>
      <c r="AH669" s="82" t="str">
        <f t="shared" si="165"/>
        <v/>
      </c>
      <c r="AI669" s="82" t="str">
        <f t="shared" si="166"/>
        <v/>
      </c>
      <c r="AJ669" s="90"/>
      <c r="AP669" s="88"/>
    </row>
    <row r="670" spans="1:42" x14ac:dyDescent="0.25">
      <c r="A670" s="2"/>
      <c r="C670" s="68" t="str" cm="1">
        <f t="array" ref="C670">IF(AF670&lt;&gt;"",
IFERROR(INDEX('LaunchPad Markbook'!A:A,MATCH(AH670,'LaunchPad Markbook'!D:D,0),0),"-"),"")</f>
        <v/>
      </c>
      <c r="D670" s="27"/>
      <c r="E670" s="27"/>
      <c r="F670" s="27"/>
      <c r="G670" s="14">
        <f>IF(OR(H670&gt;AB$2,I670&gt;AC$2,J670&gt;AD$2,
P670&gt;1,V670&gt;1,
L670&gt;'Group List A'!E$2,M670&gt;'Group List A'!F$2,N670&gt;'Group List A'!G$2,
R670&gt;'Group List B'!E$2,S670&gt;'Group List B'!F$2,T670&gt;'Group List B'!G$2),"Exceed",
IF(OR(H670=AB$2,I670=AC$2,J670=AD$2,
P670=1,V670=1,
L670='Group List A'!E$2,M670='Group List A'!F$2,N670='Group List A'!G$2,
R670='Group List B'!E$2,S670='Group List B'!F$2,T670='Group List B'!G$2),"Limit",0))</f>
        <v>0</v>
      </c>
      <c r="H670" s="29">
        <f t="shared" si="152"/>
        <v>0</v>
      </c>
      <c r="I670" s="29">
        <f t="shared" si="153"/>
        <v>0</v>
      </c>
      <c r="J670" s="29">
        <f t="shared" si="154"/>
        <v>0</v>
      </c>
      <c r="K670" s="32" t="str" cm="1">
        <f t="array" ref="K670">IF(AF670&lt;&gt;"",IFERROR(INDEX('Group List A'!B:B,MATCH(AI670,'Group List A'!A:A,0),0),"-"),"")</f>
        <v/>
      </c>
      <c r="L670" s="33">
        <f t="shared" si="155"/>
        <v>0</v>
      </c>
      <c r="M670" s="33">
        <f t="shared" si="156"/>
        <v>0</v>
      </c>
      <c r="N670" s="33">
        <f t="shared" si="157"/>
        <v>0</v>
      </c>
      <c r="O670" s="28"/>
      <c r="P670" s="33">
        <f t="shared" si="158"/>
        <v>0</v>
      </c>
      <c r="Q670" s="35" t="str" cm="1">
        <f t="array" ref="Q670">IF(AF670&lt;&gt;"",IFERROR(INDEX('Group List B'!B:B,MATCH(AI670,'Group List B'!A:A,0),0),"-"),"")</f>
        <v/>
      </c>
      <c r="R670" s="36">
        <f t="shared" si="159"/>
        <v>0</v>
      </c>
      <c r="S670" s="36">
        <f t="shared" si="160"/>
        <v>0</v>
      </c>
      <c r="T670" s="36">
        <f t="shared" si="161"/>
        <v>0</v>
      </c>
      <c r="U670" s="28"/>
      <c r="V670" s="37">
        <f t="shared" si="162"/>
        <v>0</v>
      </c>
      <c r="W670" s="41"/>
      <c r="X670" s="27"/>
      <c r="Y670" s="27"/>
      <c r="Z670" s="27"/>
      <c r="AA670" s="15"/>
      <c r="AB670" s="17"/>
      <c r="AC670" s="17"/>
      <c r="AD670" s="17"/>
      <c r="AE670" s="90"/>
      <c r="AF670" s="82" t="str">
        <f t="shared" si="163"/>
        <v/>
      </c>
      <c r="AG670" s="83" t="str">
        <f t="shared" si="164"/>
        <v/>
      </c>
      <c r="AH670" s="82" t="str">
        <f t="shared" si="165"/>
        <v/>
      </c>
      <c r="AI670" s="82" t="str">
        <f t="shared" si="166"/>
        <v/>
      </c>
      <c r="AJ670" s="90"/>
      <c r="AP670" s="88"/>
    </row>
    <row r="671" spans="1:42" x14ac:dyDescent="0.25">
      <c r="A671" s="2"/>
      <c r="C671" s="68" t="str" cm="1">
        <f t="array" ref="C671">IF(AF671&lt;&gt;"",
IFERROR(INDEX('LaunchPad Markbook'!A:A,MATCH(AH671,'LaunchPad Markbook'!D:D,0),0),"-"),"")</f>
        <v/>
      </c>
      <c r="D671" s="27"/>
      <c r="E671" s="27"/>
      <c r="F671" s="27"/>
      <c r="G671" s="14">
        <f>IF(OR(H671&gt;AB$2,I671&gt;AC$2,J671&gt;AD$2,
P671&gt;1,V671&gt;1,
L671&gt;'Group List A'!E$2,M671&gt;'Group List A'!F$2,N671&gt;'Group List A'!G$2,
R671&gt;'Group List B'!E$2,S671&gt;'Group List B'!F$2,T671&gt;'Group List B'!G$2),"Exceed",
IF(OR(H671=AB$2,I671=AC$2,J671=AD$2,
P671=1,V671=1,
L671='Group List A'!E$2,M671='Group List A'!F$2,N671='Group List A'!G$2,
R671='Group List B'!E$2,S671='Group List B'!F$2,T671='Group List B'!G$2),"Limit",0))</f>
        <v>0</v>
      </c>
      <c r="H671" s="29">
        <f t="shared" si="152"/>
        <v>0</v>
      </c>
      <c r="I671" s="29">
        <f t="shared" si="153"/>
        <v>0</v>
      </c>
      <c r="J671" s="29">
        <f t="shared" si="154"/>
        <v>0</v>
      </c>
      <c r="K671" s="32" t="str" cm="1">
        <f t="array" ref="K671">IF(AF671&lt;&gt;"",IFERROR(INDEX('Group List A'!B:B,MATCH(AI671,'Group List A'!A:A,0),0),"-"),"")</f>
        <v/>
      </c>
      <c r="L671" s="33">
        <f t="shared" si="155"/>
        <v>0</v>
      </c>
      <c r="M671" s="33">
        <f t="shared" si="156"/>
        <v>0</v>
      </c>
      <c r="N671" s="33">
        <f t="shared" si="157"/>
        <v>0</v>
      </c>
      <c r="O671" s="28"/>
      <c r="P671" s="33">
        <f t="shared" si="158"/>
        <v>0</v>
      </c>
      <c r="Q671" s="35" t="str" cm="1">
        <f t="array" ref="Q671">IF(AF671&lt;&gt;"",IFERROR(INDEX('Group List B'!B:B,MATCH(AI671,'Group List B'!A:A,0),0),"-"),"")</f>
        <v/>
      </c>
      <c r="R671" s="36">
        <f t="shared" si="159"/>
        <v>0</v>
      </c>
      <c r="S671" s="36">
        <f t="shared" si="160"/>
        <v>0</v>
      </c>
      <c r="T671" s="36">
        <f t="shared" si="161"/>
        <v>0</v>
      </c>
      <c r="U671" s="28"/>
      <c r="V671" s="37">
        <f t="shared" si="162"/>
        <v>0</v>
      </c>
      <c r="W671" s="41"/>
      <c r="X671" s="27"/>
      <c r="Y671" s="27"/>
      <c r="Z671" s="27"/>
      <c r="AA671" s="15"/>
      <c r="AB671" s="17"/>
      <c r="AC671" s="17"/>
      <c r="AD671" s="17"/>
      <c r="AE671" s="90"/>
      <c r="AF671" s="82" t="str">
        <f t="shared" si="163"/>
        <v/>
      </c>
      <c r="AG671" s="83" t="str">
        <f t="shared" si="164"/>
        <v/>
      </c>
      <c r="AH671" s="82" t="str">
        <f t="shared" si="165"/>
        <v/>
      </c>
      <c r="AI671" s="82" t="str">
        <f t="shared" si="166"/>
        <v/>
      </c>
      <c r="AJ671" s="90"/>
      <c r="AP671" s="88"/>
    </row>
    <row r="672" spans="1:42" x14ac:dyDescent="0.25">
      <c r="A672" s="2"/>
      <c r="C672" s="68" t="str" cm="1">
        <f t="array" ref="C672">IF(AF672&lt;&gt;"",
IFERROR(INDEX('LaunchPad Markbook'!A:A,MATCH(AH672,'LaunchPad Markbook'!D:D,0),0),"-"),"")</f>
        <v/>
      </c>
      <c r="D672" s="27"/>
      <c r="E672" s="27"/>
      <c r="F672" s="27"/>
      <c r="G672" s="14">
        <f>IF(OR(H672&gt;AB$2,I672&gt;AC$2,J672&gt;AD$2,
P672&gt;1,V672&gt;1,
L672&gt;'Group List A'!E$2,M672&gt;'Group List A'!F$2,N672&gt;'Group List A'!G$2,
R672&gt;'Group List B'!E$2,S672&gt;'Group List B'!F$2,T672&gt;'Group List B'!G$2),"Exceed",
IF(OR(H672=AB$2,I672=AC$2,J672=AD$2,
P672=1,V672=1,
L672='Group List A'!E$2,M672='Group List A'!F$2,N672='Group List A'!G$2,
R672='Group List B'!E$2,S672='Group List B'!F$2,T672='Group List B'!G$2),"Limit",0))</f>
        <v>0</v>
      </c>
      <c r="H672" s="29">
        <f t="shared" si="152"/>
        <v>0</v>
      </c>
      <c r="I672" s="29">
        <f t="shared" si="153"/>
        <v>0</v>
      </c>
      <c r="J672" s="29">
        <f t="shared" si="154"/>
        <v>0</v>
      </c>
      <c r="K672" s="32" t="str" cm="1">
        <f t="array" ref="K672">IF(AF672&lt;&gt;"",IFERROR(INDEX('Group List A'!B:B,MATCH(AI672,'Group List A'!A:A,0),0),"-"),"")</f>
        <v/>
      </c>
      <c r="L672" s="33">
        <f t="shared" si="155"/>
        <v>0</v>
      </c>
      <c r="M672" s="33">
        <f t="shared" si="156"/>
        <v>0</v>
      </c>
      <c r="N672" s="33">
        <f t="shared" si="157"/>
        <v>0</v>
      </c>
      <c r="O672" s="28"/>
      <c r="P672" s="33">
        <f t="shared" si="158"/>
        <v>0</v>
      </c>
      <c r="Q672" s="35" t="str" cm="1">
        <f t="array" ref="Q672">IF(AF672&lt;&gt;"",IFERROR(INDEX('Group List B'!B:B,MATCH(AI672,'Group List B'!A:A,0),0),"-"),"")</f>
        <v/>
      </c>
      <c r="R672" s="36">
        <f t="shared" si="159"/>
        <v>0</v>
      </c>
      <c r="S672" s="36">
        <f t="shared" si="160"/>
        <v>0</v>
      </c>
      <c r="T672" s="36">
        <f t="shared" si="161"/>
        <v>0</v>
      </c>
      <c r="U672" s="28"/>
      <c r="V672" s="37">
        <f t="shared" si="162"/>
        <v>0</v>
      </c>
      <c r="W672" s="41"/>
      <c r="X672" s="27"/>
      <c r="Y672" s="27"/>
      <c r="Z672" s="27"/>
      <c r="AA672" s="15"/>
      <c r="AB672" s="17"/>
      <c r="AC672" s="17"/>
      <c r="AD672" s="17"/>
      <c r="AE672" s="90"/>
      <c r="AF672" s="82" t="str">
        <f t="shared" si="163"/>
        <v/>
      </c>
      <c r="AG672" s="83" t="str">
        <f t="shared" si="164"/>
        <v/>
      </c>
      <c r="AH672" s="82" t="str">
        <f t="shared" si="165"/>
        <v/>
      </c>
      <c r="AI672" s="82" t="str">
        <f t="shared" si="166"/>
        <v/>
      </c>
      <c r="AJ672" s="90"/>
      <c r="AP672" s="88"/>
    </row>
    <row r="673" spans="1:42" x14ac:dyDescent="0.25">
      <c r="A673" s="2"/>
      <c r="C673" s="68" t="str" cm="1">
        <f t="array" ref="C673">IF(AF673&lt;&gt;"",
IFERROR(INDEX('LaunchPad Markbook'!A:A,MATCH(AH673,'LaunchPad Markbook'!D:D,0),0),"-"),"")</f>
        <v/>
      </c>
      <c r="D673" s="27"/>
      <c r="E673" s="27"/>
      <c r="F673" s="27"/>
      <c r="G673" s="14">
        <f>IF(OR(H673&gt;AB$2,I673&gt;AC$2,J673&gt;AD$2,
P673&gt;1,V673&gt;1,
L673&gt;'Group List A'!E$2,M673&gt;'Group List A'!F$2,N673&gt;'Group List A'!G$2,
R673&gt;'Group List B'!E$2,S673&gt;'Group List B'!F$2,T673&gt;'Group List B'!G$2),"Exceed",
IF(OR(H673=AB$2,I673=AC$2,J673=AD$2,
P673=1,V673=1,
L673='Group List A'!E$2,M673='Group List A'!F$2,N673='Group List A'!G$2,
R673='Group List B'!E$2,S673='Group List B'!F$2,T673='Group List B'!G$2),"Limit",0))</f>
        <v>0</v>
      </c>
      <c r="H673" s="29">
        <f t="shared" si="152"/>
        <v>0</v>
      </c>
      <c r="I673" s="29">
        <f t="shared" si="153"/>
        <v>0</v>
      </c>
      <c r="J673" s="29">
        <f t="shared" si="154"/>
        <v>0</v>
      </c>
      <c r="K673" s="32" t="str" cm="1">
        <f t="array" ref="K673">IF(AF673&lt;&gt;"",IFERROR(INDEX('Group List A'!B:B,MATCH(AI673,'Group List A'!A:A,0),0),"-"),"")</f>
        <v/>
      </c>
      <c r="L673" s="33">
        <f t="shared" si="155"/>
        <v>0</v>
      </c>
      <c r="M673" s="33">
        <f t="shared" si="156"/>
        <v>0</v>
      </c>
      <c r="N673" s="33">
        <f t="shared" si="157"/>
        <v>0</v>
      </c>
      <c r="O673" s="28"/>
      <c r="P673" s="33">
        <f t="shared" si="158"/>
        <v>0</v>
      </c>
      <c r="Q673" s="35" t="str" cm="1">
        <f t="array" ref="Q673">IF(AF673&lt;&gt;"",IFERROR(INDEX('Group List B'!B:B,MATCH(AI673,'Group List B'!A:A,0),0),"-"),"")</f>
        <v/>
      </c>
      <c r="R673" s="36">
        <f t="shared" si="159"/>
        <v>0</v>
      </c>
      <c r="S673" s="36">
        <f t="shared" si="160"/>
        <v>0</v>
      </c>
      <c r="T673" s="36">
        <f t="shared" si="161"/>
        <v>0</v>
      </c>
      <c r="U673" s="28"/>
      <c r="V673" s="37">
        <f t="shared" si="162"/>
        <v>0</v>
      </c>
      <c r="W673" s="41"/>
      <c r="X673" s="27"/>
      <c r="Y673" s="27"/>
      <c r="Z673" s="27"/>
      <c r="AA673" s="15"/>
      <c r="AB673" s="17"/>
      <c r="AC673" s="17"/>
      <c r="AD673" s="17"/>
      <c r="AE673" s="90"/>
      <c r="AF673" s="82" t="str">
        <f t="shared" si="163"/>
        <v/>
      </c>
      <c r="AG673" s="83" t="str">
        <f t="shared" si="164"/>
        <v/>
      </c>
      <c r="AH673" s="82" t="str">
        <f t="shared" si="165"/>
        <v/>
      </c>
      <c r="AI673" s="82" t="str">
        <f t="shared" si="166"/>
        <v/>
      </c>
      <c r="AJ673" s="90"/>
      <c r="AP673" s="88"/>
    </row>
    <row r="674" spans="1:42" x14ac:dyDescent="0.25">
      <c r="A674" s="2"/>
      <c r="C674" s="68" t="str" cm="1">
        <f t="array" ref="C674">IF(AF674&lt;&gt;"",
IFERROR(INDEX('LaunchPad Markbook'!A:A,MATCH(AH674,'LaunchPad Markbook'!D:D,0),0),"-"),"")</f>
        <v/>
      </c>
      <c r="D674" s="27"/>
      <c r="E674" s="27"/>
      <c r="F674" s="27"/>
      <c r="G674" s="14">
        <f>IF(OR(H674&gt;AB$2,I674&gt;AC$2,J674&gt;AD$2,
P674&gt;1,V674&gt;1,
L674&gt;'Group List A'!E$2,M674&gt;'Group List A'!F$2,N674&gt;'Group List A'!G$2,
R674&gt;'Group List B'!E$2,S674&gt;'Group List B'!F$2,T674&gt;'Group List B'!G$2),"Exceed",
IF(OR(H674=AB$2,I674=AC$2,J674=AD$2,
P674=1,V674=1,
L674='Group List A'!E$2,M674='Group List A'!F$2,N674='Group List A'!G$2,
R674='Group List B'!E$2,S674='Group List B'!F$2,T674='Group List B'!G$2),"Limit",0))</f>
        <v>0</v>
      </c>
      <c r="H674" s="29">
        <f t="shared" si="152"/>
        <v>0</v>
      </c>
      <c r="I674" s="29">
        <f t="shared" si="153"/>
        <v>0</v>
      </c>
      <c r="J674" s="29">
        <f t="shared" si="154"/>
        <v>0</v>
      </c>
      <c r="K674" s="32" t="str" cm="1">
        <f t="array" ref="K674">IF(AF674&lt;&gt;"",IFERROR(INDEX('Group List A'!B:B,MATCH(AI674,'Group List A'!A:A,0),0),"-"),"")</f>
        <v/>
      </c>
      <c r="L674" s="33">
        <f t="shared" si="155"/>
        <v>0</v>
      </c>
      <c r="M674" s="33">
        <f t="shared" si="156"/>
        <v>0</v>
      </c>
      <c r="N674" s="33">
        <f t="shared" si="157"/>
        <v>0</v>
      </c>
      <c r="O674" s="28"/>
      <c r="P674" s="33">
        <f t="shared" si="158"/>
        <v>0</v>
      </c>
      <c r="Q674" s="35" t="str" cm="1">
        <f t="array" ref="Q674">IF(AF674&lt;&gt;"",IFERROR(INDEX('Group List B'!B:B,MATCH(AI674,'Group List B'!A:A,0),0),"-"),"")</f>
        <v/>
      </c>
      <c r="R674" s="36">
        <f t="shared" si="159"/>
        <v>0</v>
      </c>
      <c r="S674" s="36">
        <f t="shared" si="160"/>
        <v>0</v>
      </c>
      <c r="T674" s="36">
        <f t="shared" si="161"/>
        <v>0</v>
      </c>
      <c r="U674" s="28"/>
      <c r="V674" s="37">
        <f t="shared" si="162"/>
        <v>0</v>
      </c>
      <c r="W674" s="41"/>
      <c r="X674" s="27"/>
      <c r="Y674" s="27"/>
      <c r="Z674" s="27"/>
      <c r="AA674" s="15"/>
      <c r="AB674" s="17"/>
      <c r="AC674" s="17"/>
      <c r="AD674" s="17"/>
      <c r="AE674" s="90"/>
      <c r="AF674" s="82" t="str">
        <f t="shared" si="163"/>
        <v/>
      </c>
      <c r="AG674" s="83" t="str">
        <f t="shared" si="164"/>
        <v/>
      </c>
      <c r="AH674" s="82" t="str">
        <f t="shared" si="165"/>
        <v/>
      </c>
      <c r="AI674" s="82" t="str">
        <f t="shared" si="166"/>
        <v/>
      </c>
      <c r="AJ674" s="90"/>
      <c r="AP674" s="88"/>
    </row>
    <row r="675" spans="1:42" x14ac:dyDescent="0.25">
      <c r="A675" s="2"/>
      <c r="C675" s="68" t="str" cm="1">
        <f t="array" ref="C675">IF(AF675&lt;&gt;"",
IFERROR(INDEX('LaunchPad Markbook'!A:A,MATCH(AH675,'LaunchPad Markbook'!D:D,0),0),"-"),"")</f>
        <v/>
      </c>
      <c r="D675" s="27"/>
      <c r="E675" s="27"/>
      <c r="F675" s="27"/>
      <c r="G675" s="14">
        <f>IF(OR(H675&gt;AB$2,I675&gt;AC$2,J675&gt;AD$2,
P675&gt;1,V675&gt;1,
L675&gt;'Group List A'!E$2,M675&gt;'Group List A'!F$2,N675&gt;'Group List A'!G$2,
R675&gt;'Group List B'!E$2,S675&gt;'Group List B'!F$2,T675&gt;'Group List B'!G$2),"Exceed",
IF(OR(H675=AB$2,I675=AC$2,J675=AD$2,
P675=1,V675=1,
L675='Group List A'!E$2,M675='Group List A'!F$2,N675='Group List A'!G$2,
R675='Group List B'!E$2,S675='Group List B'!F$2,T675='Group List B'!G$2),"Limit",0))</f>
        <v>0</v>
      </c>
      <c r="H675" s="29">
        <f t="shared" si="152"/>
        <v>0</v>
      </c>
      <c r="I675" s="29">
        <f t="shared" si="153"/>
        <v>0</v>
      </c>
      <c r="J675" s="29">
        <f t="shared" si="154"/>
        <v>0</v>
      </c>
      <c r="K675" s="32" t="str" cm="1">
        <f t="array" ref="K675">IF(AF675&lt;&gt;"",IFERROR(INDEX('Group List A'!B:B,MATCH(AI675,'Group List A'!A:A,0),0),"-"),"")</f>
        <v/>
      </c>
      <c r="L675" s="33">
        <f t="shared" si="155"/>
        <v>0</v>
      </c>
      <c r="M675" s="33">
        <f t="shared" si="156"/>
        <v>0</v>
      </c>
      <c r="N675" s="33">
        <f t="shared" si="157"/>
        <v>0</v>
      </c>
      <c r="O675" s="28"/>
      <c r="P675" s="33">
        <f t="shared" si="158"/>
        <v>0</v>
      </c>
      <c r="Q675" s="35" t="str" cm="1">
        <f t="array" ref="Q675">IF(AF675&lt;&gt;"",IFERROR(INDEX('Group List B'!B:B,MATCH(AI675,'Group List B'!A:A,0),0),"-"),"")</f>
        <v/>
      </c>
      <c r="R675" s="36">
        <f t="shared" si="159"/>
        <v>0</v>
      </c>
      <c r="S675" s="36">
        <f t="shared" si="160"/>
        <v>0</v>
      </c>
      <c r="T675" s="36">
        <f t="shared" si="161"/>
        <v>0</v>
      </c>
      <c r="U675" s="28"/>
      <c r="V675" s="37">
        <f t="shared" si="162"/>
        <v>0</v>
      </c>
      <c r="W675" s="41"/>
      <c r="X675" s="27"/>
      <c r="Y675" s="27"/>
      <c r="Z675" s="27"/>
      <c r="AA675" s="15"/>
      <c r="AB675" s="17"/>
      <c r="AC675" s="17"/>
      <c r="AD675" s="17"/>
      <c r="AE675" s="90"/>
      <c r="AF675" s="82" t="str">
        <f t="shared" si="163"/>
        <v/>
      </c>
      <c r="AG675" s="83" t="str">
        <f t="shared" si="164"/>
        <v/>
      </c>
      <c r="AH675" s="82" t="str">
        <f t="shared" si="165"/>
        <v/>
      </c>
      <c r="AI675" s="82" t="str">
        <f t="shared" si="166"/>
        <v/>
      </c>
      <c r="AJ675" s="90"/>
      <c r="AP675" s="88"/>
    </row>
    <row r="676" spans="1:42" x14ac:dyDescent="0.25">
      <c r="A676" s="2"/>
      <c r="C676" s="68" t="str" cm="1">
        <f t="array" ref="C676">IF(AF676&lt;&gt;"",
IFERROR(INDEX('LaunchPad Markbook'!A:A,MATCH(AH676,'LaunchPad Markbook'!D:D,0),0),"-"),"")</f>
        <v/>
      </c>
      <c r="D676" s="27"/>
      <c r="E676" s="27"/>
      <c r="F676" s="27"/>
      <c r="G676" s="14">
        <f>IF(OR(H676&gt;AB$2,I676&gt;AC$2,J676&gt;AD$2,
P676&gt;1,V676&gt;1,
L676&gt;'Group List A'!E$2,M676&gt;'Group List A'!F$2,N676&gt;'Group List A'!G$2,
R676&gt;'Group List B'!E$2,S676&gt;'Group List B'!F$2,T676&gt;'Group List B'!G$2),"Exceed",
IF(OR(H676=AB$2,I676=AC$2,J676=AD$2,
P676=1,V676=1,
L676='Group List A'!E$2,M676='Group List A'!F$2,N676='Group List A'!G$2,
R676='Group List B'!E$2,S676='Group List B'!F$2,T676='Group List B'!G$2),"Limit",0))</f>
        <v>0</v>
      </c>
      <c r="H676" s="29">
        <f t="shared" si="152"/>
        <v>0</v>
      </c>
      <c r="I676" s="29">
        <f t="shared" si="153"/>
        <v>0</v>
      </c>
      <c r="J676" s="29">
        <f t="shared" si="154"/>
        <v>0</v>
      </c>
      <c r="K676" s="32" t="str" cm="1">
        <f t="array" ref="K676">IF(AF676&lt;&gt;"",IFERROR(INDEX('Group List A'!B:B,MATCH(AI676,'Group List A'!A:A,0),0),"-"),"")</f>
        <v/>
      </c>
      <c r="L676" s="33">
        <f t="shared" si="155"/>
        <v>0</v>
      </c>
      <c r="M676" s="33">
        <f t="shared" si="156"/>
        <v>0</v>
      </c>
      <c r="N676" s="33">
        <f t="shared" si="157"/>
        <v>0</v>
      </c>
      <c r="O676" s="28"/>
      <c r="P676" s="33">
        <f t="shared" si="158"/>
        <v>0</v>
      </c>
      <c r="Q676" s="35" t="str" cm="1">
        <f t="array" ref="Q676">IF(AF676&lt;&gt;"",IFERROR(INDEX('Group List B'!B:B,MATCH(AI676,'Group List B'!A:A,0),0),"-"),"")</f>
        <v/>
      </c>
      <c r="R676" s="36">
        <f t="shared" si="159"/>
        <v>0</v>
      </c>
      <c r="S676" s="36">
        <f t="shared" si="160"/>
        <v>0</v>
      </c>
      <c r="T676" s="36">
        <f t="shared" si="161"/>
        <v>0</v>
      </c>
      <c r="U676" s="28"/>
      <c r="V676" s="37">
        <f t="shared" si="162"/>
        <v>0</v>
      </c>
      <c r="W676" s="41"/>
      <c r="X676" s="27"/>
      <c r="Y676" s="27"/>
      <c r="Z676" s="27"/>
      <c r="AA676" s="15"/>
      <c r="AB676" s="17"/>
      <c r="AC676" s="17"/>
      <c r="AD676" s="17"/>
      <c r="AE676" s="90"/>
      <c r="AF676" s="82" t="str">
        <f t="shared" si="163"/>
        <v/>
      </c>
      <c r="AG676" s="83" t="str">
        <f t="shared" si="164"/>
        <v/>
      </c>
      <c r="AH676" s="82" t="str">
        <f t="shared" si="165"/>
        <v/>
      </c>
      <c r="AI676" s="82" t="str">
        <f t="shared" si="166"/>
        <v/>
      </c>
      <c r="AJ676" s="90"/>
      <c r="AP676" s="88"/>
    </row>
    <row r="677" spans="1:42" x14ac:dyDescent="0.25">
      <c r="A677" s="2"/>
      <c r="C677" s="68" t="str" cm="1">
        <f t="array" ref="C677">IF(AF677&lt;&gt;"",
IFERROR(INDEX('LaunchPad Markbook'!A:A,MATCH(AH677,'LaunchPad Markbook'!D:D,0),0),"-"),"")</f>
        <v/>
      </c>
      <c r="D677" s="27"/>
      <c r="E677" s="27"/>
      <c r="F677" s="27"/>
      <c r="G677" s="14">
        <f>IF(OR(H677&gt;AB$2,I677&gt;AC$2,J677&gt;AD$2,
P677&gt;1,V677&gt;1,
L677&gt;'Group List A'!E$2,M677&gt;'Group List A'!F$2,N677&gt;'Group List A'!G$2,
R677&gt;'Group List B'!E$2,S677&gt;'Group List B'!F$2,T677&gt;'Group List B'!G$2),"Exceed",
IF(OR(H677=AB$2,I677=AC$2,J677=AD$2,
P677=1,V677=1,
L677='Group List A'!E$2,M677='Group List A'!F$2,N677='Group List A'!G$2,
R677='Group List B'!E$2,S677='Group List B'!F$2,T677='Group List B'!G$2),"Limit",0))</f>
        <v>0</v>
      </c>
      <c r="H677" s="29">
        <f t="shared" si="152"/>
        <v>0</v>
      </c>
      <c r="I677" s="29">
        <f t="shared" si="153"/>
        <v>0</v>
      </c>
      <c r="J677" s="29">
        <f t="shared" si="154"/>
        <v>0</v>
      </c>
      <c r="K677" s="32" t="str" cm="1">
        <f t="array" ref="K677">IF(AF677&lt;&gt;"",IFERROR(INDEX('Group List A'!B:B,MATCH(AI677,'Group List A'!A:A,0),0),"-"),"")</f>
        <v/>
      </c>
      <c r="L677" s="33">
        <f t="shared" si="155"/>
        <v>0</v>
      </c>
      <c r="M677" s="33">
        <f t="shared" si="156"/>
        <v>0</v>
      </c>
      <c r="N677" s="33">
        <f t="shared" si="157"/>
        <v>0</v>
      </c>
      <c r="O677" s="28"/>
      <c r="P677" s="33">
        <f t="shared" si="158"/>
        <v>0</v>
      </c>
      <c r="Q677" s="35" t="str" cm="1">
        <f t="array" ref="Q677">IF(AF677&lt;&gt;"",IFERROR(INDEX('Group List B'!B:B,MATCH(AI677,'Group List B'!A:A,0),0),"-"),"")</f>
        <v/>
      </c>
      <c r="R677" s="36">
        <f t="shared" si="159"/>
        <v>0</v>
      </c>
      <c r="S677" s="36">
        <f t="shared" si="160"/>
        <v>0</v>
      </c>
      <c r="T677" s="36">
        <f t="shared" si="161"/>
        <v>0</v>
      </c>
      <c r="U677" s="28"/>
      <c r="V677" s="37">
        <f t="shared" si="162"/>
        <v>0</v>
      </c>
      <c r="W677" s="41"/>
      <c r="X677" s="27"/>
      <c r="Y677" s="27"/>
      <c r="Z677" s="27"/>
      <c r="AA677" s="15"/>
      <c r="AB677" s="17"/>
      <c r="AC677" s="17"/>
      <c r="AD677" s="17"/>
      <c r="AE677" s="90"/>
      <c r="AF677" s="82" t="str">
        <f t="shared" si="163"/>
        <v/>
      </c>
      <c r="AG677" s="83" t="str">
        <f t="shared" si="164"/>
        <v/>
      </c>
      <c r="AH677" s="82" t="str">
        <f t="shared" si="165"/>
        <v/>
      </c>
      <c r="AI677" s="82" t="str">
        <f t="shared" si="166"/>
        <v/>
      </c>
      <c r="AJ677" s="90"/>
      <c r="AP677" s="88"/>
    </row>
    <row r="678" spans="1:42" x14ac:dyDescent="0.25">
      <c r="A678" s="2"/>
      <c r="C678" s="68" t="str" cm="1">
        <f t="array" ref="C678">IF(AF678&lt;&gt;"",
IFERROR(INDEX('LaunchPad Markbook'!A:A,MATCH(AH678,'LaunchPad Markbook'!D:D,0),0),"-"),"")</f>
        <v/>
      </c>
      <c r="D678" s="27"/>
      <c r="E678" s="27"/>
      <c r="F678" s="27"/>
      <c r="G678" s="14">
        <f>IF(OR(H678&gt;AB$2,I678&gt;AC$2,J678&gt;AD$2,
P678&gt;1,V678&gt;1,
L678&gt;'Group List A'!E$2,M678&gt;'Group List A'!F$2,N678&gt;'Group List A'!G$2,
R678&gt;'Group List B'!E$2,S678&gt;'Group List B'!F$2,T678&gt;'Group List B'!G$2),"Exceed",
IF(OR(H678=AB$2,I678=AC$2,J678=AD$2,
P678=1,V678=1,
L678='Group List A'!E$2,M678='Group List A'!F$2,N678='Group List A'!G$2,
R678='Group List B'!E$2,S678='Group List B'!F$2,T678='Group List B'!G$2),"Limit",0))</f>
        <v>0</v>
      </c>
      <c r="H678" s="29">
        <f t="shared" si="152"/>
        <v>0</v>
      </c>
      <c r="I678" s="29">
        <f t="shared" si="153"/>
        <v>0</v>
      </c>
      <c r="J678" s="29">
        <f t="shared" si="154"/>
        <v>0</v>
      </c>
      <c r="K678" s="32" t="str" cm="1">
        <f t="array" ref="K678">IF(AF678&lt;&gt;"",IFERROR(INDEX('Group List A'!B:B,MATCH(AI678,'Group List A'!A:A,0),0),"-"),"")</f>
        <v/>
      </c>
      <c r="L678" s="33">
        <f t="shared" si="155"/>
        <v>0</v>
      </c>
      <c r="M678" s="33">
        <f t="shared" si="156"/>
        <v>0</v>
      </c>
      <c r="N678" s="33">
        <f t="shared" si="157"/>
        <v>0</v>
      </c>
      <c r="O678" s="28"/>
      <c r="P678" s="33">
        <f t="shared" si="158"/>
        <v>0</v>
      </c>
      <c r="Q678" s="35" t="str" cm="1">
        <f t="array" ref="Q678">IF(AF678&lt;&gt;"",IFERROR(INDEX('Group List B'!B:B,MATCH(AI678,'Group List B'!A:A,0),0),"-"),"")</f>
        <v/>
      </c>
      <c r="R678" s="36">
        <f t="shared" si="159"/>
        <v>0</v>
      </c>
      <c r="S678" s="36">
        <f t="shared" si="160"/>
        <v>0</v>
      </c>
      <c r="T678" s="36">
        <f t="shared" si="161"/>
        <v>0</v>
      </c>
      <c r="U678" s="28"/>
      <c r="V678" s="37">
        <f t="shared" si="162"/>
        <v>0</v>
      </c>
      <c r="W678" s="41"/>
      <c r="X678" s="27"/>
      <c r="Y678" s="27"/>
      <c r="Z678" s="27"/>
      <c r="AA678" s="15"/>
      <c r="AB678" s="17"/>
      <c r="AC678" s="17"/>
      <c r="AD678" s="17"/>
      <c r="AE678" s="90"/>
      <c r="AF678" s="82" t="str">
        <f t="shared" si="163"/>
        <v/>
      </c>
      <c r="AG678" s="83" t="str">
        <f t="shared" si="164"/>
        <v/>
      </c>
      <c r="AH678" s="82" t="str">
        <f t="shared" si="165"/>
        <v/>
      </c>
      <c r="AI678" s="82" t="str">
        <f t="shared" si="166"/>
        <v/>
      </c>
      <c r="AJ678" s="90"/>
      <c r="AP678" s="88"/>
    </row>
    <row r="679" spans="1:42" x14ac:dyDescent="0.25">
      <c r="A679" s="2"/>
      <c r="C679" s="68" t="str" cm="1">
        <f t="array" ref="C679">IF(AF679&lt;&gt;"",
IFERROR(INDEX('LaunchPad Markbook'!A:A,MATCH(AH679,'LaunchPad Markbook'!D:D,0),0),"-"),"")</f>
        <v/>
      </c>
      <c r="D679" s="27"/>
      <c r="E679" s="27"/>
      <c r="F679" s="27"/>
      <c r="G679" s="14">
        <f>IF(OR(H679&gt;AB$2,I679&gt;AC$2,J679&gt;AD$2,
P679&gt;1,V679&gt;1,
L679&gt;'Group List A'!E$2,M679&gt;'Group List A'!F$2,N679&gt;'Group List A'!G$2,
R679&gt;'Group List B'!E$2,S679&gt;'Group List B'!F$2,T679&gt;'Group List B'!G$2),"Exceed",
IF(OR(H679=AB$2,I679=AC$2,J679=AD$2,
P679=1,V679=1,
L679='Group List A'!E$2,M679='Group List A'!F$2,N679='Group List A'!G$2,
R679='Group List B'!E$2,S679='Group List B'!F$2,T679='Group List B'!G$2),"Limit",0))</f>
        <v>0</v>
      </c>
      <c r="H679" s="29">
        <f t="shared" si="152"/>
        <v>0</v>
      </c>
      <c r="I679" s="29">
        <f t="shared" si="153"/>
        <v>0</v>
      </c>
      <c r="J679" s="29">
        <f t="shared" si="154"/>
        <v>0</v>
      </c>
      <c r="K679" s="32" t="str" cm="1">
        <f t="array" ref="K679">IF(AF679&lt;&gt;"",IFERROR(INDEX('Group List A'!B:B,MATCH(AI679,'Group List A'!A:A,0),0),"-"),"")</f>
        <v/>
      </c>
      <c r="L679" s="33">
        <f t="shared" si="155"/>
        <v>0</v>
      </c>
      <c r="M679" s="33">
        <f t="shared" si="156"/>
        <v>0</v>
      </c>
      <c r="N679" s="33">
        <f t="shared" si="157"/>
        <v>0</v>
      </c>
      <c r="O679" s="28"/>
      <c r="P679" s="33">
        <f t="shared" si="158"/>
        <v>0</v>
      </c>
      <c r="Q679" s="35" t="str" cm="1">
        <f t="array" ref="Q679">IF(AF679&lt;&gt;"",IFERROR(INDEX('Group List B'!B:B,MATCH(AI679,'Group List B'!A:A,0),0),"-"),"")</f>
        <v/>
      </c>
      <c r="R679" s="36">
        <f t="shared" si="159"/>
        <v>0</v>
      </c>
      <c r="S679" s="36">
        <f t="shared" si="160"/>
        <v>0</v>
      </c>
      <c r="T679" s="36">
        <f t="shared" si="161"/>
        <v>0</v>
      </c>
      <c r="U679" s="28"/>
      <c r="V679" s="37">
        <f t="shared" si="162"/>
        <v>0</v>
      </c>
      <c r="W679" s="41"/>
      <c r="X679" s="27"/>
      <c r="Y679" s="27"/>
      <c r="Z679" s="27"/>
      <c r="AA679" s="15"/>
      <c r="AB679" s="17"/>
      <c r="AC679" s="17"/>
      <c r="AD679" s="17"/>
      <c r="AE679" s="90"/>
      <c r="AF679" s="82" t="str">
        <f t="shared" si="163"/>
        <v/>
      </c>
      <c r="AG679" s="83" t="str">
        <f t="shared" si="164"/>
        <v/>
      </c>
      <c r="AH679" s="82" t="str">
        <f t="shared" si="165"/>
        <v/>
      </c>
      <c r="AI679" s="82" t="str">
        <f t="shared" si="166"/>
        <v/>
      </c>
      <c r="AJ679" s="90"/>
      <c r="AP679" s="88"/>
    </row>
    <row r="680" spans="1:42" x14ac:dyDescent="0.25">
      <c r="A680" s="2"/>
      <c r="C680" s="68" t="str" cm="1">
        <f t="array" ref="C680">IF(AF680&lt;&gt;"",
IFERROR(INDEX('LaunchPad Markbook'!A:A,MATCH(AH680,'LaunchPad Markbook'!D:D,0),0),"-"),"")</f>
        <v/>
      </c>
      <c r="D680" s="27"/>
      <c r="E680" s="27"/>
      <c r="F680" s="27"/>
      <c r="G680" s="14">
        <f>IF(OR(H680&gt;AB$2,I680&gt;AC$2,J680&gt;AD$2,
P680&gt;1,V680&gt;1,
L680&gt;'Group List A'!E$2,M680&gt;'Group List A'!F$2,N680&gt;'Group List A'!G$2,
R680&gt;'Group List B'!E$2,S680&gt;'Group List B'!F$2,T680&gt;'Group List B'!G$2),"Exceed",
IF(OR(H680=AB$2,I680=AC$2,J680=AD$2,
P680=1,V680=1,
L680='Group List A'!E$2,M680='Group List A'!F$2,N680='Group List A'!G$2,
R680='Group List B'!E$2,S680='Group List B'!F$2,T680='Group List B'!G$2),"Limit",0))</f>
        <v>0</v>
      </c>
      <c r="H680" s="29">
        <f t="shared" si="152"/>
        <v>0</v>
      </c>
      <c r="I680" s="29">
        <f t="shared" si="153"/>
        <v>0</v>
      </c>
      <c r="J680" s="29">
        <f t="shared" si="154"/>
        <v>0</v>
      </c>
      <c r="K680" s="32" t="str" cm="1">
        <f t="array" ref="K680">IF(AF680&lt;&gt;"",IFERROR(INDEX('Group List A'!B:B,MATCH(AI680,'Group List A'!A:A,0),0),"-"),"")</f>
        <v/>
      </c>
      <c r="L680" s="33">
        <f t="shared" si="155"/>
        <v>0</v>
      </c>
      <c r="M680" s="33">
        <f t="shared" si="156"/>
        <v>0</v>
      </c>
      <c r="N680" s="33">
        <f t="shared" si="157"/>
        <v>0</v>
      </c>
      <c r="O680" s="28"/>
      <c r="P680" s="33">
        <f t="shared" si="158"/>
        <v>0</v>
      </c>
      <c r="Q680" s="35" t="str" cm="1">
        <f t="array" ref="Q680">IF(AF680&lt;&gt;"",IFERROR(INDEX('Group List B'!B:B,MATCH(AI680,'Group List B'!A:A,0),0),"-"),"")</f>
        <v/>
      </c>
      <c r="R680" s="36">
        <f t="shared" si="159"/>
        <v>0</v>
      </c>
      <c r="S680" s="36">
        <f t="shared" si="160"/>
        <v>0</v>
      </c>
      <c r="T680" s="36">
        <f t="shared" si="161"/>
        <v>0</v>
      </c>
      <c r="U680" s="28"/>
      <c r="V680" s="37">
        <f t="shared" si="162"/>
        <v>0</v>
      </c>
      <c r="W680" s="41"/>
      <c r="X680" s="27"/>
      <c r="Y680" s="27"/>
      <c r="Z680" s="27"/>
      <c r="AA680" s="15"/>
      <c r="AB680" s="17"/>
      <c r="AC680" s="17"/>
      <c r="AD680" s="17"/>
      <c r="AE680" s="90"/>
      <c r="AF680" s="82" t="str">
        <f t="shared" si="163"/>
        <v/>
      </c>
      <c r="AG680" s="83" t="str">
        <f t="shared" si="164"/>
        <v/>
      </c>
      <c r="AH680" s="82" t="str">
        <f t="shared" si="165"/>
        <v/>
      </c>
      <c r="AI680" s="82" t="str">
        <f t="shared" si="166"/>
        <v/>
      </c>
      <c r="AJ680" s="90"/>
      <c r="AP680" s="88"/>
    </row>
    <row r="681" spans="1:42" x14ac:dyDescent="0.25">
      <c r="A681" s="2"/>
      <c r="C681" s="68" t="str" cm="1">
        <f t="array" ref="C681">IF(AF681&lt;&gt;"",
IFERROR(INDEX('LaunchPad Markbook'!A:A,MATCH(AH681,'LaunchPad Markbook'!D:D,0),0),"-"),"")</f>
        <v/>
      </c>
      <c r="D681" s="27"/>
      <c r="E681" s="27"/>
      <c r="F681" s="27"/>
      <c r="G681" s="14">
        <f>IF(OR(H681&gt;AB$2,I681&gt;AC$2,J681&gt;AD$2,
P681&gt;1,V681&gt;1,
L681&gt;'Group List A'!E$2,M681&gt;'Group List A'!F$2,N681&gt;'Group List A'!G$2,
R681&gt;'Group List B'!E$2,S681&gt;'Group List B'!F$2,T681&gt;'Group List B'!G$2),"Exceed",
IF(OR(H681=AB$2,I681=AC$2,J681=AD$2,
P681=1,V681=1,
L681='Group List A'!E$2,M681='Group List A'!F$2,N681='Group List A'!G$2,
R681='Group List B'!E$2,S681='Group List B'!F$2,T681='Group List B'!G$2),"Limit",0))</f>
        <v>0</v>
      </c>
      <c r="H681" s="29">
        <f t="shared" si="152"/>
        <v>0</v>
      </c>
      <c r="I681" s="29">
        <f t="shared" si="153"/>
        <v>0</v>
      </c>
      <c r="J681" s="29">
        <f t="shared" si="154"/>
        <v>0</v>
      </c>
      <c r="K681" s="32" t="str" cm="1">
        <f t="array" ref="K681">IF(AF681&lt;&gt;"",IFERROR(INDEX('Group List A'!B:B,MATCH(AI681,'Group List A'!A:A,0),0),"-"),"")</f>
        <v/>
      </c>
      <c r="L681" s="33">
        <f t="shared" si="155"/>
        <v>0</v>
      </c>
      <c r="M681" s="33">
        <f t="shared" si="156"/>
        <v>0</v>
      </c>
      <c r="N681" s="33">
        <f t="shared" si="157"/>
        <v>0</v>
      </c>
      <c r="O681" s="28"/>
      <c r="P681" s="33">
        <f t="shared" si="158"/>
        <v>0</v>
      </c>
      <c r="Q681" s="35" t="str" cm="1">
        <f t="array" ref="Q681">IF(AF681&lt;&gt;"",IFERROR(INDEX('Group List B'!B:B,MATCH(AI681,'Group List B'!A:A,0),0),"-"),"")</f>
        <v/>
      </c>
      <c r="R681" s="36">
        <f t="shared" si="159"/>
        <v>0</v>
      </c>
      <c r="S681" s="36">
        <f t="shared" si="160"/>
        <v>0</v>
      </c>
      <c r="T681" s="36">
        <f t="shared" si="161"/>
        <v>0</v>
      </c>
      <c r="U681" s="28"/>
      <c r="V681" s="37">
        <f t="shared" si="162"/>
        <v>0</v>
      </c>
      <c r="W681" s="41"/>
      <c r="X681" s="27"/>
      <c r="Y681" s="27"/>
      <c r="Z681" s="27"/>
      <c r="AA681" s="15"/>
      <c r="AB681" s="17"/>
      <c r="AC681" s="17"/>
      <c r="AD681" s="17"/>
      <c r="AE681" s="90"/>
      <c r="AF681" s="82" t="str">
        <f t="shared" si="163"/>
        <v/>
      </c>
      <c r="AG681" s="83" t="str">
        <f t="shared" si="164"/>
        <v/>
      </c>
      <c r="AH681" s="82" t="str">
        <f t="shared" si="165"/>
        <v/>
      </c>
      <c r="AI681" s="82" t="str">
        <f t="shared" si="166"/>
        <v/>
      </c>
      <c r="AJ681" s="90"/>
      <c r="AP681" s="88"/>
    </row>
    <row r="682" spans="1:42" x14ac:dyDescent="0.25">
      <c r="A682" s="2"/>
      <c r="C682" s="68" t="str" cm="1">
        <f t="array" ref="C682">IF(AF682&lt;&gt;"",
IFERROR(INDEX('LaunchPad Markbook'!A:A,MATCH(AH682,'LaunchPad Markbook'!D:D,0),0),"-"),"")</f>
        <v/>
      </c>
      <c r="D682" s="27"/>
      <c r="E682" s="27"/>
      <c r="F682" s="27"/>
      <c r="G682" s="14">
        <f>IF(OR(H682&gt;AB$2,I682&gt;AC$2,J682&gt;AD$2,
P682&gt;1,V682&gt;1,
L682&gt;'Group List A'!E$2,M682&gt;'Group List A'!F$2,N682&gt;'Group List A'!G$2,
R682&gt;'Group List B'!E$2,S682&gt;'Group List B'!F$2,T682&gt;'Group List B'!G$2),"Exceed",
IF(OR(H682=AB$2,I682=AC$2,J682=AD$2,
P682=1,V682=1,
L682='Group List A'!E$2,M682='Group List A'!F$2,N682='Group List A'!G$2,
R682='Group List B'!E$2,S682='Group List B'!F$2,T682='Group List B'!G$2),"Limit",0))</f>
        <v>0</v>
      </c>
      <c r="H682" s="29">
        <f t="shared" si="152"/>
        <v>0</v>
      </c>
      <c r="I682" s="29">
        <f t="shared" si="153"/>
        <v>0</v>
      </c>
      <c r="J682" s="29">
        <f t="shared" si="154"/>
        <v>0</v>
      </c>
      <c r="K682" s="32" t="str" cm="1">
        <f t="array" ref="K682">IF(AF682&lt;&gt;"",IFERROR(INDEX('Group List A'!B:B,MATCH(AI682,'Group List A'!A:A,0),0),"-"),"")</f>
        <v/>
      </c>
      <c r="L682" s="33">
        <f t="shared" si="155"/>
        <v>0</v>
      </c>
      <c r="M682" s="33">
        <f t="shared" si="156"/>
        <v>0</v>
      </c>
      <c r="N682" s="33">
        <f t="shared" si="157"/>
        <v>0</v>
      </c>
      <c r="O682" s="28"/>
      <c r="P682" s="33">
        <f t="shared" si="158"/>
        <v>0</v>
      </c>
      <c r="Q682" s="35" t="str" cm="1">
        <f t="array" ref="Q682">IF(AF682&lt;&gt;"",IFERROR(INDEX('Group List B'!B:B,MATCH(AI682,'Group List B'!A:A,0),0),"-"),"")</f>
        <v/>
      </c>
      <c r="R682" s="36">
        <f t="shared" si="159"/>
        <v>0</v>
      </c>
      <c r="S682" s="36">
        <f t="shared" si="160"/>
        <v>0</v>
      </c>
      <c r="T682" s="36">
        <f t="shared" si="161"/>
        <v>0</v>
      </c>
      <c r="U682" s="28"/>
      <c r="V682" s="37">
        <f t="shared" si="162"/>
        <v>0</v>
      </c>
      <c r="W682" s="41"/>
      <c r="X682" s="27"/>
      <c r="Y682" s="27"/>
      <c r="Z682" s="27"/>
      <c r="AA682" s="15"/>
      <c r="AB682" s="17"/>
      <c r="AC682" s="17"/>
      <c r="AD682" s="17"/>
      <c r="AE682" s="90"/>
      <c r="AF682" s="82" t="str">
        <f t="shared" si="163"/>
        <v/>
      </c>
      <c r="AG682" s="83" t="str">
        <f t="shared" si="164"/>
        <v/>
      </c>
      <c r="AH682" s="82" t="str">
        <f t="shared" si="165"/>
        <v/>
      </c>
      <c r="AI682" s="82" t="str">
        <f t="shared" si="166"/>
        <v/>
      </c>
      <c r="AJ682" s="90"/>
      <c r="AP682" s="88"/>
    </row>
    <row r="683" spans="1:42" x14ac:dyDescent="0.25">
      <c r="A683" s="2"/>
      <c r="C683" s="68" t="str" cm="1">
        <f t="array" ref="C683">IF(AF683&lt;&gt;"",
IFERROR(INDEX('LaunchPad Markbook'!A:A,MATCH(AH683,'LaunchPad Markbook'!D:D,0),0),"-"),"")</f>
        <v/>
      </c>
      <c r="D683" s="27"/>
      <c r="E683" s="27"/>
      <c r="F683" s="27"/>
      <c r="G683" s="14">
        <f>IF(OR(H683&gt;AB$2,I683&gt;AC$2,J683&gt;AD$2,
P683&gt;1,V683&gt;1,
L683&gt;'Group List A'!E$2,M683&gt;'Group List A'!F$2,N683&gt;'Group List A'!G$2,
R683&gt;'Group List B'!E$2,S683&gt;'Group List B'!F$2,T683&gt;'Group List B'!G$2),"Exceed",
IF(OR(H683=AB$2,I683=AC$2,J683=AD$2,
P683=1,V683=1,
L683='Group List A'!E$2,M683='Group List A'!F$2,N683='Group List A'!G$2,
R683='Group List B'!E$2,S683='Group List B'!F$2,T683='Group List B'!G$2),"Limit",0))</f>
        <v>0</v>
      </c>
      <c r="H683" s="29">
        <f t="shared" si="152"/>
        <v>0</v>
      </c>
      <c r="I683" s="29">
        <f t="shared" si="153"/>
        <v>0</v>
      </c>
      <c r="J683" s="29">
        <f t="shared" si="154"/>
        <v>0</v>
      </c>
      <c r="K683" s="32" t="str" cm="1">
        <f t="array" ref="K683">IF(AF683&lt;&gt;"",IFERROR(INDEX('Group List A'!B:B,MATCH(AI683,'Group List A'!A:A,0),0),"-"),"")</f>
        <v/>
      </c>
      <c r="L683" s="33">
        <f t="shared" si="155"/>
        <v>0</v>
      </c>
      <c r="M683" s="33">
        <f t="shared" si="156"/>
        <v>0</v>
      </c>
      <c r="N683" s="33">
        <f t="shared" si="157"/>
        <v>0</v>
      </c>
      <c r="O683" s="28"/>
      <c r="P683" s="33">
        <f t="shared" si="158"/>
        <v>0</v>
      </c>
      <c r="Q683" s="35" t="str" cm="1">
        <f t="array" ref="Q683">IF(AF683&lt;&gt;"",IFERROR(INDEX('Group List B'!B:B,MATCH(AI683,'Group List B'!A:A,0),0),"-"),"")</f>
        <v/>
      </c>
      <c r="R683" s="36">
        <f t="shared" si="159"/>
        <v>0</v>
      </c>
      <c r="S683" s="36">
        <f t="shared" si="160"/>
        <v>0</v>
      </c>
      <c r="T683" s="36">
        <f t="shared" si="161"/>
        <v>0</v>
      </c>
      <c r="U683" s="28"/>
      <c r="V683" s="37">
        <f t="shared" si="162"/>
        <v>0</v>
      </c>
      <c r="W683" s="41"/>
      <c r="X683" s="27"/>
      <c r="Y683" s="27"/>
      <c r="Z683" s="27"/>
      <c r="AA683" s="15"/>
      <c r="AB683" s="17"/>
      <c r="AC683" s="17"/>
      <c r="AD683" s="17"/>
      <c r="AE683" s="90"/>
      <c r="AF683" s="82" t="str">
        <f t="shared" si="163"/>
        <v/>
      </c>
      <c r="AG683" s="83" t="str">
        <f t="shared" si="164"/>
        <v/>
      </c>
      <c r="AH683" s="82" t="str">
        <f t="shared" si="165"/>
        <v/>
      </c>
      <c r="AI683" s="82" t="str">
        <f t="shared" si="166"/>
        <v/>
      </c>
      <c r="AJ683" s="90"/>
      <c r="AP683" s="88"/>
    </row>
    <row r="684" spans="1:42" x14ac:dyDescent="0.25">
      <c r="A684" s="2"/>
      <c r="C684" s="68" t="str" cm="1">
        <f t="array" ref="C684">IF(AF684&lt;&gt;"",
IFERROR(INDEX('LaunchPad Markbook'!A:A,MATCH(AH684,'LaunchPad Markbook'!D:D,0),0),"-"),"")</f>
        <v/>
      </c>
      <c r="D684" s="27"/>
      <c r="E684" s="27"/>
      <c r="F684" s="27"/>
      <c r="G684" s="14">
        <f>IF(OR(H684&gt;AB$2,I684&gt;AC$2,J684&gt;AD$2,
P684&gt;1,V684&gt;1,
L684&gt;'Group List A'!E$2,M684&gt;'Group List A'!F$2,N684&gt;'Group List A'!G$2,
R684&gt;'Group List B'!E$2,S684&gt;'Group List B'!F$2,T684&gt;'Group List B'!G$2),"Exceed",
IF(OR(H684=AB$2,I684=AC$2,J684=AD$2,
P684=1,V684=1,
L684='Group List A'!E$2,M684='Group List A'!F$2,N684='Group List A'!G$2,
R684='Group List B'!E$2,S684='Group List B'!F$2,T684='Group List B'!G$2),"Limit",0))</f>
        <v>0</v>
      </c>
      <c r="H684" s="29">
        <f t="shared" si="152"/>
        <v>0</v>
      </c>
      <c r="I684" s="29">
        <f t="shared" si="153"/>
        <v>0</v>
      </c>
      <c r="J684" s="29">
        <f t="shared" si="154"/>
        <v>0</v>
      </c>
      <c r="K684" s="32" t="str" cm="1">
        <f t="array" ref="K684">IF(AF684&lt;&gt;"",IFERROR(INDEX('Group List A'!B:B,MATCH(AI684,'Group List A'!A:A,0),0),"-"),"")</f>
        <v/>
      </c>
      <c r="L684" s="33">
        <f t="shared" si="155"/>
        <v>0</v>
      </c>
      <c r="M684" s="33">
        <f t="shared" si="156"/>
        <v>0</v>
      </c>
      <c r="N684" s="33">
        <f t="shared" si="157"/>
        <v>0</v>
      </c>
      <c r="O684" s="28"/>
      <c r="P684" s="33">
        <f t="shared" si="158"/>
        <v>0</v>
      </c>
      <c r="Q684" s="35" t="str" cm="1">
        <f t="array" ref="Q684">IF(AF684&lt;&gt;"",IFERROR(INDEX('Group List B'!B:B,MATCH(AI684,'Group List B'!A:A,0),0),"-"),"")</f>
        <v/>
      </c>
      <c r="R684" s="36">
        <f t="shared" si="159"/>
        <v>0</v>
      </c>
      <c r="S684" s="36">
        <f t="shared" si="160"/>
        <v>0</v>
      </c>
      <c r="T684" s="36">
        <f t="shared" si="161"/>
        <v>0</v>
      </c>
      <c r="U684" s="28"/>
      <c r="V684" s="37">
        <f t="shared" si="162"/>
        <v>0</v>
      </c>
      <c r="W684" s="41"/>
      <c r="X684" s="27"/>
      <c r="Y684" s="27"/>
      <c r="Z684" s="27"/>
      <c r="AA684" s="15"/>
      <c r="AB684" s="17"/>
      <c r="AC684" s="17"/>
      <c r="AD684" s="17"/>
      <c r="AE684" s="90"/>
      <c r="AF684" s="82" t="str">
        <f t="shared" si="163"/>
        <v/>
      </c>
      <c r="AG684" s="83" t="str">
        <f t="shared" si="164"/>
        <v/>
      </c>
      <c r="AH684" s="82" t="str">
        <f t="shared" si="165"/>
        <v/>
      </c>
      <c r="AI684" s="82" t="str">
        <f t="shared" si="166"/>
        <v/>
      </c>
      <c r="AJ684" s="90"/>
      <c r="AP684" s="88"/>
    </row>
    <row r="685" spans="1:42" x14ac:dyDescent="0.25">
      <c r="A685" s="2"/>
      <c r="C685" s="68" t="str" cm="1">
        <f t="array" ref="C685">IF(AF685&lt;&gt;"",
IFERROR(INDEX('LaunchPad Markbook'!A:A,MATCH(AH685,'LaunchPad Markbook'!D:D,0),0),"-"),"")</f>
        <v/>
      </c>
      <c r="D685" s="27"/>
      <c r="E685" s="27"/>
      <c r="F685" s="27"/>
      <c r="G685" s="14">
        <f>IF(OR(H685&gt;AB$2,I685&gt;AC$2,J685&gt;AD$2,
P685&gt;1,V685&gt;1,
L685&gt;'Group List A'!E$2,M685&gt;'Group List A'!F$2,N685&gt;'Group List A'!G$2,
R685&gt;'Group List B'!E$2,S685&gt;'Group List B'!F$2,T685&gt;'Group List B'!G$2),"Exceed",
IF(OR(H685=AB$2,I685=AC$2,J685=AD$2,
P685=1,V685=1,
L685='Group List A'!E$2,M685='Group List A'!F$2,N685='Group List A'!G$2,
R685='Group List B'!E$2,S685='Group List B'!F$2,T685='Group List B'!G$2),"Limit",0))</f>
        <v>0</v>
      </c>
      <c r="H685" s="29">
        <f t="shared" si="152"/>
        <v>0</v>
      </c>
      <c r="I685" s="29">
        <f t="shared" si="153"/>
        <v>0</v>
      </c>
      <c r="J685" s="29">
        <f t="shared" si="154"/>
        <v>0</v>
      </c>
      <c r="K685" s="32" t="str" cm="1">
        <f t="array" ref="K685">IF(AF685&lt;&gt;"",IFERROR(INDEX('Group List A'!B:B,MATCH(AI685,'Group List A'!A:A,0),0),"-"),"")</f>
        <v/>
      </c>
      <c r="L685" s="33">
        <f t="shared" si="155"/>
        <v>0</v>
      </c>
      <c r="M685" s="33">
        <f t="shared" si="156"/>
        <v>0</v>
      </c>
      <c r="N685" s="33">
        <f t="shared" si="157"/>
        <v>0</v>
      </c>
      <c r="O685" s="28"/>
      <c r="P685" s="33">
        <f t="shared" si="158"/>
        <v>0</v>
      </c>
      <c r="Q685" s="35" t="str" cm="1">
        <f t="array" ref="Q685">IF(AF685&lt;&gt;"",IFERROR(INDEX('Group List B'!B:B,MATCH(AI685,'Group List B'!A:A,0),0),"-"),"")</f>
        <v/>
      </c>
      <c r="R685" s="36">
        <f t="shared" si="159"/>
        <v>0</v>
      </c>
      <c r="S685" s="36">
        <f t="shared" si="160"/>
        <v>0</v>
      </c>
      <c r="T685" s="36">
        <f t="shared" si="161"/>
        <v>0</v>
      </c>
      <c r="U685" s="28"/>
      <c r="V685" s="37">
        <f t="shared" si="162"/>
        <v>0</v>
      </c>
      <c r="W685" s="41"/>
      <c r="X685" s="27"/>
      <c r="Y685" s="27"/>
      <c r="Z685" s="27"/>
      <c r="AA685" s="15"/>
      <c r="AB685" s="17"/>
      <c r="AC685" s="17"/>
      <c r="AD685" s="17"/>
      <c r="AE685" s="90"/>
      <c r="AF685" s="82" t="str">
        <f t="shared" si="163"/>
        <v/>
      </c>
      <c r="AG685" s="83" t="str">
        <f t="shared" si="164"/>
        <v/>
      </c>
      <c r="AH685" s="82" t="str">
        <f t="shared" si="165"/>
        <v/>
      </c>
      <c r="AI685" s="82" t="str">
        <f t="shared" si="166"/>
        <v/>
      </c>
      <c r="AJ685" s="90"/>
      <c r="AP685" s="88"/>
    </row>
    <row r="686" spans="1:42" x14ac:dyDescent="0.25">
      <c r="A686" s="2"/>
      <c r="C686" s="68" t="str" cm="1">
        <f t="array" ref="C686">IF(AF686&lt;&gt;"",
IFERROR(INDEX('LaunchPad Markbook'!A:A,MATCH(AH686,'LaunchPad Markbook'!D:D,0),0),"-"),"")</f>
        <v/>
      </c>
      <c r="D686" s="27"/>
      <c r="E686" s="27"/>
      <c r="F686" s="27"/>
      <c r="G686" s="14">
        <f>IF(OR(H686&gt;AB$2,I686&gt;AC$2,J686&gt;AD$2,
P686&gt;1,V686&gt;1,
L686&gt;'Group List A'!E$2,M686&gt;'Group List A'!F$2,N686&gt;'Group List A'!G$2,
R686&gt;'Group List B'!E$2,S686&gt;'Group List B'!F$2,T686&gt;'Group List B'!G$2),"Exceed",
IF(OR(H686=AB$2,I686=AC$2,J686=AD$2,
P686=1,V686=1,
L686='Group List A'!E$2,M686='Group List A'!F$2,N686='Group List A'!G$2,
R686='Group List B'!E$2,S686='Group List B'!F$2,T686='Group List B'!G$2),"Limit",0))</f>
        <v>0</v>
      </c>
      <c r="H686" s="29">
        <f t="shared" si="152"/>
        <v>0</v>
      </c>
      <c r="I686" s="29">
        <f t="shared" si="153"/>
        <v>0</v>
      </c>
      <c r="J686" s="29">
        <f t="shared" si="154"/>
        <v>0</v>
      </c>
      <c r="K686" s="32" t="str" cm="1">
        <f t="array" ref="K686">IF(AF686&lt;&gt;"",IFERROR(INDEX('Group List A'!B:B,MATCH(AI686,'Group List A'!A:A,0),0),"-"),"")</f>
        <v/>
      </c>
      <c r="L686" s="33">
        <f t="shared" si="155"/>
        <v>0</v>
      </c>
      <c r="M686" s="33">
        <f t="shared" si="156"/>
        <v>0</v>
      </c>
      <c r="N686" s="33">
        <f t="shared" si="157"/>
        <v>0</v>
      </c>
      <c r="O686" s="28"/>
      <c r="P686" s="33">
        <f t="shared" si="158"/>
        <v>0</v>
      </c>
      <c r="Q686" s="35" t="str" cm="1">
        <f t="array" ref="Q686">IF(AF686&lt;&gt;"",IFERROR(INDEX('Group List B'!B:B,MATCH(AI686,'Group List B'!A:A,0),0),"-"),"")</f>
        <v/>
      </c>
      <c r="R686" s="36">
        <f t="shared" si="159"/>
        <v>0</v>
      </c>
      <c r="S686" s="36">
        <f t="shared" si="160"/>
        <v>0</v>
      </c>
      <c r="T686" s="36">
        <f t="shared" si="161"/>
        <v>0</v>
      </c>
      <c r="U686" s="28"/>
      <c r="V686" s="37">
        <f t="shared" si="162"/>
        <v>0</v>
      </c>
      <c r="W686" s="41"/>
      <c r="X686" s="27"/>
      <c r="Y686" s="27"/>
      <c r="Z686" s="27"/>
      <c r="AA686" s="15"/>
      <c r="AB686" s="17"/>
      <c r="AC686" s="17"/>
      <c r="AD686" s="17"/>
      <c r="AE686" s="90"/>
      <c r="AF686" s="82" t="str">
        <f t="shared" si="163"/>
        <v/>
      </c>
      <c r="AG686" s="83" t="str">
        <f t="shared" si="164"/>
        <v/>
      </c>
      <c r="AH686" s="82" t="str">
        <f t="shared" si="165"/>
        <v/>
      </c>
      <c r="AI686" s="82" t="str">
        <f t="shared" si="166"/>
        <v/>
      </c>
      <c r="AJ686" s="90"/>
      <c r="AP686" s="88"/>
    </row>
    <row r="687" spans="1:42" x14ac:dyDescent="0.25">
      <c r="A687" s="2"/>
      <c r="C687" s="68" t="str" cm="1">
        <f t="array" ref="C687">IF(AF687&lt;&gt;"",
IFERROR(INDEX('LaunchPad Markbook'!A:A,MATCH(AH687,'LaunchPad Markbook'!D:D,0),0),"-"),"")</f>
        <v/>
      </c>
      <c r="D687" s="27"/>
      <c r="E687" s="27"/>
      <c r="F687" s="27"/>
      <c r="G687" s="14">
        <f>IF(OR(H687&gt;AB$2,I687&gt;AC$2,J687&gt;AD$2,
P687&gt;1,V687&gt;1,
L687&gt;'Group List A'!E$2,M687&gt;'Group List A'!F$2,N687&gt;'Group List A'!G$2,
R687&gt;'Group List B'!E$2,S687&gt;'Group List B'!F$2,T687&gt;'Group List B'!G$2),"Exceed",
IF(OR(H687=AB$2,I687=AC$2,J687=AD$2,
P687=1,V687=1,
L687='Group List A'!E$2,M687='Group List A'!F$2,N687='Group List A'!G$2,
R687='Group List B'!E$2,S687='Group List B'!F$2,T687='Group List B'!G$2),"Limit",0))</f>
        <v>0</v>
      </c>
      <c r="H687" s="29">
        <f t="shared" si="152"/>
        <v>0</v>
      </c>
      <c r="I687" s="29">
        <f t="shared" si="153"/>
        <v>0</v>
      </c>
      <c r="J687" s="29">
        <f t="shared" si="154"/>
        <v>0</v>
      </c>
      <c r="K687" s="32" t="str" cm="1">
        <f t="array" ref="K687">IF(AF687&lt;&gt;"",IFERROR(INDEX('Group List A'!B:B,MATCH(AI687,'Group List A'!A:A,0),0),"-"),"")</f>
        <v/>
      </c>
      <c r="L687" s="33">
        <f t="shared" si="155"/>
        <v>0</v>
      </c>
      <c r="M687" s="33">
        <f t="shared" si="156"/>
        <v>0</v>
      </c>
      <c r="N687" s="33">
        <f t="shared" si="157"/>
        <v>0</v>
      </c>
      <c r="O687" s="28"/>
      <c r="P687" s="33">
        <f t="shared" si="158"/>
        <v>0</v>
      </c>
      <c r="Q687" s="35" t="str" cm="1">
        <f t="array" ref="Q687">IF(AF687&lt;&gt;"",IFERROR(INDEX('Group List B'!B:B,MATCH(AI687,'Group List B'!A:A,0),0),"-"),"")</f>
        <v/>
      </c>
      <c r="R687" s="36">
        <f t="shared" si="159"/>
        <v>0</v>
      </c>
      <c r="S687" s="36">
        <f t="shared" si="160"/>
        <v>0</v>
      </c>
      <c r="T687" s="36">
        <f t="shared" si="161"/>
        <v>0</v>
      </c>
      <c r="U687" s="28"/>
      <c r="V687" s="37">
        <f t="shared" si="162"/>
        <v>0</v>
      </c>
      <c r="W687" s="41"/>
      <c r="X687" s="27"/>
      <c r="Y687" s="27"/>
      <c r="Z687" s="27"/>
      <c r="AA687" s="15"/>
      <c r="AB687" s="17"/>
      <c r="AC687" s="17"/>
      <c r="AD687" s="17"/>
      <c r="AE687" s="90"/>
      <c r="AF687" s="82" t="str">
        <f t="shared" si="163"/>
        <v/>
      </c>
      <c r="AG687" s="83" t="str">
        <f t="shared" si="164"/>
        <v/>
      </c>
      <c r="AH687" s="82" t="str">
        <f t="shared" si="165"/>
        <v/>
      </c>
      <c r="AI687" s="82" t="str">
        <f t="shared" si="166"/>
        <v/>
      </c>
      <c r="AJ687" s="90"/>
      <c r="AP687" s="88"/>
    </row>
    <row r="688" spans="1:42" x14ac:dyDescent="0.25">
      <c r="A688" s="2"/>
      <c r="C688" s="68" t="str" cm="1">
        <f t="array" ref="C688">IF(AF688&lt;&gt;"",
IFERROR(INDEX('LaunchPad Markbook'!A:A,MATCH(AH688,'LaunchPad Markbook'!D:D,0),0),"-"),"")</f>
        <v/>
      </c>
      <c r="D688" s="27"/>
      <c r="E688" s="27"/>
      <c r="F688" s="27"/>
      <c r="G688" s="14">
        <f>IF(OR(H688&gt;AB$2,I688&gt;AC$2,J688&gt;AD$2,
P688&gt;1,V688&gt;1,
L688&gt;'Group List A'!E$2,M688&gt;'Group List A'!F$2,N688&gt;'Group List A'!G$2,
R688&gt;'Group List B'!E$2,S688&gt;'Group List B'!F$2,T688&gt;'Group List B'!G$2),"Exceed",
IF(OR(H688=AB$2,I688=AC$2,J688=AD$2,
P688=1,V688=1,
L688='Group List A'!E$2,M688='Group List A'!F$2,N688='Group List A'!G$2,
R688='Group List B'!E$2,S688='Group List B'!F$2,T688='Group List B'!G$2),"Limit",0))</f>
        <v>0</v>
      </c>
      <c r="H688" s="29">
        <f t="shared" si="152"/>
        <v>0</v>
      </c>
      <c r="I688" s="29">
        <f t="shared" si="153"/>
        <v>0</v>
      </c>
      <c r="J688" s="29">
        <f t="shared" si="154"/>
        <v>0</v>
      </c>
      <c r="K688" s="32" t="str" cm="1">
        <f t="array" ref="K688">IF(AF688&lt;&gt;"",IFERROR(INDEX('Group List A'!B:B,MATCH(AI688,'Group List A'!A:A,0),0),"-"),"")</f>
        <v/>
      </c>
      <c r="L688" s="33">
        <f t="shared" si="155"/>
        <v>0</v>
      </c>
      <c r="M688" s="33">
        <f t="shared" si="156"/>
        <v>0</v>
      </c>
      <c r="N688" s="33">
        <f t="shared" si="157"/>
        <v>0</v>
      </c>
      <c r="O688" s="28"/>
      <c r="P688" s="33">
        <f t="shared" si="158"/>
        <v>0</v>
      </c>
      <c r="Q688" s="35" t="str" cm="1">
        <f t="array" ref="Q688">IF(AF688&lt;&gt;"",IFERROR(INDEX('Group List B'!B:B,MATCH(AI688,'Group List B'!A:A,0),0),"-"),"")</f>
        <v/>
      </c>
      <c r="R688" s="36">
        <f t="shared" si="159"/>
        <v>0</v>
      </c>
      <c r="S688" s="36">
        <f t="shared" si="160"/>
        <v>0</v>
      </c>
      <c r="T688" s="36">
        <f t="shared" si="161"/>
        <v>0</v>
      </c>
      <c r="U688" s="28"/>
      <c r="V688" s="37">
        <f t="shared" si="162"/>
        <v>0</v>
      </c>
      <c r="W688" s="41"/>
      <c r="X688" s="27"/>
      <c r="Y688" s="27"/>
      <c r="Z688" s="27"/>
      <c r="AA688" s="15"/>
      <c r="AB688" s="17"/>
      <c r="AC688" s="17"/>
      <c r="AD688" s="17"/>
      <c r="AE688" s="90"/>
      <c r="AF688" s="82" t="str">
        <f t="shared" si="163"/>
        <v/>
      </c>
      <c r="AG688" s="83" t="str">
        <f t="shared" si="164"/>
        <v/>
      </c>
      <c r="AH688" s="82" t="str">
        <f t="shared" si="165"/>
        <v/>
      </c>
      <c r="AI688" s="82" t="str">
        <f t="shared" si="166"/>
        <v/>
      </c>
      <c r="AJ688" s="90"/>
      <c r="AP688" s="88"/>
    </row>
    <row r="689" spans="1:42" x14ac:dyDescent="0.25">
      <c r="A689" s="2"/>
      <c r="C689" s="68" t="str" cm="1">
        <f t="array" ref="C689">IF(AF689&lt;&gt;"",
IFERROR(INDEX('LaunchPad Markbook'!A:A,MATCH(AH689,'LaunchPad Markbook'!D:D,0),0),"-"),"")</f>
        <v/>
      </c>
      <c r="D689" s="27"/>
      <c r="E689" s="27"/>
      <c r="F689" s="27"/>
      <c r="G689" s="14">
        <f>IF(OR(H689&gt;AB$2,I689&gt;AC$2,J689&gt;AD$2,
P689&gt;1,V689&gt;1,
L689&gt;'Group List A'!E$2,M689&gt;'Group List A'!F$2,N689&gt;'Group List A'!G$2,
R689&gt;'Group List B'!E$2,S689&gt;'Group List B'!F$2,T689&gt;'Group List B'!G$2),"Exceed",
IF(OR(H689=AB$2,I689=AC$2,J689=AD$2,
P689=1,V689=1,
L689='Group List A'!E$2,M689='Group List A'!F$2,N689='Group List A'!G$2,
R689='Group List B'!E$2,S689='Group List B'!F$2,T689='Group List B'!G$2),"Limit",0))</f>
        <v>0</v>
      </c>
      <c r="H689" s="29">
        <f t="shared" si="152"/>
        <v>0</v>
      </c>
      <c r="I689" s="29">
        <f t="shared" si="153"/>
        <v>0</v>
      </c>
      <c r="J689" s="29">
        <f t="shared" si="154"/>
        <v>0</v>
      </c>
      <c r="K689" s="32" t="str" cm="1">
        <f t="array" ref="K689">IF(AF689&lt;&gt;"",IFERROR(INDEX('Group List A'!B:B,MATCH(AI689,'Group List A'!A:A,0),0),"-"),"")</f>
        <v/>
      </c>
      <c r="L689" s="33">
        <f t="shared" si="155"/>
        <v>0</v>
      </c>
      <c r="M689" s="33">
        <f t="shared" si="156"/>
        <v>0</v>
      </c>
      <c r="N689" s="33">
        <f t="shared" si="157"/>
        <v>0</v>
      </c>
      <c r="O689" s="28"/>
      <c r="P689" s="33">
        <f t="shared" si="158"/>
        <v>0</v>
      </c>
      <c r="Q689" s="35" t="str" cm="1">
        <f t="array" ref="Q689">IF(AF689&lt;&gt;"",IFERROR(INDEX('Group List B'!B:B,MATCH(AI689,'Group List B'!A:A,0),0),"-"),"")</f>
        <v/>
      </c>
      <c r="R689" s="36">
        <f t="shared" si="159"/>
        <v>0</v>
      </c>
      <c r="S689" s="36">
        <f t="shared" si="160"/>
        <v>0</v>
      </c>
      <c r="T689" s="36">
        <f t="shared" si="161"/>
        <v>0</v>
      </c>
      <c r="U689" s="28"/>
      <c r="V689" s="37">
        <f t="shared" si="162"/>
        <v>0</v>
      </c>
      <c r="W689" s="41"/>
      <c r="X689" s="27"/>
      <c r="Y689" s="27"/>
      <c r="Z689" s="27"/>
      <c r="AA689" s="15"/>
      <c r="AB689" s="17"/>
      <c r="AC689" s="17"/>
      <c r="AD689" s="17"/>
      <c r="AE689" s="90"/>
      <c r="AF689" s="82" t="str">
        <f t="shared" si="163"/>
        <v/>
      </c>
      <c r="AG689" s="83" t="str">
        <f t="shared" si="164"/>
        <v/>
      </c>
      <c r="AH689" s="82" t="str">
        <f t="shared" si="165"/>
        <v/>
      </c>
      <c r="AI689" s="82" t="str">
        <f t="shared" si="166"/>
        <v/>
      </c>
      <c r="AJ689" s="90"/>
      <c r="AP689" s="88"/>
    </row>
    <row r="690" spans="1:42" x14ac:dyDescent="0.25">
      <c r="A690" s="2"/>
      <c r="C690" s="68" t="str" cm="1">
        <f t="array" ref="C690">IF(AF690&lt;&gt;"",
IFERROR(INDEX('LaunchPad Markbook'!A:A,MATCH(AH690,'LaunchPad Markbook'!D:D,0),0),"-"),"")</f>
        <v/>
      </c>
      <c r="D690" s="27"/>
      <c r="E690" s="27"/>
      <c r="F690" s="27"/>
      <c r="G690" s="14">
        <f>IF(OR(H690&gt;AB$2,I690&gt;AC$2,J690&gt;AD$2,
P690&gt;1,V690&gt;1,
L690&gt;'Group List A'!E$2,M690&gt;'Group List A'!F$2,N690&gt;'Group List A'!G$2,
R690&gt;'Group List B'!E$2,S690&gt;'Group List B'!F$2,T690&gt;'Group List B'!G$2),"Exceed",
IF(OR(H690=AB$2,I690=AC$2,J690=AD$2,
P690=1,V690=1,
L690='Group List A'!E$2,M690='Group List A'!F$2,N690='Group List A'!G$2,
R690='Group List B'!E$2,S690='Group List B'!F$2,T690='Group List B'!G$2),"Limit",0))</f>
        <v>0</v>
      </c>
      <c r="H690" s="29">
        <f t="shared" si="152"/>
        <v>0</v>
      </c>
      <c r="I690" s="29">
        <f t="shared" si="153"/>
        <v>0</v>
      </c>
      <c r="J690" s="29">
        <f t="shared" si="154"/>
        <v>0</v>
      </c>
      <c r="K690" s="32" t="str" cm="1">
        <f t="array" ref="K690">IF(AF690&lt;&gt;"",IFERROR(INDEX('Group List A'!B:B,MATCH(AI690,'Group List A'!A:A,0),0),"-"),"")</f>
        <v/>
      </c>
      <c r="L690" s="33">
        <f t="shared" si="155"/>
        <v>0</v>
      </c>
      <c r="M690" s="33">
        <f t="shared" si="156"/>
        <v>0</v>
      </c>
      <c r="N690" s="33">
        <f t="shared" si="157"/>
        <v>0</v>
      </c>
      <c r="O690" s="28"/>
      <c r="P690" s="33">
        <f t="shared" si="158"/>
        <v>0</v>
      </c>
      <c r="Q690" s="35" t="str" cm="1">
        <f t="array" ref="Q690">IF(AF690&lt;&gt;"",IFERROR(INDEX('Group List B'!B:B,MATCH(AI690,'Group List B'!A:A,0),0),"-"),"")</f>
        <v/>
      </c>
      <c r="R690" s="36">
        <f t="shared" si="159"/>
        <v>0</v>
      </c>
      <c r="S690" s="36">
        <f t="shared" si="160"/>
        <v>0</v>
      </c>
      <c r="T690" s="36">
        <f t="shared" si="161"/>
        <v>0</v>
      </c>
      <c r="U690" s="28"/>
      <c r="V690" s="37">
        <f t="shared" si="162"/>
        <v>0</v>
      </c>
      <c r="W690" s="41"/>
      <c r="X690" s="27"/>
      <c r="Y690" s="27"/>
      <c r="Z690" s="27"/>
      <c r="AA690" s="15"/>
      <c r="AB690" s="17"/>
      <c r="AC690" s="17"/>
      <c r="AD690" s="17"/>
      <c r="AE690" s="90"/>
      <c r="AF690" s="82" t="str">
        <f t="shared" si="163"/>
        <v/>
      </c>
      <c r="AG690" s="83" t="str">
        <f t="shared" si="164"/>
        <v/>
      </c>
      <c r="AH690" s="82" t="str">
        <f t="shared" si="165"/>
        <v/>
      </c>
      <c r="AI690" s="82" t="str">
        <f t="shared" si="166"/>
        <v/>
      </c>
      <c r="AJ690" s="90"/>
      <c r="AP690" s="88"/>
    </row>
    <row r="691" spans="1:42" x14ac:dyDescent="0.25">
      <c r="A691" s="2"/>
      <c r="C691" s="68" t="str" cm="1">
        <f t="array" ref="C691">IF(AF691&lt;&gt;"",
IFERROR(INDEX('LaunchPad Markbook'!A:A,MATCH(AH691,'LaunchPad Markbook'!D:D,0),0),"-"),"")</f>
        <v/>
      </c>
      <c r="D691" s="27"/>
      <c r="E691" s="27"/>
      <c r="F691" s="27"/>
      <c r="G691" s="14">
        <f>IF(OR(H691&gt;AB$2,I691&gt;AC$2,J691&gt;AD$2,
P691&gt;1,V691&gt;1,
L691&gt;'Group List A'!E$2,M691&gt;'Group List A'!F$2,N691&gt;'Group List A'!G$2,
R691&gt;'Group List B'!E$2,S691&gt;'Group List B'!F$2,T691&gt;'Group List B'!G$2),"Exceed",
IF(OR(H691=AB$2,I691=AC$2,J691=AD$2,
P691=1,V691=1,
L691='Group List A'!E$2,M691='Group List A'!F$2,N691='Group List A'!G$2,
R691='Group List B'!E$2,S691='Group List B'!F$2,T691='Group List B'!G$2),"Limit",0))</f>
        <v>0</v>
      </c>
      <c r="H691" s="29">
        <f t="shared" si="152"/>
        <v>0</v>
      </c>
      <c r="I691" s="29">
        <f t="shared" si="153"/>
        <v>0</v>
      </c>
      <c r="J691" s="29">
        <f t="shared" si="154"/>
        <v>0</v>
      </c>
      <c r="K691" s="32" t="str" cm="1">
        <f t="array" ref="K691">IF(AF691&lt;&gt;"",IFERROR(INDEX('Group List A'!B:B,MATCH(AI691,'Group List A'!A:A,0),0),"-"),"")</f>
        <v/>
      </c>
      <c r="L691" s="33">
        <f t="shared" si="155"/>
        <v>0</v>
      </c>
      <c r="M691" s="33">
        <f t="shared" si="156"/>
        <v>0</v>
      </c>
      <c r="N691" s="33">
        <f t="shared" si="157"/>
        <v>0</v>
      </c>
      <c r="O691" s="28"/>
      <c r="P691" s="33">
        <f t="shared" si="158"/>
        <v>0</v>
      </c>
      <c r="Q691" s="35" t="str" cm="1">
        <f t="array" ref="Q691">IF(AF691&lt;&gt;"",IFERROR(INDEX('Group List B'!B:B,MATCH(AI691,'Group List B'!A:A,0),0),"-"),"")</f>
        <v/>
      </c>
      <c r="R691" s="36">
        <f t="shared" si="159"/>
        <v>0</v>
      </c>
      <c r="S691" s="36">
        <f t="shared" si="160"/>
        <v>0</v>
      </c>
      <c r="T691" s="36">
        <f t="shared" si="161"/>
        <v>0</v>
      </c>
      <c r="U691" s="28"/>
      <c r="V691" s="37">
        <f t="shared" si="162"/>
        <v>0</v>
      </c>
      <c r="W691" s="41"/>
      <c r="X691" s="27"/>
      <c r="Y691" s="27"/>
      <c r="Z691" s="27"/>
      <c r="AA691" s="15"/>
      <c r="AB691" s="17"/>
      <c r="AC691" s="17"/>
      <c r="AD691" s="17"/>
      <c r="AE691" s="90"/>
      <c r="AF691" s="82" t="str">
        <f t="shared" si="163"/>
        <v/>
      </c>
      <c r="AG691" s="83" t="str">
        <f t="shared" si="164"/>
        <v/>
      </c>
      <c r="AH691" s="82" t="str">
        <f t="shared" si="165"/>
        <v/>
      </c>
      <c r="AI691" s="82" t="str">
        <f t="shared" si="166"/>
        <v/>
      </c>
      <c r="AJ691" s="90"/>
      <c r="AP691" s="88"/>
    </row>
    <row r="692" spans="1:42" x14ac:dyDescent="0.25">
      <c r="A692" s="2"/>
      <c r="C692" s="68" t="str" cm="1">
        <f t="array" ref="C692">IF(AF692&lt;&gt;"",
IFERROR(INDEX('LaunchPad Markbook'!A:A,MATCH(AH692,'LaunchPad Markbook'!D:D,0),0),"-"),"")</f>
        <v/>
      </c>
      <c r="D692" s="27"/>
      <c r="E692" s="27"/>
      <c r="F692" s="27"/>
      <c r="G692" s="14">
        <f>IF(OR(H692&gt;AB$2,I692&gt;AC$2,J692&gt;AD$2,
P692&gt;1,V692&gt;1,
L692&gt;'Group List A'!E$2,M692&gt;'Group List A'!F$2,N692&gt;'Group List A'!G$2,
R692&gt;'Group List B'!E$2,S692&gt;'Group List B'!F$2,T692&gt;'Group List B'!G$2),"Exceed",
IF(OR(H692=AB$2,I692=AC$2,J692=AD$2,
P692=1,V692=1,
L692='Group List A'!E$2,M692='Group List A'!F$2,N692='Group List A'!G$2,
R692='Group List B'!E$2,S692='Group List B'!F$2,T692='Group List B'!G$2),"Limit",0))</f>
        <v>0</v>
      </c>
      <c r="H692" s="29">
        <f t="shared" si="152"/>
        <v>0</v>
      </c>
      <c r="I692" s="29">
        <f t="shared" si="153"/>
        <v>0</v>
      </c>
      <c r="J692" s="29">
        <f t="shared" si="154"/>
        <v>0</v>
      </c>
      <c r="K692" s="32" t="str" cm="1">
        <f t="array" ref="K692">IF(AF692&lt;&gt;"",IFERROR(INDEX('Group List A'!B:B,MATCH(AI692,'Group List A'!A:A,0),0),"-"),"")</f>
        <v/>
      </c>
      <c r="L692" s="33">
        <f t="shared" si="155"/>
        <v>0</v>
      </c>
      <c r="M692" s="33">
        <f t="shared" si="156"/>
        <v>0</v>
      </c>
      <c r="N692" s="33">
        <f t="shared" si="157"/>
        <v>0</v>
      </c>
      <c r="O692" s="28"/>
      <c r="P692" s="33">
        <f t="shared" si="158"/>
        <v>0</v>
      </c>
      <c r="Q692" s="35" t="str" cm="1">
        <f t="array" ref="Q692">IF(AF692&lt;&gt;"",IFERROR(INDEX('Group List B'!B:B,MATCH(AI692,'Group List B'!A:A,0),0),"-"),"")</f>
        <v/>
      </c>
      <c r="R692" s="36">
        <f t="shared" si="159"/>
        <v>0</v>
      </c>
      <c r="S692" s="36">
        <f t="shared" si="160"/>
        <v>0</v>
      </c>
      <c r="T692" s="36">
        <f t="shared" si="161"/>
        <v>0</v>
      </c>
      <c r="U692" s="28"/>
      <c r="V692" s="37">
        <f t="shared" si="162"/>
        <v>0</v>
      </c>
      <c r="W692" s="41"/>
      <c r="X692" s="27"/>
      <c r="Y692" s="27"/>
      <c r="Z692" s="27"/>
      <c r="AA692" s="15"/>
      <c r="AB692" s="17"/>
      <c r="AC692" s="17"/>
      <c r="AD692" s="17"/>
      <c r="AE692" s="90"/>
      <c r="AF692" s="82" t="str">
        <f t="shared" si="163"/>
        <v/>
      </c>
      <c r="AG692" s="83" t="str">
        <f t="shared" si="164"/>
        <v/>
      </c>
      <c r="AH692" s="82" t="str">
        <f t="shared" si="165"/>
        <v/>
      </c>
      <c r="AI692" s="82" t="str">
        <f t="shared" si="166"/>
        <v/>
      </c>
      <c r="AJ692" s="90"/>
      <c r="AP692" s="88"/>
    </row>
    <row r="693" spans="1:42" x14ac:dyDescent="0.25">
      <c r="A693" s="2"/>
      <c r="C693" s="68" t="str" cm="1">
        <f t="array" ref="C693">IF(AF693&lt;&gt;"",
IFERROR(INDEX('LaunchPad Markbook'!A:A,MATCH(AH693,'LaunchPad Markbook'!D:D,0),0),"-"),"")</f>
        <v/>
      </c>
      <c r="D693" s="27"/>
      <c r="E693" s="27"/>
      <c r="F693" s="27"/>
      <c r="G693" s="14">
        <f>IF(OR(H693&gt;AB$2,I693&gt;AC$2,J693&gt;AD$2,
P693&gt;1,V693&gt;1,
L693&gt;'Group List A'!E$2,M693&gt;'Group List A'!F$2,N693&gt;'Group List A'!G$2,
R693&gt;'Group List B'!E$2,S693&gt;'Group List B'!F$2,T693&gt;'Group List B'!G$2),"Exceed",
IF(OR(H693=AB$2,I693=AC$2,J693=AD$2,
P693=1,V693=1,
L693='Group List A'!E$2,M693='Group List A'!F$2,N693='Group List A'!G$2,
R693='Group List B'!E$2,S693='Group List B'!F$2,T693='Group List B'!G$2),"Limit",0))</f>
        <v>0</v>
      </c>
      <c r="H693" s="29">
        <f t="shared" si="152"/>
        <v>0</v>
      </c>
      <c r="I693" s="29">
        <f t="shared" si="153"/>
        <v>0</v>
      </c>
      <c r="J693" s="29">
        <f t="shared" si="154"/>
        <v>0</v>
      </c>
      <c r="K693" s="32" t="str" cm="1">
        <f t="array" ref="K693">IF(AF693&lt;&gt;"",IFERROR(INDEX('Group List A'!B:B,MATCH(AI693,'Group List A'!A:A,0),0),"-"),"")</f>
        <v/>
      </c>
      <c r="L693" s="33">
        <f t="shared" si="155"/>
        <v>0</v>
      </c>
      <c r="M693" s="33">
        <f t="shared" si="156"/>
        <v>0</v>
      </c>
      <c r="N693" s="33">
        <f t="shared" si="157"/>
        <v>0</v>
      </c>
      <c r="O693" s="28"/>
      <c r="P693" s="33">
        <f t="shared" si="158"/>
        <v>0</v>
      </c>
      <c r="Q693" s="35" t="str" cm="1">
        <f t="array" ref="Q693">IF(AF693&lt;&gt;"",IFERROR(INDEX('Group List B'!B:B,MATCH(AI693,'Group List B'!A:A,0),0),"-"),"")</f>
        <v/>
      </c>
      <c r="R693" s="36">
        <f t="shared" si="159"/>
        <v>0</v>
      </c>
      <c r="S693" s="36">
        <f t="shared" si="160"/>
        <v>0</v>
      </c>
      <c r="T693" s="36">
        <f t="shared" si="161"/>
        <v>0</v>
      </c>
      <c r="U693" s="28"/>
      <c r="V693" s="37">
        <f t="shared" si="162"/>
        <v>0</v>
      </c>
      <c r="W693" s="41"/>
      <c r="X693" s="27"/>
      <c r="Y693" s="27"/>
      <c r="Z693" s="27"/>
      <c r="AA693" s="15"/>
      <c r="AB693" s="17"/>
      <c r="AC693" s="17"/>
      <c r="AD693" s="17"/>
      <c r="AE693" s="90"/>
      <c r="AF693" s="82" t="str">
        <f t="shared" si="163"/>
        <v/>
      </c>
      <c r="AG693" s="83" t="str">
        <f t="shared" si="164"/>
        <v/>
      </c>
      <c r="AH693" s="82" t="str">
        <f t="shared" si="165"/>
        <v/>
      </c>
      <c r="AI693" s="82" t="str">
        <f t="shared" si="166"/>
        <v/>
      </c>
      <c r="AJ693" s="90"/>
      <c r="AP693" s="88"/>
    </row>
    <row r="694" spans="1:42" x14ac:dyDescent="0.25">
      <c r="A694" s="2"/>
      <c r="C694" s="68" t="str" cm="1">
        <f t="array" ref="C694">IF(AF694&lt;&gt;"",
IFERROR(INDEX('LaunchPad Markbook'!A:A,MATCH(AH694,'LaunchPad Markbook'!D:D,0),0),"-"),"")</f>
        <v/>
      </c>
      <c r="D694" s="27"/>
      <c r="E694" s="27"/>
      <c r="F694" s="27"/>
      <c r="G694" s="14">
        <f>IF(OR(H694&gt;AB$2,I694&gt;AC$2,J694&gt;AD$2,
P694&gt;1,V694&gt;1,
L694&gt;'Group List A'!E$2,M694&gt;'Group List A'!F$2,N694&gt;'Group List A'!G$2,
R694&gt;'Group List B'!E$2,S694&gt;'Group List B'!F$2,T694&gt;'Group List B'!G$2),"Exceed",
IF(OR(H694=AB$2,I694=AC$2,J694=AD$2,
P694=1,V694=1,
L694='Group List A'!E$2,M694='Group List A'!F$2,N694='Group List A'!G$2,
R694='Group List B'!E$2,S694='Group List B'!F$2,T694='Group List B'!G$2),"Limit",0))</f>
        <v>0</v>
      </c>
      <c r="H694" s="29">
        <f t="shared" si="152"/>
        <v>0</v>
      </c>
      <c r="I694" s="29">
        <f t="shared" si="153"/>
        <v>0</v>
      </c>
      <c r="J694" s="29">
        <f t="shared" si="154"/>
        <v>0</v>
      </c>
      <c r="K694" s="32" t="str" cm="1">
        <f t="array" ref="K694">IF(AF694&lt;&gt;"",IFERROR(INDEX('Group List A'!B:B,MATCH(AI694,'Group List A'!A:A,0),0),"-"),"")</f>
        <v/>
      </c>
      <c r="L694" s="33">
        <f t="shared" si="155"/>
        <v>0</v>
      </c>
      <c r="M694" s="33">
        <f t="shared" si="156"/>
        <v>0</v>
      </c>
      <c r="N694" s="33">
        <f t="shared" si="157"/>
        <v>0</v>
      </c>
      <c r="O694" s="28"/>
      <c r="P694" s="33">
        <f t="shared" si="158"/>
        <v>0</v>
      </c>
      <c r="Q694" s="35" t="str" cm="1">
        <f t="array" ref="Q694">IF(AF694&lt;&gt;"",IFERROR(INDEX('Group List B'!B:B,MATCH(AI694,'Group List B'!A:A,0),0),"-"),"")</f>
        <v/>
      </c>
      <c r="R694" s="36">
        <f t="shared" si="159"/>
        <v>0</v>
      </c>
      <c r="S694" s="36">
        <f t="shared" si="160"/>
        <v>0</v>
      </c>
      <c r="T694" s="36">
        <f t="shared" si="161"/>
        <v>0</v>
      </c>
      <c r="U694" s="28"/>
      <c r="V694" s="37">
        <f t="shared" si="162"/>
        <v>0</v>
      </c>
      <c r="W694" s="41"/>
      <c r="X694" s="27"/>
      <c r="Y694" s="27"/>
      <c r="Z694" s="27"/>
      <c r="AA694" s="15"/>
      <c r="AB694" s="17"/>
      <c r="AC694" s="17"/>
      <c r="AD694" s="17"/>
      <c r="AE694" s="90"/>
      <c r="AF694" s="82" t="str">
        <f t="shared" si="163"/>
        <v/>
      </c>
      <c r="AG694" s="83" t="str">
        <f t="shared" si="164"/>
        <v/>
      </c>
      <c r="AH694" s="82" t="str">
        <f t="shared" si="165"/>
        <v/>
      </c>
      <c r="AI694" s="82" t="str">
        <f t="shared" si="166"/>
        <v/>
      </c>
      <c r="AJ694" s="90"/>
      <c r="AP694" s="88"/>
    </row>
    <row r="695" spans="1:42" x14ac:dyDescent="0.25">
      <c r="A695" s="2"/>
      <c r="C695" s="68" t="str" cm="1">
        <f t="array" ref="C695">IF(AF695&lt;&gt;"",
IFERROR(INDEX('LaunchPad Markbook'!A:A,MATCH(AH695,'LaunchPad Markbook'!D:D,0),0),"-"),"")</f>
        <v/>
      </c>
      <c r="D695" s="27"/>
      <c r="E695" s="27"/>
      <c r="F695" s="27"/>
      <c r="G695" s="14">
        <f>IF(OR(H695&gt;AB$2,I695&gt;AC$2,J695&gt;AD$2,
P695&gt;1,V695&gt;1,
L695&gt;'Group List A'!E$2,M695&gt;'Group List A'!F$2,N695&gt;'Group List A'!G$2,
R695&gt;'Group List B'!E$2,S695&gt;'Group List B'!F$2,T695&gt;'Group List B'!G$2),"Exceed",
IF(OR(H695=AB$2,I695=AC$2,J695=AD$2,
P695=1,V695=1,
L695='Group List A'!E$2,M695='Group List A'!F$2,N695='Group List A'!G$2,
R695='Group List B'!E$2,S695='Group List B'!F$2,T695='Group List B'!G$2),"Limit",0))</f>
        <v>0</v>
      </c>
      <c r="H695" s="29">
        <f t="shared" si="152"/>
        <v>0</v>
      </c>
      <c r="I695" s="29">
        <f t="shared" si="153"/>
        <v>0</v>
      </c>
      <c r="J695" s="29">
        <f t="shared" si="154"/>
        <v>0</v>
      </c>
      <c r="K695" s="32" t="str" cm="1">
        <f t="array" ref="K695">IF(AF695&lt;&gt;"",IFERROR(INDEX('Group List A'!B:B,MATCH(AI695,'Group List A'!A:A,0),0),"-"),"")</f>
        <v/>
      </c>
      <c r="L695" s="33">
        <f t="shared" si="155"/>
        <v>0</v>
      </c>
      <c r="M695" s="33">
        <f t="shared" si="156"/>
        <v>0</v>
      </c>
      <c r="N695" s="33">
        <f t="shared" si="157"/>
        <v>0</v>
      </c>
      <c r="O695" s="28"/>
      <c r="P695" s="33">
        <f t="shared" si="158"/>
        <v>0</v>
      </c>
      <c r="Q695" s="35" t="str" cm="1">
        <f t="array" ref="Q695">IF(AF695&lt;&gt;"",IFERROR(INDEX('Group List B'!B:B,MATCH(AI695,'Group List B'!A:A,0),0),"-"),"")</f>
        <v/>
      </c>
      <c r="R695" s="36">
        <f t="shared" si="159"/>
        <v>0</v>
      </c>
      <c r="S695" s="36">
        <f t="shared" si="160"/>
        <v>0</v>
      </c>
      <c r="T695" s="36">
        <f t="shared" si="161"/>
        <v>0</v>
      </c>
      <c r="U695" s="28"/>
      <c r="V695" s="37">
        <f t="shared" si="162"/>
        <v>0</v>
      </c>
      <c r="W695" s="41"/>
      <c r="X695" s="27"/>
      <c r="Y695" s="27"/>
      <c r="Z695" s="27"/>
      <c r="AA695" s="15"/>
      <c r="AB695" s="17"/>
      <c r="AC695" s="17"/>
      <c r="AD695" s="17"/>
      <c r="AE695" s="90"/>
      <c r="AF695" s="82" t="str">
        <f t="shared" si="163"/>
        <v/>
      </c>
      <c r="AG695" s="83" t="str">
        <f t="shared" si="164"/>
        <v/>
      </c>
      <c r="AH695" s="82" t="str">
        <f t="shared" si="165"/>
        <v/>
      </c>
      <c r="AI695" s="82" t="str">
        <f t="shared" si="166"/>
        <v/>
      </c>
      <c r="AJ695" s="90"/>
      <c r="AP695" s="88"/>
    </row>
    <row r="696" spans="1:42" x14ac:dyDescent="0.25">
      <c r="A696" s="2"/>
      <c r="C696" s="68" t="str" cm="1">
        <f t="array" ref="C696">IF(AF696&lt;&gt;"",
IFERROR(INDEX('LaunchPad Markbook'!A:A,MATCH(AH696,'LaunchPad Markbook'!D:D,0),0),"-"),"")</f>
        <v/>
      </c>
      <c r="D696" s="27"/>
      <c r="E696" s="27"/>
      <c r="F696" s="27"/>
      <c r="G696" s="14">
        <f>IF(OR(H696&gt;AB$2,I696&gt;AC$2,J696&gt;AD$2,
P696&gt;1,V696&gt;1,
L696&gt;'Group List A'!E$2,M696&gt;'Group List A'!F$2,N696&gt;'Group List A'!G$2,
R696&gt;'Group List B'!E$2,S696&gt;'Group List B'!F$2,T696&gt;'Group List B'!G$2),"Exceed",
IF(OR(H696=AB$2,I696=AC$2,J696=AD$2,
P696=1,V696=1,
L696='Group List A'!E$2,M696='Group List A'!F$2,N696='Group List A'!G$2,
R696='Group List B'!E$2,S696='Group List B'!F$2,T696='Group List B'!G$2),"Limit",0))</f>
        <v>0</v>
      </c>
      <c r="H696" s="29">
        <f t="shared" si="152"/>
        <v>0</v>
      </c>
      <c r="I696" s="29">
        <f t="shared" si="153"/>
        <v>0</v>
      </c>
      <c r="J696" s="29">
        <f t="shared" si="154"/>
        <v>0</v>
      </c>
      <c r="K696" s="32" t="str" cm="1">
        <f t="array" ref="K696">IF(AF696&lt;&gt;"",IFERROR(INDEX('Group List A'!B:B,MATCH(AI696,'Group List A'!A:A,0),0),"-"),"")</f>
        <v/>
      </c>
      <c r="L696" s="33">
        <f t="shared" si="155"/>
        <v>0</v>
      </c>
      <c r="M696" s="33">
        <f t="shared" si="156"/>
        <v>0</v>
      </c>
      <c r="N696" s="33">
        <f t="shared" si="157"/>
        <v>0</v>
      </c>
      <c r="O696" s="28"/>
      <c r="P696" s="33">
        <f t="shared" si="158"/>
        <v>0</v>
      </c>
      <c r="Q696" s="35" t="str" cm="1">
        <f t="array" ref="Q696">IF(AF696&lt;&gt;"",IFERROR(INDEX('Group List B'!B:B,MATCH(AI696,'Group List B'!A:A,0),0),"-"),"")</f>
        <v/>
      </c>
      <c r="R696" s="36">
        <f t="shared" si="159"/>
        <v>0</v>
      </c>
      <c r="S696" s="36">
        <f t="shared" si="160"/>
        <v>0</v>
      </c>
      <c r="T696" s="36">
        <f t="shared" si="161"/>
        <v>0</v>
      </c>
      <c r="U696" s="28"/>
      <c r="V696" s="37">
        <f t="shared" si="162"/>
        <v>0</v>
      </c>
      <c r="W696" s="41"/>
      <c r="X696" s="27"/>
      <c r="Y696" s="27"/>
      <c r="Z696" s="27"/>
      <c r="AA696" s="15"/>
      <c r="AB696" s="17"/>
      <c r="AC696" s="17"/>
      <c r="AD696" s="17"/>
      <c r="AE696" s="90"/>
      <c r="AF696" s="82" t="str">
        <f t="shared" si="163"/>
        <v/>
      </c>
      <c r="AG696" s="83" t="str">
        <f t="shared" si="164"/>
        <v/>
      </c>
      <c r="AH696" s="82" t="str">
        <f t="shared" si="165"/>
        <v/>
      </c>
      <c r="AI696" s="82" t="str">
        <f t="shared" si="166"/>
        <v/>
      </c>
      <c r="AJ696" s="90"/>
      <c r="AP696" s="88"/>
    </row>
    <row r="697" spans="1:42" x14ac:dyDescent="0.25">
      <c r="A697" s="2"/>
      <c r="C697" s="68" t="str" cm="1">
        <f t="array" ref="C697">IF(AF697&lt;&gt;"",
IFERROR(INDEX('LaunchPad Markbook'!A:A,MATCH(AH697,'LaunchPad Markbook'!D:D,0),0),"-"),"")</f>
        <v/>
      </c>
      <c r="D697" s="27"/>
      <c r="E697" s="27"/>
      <c r="F697" s="27"/>
      <c r="G697" s="14">
        <f>IF(OR(H697&gt;AB$2,I697&gt;AC$2,J697&gt;AD$2,
P697&gt;1,V697&gt;1,
L697&gt;'Group List A'!E$2,M697&gt;'Group List A'!F$2,N697&gt;'Group List A'!G$2,
R697&gt;'Group List B'!E$2,S697&gt;'Group List B'!F$2,T697&gt;'Group List B'!G$2),"Exceed",
IF(OR(H697=AB$2,I697=AC$2,J697=AD$2,
P697=1,V697=1,
L697='Group List A'!E$2,M697='Group List A'!F$2,N697='Group List A'!G$2,
R697='Group List B'!E$2,S697='Group List B'!F$2,T697='Group List B'!G$2),"Limit",0))</f>
        <v>0</v>
      </c>
      <c r="H697" s="29">
        <f t="shared" si="152"/>
        <v>0</v>
      </c>
      <c r="I697" s="29">
        <f t="shared" si="153"/>
        <v>0</v>
      </c>
      <c r="J697" s="29">
        <f t="shared" si="154"/>
        <v>0</v>
      </c>
      <c r="K697" s="32" t="str" cm="1">
        <f t="array" ref="K697">IF(AF697&lt;&gt;"",IFERROR(INDEX('Group List A'!B:B,MATCH(AI697,'Group List A'!A:A,0),0),"-"),"")</f>
        <v/>
      </c>
      <c r="L697" s="33">
        <f t="shared" si="155"/>
        <v>0</v>
      </c>
      <c r="M697" s="33">
        <f t="shared" si="156"/>
        <v>0</v>
      </c>
      <c r="N697" s="33">
        <f t="shared" si="157"/>
        <v>0</v>
      </c>
      <c r="O697" s="28"/>
      <c r="P697" s="33">
        <f t="shared" si="158"/>
        <v>0</v>
      </c>
      <c r="Q697" s="35" t="str" cm="1">
        <f t="array" ref="Q697">IF(AF697&lt;&gt;"",IFERROR(INDEX('Group List B'!B:B,MATCH(AI697,'Group List B'!A:A,0),0),"-"),"")</f>
        <v/>
      </c>
      <c r="R697" s="36">
        <f t="shared" si="159"/>
        <v>0</v>
      </c>
      <c r="S697" s="36">
        <f t="shared" si="160"/>
        <v>0</v>
      </c>
      <c r="T697" s="36">
        <f t="shared" si="161"/>
        <v>0</v>
      </c>
      <c r="U697" s="28"/>
      <c r="V697" s="37">
        <f t="shared" si="162"/>
        <v>0</v>
      </c>
      <c r="W697" s="41"/>
      <c r="X697" s="27"/>
      <c r="Y697" s="27"/>
      <c r="Z697" s="27"/>
      <c r="AA697" s="15"/>
      <c r="AB697" s="17"/>
      <c r="AC697" s="17"/>
      <c r="AD697" s="17"/>
      <c r="AE697" s="90"/>
      <c r="AF697" s="82" t="str">
        <f t="shared" si="163"/>
        <v/>
      </c>
      <c r="AG697" s="83" t="str">
        <f t="shared" si="164"/>
        <v/>
      </c>
      <c r="AH697" s="82" t="str">
        <f t="shared" si="165"/>
        <v/>
      </c>
      <c r="AI697" s="82" t="str">
        <f t="shared" si="166"/>
        <v/>
      </c>
      <c r="AJ697" s="90"/>
      <c r="AP697" s="88"/>
    </row>
    <row r="698" spans="1:42" x14ac:dyDescent="0.25">
      <c r="A698" s="2"/>
      <c r="C698" s="68" t="str" cm="1">
        <f t="array" ref="C698">IF(AF698&lt;&gt;"",
IFERROR(INDEX('LaunchPad Markbook'!A:A,MATCH(AH698,'LaunchPad Markbook'!D:D,0),0),"-"),"")</f>
        <v/>
      </c>
      <c r="D698" s="27"/>
      <c r="E698" s="27"/>
      <c r="F698" s="27"/>
      <c r="G698" s="14">
        <f>IF(OR(H698&gt;AB$2,I698&gt;AC$2,J698&gt;AD$2,
P698&gt;1,V698&gt;1,
L698&gt;'Group List A'!E$2,M698&gt;'Group List A'!F$2,N698&gt;'Group List A'!G$2,
R698&gt;'Group List B'!E$2,S698&gt;'Group List B'!F$2,T698&gt;'Group List B'!G$2),"Exceed",
IF(OR(H698=AB$2,I698=AC$2,J698=AD$2,
P698=1,V698=1,
L698='Group List A'!E$2,M698='Group List A'!F$2,N698='Group List A'!G$2,
R698='Group List B'!E$2,S698='Group List B'!F$2,T698='Group List B'!G$2),"Limit",0))</f>
        <v>0</v>
      </c>
      <c r="H698" s="29">
        <f t="shared" si="152"/>
        <v>0</v>
      </c>
      <c r="I698" s="29">
        <f t="shared" si="153"/>
        <v>0</v>
      </c>
      <c r="J698" s="29">
        <f t="shared" si="154"/>
        <v>0</v>
      </c>
      <c r="K698" s="32" t="str" cm="1">
        <f t="array" ref="K698">IF(AF698&lt;&gt;"",IFERROR(INDEX('Group List A'!B:B,MATCH(AI698,'Group List A'!A:A,0),0),"-"),"")</f>
        <v/>
      </c>
      <c r="L698" s="33">
        <f t="shared" si="155"/>
        <v>0</v>
      </c>
      <c r="M698" s="33">
        <f t="shared" si="156"/>
        <v>0</v>
      </c>
      <c r="N698" s="33">
        <f t="shared" si="157"/>
        <v>0</v>
      </c>
      <c r="O698" s="28"/>
      <c r="P698" s="33">
        <f t="shared" si="158"/>
        <v>0</v>
      </c>
      <c r="Q698" s="35" t="str" cm="1">
        <f t="array" ref="Q698">IF(AF698&lt;&gt;"",IFERROR(INDEX('Group List B'!B:B,MATCH(AI698,'Group List B'!A:A,0),0),"-"),"")</f>
        <v/>
      </c>
      <c r="R698" s="36">
        <f t="shared" si="159"/>
        <v>0</v>
      </c>
      <c r="S698" s="36">
        <f t="shared" si="160"/>
        <v>0</v>
      </c>
      <c r="T698" s="36">
        <f t="shared" si="161"/>
        <v>0</v>
      </c>
      <c r="U698" s="28"/>
      <c r="V698" s="37">
        <f t="shared" si="162"/>
        <v>0</v>
      </c>
      <c r="W698" s="41"/>
      <c r="X698" s="27"/>
      <c r="Y698" s="27"/>
      <c r="Z698" s="27"/>
      <c r="AA698" s="15"/>
      <c r="AB698" s="17"/>
      <c r="AC698" s="17"/>
      <c r="AD698" s="17"/>
      <c r="AE698" s="90"/>
      <c r="AF698" s="82" t="str">
        <f t="shared" si="163"/>
        <v/>
      </c>
      <c r="AG698" s="83" t="str">
        <f t="shared" si="164"/>
        <v/>
      </c>
      <c r="AH698" s="82" t="str">
        <f t="shared" si="165"/>
        <v/>
      </c>
      <c r="AI698" s="82" t="str">
        <f t="shared" si="166"/>
        <v/>
      </c>
      <c r="AJ698" s="90"/>
      <c r="AP698" s="88"/>
    </row>
    <row r="699" spans="1:42" x14ac:dyDescent="0.25">
      <c r="A699" s="2"/>
      <c r="C699" s="68" t="str" cm="1">
        <f t="array" ref="C699">IF(AF699&lt;&gt;"",
IFERROR(INDEX('LaunchPad Markbook'!A:A,MATCH(AH699,'LaunchPad Markbook'!D:D,0),0),"-"),"")</f>
        <v/>
      </c>
      <c r="D699" s="27"/>
      <c r="E699" s="27"/>
      <c r="F699" s="27"/>
      <c r="G699" s="14">
        <f>IF(OR(H699&gt;AB$2,I699&gt;AC$2,J699&gt;AD$2,
P699&gt;1,V699&gt;1,
L699&gt;'Group List A'!E$2,M699&gt;'Group List A'!F$2,N699&gt;'Group List A'!G$2,
R699&gt;'Group List B'!E$2,S699&gt;'Group List B'!F$2,T699&gt;'Group List B'!G$2),"Exceed",
IF(OR(H699=AB$2,I699=AC$2,J699=AD$2,
P699=1,V699=1,
L699='Group List A'!E$2,M699='Group List A'!F$2,N699='Group List A'!G$2,
R699='Group List B'!E$2,S699='Group List B'!F$2,T699='Group List B'!G$2),"Limit",0))</f>
        <v>0</v>
      </c>
      <c r="H699" s="29">
        <f t="shared" si="152"/>
        <v>0</v>
      </c>
      <c r="I699" s="29">
        <f t="shared" si="153"/>
        <v>0</v>
      </c>
      <c r="J699" s="29">
        <f t="shared" si="154"/>
        <v>0</v>
      </c>
      <c r="K699" s="32" t="str" cm="1">
        <f t="array" ref="K699">IF(AF699&lt;&gt;"",IFERROR(INDEX('Group List A'!B:B,MATCH(AI699,'Group List A'!A:A,0),0),"-"),"")</f>
        <v/>
      </c>
      <c r="L699" s="33">
        <f t="shared" si="155"/>
        <v>0</v>
      </c>
      <c r="M699" s="33">
        <f t="shared" si="156"/>
        <v>0</v>
      </c>
      <c r="N699" s="33">
        <f t="shared" si="157"/>
        <v>0</v>
      </c>
      <c r="O699" s="28"/>
      <c r="P699" s="33">
        <f t="shared" si="158"/>
        <v>0</v>
      </c>
      <c r="Q699" s="35" t="str" cm="1">
        <f t="array" ref="Q699">IF(AF699&lt;&gt;"",IFERROR(INDEX('Group List B'!B:B,MATCH(AI699,'Group List B'!A:A,0),0),"-"),"")</f>
        <v/>
      </c>
      <c r="R699" s="36">
        <f t="shared" si="159"/>
        <v>0</v>
      </c>
      <c r="S699" s="36">
        <f t="shared" si="160"/>
        <v>0</v>
      </c>
      <c r="T699" s="36">
        <f t="shared" si="161"/>
        <v>0</v>
      </c>
      <c r="U699" s="28"/>
      <c r="V699" s="37">
        <f t="shared" si="162"/>
        <v>0</v>
      </c>
      <c r="W699" s="41"/>
      <c r="X699" s="27"/>
      <c r="Y699" s="27"/>
      <c r="Z699" s="27"/>
      <c r="AA699" s="15"/>
      <c r="AB699" s="17"/>
      <c r="AC699" s="17"/>
      <c r="AD699" s="17"/>
      <c r="AE699" s="90"/>
      <c r="AF699" s="82" t="str">
        <f t="shared" si="163"/>
        <v/>
      </c>
      <c r="AG699" s="83" t="str">
        <f t="shared" si="164"/>
        <v/>
      </c>
      <c r="AH699" s="82" t="str">
        <f t="shared" si="165"/>
        <v/>
      </c>
      <c r="AI699" s="82" t="str">
        <f t="shared" si="166"/>
        <v/>
      </c>
      <c r="AJ699" s="90"/>
      <c r="AP699" s="88"/>
    </row>
    <row r="700" spans="1:42" x14ac:dyDescent="0.25">
      <c r="A700" s="2"/>
      <c r="C700" s="68" t="str" cm="1">
        <f t="array" ref="C700">IF(AF700&lt;&gt;"",
IFERROR(INDEX('LaunchPad Markbook'!A:A,MATCH(AH700,'LaunchPad Markbook'!D:D,0),0),"-"),"")</f>
        <v/>
      </c>
      <c r="D700" s="27"/>
      <c r="E700" s="27"/>
      <c r="F700" s="27"/>
      <c r="G700" s="14">
        <f>IF(OR(H700&gt;AB$2,I700&gt;AC$2,J700&gt;AD$2,
P700&gt;1,V700&gt;1,
L700&gt;'Group List A'!E$2,M700&gt;'Group List A'!F$2,N700&gt;'Group List A'!G$2,
R700&gt;'Group List B'!E$2,S700&gt;'Group List B'!F$2,T700&gt;'Group List B'!G$2),"Exceed",
IF(OR(H700=AB$2,I700=AC$2,J700=AD$2,
P700=1,V700=1,
L700='Group List A'!E$2,M700='Group List A'!F$2,N700='Group List A'!G$2,
R700='Group List B'!E$2,S700='Group List B'!F$2,T700='Group List B'!G$2),"Limit",0))</f>
        <v>0</v>
      </c>
      <c r="H700" s="29">
        <f t="shared" si="152"/>
        <v>0</v>
      </c>
      <c r="I700" s="29">
        <f t="shared" si="153"/>
        <v>0</v>
      </c>
      <c r="J700" s="29">
        <f t="shared" si="154"/>
        <v>0</v>
      </c>
      <c r="K700" s="32" t="str" cm="1">
        <f t="array" ref="K700">IF(AF700&lt;&gt;"",IFERROR(INDEX('Group List A'!B:B,MATCH(AI700,'Group List A'!A:A,0),0),"-"),"")</f>
        <v/>
      </c>
      <c r="L700" s="33">
        <f t="shared" si="155"/>
        <v>0</v>
      </c>
      <c r="M700" s="33">
        <f t="shared" si="156"/>
        <v>0</v>
      </c>
      <c r="N700" s="33">
        <f t="shared" si="157"/>
        <v>0</v>
      </c>
      <c r="O700" s="28"/>
      <c r="P700" s="33">
        <f t="shared" si="158"/>
        <v>0</v>
      </c>
      <c r="Q700" s="35" t="str" cm="1">
        <f t="array" ref="Q700">IF(AF700&lt;&gt;"",IFERROR(INDEX('Group List B'!B:B,MATCH(AI700,'Group List B'!A:A,0),0),"-"),"")</f>
        <v/>
      </c>
      <c r="R700" s="36">
        <f t="shared" si="159"/>
        <v>0</v>
      </c>
      <c r="S700" s="36">
        <f t="shared" si="160"/>
        <v>0</v>
      </c>
      <c r="T700" s="36">
        <f t="shared" si="161"/>
        <v>0</v>
      </c>
      <c r="U700" s="28"/>
      <c r="V700" s="37">
        <f t="shared" si="162"/>
        <v>0</v>
      </c>
      <c r="W700" s="41"/>
      <c r="X700" s="27"/>
      <c r="Y700" s="27"/>
      <c r="Z700" s="27"/>
      <c r="AA700" s="15"/>
      <c r="AB700" s="17"/>
      <c r="AC700" s="17"/>
      <c r="AD700" s="17"/>
      <c r="AE700" s="90"/>
      <c r="AF700" s="82" t="str">
        <f t="shared" si="163"/>
        <v/>
      </c>
      <c r="AG700" s="83" t="str">
        <f t="shared" si="164"/>
        <v/>
      </c>
      <c r="AH700" s="82" t="str">
        <f t="shared" si="165"/>
        <v/>
      </c>
      <c r="AI700" s="82" t="str">
        <f t="shared" si="166"/>
        <v/>
      </c>
      <c r="AJ700" s="90"/>
      <c r="AP700" s="88"/>
    </row>
    <row r="701" spans="1:42" x14ac:dyDescent="0.25">
      <c r="A701" s="2"/>
      <c r="C701" s="68" t="str" cm="1">
        <f t="array" ref="C701">IF(AF701&lt;&gt;"",
IFERROR(INDEX('LaunchPad Markbook'!A:A,MATCH(AH701,'LaunchPad Markbook'!D:D,0),0),"-"),"")</f>
        <v/>
      </c>
      <c r="D701" s="27"/>
      <c r="E701" s="27"/>
      <c r="F701" s="27"/>
      <c r="G701" s="14">
        <f>IF(OR(H701&gt;AB$2,I701&gt;AC$2,J701&gt;AD$2,
P701&gt;1,V701&gt;1,
L701&gt;'Group List A'!E$2,M701&gt;'Group List A'!F$2,N701&gt;'Group List A'!G$2,
R701&gt;'Group List B'!E$2,S701&gt;'Group List B'!F$2,T701&gt;'Group List B'!G$2),"Exceed",
IF(OR(H701=AB$2,I701=AC$2,J701=AD$2,
P701=1,V701=1,
L701='Group List A'!E$2,M701='Group List A'!F$2,N701='Group List A'!G$2,
R701='Group List B'!E$2,S701='Group List B'!F$2,T701='Group List B'!G$2),"Limit",0))</f>
        <v>0</v>
      </c>
      <c r="H701" s="29">
        <f t="shared" si="152"/>
        <v>0</v>
      </c>
      <c r="I701" s="29">
        <f t="shared" si="153"/>
        <v>0</v>
      </c>
      <c r="J701" s="29">
        <f t="shared" si="154"/>
        <v>0</v>
      </c>
      <c r="K701" s="32" t="str" cm="1">
        <f t="array" ref="K701">IF(AF701&lt;&gt;"",IFERROR(INDEX('Group List A'!B:B,MATCH(AI701,'Group List A'!A:A,0),0),"-"),"")</f>
        <v/>
      </c>
      <c r="L701" s="33">
        <f t="shared" si="155"/>
        <v>0</v>
      </c>
      <c r="M701" s="33">
        <f t="shared" si="156"/>
        <v>0</v>
      </c>
      <c r="N701" s="33">
        <f t="shared" si="157"/>
        <v>0</v>
      </c>
      <c r="O701" s="28"/>
      <c r="P701" s="33">
        <f t="shared" si="158"/>
        <v>0</v>
      </c>
      <c r="Q701" s="35" t="str" cm="1">
        <f t="array" ref="Q701">IF(AF701&lt;&gt;"",IFERROR(INDEX('Group List B'!B:B,MATCH(AI701,'Group List B'!A:A,0),0),"-"),"")</f>
        <v/>
      </c>
      <c r="R701" s="36">
        <f t="shared" si="159"/>
        <v>0</v>
      </c>
      <c r="S701" s="36">
        <f t="shared" si="160"/>
        <v>0</v>
      </c>
      <c r="T701" s="36">
        <f t="shared" si="161"/>
        <v>0</v>
      </c>
      <c r="U701" s="28"/>
      <c r="V701" s="37">
        <f t="shared" si="162"/>
        <v>0</v>
      </c>
      <c r="W701" s="41"/>
      <c r="X701" s="27"/>
      <c r="Y701" s="27"/>
      <c r="Z701" s="27"/>
      <c r="AA701" s="15"/>
      <c r="AB701" s="17"/>
      <c r="AC701" s="17"/>
      <c r="AD701" s="17"/>
      <c r="AE701" s="90"/>
      <c r="AF701" s="82" t="str">
        <f t="shared" si="163"/>
        <v/>
      </c>
      <c r="AG701" s="83" t="str">
        <f t="shared" si="164"/>
        <v/>
      </c>
      <c r="AH701" s="82" t="str">
        <f t="shared" si="165"/>
        <v/>
      </c>
      <c r="AI701" s="82" t="str">
        <f t="shared" si="166"/>
        <v/>
      </c>
      <c r="AJ701" s="90"/>
      <c r="AP701" s="88"/>
    </row>
    <row r="702" spans="1:42" x14ac:dyDescent="0.25">
      <c r="A702" s="2"/>
      <c r="C702" s="68" t="str" cm="1">
        <f t="array" ref="C702">IF(AF702&lt;&gt;"",
IFERROR(INDEX('LaunchPad Markbook'!A:A,MATCH(AH702,'LaunchPad Markbook'!D:D,0),0),"-"),"")</f>
        <v/>
      </c>
      <c r="D702" s="27"/>
      <c r="E702" s="27"/>
      <c r="F702" s="27"/>
      <c r="G702" s="14">
        <f>IF(OR(H702&gt;AB$2,I702&gt;AC$2,J702&gt;AD$2,
P702&gt;1,V702&gt;1,
L702&gt;'Group List A'!E$2,M702&gt;'Group List A'!F$2,N702&gt;'Group List A'!G$2,
R702&gt;'Group List B'!E$2,S702&gt;'Group List B'!F$2,T702&gt;'Group List B'!G$2),"Exceed",
IF(OR(H702=AB$2,I702=AC$2,J702=AD$2,
P702=1,V702=1,
L702='Group List A'!E$2,M702='Group List A'!F$2,N702='Group List A'!G$2,
R702='Group List B'!E$2,S702='Group List B'!F$2,T702='Group List B'!G$2),"Limit",0))</f>
        <v>0</v>
      </c>
      <c r="H702" s="29">
        <f t="shared" si="152"/>
        <v>0</v>
      </c>
      <c r="I702" s="29">
        <f t="shared" si="153"/>
        <v>0</v>
      </c>
      <c r="J702" s="29">
        <f t="shared" si="154"/>
        <v>0</v>
      </c>
      <c r="K702" s="32" t="str" cm="1">
        <f t="array" ref="K702">IF(AF702&lt;&gt;"",IFERROR(INDEX('Group List A'!B:B,MATCH(AI702,'Group List A'!A:A,0),0),"-"),"")</f>
        <v/>
      </c>
      <c r="L702" s="33">
        <f t="shared" si="155"/>
        <v>0</v>
      </c>
      <c r="M702" s="33">
        <f t="shared" si="156"/>
        <v>0</v>
      </c>
      <c r="N702" s="33">
        <f t="shared" si="157"/>
        <v>0</v>
      </c>
      <c r="O702" s="28"/>
      <c r="P702" s="33">
        <f t="shared" si="158"/>
        <v>0</v>
      </c>
      <c r="Q702" s="35" t="str" cm="1">
        <f t="array" ref="Q702">IF(AF702&lt;&gt;"",IFERROR(INDEX('Group List B'!B:B,MATCH(AI702,'Group List B'!A:A,0),0),"-"),"")</f>
        <v/>
      </c>
      <c r="R702" s="36">
        <f t="shared" si="159"/>
        <v>0</v>
      </c>
      <c r="S702" s="36">
        <f t="shared" si="160"/>
        <v>0</v>
      </c>
      <c r="T702" s="36">
        <f t="shared" si="161"/>
        <v>0</v>
      </c>
      <c r="U702" s="28"/>
      <c r="V702" s="37">
        <f t="shared" si="162"/>
        <v>0</v>
      </c>
      <c r="W702" s="41"/>
      <c r="X702" s="27"/>
      <c r="Y702" s="27"/>
      <c r="Z702" s="27"/>
      <c r="AA702" s="15"/>
      <c r="AB702" s="17"/>
      <c r="AC702" s="17"/>
      <c r="AD702" s="17"/>
      <c r="AE702" s="90"/>
      <c r="AF702" s="82" t="str">
        <f t="shared" si="163"/>
        <v/>
      </c>
      <c r="AG702" s="83" t="str">
        <f t="shared" si="164"/>
        <v/>
      </c>
      <c r="AH702" s="82" t="str">
        <f t="shared" si="165"/>
        <v/>
      </c>
      <c r="AI702" s="82" t="str">
        <f t="shared" si="166"/>
        <v/>
      </c>
      <c r="AJ702" s="90"/>
      <c r="AP702" s="88"/>
    </row>
    <row r="703" spans="1:42" x14ac:dyDescent="0.25">
      <c r="A703" s="2"/>
      <c r="C703" s="68" t="str" cm="1">
        <f t="array" ref="C703">IF(AF703&lt;&gt;"",
IFERROR(INDEX('LaunchPad Markbook'!A:A,MATCH(AH703,'LaunchPad Markbook'!D:D,0),0),"-"),"")</f>
        <v/>
      </c>
      <c r="D703" s="27"/>
      <c r="E703" s="27"/>
      <c r="F703" s="27"/>
      <c r="G703" s="14">
        <f>IF(OR(H703&gt;AB$2,I703&gt;AC$2,J703&gt;AD$2,
P703&gt;1,V703&gt;1,
L703&gt;'Group List A'!E$2,M703&gt;'Group List A'!F$2,N703&gt;'Group List A'!G$2,
R703&gt;'Group List B'!E$2,S703&gt;'Group List B'!F$2,T703&gt;'Group List B'!G$2),"Exceed",
IF(OR(H703=AB$2,I703=AC$2,J703=AD$2,
P703=1,V703=1,
L703='Group List A'!E$2,M703='Group List A'!F$2,N703='Group List A'!G$2,
R703='Group List B'!E$2,S703='Group List B'!F$2,T703='Group List B'!G$2),"Limit",0))</f>
        <v>0</v>
      </c>
      <c r="H703" s="29">
        <f t="shared" si="152"/>
        <v>0</v>
      </c>
      <c r="I703" s="29">
        <f t="shared" si="153"/>
        <v>0</v>
      </c>
      <c r="J703" s="29">
        <f t="shared" si="154"/>
        <v>0</v>
      </c>
      <c r="K703" s="32" t="str" cm="1">
        <f t="array" ref="K703">IF(AF703&lt;&gt;"",IFERROR(INDEX('Group List A'!B:B,MATCH(AI703,'Group List A'!A:A,0),0),"-"),"")</f>
        <v/>
      </c>
      <c r="L703" s="33">
        <f t="shared" si="155"/>
        <v>0</v>
      </c>
      <c r="M703" s="33">
        <f t="shared" si="156"/>
        <v>0</v>
      </c>
      <c r="N703" s="33">
        <f t="shared" si="157"/>
        <v>0</v>
      </c>
      <c r="O703" s="28"/>
      <c r="P703" s="33">
        <f t="shared" si="158"/>
        <v>0</v>
      </c>
      <c r="Q703" s="35" t="str" cm="1">
        <f t="array" ref="Q703">IF(AF703&lt;&gt;"",IFERROR(INDEX('Group List B'!B:B,MATCH(AI703,'Group List B'!A:A,0),0),"-"),"")</f>
        <v/>
      </c>
      <c r="R703" s="36">
        <f t="shared" si="159"/>
        <v>0</v>
      </c>
      <c r="S703" s="36">
        <f t="shared" si="160"/>
        <v>0</v>
      </c>
      <c r="T703" s="36">
        <f t="shared" si="161"/>
        <v>0</v>
      </c>
      <c r="U703" s="28"/>
      <c r="V703" s="37">
        <f t="shared" si="162"/>
        <v>0</v>
      </c>
      <c r="W703" s="41"/>
      <c r="X703" s="27"/>
      <c r="Y703" s="27"/>
      <c r="Z703" s="27"/>
      <c r="AA703" s="15"/>
      <c r="AB703" s="17"/>
      <c r="AC703" s="17"/>
      <c r="AD703" s="17"/>
      <c r="AE703" s="90"/>
      <c r="AF703" s="82" t="str">
        <f t="shared" si="163"/>
        <v/>
      </c>
      <c r="AG703" s="83" t="str">
        <f t="shared" si="164"/>
        <v/>
      </c>
      <c r="AH703" s="82" t="str">
        <f t="shared" si="165"/>
        <v/>
      </c>
      <c r="AI703" s="82" t="str">
        <f t="shared" si="166"/>
        <v/>
      </c>
      <c r="AJ703" s="90"/>
      <c r="AP703" s="88"/>
    </row>
    <row r="704" spans="1:42" x14ac:dyDescent="0.25">
      <c r="A704" s="2"/>
      <c r="C704" s="68" t="str" cm="1">
        <f t="array" ref="C704">IF(AF704&lt;&gt;"",
IFERROR(INDEX('LaunchPad Markbook'!A:A,MATCH(AH704,'LaunchPad Markbook'!D:D,0),0),"-"),"")</f>
        <v/>
      </c>
      <c r="D704" s="27"/>
      <c r="E704" s="27"/>
      <c r="F704" s="27"/>
      <c r="G704" s="14">
        <f>IF(OR(H704&gt;AB$2,I704&gt;AC$2,J704&gt;AD$2,
P704&gt;1,V704&gt;1,
L704&gt;'Group List A'!E$2,M704&gt;'Group List A'!F$2,N704&gt;'Group List A'!G$2,
R704&gt;'Group List B'!E$2,S704&gt;'Group List B'!F$2,T704&gt;'Group List B'!G$2),"Exceed",
IF(OR(H704=AB$2,I704=AC$2,J704=AD$2,
P704=1,V704=1,
L704='Group List A'!E$2,M704='Group List A'!F$2,N704='Group List A'!G$2,
R704='Group List B'!E$2,S704='Group List B'!F$2,T704='Group List B'!G$2),"Limit",0))</f>
        <v>0</v>
      </c>
      <c r="H704" s="29">
        <f t="shared" si="152"/>
        <v>0</v>
      </c>
      <c r="I704" s="29">
        <f t="shared" si="153"/>
        <v>0</v>
      </c>
      <c r="J704" s="29">
        <f t="shared" si="154"/>
        <v>0</v>
      </c>
      <c r="K704" s="32" t="str" cm="1">
        <f t="array" ref="K704">IF(AF704&lt;&gt;"",IFERROR(INDEX('Group List A'!B:B,MATCH(AI704,'Group List A'!A:A,0),0),"-"),"")</f>
        <v/>
      </c>
      <c r="L704" s="33">
        <f t="shared" si="155"/>
        <v>0</v>
      </c>
      <c r="M704" s="33">
        <f t="shared" si="156"/>
        <v>0</v>
      </c>
      <c r="N704" s="33">
        <f t="shared" si="157"/>
        <v>0</v>
      </c>
      <c r="O704" s="28"/>
      <c r="P704" s="33">
        <f t="shared" si="158"/>
        <v>0</v>
      </c>
      <c r="Q704" s="35" t="str" cm="1">
        <f t="array" ref="Q704">IF(AF704&lt;&gt;"",IFERROR(INDEX('Group List B'!B:B,MATCH(AI704,'Group List B'!A:A,0),0),"-"),"")</f>
        <v/>
      </c>
      <c r="R704" s="36">
        <f t="shared" si="159"/>
        <v>0</v>
      </c>
      <c r="S704" s="36">
        <f t="shared" si="160"/>
        <v>0</v>
      </c>
      <c r="T704" s="36">
        <f t="shared" si="161"/>
        <v>0</v>
      </c>
      <c r="U704" s="28"/>
      <c r="V704" s="37">
        <f t="shared" si="162"/>
        <v>0</v>
      </c>
      <c r="W704" s="41"/>
      <c r="X704" s="27"/>
      <c r="Y704" s="27"/>
      <c r="Z704" s="27"/>
      <c r="AA704" s="15"/>
      <c r="AB704" s="17"/>
      <c r="AC704" s="17"/>
      <c r="AD704" s="17"/>
      <c r="AE704" s="90"/>
      <c r="AF704" s="82" t="str">
        <f t="shared" si="163"/>
        <v/>
      </c>
      <c r="AG704" s="83" t="str">
        <f t="shared" si="164"/>
        <v/>
      </c>
      <c r="AH704" s="82" t="str">
        <f t="shared" si="165"/>
        <v/>
      </c>
      <c r="AI704" s="82" t="str">
        <f t="shared" si="166"/>
        <v/>
      </c>
      <c r="AJ704" s="90"/>
      <c r="AP704" s="88"/>
    </row>
    <row r="705" spans="1:42" x14ac:dyDescent="0.25">
      <c r="A705" s="2"/>
      <c r="C705" s="68" t="str" cm="1">
        <f t="array" ref="C705">IF(AF705&lt;&gt;"",
IFERROR(INDEX('LaunchPad Markbook'!A:A,MATCH(AH705,'LaunchPad Markbook'!D:D,0),0),"-"),"")</f>
        <v/>
      </c>
      <c r="D705" s="27"/>
      <c r="E705" s="27"/>
      <c r="F705" s="27"/>
      <c r="G705" s="14">
        <f>IF(OR(H705&gt;AB$2,I705&gt;AC$2,J705&gt;AD$2,
P705&gt;1,V705&gt;1,
L705&gt;'Group List A'!E$2,M705&gt;'Group List A'!F$2,N705&gt;'Group List A'!G$2,
R705&gt;'Group List B'!E$2,S705&gt;'Group List B'!F$2,T705&gt;'Group List B'!G$2),"Exceed",
IF(OR(H705=AB$2,I705=AC$2,J705=AD$2,
P705=1,V705=1,
L705='Group List A'!E$2,M705='Group List A'!F$2,N705='Group List A'!G$2,
R705='Group List B'!E$2,S705='Group List B'!F$2,T705='Group List B'!G$2),"Limit",0))</f>
        <v>0</v>
      </c>
      <c r="H705" s="29">
        <f t="shared" si="152"/>
        <v>0</v>
      </c>
      <c r="I705" s="29">
        <f t="shared" si="153"/>
        <v>0</v>
      </c>
      <c r="J705" s="29">
        <f t="shared" si="154"/>
        <v>0</v>
      </c>
      <c r="K705" s="32" t="str" cm="1">
        <f t="array" ref="K705">IF(AF705&lt;&gt;"",IFERROR(INDEX('Group List A'!B:B,MATCH(AI705,'Group List A'!A:A,0),0),"-"),"")</f>
        <v/>
      </c>
      <c r="L705" s="33">
        <f t="shared" si="155"/>
        <v>0</v>
      </c>
      <c r="M705" s="33">
        <f t="shared" si="156"/>
        <v>0</v>
      </c>
      <c r="N705" s="33">
        <f t="shared" si="157"/>
        <v>0</v>
      </c>
      <c r="O705" s="28"/>
      <c r="P705" s="33">
        <f t="shared" si="158"/>
        <v>0</v>
      </c>
      <c r="Q705" s="35" t="str" cm="1">
        <f t="array" ref="Q705">IF(AF705&lt;&gt;"",IFERROR(INDEX('Group List B'!B:B,MATCH(AI705,'Group List B'!A:A,0),0),"-"),"")</f>
        <v/>
      </c>
      <c r="R705" s="36">
        <f t="shared" si="159"/>
        <v>0</v>
      </c>
      <c r="S705" s="36">
        <f t="shared" si="160"/>
        <v>0</v>
      </c>
      <c r="T705" s="36">
        <f t="shared" si="161"/>
        <v>0</v>
      </c>
      <c r="U705" s="28"/>
      <c r="V705" s="37">
        <f t="shared" si="162"/>
        <v>0</v>
      </c>
      <c r="W705" s="41"/>
      <c r="X705" s="27"/>
      <c r="Y705" s="27"/>
      <c r="Z705" s="27"/>
      <c r="AA705" s="15"/>
      <c r="AB705" s="17"/>
      <c r="AC705" s="17"/>
      <c r="AD705" s="17"/>
      <c r="AE705" s="90"/>
      <c r="AF705" s="82" t="str">
        <f t="shared" si="163"/>
        <v/>
      </c>
      <c r="AG705" s="83" t="str">
        <f t="shared" si="164"/>
        <v/>
      </c>
      <c r="AH705" s="82" t="str">
        <f t="shared" si="165"/>
        <v/>
      </c>
      <c r="AI705" s="82" t="str">
        <f t="shared" si="166"/>
        <v/>
      </c>
      <c r="AJ705" s="90"/>
      <c r="AP705" s="88"/>
    </row>
    <row r="706" spans="1:42" x14ac:dyDescent="0.25">
      <c r="A706" s="2"/>
      <c r="C706" s="68" t="str" cm="1">
        <f t="array" ref="C706">IF(AF706&lt;&gt;"",
IFERROR(INDEX('LaunchPad Markbook'!A:A,MATCH(AH706,'LaunchPad Markbook'!D:D,0),0),"-"),"")</f>
        <v/>
      </c>
      <c r="D706" s="27"/>
      <c r="E706" s="27"/>
      <c r="F706" s="27"/>
      <c r="G706" s="14">
        <f>IF(OR(H706&gt;AB$2,I706&gt;AC$2,J706&gt;AD$2,
P706&gt;1,V706&gt;1,
L706&gt;'Group List A'!E$2,M706&gt;'Group List A'!F$2,N706&gt;'Group List A'!G$2,
R706&gt;'Group List B'!E$2,S706&gt;'Group List B'!F$2,T706&gt;'Group List B'!G$2),"Exceed",
IF(OR(H706=AB$2,I706=AC$2,J706=AD$2,
P706=1,V706=1,
L706='Group List A'!E$2,M706='Group List A'!F$2,N706='Group List A'!G$2,
R706='Group List B'!E$2,S706='Group List B'!F$2,T706='Group List B'!G$2),"Limit",0))</f>
        <v>0</v>
      </c>
      <c r="H706" s="29">
        <f t="shared" si="152"/>
        <v>0</v>
      </c>
      <c r="I706" s="29">
        <f t="shared" si="153"/>
        <v>0</v>
      </c>
      <c r="J706" s="29">
        <f t="shared" si="154"/>
        <v>0</v>
      </c>
      <c r="K706" s="32" t="str" cm="1">
        <f t="array" ref="K706">IF(AF706&lt;&gt;"",IFERROR(INDEX('Group List A'!B:B,MATCH(AI706,'Group List A'!A:A,0),0),"-"),"")</f>
        <v/>
      </c>
      <c r="L706" s="33">
        <f t="shared" si="155"/>
        <v>0</v>
      </c>
      <c r="M706" s="33">
        <f t="shared" si="156"/>
        <v>0</v>
      </c>
      <c r="N706" s="33">
        <f t="shared" si="157"/>
        <v>0</v>
      </c>
      <c r="O706" s="28"/>
      <c r="P706" s="33">
        <f t="shared" si="158"/>
        <v>0</v>
      </c>
      <c r="Q706" s="35" t="str" cm="1">
        <f t="array" ref="Q706">IF(AF706&lt;&gt;"",IFERROR(INDEX('Group List B'!B:B,MATCH(AI706,'Group List B'!A:A,0),0),"-"),"")</f>
        <v/>
      </c>
      <c r="R706" s="36">
        <f t="shared" si="159"/>
        <v>0</v>
      </c>
      <c r="S706" s="36">
        <f t="shared" si="160"/>
        <v>0</v>
      </c>
      <c r="T706" s="36">
        <f t="shared" si="161"/>
        <v>0</v>
      </c>
      <c r="U706" s="28"/>
      <c r="V706" s="37">
        <f t="shared" si="162"/>
        <v>0</v>
      </c>
      <c r="W706" s="41"/>
      <c r="X706" s="27"/>
      <c r="Y706" s="27"/>
      <c r="Z706" s="27"/>
      <c r="AA706" s="15"/>
      <c r="AB706" s="17"/>
      <c r="AC706" s="17"/>
      <c r="AD706" s="17"/>
      <c r="AE706" s="90"/>
      <c r="AF706" s="82" t="str">
        <f t="shared" si="163"/>
        <v/>
      </c>
      <c r="AG706" s="83" t="str">
        <f t="shared" si="164"/>
        <v/>
      </c>
      <c r="AH706" s="82" t="str">
        <f t="shared" si="165"/>
        <v/>
      </c>
      <c r="AI706" s="82" t="str">
        <f t="shared" si="166"/>
        <v/>
      </c>
      <c r="AJ706" s="90"/>
      <c r="AP706" s="88"/>
    </row>
    <row r="707" spans="1:42" x14ac:dyDescent="0.25">
      <c r="A707" s="2"/>
      <c r="C707" s="68" t="str" cm="1">
        <f t="array" ref="C707">IF(AF707&lt;&gt;"",
IFERROR(INDEX('LaunchPad Markbook'!A:A,MATCH(AH707,'LaunchPad Markbook'!D:D,0),0),"-"),"")</f>
        <v/>
      </c>
      <c r="D707" s="27"/>
      <c r="E707" s="27"/>
      <c r="F707" s="27"/>
      <c r="G707" s="14">
        <f>IF(OR(H707&gt;AB$2,I707&gt;AC$2,J707&gt;AD$2,
P707&gt;1,V707&gt;1,
L707&gt;'Group List A'!E$2,M707&gt;'Group List A'!F$2,N707&gt;'Group List A'!G$2,
R707&gt;'Group List B'!E$2,S707&gt;'Group List B'!F$2,T707&gt;'Group List B'!G$2),"Exceed",
IF(OR(H707=AB$2,I707=AC$2,J707=AD$2,
P707=1,V707=1,
L707='Group List A'!E$2,M707='Group List A'!F$2,N707='Group List A'!G$2,
R707='Group List B'!E$2,S707='Group List B'!F$2,T707='Group List B'!G$2),"Limit",0))</f>
        <v>0</v>
      </c>
      <c r="H707" s="29">
        <f t="shared" ref="H707:H770" si="167">IF(AND(K707="-",Q707="-"),
SUMIFS(D$2:D$2000,$AH$2:$AH$2000,$AH707),0)</f>
        <v>0</v>
      </c>
      <c r="I707" s="29">
        <f t="shared" ref="I707:I770" si="168">IF(AND(K707="-",Q707="-"),
SUMIFS(E$2:E$2000,$AH$2:$AH$2000,$AH707),0)</f>
        <v>0</v>
      </c>
      <c r="J707" s="29">
        <f t="shared" ref="J707:J770" si="169">IF(AND(K707="-",Q707="-"),
SUMIFS(F$2:F$2000,$AH$2:$AH$2000,$AH707),0)</f>
        <v>0</v>
      </c>
      <c r="K707" s="32" t="str" cm="1">
        <f t="array" ref="K707">IF(AF707&lt;&gt;"",IFERROR(INDEX('Group List A'!B:B,MATCH(AI707,'Group List A'!A:A,0),0),"-"),"")</f>
        <v/>
      </c>
      <c r="L707" s="33">
        <f t="shared" ref="L707:L770" si="170">IF($K707&lt;&gt;"-",SUMIFS(D$2:D$2000,$K$2:$K$2000,$K707),0)</f>
        <v>0</v>
      </c>
      <c r="M707" s="33">
        <f t="shared" ref="M707:M770" si="171">IF($K707&lt;&gt;"-",SUMIFS(E$2:E$2000,$K$2:$K$2000,$K707),0)</f>
        <v>0</v>
      </c>
      <c r="N707" s="33">
        <f t="shared" ref="N707:N770" si="172">IF($K707&lt;&gt;"-",SUMIFS(F$2:F$2000,$K$2:$K$2000,$K707),0)</f>
        <v>0</v>
      </c>
      <c r="O707" s="28"/>
      <c r="P707" s="33">
        <f t="shared" ref="P707:P770" si="173">SUMIFS(O$2:O$2000,$AH$2:$AH$2000,$AH707)</f>
        <v>0</v>
      </c>
      <c r="Q707" s="35" t="str" cm="1">
        <f t="array" ref="Q707">IF(AF707&lt;&gt;"",IFERROR(INDEX('Group List B'!B:B,MATCH(AI707,'Group List B'!A:A,0),0),"-"),"")</f>
        <v/>
      </c>
      <c r="R707" s="36">
        <f t="shared" ref="R707:R770" si="174">IF($Q707&lt;&gt;"-",SUMIFS(D$2:D$2000,$Q$2:$Q$2000,$Q707),0)</f>
        <v>0</v>
      </c>
      <c r="S707" s="36">
        <f t="shared" ref="S707:S770" si="175">IF($Q707&lt;&gt;"-",SUMIFS(E$2:E$2000,$Q$2:$Q$2000,$Q707),0)</f>
        <v>0</v>
      </c>
      <c r="T707" s="36">
        <f t="shared" ref="T707:T770" si="176">IF($Q707&lt;&gt;"-",SUMIFS(F$2:F$2000,$Q$2:$Q$2000,$Q707),0)</f>
        <v>0</v>
      </c>
      <c r="U707" s="28"/>
      <c r="V707" s="37">
        <f t="shared" ref="V707:V770" si="177">SUMIFS(U$2:U$2000,$AH$2:$AH$2000,$AH707)</f>
        <v>0</v>
      </c>
      <c r="W707" s="41"/>
      <c r="X707" s="27"/>
      <c r="Y707" s="27"/>
      <c r="Z707" s="27"/>
      <c r="AA707" s="15"/>
      <c r="AB707" s="17"/>
      <c r="AC707" s="17"/>
      <c r="AD707" s="17"/>
      <c r="AE707" s="90"/>
      <c r="AF707" s="82" t="str">
        <f t="shared" ref="AF707:AF770" si="178">IF(A707&lt;&gt;"",A707,"")</f>
        <v/>
      </c>
      <c r="AG707" s="83" t="str">
        <f t="shared" ref="AG707:AG770" si="179">IF(MID(AF707,1,1)="N","STUDENT",
IF(MID(AF707,1,1)="S","STAFF",
IF(MID(AF707,1,1)="V","VISITOR",
IF(AF707&lt;&gt;"","ERROR",""))))</f>
        <v/>
      </c>
      <c r="AH707" s="82" t="str">
        <f t="shared" ref="AH707:AH770" si="180">IF(AG707="STUDENT","N"&amp;(MID(AF707,2,8)-0),
IF(AG707="STAFF","S"&amp;MID(AF707,2,8),""))</f>
        <v/>
      </c>
      <c r="AI707" s="82" t="str">
        <f t="shared" ref="AI707:AI770" si="181">IF(AG707="STUDENT",(MID(AF707,2,8)-0),
IF(AG707="STAFF","STAFF",""))</f>
        <v/>
      </c>
      <c r="AJ707" s="90"/>
      <c r="AP707" s="88"/>
    </row>
    <row r="708" spans="1:42" x14ac:dyDescent="0.25">
      <c r="A708" s="2"/>
      <c r="C708" s="68" t="str" cm="1">
        <f t="array" ref="C708">IF(AF708&lt;&gt;"",
IFERROR(INDEX('LaunchPad Markbook'!A:A,MATCH(AH708,'LaunchPad Markbook'!D:D,0),0),"-"),"")</f>
        <v/>
      </c>
      <c r="D708" s="27"/>
      <c r="E708" s="27"/>
      <c r="F708" s="27"/>
      <c r="G708" s="14">
        <f>IF(OR(H708&gt;AB$2,I708&gt;AC$2,J708&gt;AD$2,
P708&gt;1,V708&gt;1,
L708&gt;'Group List A'!E$2,M708&gt;'Group List A'!F$2,N708&gt;'Group List A'!G$2,
R708&gt;'Group List B'!E$2,S708&gt;'Group List B'!F$2,T708&gt;'Group List B'!G$2),"Exceed",
IF(OR(H708=AB$2,I708=AC$2,J708=AD$2,
P708=1,V708=1,
L708='Group List A'!E$2,M708='Group List A'!F$2,N708='Group List A'!G$2,
R708='Group List B'!E$2,S708='Group List B'!F$2,T708='Group List B'!G$2),"Limit",0))</f>
        <v>0</v>
      </c>
      <c r="H708" s="29">
        <f t="shared" si="167"/>
        <v>0</v>
      </c>
      <c r="I708" s="29">
        <f t="shared" si="168"/>
        <v>0</v>
      </c>
      <c r="J708" s="29">
        <f t="shared" si="169"/>
        <v>0</v>
      </c>
      <c r="K708" s="32" t="str" cm="1">
        <f t="array" ref="K708">IF(AF708&lt;&gt;"",IFERROR(INDEX('Group List A'!B:B,MATCH(AI708,'Group List A'!A:A,0),0),"-"),"")</f>
        <v/>
      </c>
      <c r="L708" s="33">
        <f t="shared" si="170"/>
        <v>0</v>
      </c>
      <c r="M708" s="33">
        <f t="shared" si="171"/>
        <v>0</v>
      </c>
      <c r="N708" s="33">
        <f t="shared" si="172"/>
        <v>0</v>
      </c>
      <c r="O708" s="28"/>
      <c r="P708" s="33">
        <f t="shared" si="173"/>
        <v>0</v>
      </c>
      <c r="Q708" s="35" t="str" cm="1">
        <f t="array" ref="Q708">IF(AF708&lt;&gt;"",IFERROR(INDEX('Group List B'!B:B,MATCH(AI708,'Group List B'!A:A,0),0),"-"),"")</f>
        <v/>
      </c>
      <c r="R708" s="36">
        <f t="shared" si="174"/>
        <v>0</v>
      </c>
      <c r="S708" s="36">
        <f t="shared" si="175"/>
        <v>0</v>
      </c>
      <c r="T708" s="36">
        <f t="shared" si="176"/>
        <v>0</v>
      </c>
      <c r="U708" s="28"/>
      <c r="V708" s="37">
        <f t="shared" si="177"/>
        <v>0</v>
      </c>
      <c r="W708" s="41"/>
      <c r="X708" s="27"/>
      <c r="Y708" s="27"/>
      <c r="Z708" s="27"/>
      <c r="AA708" s="15"/>
      <c r="AB708" s="17"/>
      <c r="AC708" s="17"/>
      <c r="AD708" s="17"/>
      <c r="AE708" s="90"/>
      <c r="AF708" s="82" t="str">
        <f t="shared" si="178"/>
        <v/>
      </c>
      <c r="AG708" s="83" t="str">
        <f t="shared" si="179"/>
        <v/>
      </c>
      <c r="AH708" s="82" t="str">
        <f t="shared" si="180"/>
        <v/>
      </c>
      <c r="AI708" s="82" t="str">
        <f t="shared" si="181"/>
        <v/>
      </c>
      <c r="AJ708" s="90"/>
      <c r="AP708" s="88"/>
    </row>
    <row r="709" spans="1:42" x14ac:dyDescent="0.25">
      <c r="A709" s="2"/>
      <c r="C709" s="68" t="str" cm="1">
        <f t="array" ref="C709">IF(AF709&lt;&gt;"",
IFERROR(INDEX('LaunchPad Markbook'!A:A,MATCH(AH709,'LaunchPad Markbook'!D:D,0),0),"-"),"")</f>
        <v/>
      </c>
      <c r="D709" s="27"/>
      <c r="E709" s="27"/>
      <c r="F709" s="27"/>
      <c r="G709" s="14">
        <f>IF(OR(H709&gt;AB$2,I709&gt;AC$2,J709&gt;AD$2,
P709&gt;1,V709&gt;1,
L709&gt;'Group List A'!E$2,M709&gt;'Group List A'!F$2,N709&gt;'Group List A'!G$2,
R709&gt;'Group List B'!E$2,S709&gt;'Group List B'!F$2,T709&gt;'Group List B'!G$2),"Exceed",
IF(OR(H709=AB$2,I709=AC$2,J709=AD$2,
P709=1,V709=1,
L709='Group List A'!E$2,M709='Group List A'!F$2,N709='Group List A'!G$2,
R709='Group List B'!E$2,S709='Group List B'!F$2,T709='Group List B'!G$2),"Limit",0))</f>
        <v>0</v>
      </c>
      <c r="H709" s="29">
        <f t="shared" si="167"/>
        <v>0</v>
      </c>
      <c r="I709" s="29">
        <f t="shared" si="168"/>
        <v>0</v>
      </c>
      <c r="J709" s="29">
        <f t="shared" si="169"/>
        <v>0</v>
      </c>
      <c r="K709" s="32" t="str" cm="1">
        <f t="array" ref="K709">IF(AF709&lt;&gt;"",IFERROR(INDEX('Group List A'!B:B,MATCH(AI709,'Group List A'!A:A,0),0),"-"),"")</f>
        <v/>
      </c>
      <c r="L709" s="33">
        <f t="shared" si="170"/>
        <v>0</v>
      </c>
      <c r="M709" s="33">
        <f t="shared" si="171"/>
        <v>0</v>
      </c>
      <c r="N709" s="33">
        <f t="shared" si="172"/>
        <v>0</v>
      </c>
      <c r="O709" s="28"/>
      <c r="P709" s="33">
        <f t="shared" si="173"/>
        <v>0</v>
      </c>
      <c r="Q709" s="35" t="str" cm="1">
        <f t="array" ref="Q709">IF(AF709&lt;&gt;"",IFERROR(INDEX('Group List B'!B:B,MATCH(AI709,'Group List B'!A:A,0),0),"-"),"")</f>
        <v/>
      </c>
      <c r="R709" s="36">
        <f t="shared" si="174"/>
        <v>0</v>
      </c>
      <c r="S709" s="36">
        <f t="shared" si="175"/>
        <v>0</v>
      </c>
      <c r="T709" s="36">
        <f t="shared" si="176"/>
        <v>0</v>
      </c>
      <c r="U709" s="28"/>
      <c r="V709" s="37">
        <f t="shared" si="177"/>
        <v>0</v>
      </c>
      <c r="W709" s="41"/>
      <c r="X709" s="27"/>
      <c r="Y709" s="27"/>
      <c r="Z709" s="27"/>
      <c r="AA709" s="15"/>
      <c r="AB709" s="17"/>
      <c r="AC709" s="17"/>
      <c r="AD709" s="17"/>
      <c r="AE709" s="90"/>
      <c r="AF709" s="82" t="str">
        <f t="shared" si="178"/>
        <v/>
      </c>
      <c r="AG709" s="83" t="str">
        <f t="shared" si="179"/>
        <v/>
      </c>
      <c r="AH709" s="82" t="str">
        <f t="shared" si="180"/>
        <v/>
      </c>
      <c r="AI709" s="82" t="str">
        <f t="shared" si="181"/>
        <v/>
      </c>
      <c r="AJ709" s="90"/>
      <c r="AP709" s="88"/>
    </row>
    <row r="710" spans="1:42" x14ac:dyDescent="0.25">
      <c r="A710" s="2"/>
      <c r="C710" s="68" t="str" cm="1">
        <f t="array" ref="C710">IF(AF710&lt;&gt;"",
IFERROR(INDEX('LaunchPad Markbook'!A:A,MATCH(AH710,'LaunchPad Markbook'!D:D,0),0),"-"),"")</f>
        <v/>
      </c>
      <c r="D710" s="27"/>
      <c r="E710" s="27"/>
      <c r="F710" s="27"/>
      <c r="G710" s="14">
        <f>IF(OR(H710&gt;AB$2,I710&gt;AC$2,J710&gt;AD$2,
P710&gt;1,V710&gt;1,
L710&gt;'Group List A'!E$2,M710&gt;'Group List A'!F$2,N710&gt;'Group List A'!G$2,
R710&gt;'Group List B'!E$2,S710&gt;'Group List B'!F$2,T710&gt;'Group List B'!G$2),"Exceed",
IF(OR(H710=AB$2,I710=AC$2,J710=AD$2,
P710=1,V710=1,
L710='Group List A'!E$2,M710='Group List A'!F$2,N710='Group List A'!G$2,
R710='Group List B'!E$2,S710='Group List B'!F$2,T710='Group List B'!G$2),"Limit",0))</f>
        <v>0</v>
      </c>
      <c r="H710" s="29">
        <f t="shared" si="167"/>
        <v>0</v>
      </c>
      <c r="I710" s="29">
        <f t="shared" si="168"/>
        <v>0</v>
      </c>
      <c r="J710" s="29">
        <f t="shared" si="169"/>
        <v>0</v>
      </c>
      <c r="K710" s="32" t="str" cm="1">
        <f t="array" ref="K710">IF(AF710&lt;&gt;"",IFERROR(INDEX('Group List A'!B:B,MATCH(AI710,'Group List A'!A:A,0),0),"-"),"")</f>
        <v/>
      </c>
      <c r="L710" s="33">
        <f t="shared" si="170"/>
        <v>0</v>
      </c>
      <c r="M710" s="33">
        <f t="shared" si="171"/>
        <v>0</v>
      </c>
      <c r="N710" s="33">
        <f t="shared" si="172"/>
        <v>0</v>
      </c>
      <c r="O710" s="28"/>
      <c r="P710" s="33">
        <f t="shared" si="173"/>
        <v>0</v>
      </c>
      <c r="Q710" s="35" t="str" cm="1">
        <f t="array" ref="Q710">IF(AF710&lt;&gt;"",IFERROR(INDEX('Group List B'!B:B,MATCH(AI710,'Group List B'!A:A,0),0),"-"),"")</f>
        <v/>
      </c>
      <c r="R710" s="36">
        <f t="shared" si="174"/>
        <v>0</v>
      </c>
      <c r="S710" s="36">
        <f t="shared" si="175"/>
        <v>0</v>
      </c>
      <c r="T710" s="36">
        <f t="shared" si="176"/>
        <v>0</v>
      </c>
      <c r="U710" s="28"/>
      <c r="V710" s="37">
        <f t="shared" si="177"/>
        <v>0</v>
      </c>
      <c r="W710" s="41"/>
      <c r="X710" s="27"/>
      <c r="Y710" s="27"/>
      <c r="Z710" s="27"/>
      <c r="AA710" s="15"/>
      <c r="AB710" s="17"/>
      <c r="AC710" s="17"/>
      <c r="AD710" s="17"/>
      <c r="AE710" s="90"/>
      <c r="AF710" s="82" t="str">
        <f t="shared" si="178"/>
        <v/>
      </c>
      <c r="AG710" s="83" t="str">
        <f t="shared" si="179"/>
        <v/>
      </c>
      <c r="AH710" s="82" t="str">
        <f t="shared" si="180"/>
        <v/>
      </c>
      <c r="AI710" s="82" t="str">
        <f t="shared" si="181"/>
        <v/>
      </c>
      <c r="AJ710" s="90"/>
      <c r="AP710" s="88"/>
    </row>
    <row r="711" spans="1:42" x14ac:dyDescent="0.25">
      <c r="A711" s="2"/>
      <c r="C711" s="68" t="str" cm="1">
        <f t="array" ref="C711">IF(AF711&lt;&gt;"",
IFERROR(INDEX('LaunchPad Markbook'!A:A,MATCH(AH711,'LaunchPad Markbook'!D:D,0),0),"-"),"")</f>
        <v/>
      </c>
      <c r="D711" s="27"/>
      <c r="E711" s="27"/>
      <c r="F711" s="27"/>
      <c r="G711" s="14">
        <f>IF(OR(H711&gt;AB$2,I711&gt;AC$2,J711&gt;AD$2,
P711&gt;1,V711&gt;1,
L711&gt;'Group List A'!E$2,M711&gt;'Group List A'!F$2,N711&gt;'Group List A'!G$2,
R711&gt;'Group List B'!E$2,S711&gt;'Group List B'!F$2,T711&gt;'Group List B'!G$2),"Exceed",
IF(OR(H711=AB$2,I711=AC$2,J711=AD$2,
P711=1,V711=1,
L711='Group List A'!E$2,M711='Group List A'!F$2,N711='Group List A'!G$2,
R711='Group List B'!E$2,S711='Group List B'!F$2,T711='Group List B'!G$2),"Limit",0))</f>
        <v>0</v>
      </c>
      <c r="H711" s="29">
        <f t="shared" si="167"/>
        <v>0</v>
      </c>
      <c r="I711" s="29">
        <f t="shared" si="168"/>
        <v>0</v>
      </c>
      <c r="J711" s="29">
        <f t="shared" si="169"/>
        <v>0</v>
      </c>
      <c r="K711" s="32" t="str" cm="1">
        <f t="array" ref="K711">IF(AF711&lt;&gt;"",IFERROR(INDEX('Group List A'!B:B,MATCH(AI711,'Group List A'!A:A,0),0),"-"),"")</f>
        <v/>
      </c>
      <c r="L711" s="33">
        <f t="shared" si="170"/>
        <v>0</v>
      </c>
      <c r="M711" s="33">
        <f t="shared" si="171"/>
        <v>0</v>
      </c>
      <c r="N711" s="33">
        <f t="shared" si="172"/>
        <v>0</v>
      </c>
      <c r="O711" s="28"/>
      <c r="P711" s="33">
        <f t="shared" si="173"/>
        <v>0</v>
      </c>
      <c r="Q711" s="35" t="str" cm="1">
        <f t="array" ref="Q711">IF(AF711&lt;&gt;"",IFERROR(INDEX('Group List B'!B:B,MATCH(AI711,'Group List B'!A:A,0),0),"-"),"")</f>
        <v/>
      </c>
      <c r="R711" s="36">
        <f t="shared" si="174"/>
        <v>0</v>
      </c>
      <c r="S711" s="36">
        <f t="shared" si="175"/>
        <v>0</v>
      </c>
      <c r="T711" s="36">
        <f t="shared" si="176"/>
        <v>0</v>
      </c>
      <c r="U711" s="28"/>
      <c r="V711" s="37">
        <f t="shared" si="177"/>
        <v>0</v>
      </c>
      <c r="W711" s="41"/>
      <c r="X711" s="27"/>
      <c r="Y711" s="27"/>
      <c r="Z711" s="27"/>
      <c r="AA711" s="15"/>
      <c r="AB711" s="17"/>
      <c r="AC711" s="17"/>
      <c r="AD711" s="17"/>
      <c r="AE711" s="90"/>
      <c r="AF711" s="82" t="str">
        <f t="shared" si="178"/>
        <v/>
      </c>
      <c r="AG711" s="83" t="str">
        <f t="shared" si="179"/>
        <v/>
      </c>
      <c r="AH711" s="82" t="str">
        <f t="shared" si="180"/>
        <v/>
      </c>
      <c r="AI711" s="82" t="str">
        <f t="shared" si="181"/>
        <v/>
      </c>
      <c r="AJ711" s="90"/>
      <c r="AP711" s="88"/>
    </row>
    <row r="712" spans="1:42" x14ac:dyDescent="0.25">
      <c r="A712" s="2"/>
      <c r="C712" s="68" t="str" cm="1">
        <f t="array" ref="C712">IF(AF712&lt;&gt;"",
IFERROR(INDEX('LaunchPad Markbook'!A:A,MATCH(AH712,'LaunchPad Markbook'!D:D,0),0),"-"),"")</f>
        <v/>
      </c>
      <c r="D712" s="27"/>
      <c r="E712" s="27"/>
      <c r="F712" s="27"/>
      <c r="G712" s="14">
        <f>IF(OR(H712&gt;AB$2,I712&gt;AC$2,J712&gt;AD$2,
P712&gt;1,V712&gt;1,
L712&gt;'Group List A'!E$2,M712&gt;'Group List A'!F$2,N712&gt;'Group List A'!G$2,
R712&gt;'Group List B'!E$2,S712&gt;'Group List B'!F$2,T712&gt;'Group List B'!G$2),"Exceed",
IF(OR(H712=AB$2,I712=AC$2,J712=AD$2,
P712=1,V712=1,
L712='Group List A'!E$2,M712='Group List A'!F$2,N712='Group List A'!G$2,
R712='Group List B'!E$2,S712='Group List B'!F$2,T712='Group List B'!G$2),"Limit",0))</f>
        <v>0</v>
      </c>
      <c r="H712" s="29">
        <f t="shared" si="167"/>
        <v>0</v>
      </c>
      <c r="I712" s="29">
        <f t="shared" si="168"/>
        <v>0</v>
      </c>
      <c r="J712" s="29">
        <f t="shared" si="169"/>
        <v>0</v>
      </c>
      <c r="K712" s="32" t="str" cm="1">
        <f t="array" ref="K712">IF(AF712&lt;&gt;"",IFERROR(INDEX('Group List A'!B:B,MATCH(AI712,'Group List A'!A:A,0),0),"-"),"")</f>
        <v/>
      </c>
      <c r="L712" s="33">
        <f t="shared" si="170"/>
        <v>0</v>
      </c>
      <c r="M712" s="33">
        <f t="shared" si="171"/>
        <v>0</v>
      </c>
      <c r="N712" s="33">
        <f t="shared" si="172"/>
        <v>0</v>
      </c>
      <c r="O712" s="28"/>
      <c r="P712" s="33">
        <f t="shared" si="173"/>
        <v>0</v>
      </c>
      <c r="Q712" s="35" t="str" cm="1">
        <f t="array" ref="Q712">IF(AF712&lt;&gt;"",IFERROR(INDEX('Group List B'!B:B,MATCH(AI712,'Group List B'!A:A,0),0),"-"),"")</f>
        <v/>
      </c>
      <c r="R712" s="36">
        <f t="shared" si="174"/>
        <v>0</v>
      </c>
      <c r="S712" s="36">
        <f t="shared" si="175"/>
        <v>0</v>
      </c>
      <c r="T712" s="36">
        <f t="shared" si="176"/>
        <v>0</v>
      </c>
      <c r="U712" s="28"/>
      <c r="V712" s="37">
        <f t="shared" si="177"/>
        <v>0</v>
      </c>
      <c r="W712" s="41"/>
      <c r="X712" s="27"/>
      <c r="Y712" s="27"/>
      <c r="Z712" s="27"/>
      <c r="AA712" s="15"/>
      <c r="AB712" s="17"/>
      <c r="AC712" s="17"/>
      <c r="AD712" s="17"/>
      <c r="AE712" s="90"/>
      <c r="AF712" s="82" t="str">
        <f t="shared" si="178"/>
        <v/>
      </c>
      <c r="AG712" s="83" t="str">
        <f t="shared" si="179"/>
        <v/>
      </c>
      <c r="AH712" s="82" t="str">
        <f t="shared" si="180"/>
        <v/>
      </c>
      <c r="AI712" s="82" t="str">
        <f t="shared" si="181"/>
        <v/>
      </c>
      <c r="AJ712" s="90"/>
      <c r="AP712" s="88"/>
    </row>
    <row r="713" spans="1:42" x14ac:dyDescent="0.25">
      <c r="A713" s="2"/>
      <c r="C713" s="68" t="str" cm="1">
        <f t="array" ref="C713">IF(AF713&lt;&gt;"",
IFERROR(INDEX('LaunchPad Markbook'!A:A,MATCH(AH713,'LaunchPad Markbook'!D:D,0),0),"-"),"")</f>
        <v/>
      </c>
      <c r="D713" s="27"/>
      <c r="E713" s="27"/>
      <c r="F713" s="27"/>
      <c r="G713" s="14">
        <f>IF(OR(H713&gt;AB$2,I713&gt;AC$2,J713&gt;AD$2,
P713&gt;1,V713&gt;1,
L713&gt;'Group List A'!E$2,M713&gt;'Group List A'!F$2,N713&gt;'Group List A'!G$2,
R713&gt;'Group List B'!E$2,S713&gt;'Group List B'!F$2,T713&gt;'Group List B'!G$2),"Exceed",
IF(OR(H713=AB$2,I713=AC$2,J713=AD$2,
P713=1,V713=1,
L713='Group List A'!E$2,M713='Group List A'!F$2,N713='Group List A'!G$2,
R713='Group List B'!E$2,S713='Group List B'!F$2,T713='Group List B'!G$2),"Limit",0))</f>
        <v>0</v>
      </c>
      <c r="H713" s="29">
        <f t="shared" si="167"/>
        <v>0</v>
      </c>
      <c r="I713" s="29">
        <f t="shared" si="168"/>
        <v>0</v>
      </c>
      <c r="J713" s="29">
        <f t="shared" si="169"/>
        <v>0</v>
      </c>
      <c r="K713" s="32" t="str" cm="1">
        <f t="array" ref="K713">IF(AF713&lt;&gt;"",IFERROR(INDEX('Group List A'!B:B,MATCH(AI713,'Group List A'!A:A,0),0),"-"),"")</f>
        <v/>
      </c>
      <c r="L713" s="33">
        <f t="shared" si="170"/>
        <v>0</v>
      </c>
      <c r="M713" s="33">
        <f t="shared" si="171"/>
        <v>0</v>
      </c>
      <c r="N713" s="33">
        <f t="shared" si="172"/>
        <v>0</v>
      </c>
      <c r="O713" s="28"/>
      <c r="P713" s="33">
        <f t="shared" si="173"/>
        <v>0</v>
      </c>
      <c r="Q713" s="35" t="str" cm="1">
        <f t="array" ref="Q713">IF(AF713&lt;&gt;"",IFERROR(INDEX('Group List B'!B:B,MATCH(AI713,'Group List B'!A:A,0),0),"-"),"")</f>
        <v/>
      </c>
      <c r="R713" s="36">
        <f t="shared" si="174"/>
        <v>0</v>
      </c>
      <c r="S713" s="36">
        <f t="shared" si="175"/>
        <v>0</v>
      </c>
      <c r="T713" s="36">
        <f t="shared" si="176"/>
        <v>0</v>
      </c>
      <c r="U713" s="28"/>
      <c r="V713" s="37">
        <f t="shared" si="177"/>
        <v>0</v>
      </c>
      <c r="W713" s="41"/>
      <c r="X713" s="27"/>
      <c r="Y713" s="27"/>
      <c r="Z713" s="27"/>
      <c r="AA713" s="15"/>
      <c r="AB713" s="17"/>
      <c r="AC713" s="17"/>
      <c r="AD713" s="17"/>
      <c r="AE713" s="90"/>
      <c r="AF713" s="82" t="str">
        <f t="shared" si="178"/>
        <v/>
      </c>
      <c r="AG713" s="83" t="str">
        <f t="shared" si="179"/>
        <v/>
      </c>
      <c r="AH713" s="82" t="str">
        <f t="shared" si="180"/>
        <v/>
      </c>
      <c r="AI713" s="82" t="str">
        <f t="shared" si="181"/>
        <v/>
      </c>
      <c r="AJ713" s="90"/>
      <c r="AP713" s="88"/>
    </row>
    <row r="714" spans="1:42" x14ac:dyDescent="0.25">
      <c r="A714" s="2"/>
      <c r="C714" s="68" t="str" cm="1">
        <f t="array" ref="C714">IF(AF714&lt;&gt;"",
IFERROR(INDEX('LaunchPad Markbook'!A:A,MATCH(AH714,'LaunchPad Markbook'!D:D,0),0),"-"),"")</f>
        <v/>
      </c>
      <c r="D714" s="27"/>
      <c r="E714" s="27"/>
      <c r="F714" s="27"/>
      <c r="G714" s="14">
        <f>IF(OR(H714&gt;AB$2,I714&gt;AC$2,J714&gt;AD$2,
P714&gt;1,V714&gt;1,
L714&gt;'Group List A'!E$2,M714&gt;'Group List A'!F$2,N714&gt;'Group List A'!G$2,
R714&gt;'Group List B'!E$2,S714&gt;'Group List B'!F$2,T714&gt;'Group List B'!G$2),"Exceed",
IF(OR(H714=AB$2,I714=AC$2,J714=AD$2,
P714=1,V714=1,
L714='Group List A'!E$2,M714='Group List A'!F$2,N714='Group List A'!G$2,
R714='Group List B'!E$2,S714='Group List B'!F$2,T714='Group List B'!G$2),"Limit",0))</f>
        <v>0</v>
      </c>
      <c r="H714" s="29">
        <f t="shared" si="167"/>
        <v>0</v>
      </c>
      <c r="I714" s="29">
        <f t="shared" si="168"/>
        <v>0</v>
      </c>
      <c r="J714" s="29">
        <f t="shared" si="169"/>
        <v>0</v>
      </c>
      <c r="K714" s="32" t="str" cm="1">
        <f t="array" ref="K714">IF(AF714&lt;&gt;"",IFERROR(INDEX('Group List A'!B:B,MATCH(AI714,'Group List A'!A:A,0),0),"-"),"")</f>
        <v/>
      </c>
      <c r="L714" s="33">
        <f t="shared" si="170"/>
        <v>0</v>
      </c>
      <c r="M714" s="33">
        <f t="shared" si="171"/>
        <v>0</v>
      </c>
      <c r="N714" s="33">
        <f t="shared" si="172"/>
        <v>0</v>
      </c>
      <c r="O714" s="28"/>
      <c r="P714" s="33">
        <f t="shared" si="173"/>
        <v>0</v>
      </c>
      <c r="Q714" s="35" t="str" cm="1">
        <f t="array" ref="Q714">IF(AF714&lt;&gt;"",IFERROR(INDEX('Group List B'!B:B,MATCH(AI714,'Group List B'!A:A,0),0),"-"),"")</f>
        <v/>
      </c>
      <c r="R714" s="36">
        <f t="shared" si="174"/>
        <v>0</v>
      </c>
      <c r="S714" s="36">
        <f t="shared" si="175"/>
        <v>0</v>
      </c>
      <c r="T714" s="36">
        <f t="shared" si="176"/>
        <v>0</v>
      </c>
      <c r="U714" s="28"/>
      <c r="V714" s="37">
        <f t="shared" si="177"/>
        <v>0</v>
      </c>
      <c r="W714" s="41"/>
      <c r="X714" s="27"/>
      <c r="Y714" s="27"/>
      <c r="Z714" s="27"/>
      <c r="AA714" s="15"/>
      <c r="AB714" s="17"/>
      <c r="AC714" s="17"/>
      <c r="AD714" s="17"/>
      <c r="AE714" s="90"/>
      <c r="AF714" s="82" t="str">
        <f t="shared" si="178"/>
        <v/>
      </c>
      <c r="AG714" s="83" t="str">
        <f t="shared" si="179"/>
        <v/>
      </c>
      <c r="AH714" s="82" t="str">
        <f t="shared" si="180"/>
        <v/>
      </c>
      <c r="AI714" s="82" t="str">
        <f t="shared" si="181"/>
        <v/>
      </c>
      <c r="AJ714" s="90"/>
      <c r="AP714" s="88"/>
    </row>
    <row r="715" spans="1:42" x14ac:dyDescent="0.25">
      <c r="A715" s="2"/>
      <c r="C715" s="68" t="str" cm="1">
        <f t="array" ref="C715">IF(AF715&lt;&gt;"",
IFERROR(INDEX('LaunchPad Markbook'!A:A,MATCH(AH715,'LaunchPad Markbook'!D:D,0),0),"-"),"")</f>
        <v/>
      </c>
      <c r="D715" s="27"/>
      <c r="E715" s="27"/>
      <c r="F715" s="27"/>
      <c r="G715" s="14">
        <f>IF(OR(H715&gt;AB$2,I715&gt;AC$2,J715&gt;AD$2,
P715&gt;1,V715&gt;1,
L715&gt;'Group List A'!E$2,M715&gt;'Group List A'!F$2,N715&gt;'Group List A'!G$2,
R715&gt;'Group List B'!E$2,S715&gt;'Group List B'!F$2,T715&gt;'Group List B'!G$2),"Exceed",
IF(OR(H715=AB$2,I715=AC$2,J715=AD$2,
P715=1,V715=1,
L715='Group List A'!E$2,M715='Group List A'!F$2,N715='Group List A'!G$2,
R715='Group List B'!E$2,S715='Group List B'!F$2,T715='Group List B'!G$2),"Limit",0))</f>
        <v>0</v>
      </c>
      <c r="H715" s="29">
        <f t="shared" si="167"/>
        <v>0</v>
      </c>
      <c r="I715" s="29">
        <f t="shared" si="168"/>
        <v>0</v>
      </c>
      <c r="J715" s="29">
        <f t="shared" si="169"/>
        <v>0</v>
      </c>
      <c r="K715" s="32" t="str" cm="1">
        <f t="array" ref="K715">IF(AF715&lt;&gt;"",IFERROR(INDEX('Group List A'!B:B,MATCH(AI715,'Group List A'!A:A,0),0),"-"),"")</f>
        <v/>
      </c>
      <c r="L715" s="33">
        <f t="shared" si="170"/>
        <v>0</v>
      </c>
      <c r="M715" s="33">
        <f t="shared" si="171"/>
        <v>0</v>
      </c>
      <c r="N715" s="33">
        <f t="shared" si="172"/>
        <v>0</v>
      </c>
      <c r="O715" s="28"/>
      <c r="P715" s="33">
        <f t="shared" si="173"/>
        <v>0</v>
      </c>
      <c r="Q715" s="35" t="str" cm="1">
        <f t="array" ref="Q715">IF(AF715&lt;&gt;"",IFERROR(INDEX('Group List B'!B:B,MATCH(AI715,'Group List B'!A:A,0),0),"-"),"")</f>
        <v/>
      </c>
      <c r="R715" s="36">
        <f t="shared" si="174"/>
        <v>0</v>
      </c>
      <c r="S715" s="36">
        <f t="shared" si="175"/>
        <v>0</v>
      </c>
      <c r="T715" s="36">
        <f t="shared" si="176"/>
        <v>0</v>
      </c>
      <c r="U715" s="28"/>
      <c r="V715" s="37">
        <f t="shared" si="177"/>
        <v>0</v>
      </c>
      <c r="W715" s="41"/>
      <c r="X715" s="27"/>
      <c r="Y715" s="27"/>
      <c r="Z715" s="27"/>
      <c r="AA715" s="15"/>
      <c r="AB715" s="17"/>
      <c r="AC715" s="17"/>
      <c r="AD715" s="17"/>
      <c r="AE715" s="90"/>
      <c r="AF715" s="82" t="str">
        <f t="shared" si="178"/>
        <v/>
      </c>
      <c r="AG715" s="83" t="str">
        <f t="shared" si="179"/>
        <v/>
      </c>
      <c r="AH715" s="82" t="str">
        <f t="shared" si="180"/>
        <v/>
      </c>
      <c r="AI715" s="82" t="str">
        <f t="shared" si="181"/>
        <v/>
      </c>
      <c r="AJ715" s="90"/>
      <c r="AP715" s="88"/>
    </row>
    <row r="716" spans="1:42" x14ac:dyDescent="0.25">
      <c r="A716" s="2"/>
      <c r="C716" s="68" t="str" cm="1">
        <f t="array" ref="C716">IF(AF716&lt;&gt;"",
IFERROR(INDEX('LaunchPad Markbook'!A:A,MATCH(AH716,'LaunchPad Markbook'!D:D,0),0),"-"),"")</f>
        <v/>
      </c>
      <c r="D716" s="27"/>
      <c r="E716" s="27"/>
      <c r="F716" s="27"/>
      <c r="G716" s="14">
        <f>IF(OR(H716&gt;AB$2,I716&gt;AC$2,J716&gt;AD$2,
P716&gt;1,V716&gt;1,
L716&gt;'Group List A'!E$2,M716&gt;'Group List A'!F$2,N716&gt;'Group List A'!G$2,
R716&gt;'Group List B'!E$2,S716&gt;'Group List B'!F$2,T716&gt;'Group List B'!G$2),"Exceed",
IF(OR(H716=AB$2,I716=AC$2,J716=AD$2,
P716=1,V716=1,
L716='Group List A'!E$2,M716='Group List A'!F$2,N716='Group List A'!G$2,
R716='Group List B'!E$2,S716='Group List B'!F$2,T716='Group List B'!G$2),"Limit",0))</f>
        <v>0</v>
      </c>
      <c r="H716" s="29">
        <f t="shared" si="167"/>
        <v>0</v>
      </c>
      <c r="I716" s="29">
        <f t="shared" si="168"/>
        <v>0</v>
      </c>
      <c r="J716" s="29">
        <f t="shared" si="169"/>
        <v>0</v>
      </c>
      <c r="K716" s="32" t="str" cm="1">
        <f t="array" ref="K716">IF(AF716&lt;&gt;"",IFERROR(INDEX('Group List A'!B:B,MATCH(AI716,'Group List A'!A:A,0),0),"-"),"")</f>
        <v/>
      </c>
      <c r="L716" s="33">
        <f t="shared" si="170"/>
        <v>0</v>
      </c>
      <c r="M716" s="33">
        <f t="shared" si="171"/>
        <v>0</v>
      </c>
      <c r="N716" s="33">
        <f t="shared" si="172"/>
        <v>0</v>
      </c>
      <c r="O716" s="28"/>
      <c r="P716" s="33">
        <f t="shared" si="173"/>
        <v>0</v>
      </c>
      <c r="Q716" s="35" t="str" cm="1">
        <f t="array" ref="Q716">IF(AF716&lt;&gt;"",IFERROR(INDEX('Group List B'!B:B,MATCH(AI716,'Group List B'!A:A,0),0),"-"),"")</f>
        <v/>
      </c>
      <c r="R716" s="36">
        <f t="shared" si="174"/>
        <v>0</v>
      </c>
      <c r="S716" s="36">
        <f t="shared" si="175"/>
        <v>0</v>
      </c>
      <c r="T716" s="36">
        <f t="shared" si="176"/>
        <v>0</v>
      </c>
      <c r="U716" s="28"/>
      <c r="V716" s="37">
        <f t="shared" si="177"/>
        <v>0</v>
      </c>
      <c r="W716" s="41"/>
      <c r="X716" s="27"/>
      <c r="Y716" s="27"/>
      <c r="Z716" s="27"/>
      <c r="AA716" s="15"/>
      <c r="AB716" s="17"/>
      <c r="AC716" s="17"/>
      <c r="AD716" s="17"/>
      <c r="AE716" s="90"/>
      <c r="AF716" s="82" t="str">
        <f t="shared" si="178"/>
        <v/>
      </c>
      <c r="AG716" s="83" t="str">
        <f t="shared" si="179"/>
        <v/>
      </c>
      <c r="AH716" s="82" t="str">
        <f t="shared" si="180"/>
        <v/>
      </c>
      <c r="AI716" s="82" t="str">
        <f t="shared" si="181"/>
        <v/>
      </c>
      <c r="AJ716" s="90"/>
      <c r="AP716" s="88"/>
    </row>
    <row r="717" spans="1:42" x14ac:dyDescent="0.25">
      <c r="A717" s="2"/>
      <c r="C717" s="68" t="str" cm="1">
        <f t="array" ref="C717">IF(AF717&lt;&gt;"",
IFERROR(INDEX('LaunchPad Markbook'!A:A,MATCH(AH717,'LaunchPad Markbook'!D:D,0),0),"-"),"")</f>
        <v/>
      </c>
      <c r="D717" s="27"/>
      <c r="E717" s="27"/>
      <c r="F717" s="27"/>
      <c r="G717" s="14">
        <f>IF(OR(H717&gt;AB$2,I717&gt;AC$2,J717&gt;AD$2,
P717&gt;1,V717&gt;1,
L717&gt;'Group List A'!E$2,M717&gt;'Group List A'!F$2,N717&gt;'Group List A'!G$2,
R717&gt;'Group List B'!E$2,S717&gt;'Group List B'!F$2,T717&gt;'Group List B'!G$2),"Exceed",
IF(OR(H717=AB$2,I717=AC$2,J717=AD$2,
P717=1,V717=1,
L717='Group List A'!E$2,M717='Group List A'!F$2,N717='Group List A'!G$2,
R717='Group List B'!E$2,S717='Group List B'!F$2,T717='Group List B'!G$2),"Limit",0))</f>
        <v>0</v>
      </c>
      <c r="H717" s="29">
        <f t="shared" si="167"/>
        <v>0</v>
      </c>
      <c r="I717" s="29">
        <f t="shared" si="168"/>
        <v>0</v>
      </c>
      <c r="J717" s="29">
        <f t="shared" si="169"/>
        <v>0</v>
      </c>
      <c r="K717" s="32" t="str" cm="1">
        <f t="array" ref="K717">IF(AF717&lt;&gt;"",IFERROR(INDEX('Group List A'!B:B,MATCH(AI717,'Group List A'!A:A,0),0),"-"),"")</f>
        <v/>
      </c>
      <c r="L717" s="33">
        <f t="shared" si="170"/>
        <v>0</v>
      </c>
      <c r="M717" s="33">
        <f t="shared" si="171"/>
        <v>0</v>
      </c>
      <c r="N717" s="33">
        <f t="shared" si="172"/>
        <v>0</v>
      </c>
      <c r="O717" s="28"/>
      <c r="P717" s="33">
        <f t="shared" si="173"/>
        <v>0</v>
      </c>
      <c r="Q717" s="35" t="str" cm="1">
        <f t="array" ref="Q717">IF(AF717&lt;&gt;"",IFERROR(INDEX('Group List B'!B:B,MATCH(AI717,'Group List B'!A:A,0),0),"-"),"")</f>
        <v/>
      </c>
      <c r="R717" s="36">
        <f t="shared" si="174"/>
        <v>0</v>
      </c>
      <c r="S717" s="36">
        <f t="shared" si="175"/>
        <v>0</v>
      </c>
      <c r="T717" s="36">
        <f t="shared" si="176"/>
        <v>0</v>
      </c>
      <c r="U717" s="28"/>
      <c r="V717" s="37">
        <f t="shared" si="177"/>
        <v>0</v>
      </c>
      <c r="W717" s="41"/>
      <c r="X717" s="27"/>
      <c r="Y717" s="27"/>
      <c r="Z717" s="27"/>
      <c r="AA717" s="15"/>
      <c r="AB717" s="17"/>
      <c r="AC717" s="17"/>
      <c r="AD717" s="17"/>
      <c r="AE717" s="90"/>
      <c r="AF717" s="82" t="str">
        <f t="shared" si="178"/>
        <v/>
      </c>
      <c r="AG717" s="83" t="str">
        <f t="shared" si="179"/>
        <v/>
      </c>
      <c r="AH717" s="82" t="str">
        <f t="shared" si="180"/>
        <v/>
      </c>
      <c r="AI717" s="82" t="str">
        <f t="shared" si="181"/>
        <v/>
      </c>
      <c r="AJ717" s="90"/>
      <c r="AP717" s="88"/>
    </row>
    <row r="718" spans="1:42" x14ac:dyDescent="0.25">
      <c r="A718" s="2"/>
      <c r="C718" s="68" t="str" cm="1">
        <f t="array" ref="C718">IF(AF718&lt;&gt;"",
IFERROR(INDEX('LaunchPad Markbook'!A:A,MATCH(AH718,'LaunchPad Markbook'!D:D,0),0),"-"),"")</f>
        <v/>
      </c>
      <c r="D718" s="27"/>
      <c r="E718" s="27"/>
      <c r="F718" s="27"/>
      <c r="G718" s="14">
        <f>IF(OR(H718&gt;AB$2,I718&gt;AC$2,J718&gt;AD$2,
P718&gt;1,V718&gt;1,
L718&gt;'Group List A'!E$2,M718&gt;'Group List A'!F$2,N718&gt;'Group List A'!G$2,
R718&gt;'Group List B'!E$2,S718&gt;'Group List B'!F$2,T718&gt;'Group List B'!G$2),"Exceed",
IF(OR(H718=AB$2,I718=AC$2,J718=AD$2,
P718=1,V718=1,
L718='Group List A'!E$2,M718='Group List A'!F$2,N718='Group List A'!G$2,
R718='Group List B'!E$2,S718='Group List B'!F$2,T718='Group List B'!G$2),"Limit",0))</f>
        <v>0</v>
      </c>
      <c r="H718" s="29">
        <f t="shared" si="167"/>
        <v>0</v>
      </c>
      <c r="I718" s="29">
        <f t="shared" si="168"/>
        <v>0</v>
      </c>
      <c r="J718" s="29">
        <f t="shared" si="169"/>
        <v>0</v>
      </c>
      <c r="K718" s="32" t="str" cm="1">
        <f t="array" ref="K718">IF(AF718&lt;&gt;"",IFERROR(INDEX('Group List A'!B:B,MATCH(AI718,'Group List A'!A:A,0),0),"-"),"")</f>
        <v/>
      </c>
      <c r="L718" s="33">
        <f t="shared" si="170"/>
        <v>0</v>
      </c>
      <c r="M718" s="33">
        <f t="shared" si="171"/>
        <v>0</v>
      </c>
      <c r="N718" s="33">
        <f t="shared" si="172"/>
        <v>0</v>
      </c>
      <c r="O718" s="28"/>
      <c r="P718" s="33">
        <f t="shared" si="173"/>
        <v>0</v>
      </c>
      <c r="Q718" s="35" t="str" cm="1">
        <f t="array" ref="Q718">IF(AF718&lt;&gt;"",IFERROR(INDEX('Group List B'!B:B,MATCH(AI718,'Group List B'!A:A,0),0),"-"),"")</f>
        <v/>
      </c>
      <c r="R718" s="36">
        <f t="shared" si="174"/>
        <v>0</v>
      </c>
      <c r="S718" s="36">
        <f t="shared" si="175"/>
        <v>0</v>
      </c>
      <c r="T718" s="36">
        <f t="shared" si="176"/>
        <v>0</v>
      </c>
      <c r="U718" s="28"/>
      <c r="V718" s="37">
        <f t="shared" si="177"/>
        <v>0</v>
      </c>
      <c r="W718" s="41"/>
      <c r="X718" s="27"/>
      <c r="Y718" s="27"/>
      <c r="Z718" s="27"/>
      <c r="AA718" s="15"/>
      <c r="AB718" s="17"/>
      <c r="AC718" s="17"/>
      <c r="AD718" s="17"/>
      <c r="AE718" s="90"/>
      <c r="AF718" s="82" t="str">
        <f t="shared" si="178"/>
        <v/>
      </c>
      <c r="AG718" s="83" t="str">
        <f t="shared" si="179"/>
        <v/>
      </c>
      <c r="AH718" s="82" t="str">
        <f t="shared" si="180"/>
        <v/>
      </c>
      <c r="AI718" s="82" t="str">
        <f t="shared" si="181"/>
        <v/>
      </c>
      <c r="AJ718" s="90"/>
      <c r="AP718" s="88"/>
    </row>
    <row r="719" spans="1:42" x14ac:dyDescent="0.25">
      <c r="A719" s="2"/>
      <c r="C719" s="68" t="str" cm="1">
        <f t="array" ref="C719">IF(AF719&lt;&gt;"",
IFERROR(INDEX('LaunchPad Markbook'!A:A,MATCH(AH719,'LaunchPad Markbook'!D:D,0),0),"-"),"")</f>
        <v/>
      </c>
      <c r="D719" s="27"/>
      <c r="E719" s="27"/>
      <c r="F719" s="27"/>
      <c r="G719" s="14">
        <f>IF(OR(H719&gt;AB$2,I719&gt;AC$2,J719&gt;AD$2,
P719&gt;1,V719&gt;1,
L719&gt;'Group List A'!E$2,M719&gt;'Group List A'!F$2,N719&gt;'Group List A'!G$2,
R719&gt;'Group List B'!E$2,S719&gt;'Group List B'!F$2,T719&gt;'Group List B'!G$2),"Exceed",
IF(OR(H719=AB$2,I719=AC$2,J719=AD$2,
P719=1,V719=1,
L719='Group List A'!E$2,M719='Group List A'!F$2,N719='Group List A'!G$2,
R719='Group List B'!E$2,S719='Group List B'!F$2,T719='Group List B'!G$2),"Limit",0))</f>
        <v>0</v>
      </c>
      <c r="H719" s="29">
        <f t="shared" si="167"/>
        <v>0</v>
      </c>
      <c r="I719" s="29">
        <f t="shared" si="168"/>
        <v>0</v>
      </c>
      <c r="J719" s="29">
        <f t="shared" si="169"/>
        <v>0</v>
      </c>
      <c r="K719" s="32" t="str" cm="1">
        <f t="array" ref="K719">IF(AF719&lt;&gt;"",IFERROR(INDEX('Group List A'!B:B,MATCH(AI719,'Group List A'!A:A,0),0),"-"),"")</f>
        <v/>
      </c>
      <c r="L719" s="33">
        <f t="shared" si="170"/>
        <v>0</v>
      </c>
      <c r="M719" s="33">
        <f t="shared" si="171"/>
        <v>0</v>
      </c>
      <c r="N719" s="33">
        <f t="shared" si="172"/>
        <v>0</v>
      </c>
      <c r="O719" s="28"/>
      <c r="P719" s="33">
        <f t="shared" si="173"/>
        <v>0</v>
      </c>
      <c r="Q719" s="35" t="str" cm="1">
        <f t="array" ref="Q719">IF(AF719&lt;&gt;"",IFERROR(INDEX('Group List B'!B:B,MATCH(AI719,'Group List B'!A:A,0),0),"-"),"")</f>
        <v/>
      </c>
      <c r="R719" s="36">
        <f t="shared" si="174"/>
        <v>0</v>
      </c>
      <c r="S719" s="36">
        <f t="shared" si="175"/>
        <v>0</v>
      </c>
      <c r="T719" s="36">
        <f t="shared" si="176"/>
        <v>0</v>
      </c>
      <c r="U719" s="28"/>
      <c r="V719" s="37">
        <f t="shared" si="177"/>
        <v>0</v>
      </c>
      <c r="W719" s="41"/>
      <c r="X719" s="27"/>
      <c r="Y719" s="27"/>
      <c r="Z719" s="27"/>
      <c r="AA719" s="15"/>
      <c r="AB719" s="17"/>
      <c r="AC719" s="17"/>
      <c r="AD719" s="17"/>
      <c r="AE719" s="90"/>
      <c r="AF719" s="82" t="str">
        <f t="shared" si="178"/>
        <v/>
      </c>
      <c r="AG719" s="83" t="str">
        <f t="shared" si="179"/>
        <v/>
      </c>
      <c r="AH719" s="82" t="str">
        <f t="shared" si="180"/>
        <v/>
      </c>
      <c r="AI719" s="82" t="str">
        <f t="shared" si="181"/>
        <v/>
      </c>
      <c r="AJ719" s="90"/>
      <c r="AP719" s="88"/>
    </row>
    <row r="720" spans="1:42" x14ac:dyDescent="0.25">
      <c r="A720" s="2"/>
      <c r="C720" s="68" t="str" cm="1">
        <f t="array" ref="C720">IF(AF720&lt;&gt;"",
IFERROR(INDEX('LaunchPad Markbook'!A:A,MATCH(AH720,'LaunchPad Markbook'!D:D,0),0),"-"),"")</f>
        <v/>
      </c>
      <c r="D720" s="27"/>
      <c r="E720" s="27"/>
      <c r="F720" s="27"/>
      <c r="G720" s="14">
        <f>IF(OR(H720&gt;AB$2,I720&gt;AC$2,J720&gt;AD$2,
P720&gt;1,V720&gt;1,
L720&gt;'Group List A'!E$2,M720&gt;'Group List A'!F$2,N720&gt;'Group List A'!G$2,
R720&gt;'Group List B'!E$2,S720&gt;'Group List B'!F$2,T720&gt;'Group List B'!G$2),"Exceed",
IF(OR(H720=AB$2,I720=AC$2,J720=AD$2,
P720=1,V720=1,
L720='Group List A'!E$2,M720='Group List A'!F$2,N720='Group List A'!G$2,
R720='Group List B'!E$2,S720='Group List B'!F$2,T720='Group List B'!G$2),"Limit",0))</f>
        <v>0</v>
      </c>
      <c r="H720" s="29">
        <f t="shared" si="167"/>
        <v>0</v>
      </c>
      <c r="I720" s="29">
        <f t="shared" si="168"/>
        <v>0</v>
      </c>
      <c r="J720" s="29">
        <f t="shared" si="169"/>
        <v>0</v>
      </c>
      <c r="K720" s="32" t="str" cm="1">
        <f t="array" ref="K720">IF(AF720&lt;&gt;"",IFERROR(INDEX('Group List A'!B:B,MATCH(AI720,'Group List A'!A:A,0),0),"-"),"")</f>
        <v/>
      </c>
      <c r="L720" s="33">
        <f t="shared" si="170"/>
        <v>0</v>
      </c>
      <c r="M720" s="33">
        <f t="shared" si="171"/>
        <v>0</v>
      </c>
      <c r="N720" s="33">
        <f t="shared" si="172"/>
        <v>0</v>
      </c>
      <c r="O720" s="28"/>
      <c r="P720" s="33">
        <f t="shared" si="173"/>
        <v>0</v>
      </c>
      <c r="Q720" s="35" t="str" cm="1">
        <f t="array" ref="Q720">IF(AF720&lt;&gt;"",IFERROR(INDEX('Group List B'!B:B,MATCH(AI720,'Group List B'!A:A,0),0),"-"),"")</f>
        <v/>
      </c>
      <c r="R720" s="36">
        <f t="shared" si="174"/>
        <v>0</v>
      </c>
      <c r="S720" s="36">
        <f t="shared" si="175"/>
        <v>0</v>
      </c>
      <c r="T720" s="36">
        <f t="shared" si="176"/>
        <v>0</v>
      </c>
      <c r="U720" s="28"/>
      <c r="V720" s="37">
        <f t="shared" si="177"/>
        <v>0</v>
      </c>
      <c r="W720" s="41"/>
      <c r="X720" s="27"/>
      <c r="Y720" s="27"/>
      <c r="Z720" s="27"/>
      <c r="AA720" s="15"/>
      <c r="AB720" s="17"/>
      <c r="AC720" s="17"/>
      <c r="AD720" s="17"/>
      <c r="AE720" s="90"/>
      <c r="AF720" s="82" t="str">
        <f t="shared" si="178"/>
        <v/>
      </c>
      <c r="AG720" s="83" t="str">
        <f t="shared" si="179"/>
        <v/>
      </c>
      <c r="AH720" s="82" t="str">
        <f t="shared" si="180"/>
        <v/>
      </c>
      <c r="AI720" s="82" t="str">
        <f t="shared" si="181"/>
        <v/>
      </c>
      <c r="AJ720" s="90"/>
      <c r="AP720" s="88"/>
    </row>
    <row r="721" spans="1:42" x14ac:dyDescent="0.25">
      <c r="A721" s="2"/>
      <c r="C721" s="68" t="str" cm="1">
        <f t="array" ref="C721">IF(AF721&lt;&gt;"",
IFERROR(INDEX('LaunchPad Markbook'!A:A,MATCH(AH721,'LaunchPad Markbook'!D:D,0),0),"-"),"")</f>
        <v/>
      </c>
      <c r="D721" s="27"/>
      <c r="E721" s="27"/>
      <c r="F721" s="27"/>
      <c r="G721" s="14">
        <f>IF(OR(H721&gt;AB$2,I721&gt;AC$2,J721&gt;AD$2,
P721&gt;1,V721&gt;1,
L721&gt;'Group List A'!E$2,M721&gt;'Group List A'!F$2,N721&gt;'Group List A'!G$2,
R721&gt;'Group List B'!E$2,S721&gt;'Group List B'!F$2,T721&gt;'Group List B'!G$2),"Exceed",
IF(OR(H721=AB$2,I721=AC$2,J721=AD$2,
P721=1,V721=1,
L721='Group List A'!E$2,M721='Group List A'!F$2,N721='Group List A'!G$2,
R721='Group List B'!E$2,S721='Group List B'!F$2,T721='Group List B'!G$2),"Limit",0))</f>
        <v>0</v>
      </c>
      <c r="H721" s="29">
        <f t="shared" si="167"/>
        <v>0</v>
      </c>
      <c r="I721" s="29">
        <f t="shared" si="168"/>
        <v>0</v>
      </c>
      <c r="J721" s="29">
        <f t="shared" si="169"/>
        <v>0</v>
      </c>
      <c r="K721" s="32" t="str" cm="1">
        <f t="array" ref="K721">IF(AF721&lt;&gt;"",IFERROR(INDEX('Group List A'!B:B,MATCH(AI721,'Group List A'!A:A,0),0),"-"),"")</f>
        <v/>
      </c>
      <c r="L721" s="33">
        <f t="shared" si="170"/>
        <v>0</v>
      </c>
      <c r="M721" s="33">
        <f t="shared" si="171"/>
        <v>0</v>
      </c>
      <c r="N721" s="33">
        <f t="shared" si="172"/>
        <v>0</v>
      </c>
      <c r="O721" s="28"/>
      <c r="P721" s="33">
        <f t="shared" si="173"/>
        <v>0</v>
      </c>
      <c r="Q721" s="35" t="str" cm="1">
        <f t="array" ref="Q721">IF(AF721&lt;&gt;"",IFERROR(INDEX('Group List B'!B:B,MATCH(AI721,'Group List B'!A:A,0),0),"-"),"")</f>
        <v/>
      </c>
      <c r="R721" s="36">
        <f t="shared" si="174"/>
        <v>0</v>
      </c>
      <c r="S721" s="36">
        <f t="shared" si="175"/>
        <v>0</v>
      </c>
      <c r="T721" s="36">
        <f t="shared" si="176"/>
        <v>0</v>
      </c>
      <c r="U721" s="28"/>
      <c r="V721" s="37">
        <f t="shared" si="177"/>
        <v>0</v>
      </c>
      <c r="W721" s="41"/>
      <c r="X721" s="27"/>
      <c r="Y721" s="27"/>
      <c r="Z721" s="27"/>
      <c r="AA721" s="15"/>
      <c r="AB721" s="17"/>
      <c r="AC721" s="17"/>
      <c r="AD721" s="17"/>
      <c r="AE721" s="90"/>
      <c r="AF721" s="82" t="str">
        <f t="shared" si="178"/>
        <v/>
      </c>
      <c r="AG721" s="83" t="str">
        <f t="shared" si="179"/>
        <v/>
      </c>
      <c r="AH721" s="82" t="str">
        <f t="shared" si="180"/>
        <v/>
      </c>
      <c r="AI721" s="82" t="str">
        <f t="shared" si="181"/>
        <v/>
      </c>
      <c r="AJ721" s="90"/>
      <c r="AP721" s="88"/>
    </row>
    <row r="722" spans="1:42" x14ac:dyDescent="0.25">
      <c r="A722" s="2"/>
      <c r="C722" s="68" t="str" cm="1">
        <f t="array" ref="C722">IF(AF722&lt;&gt;"",
IFERROR(INDEX('LaunchPad Markbook'!A:A,MATCH(AH722,'LaunchPad Markbook'!D:D,0),0),"-"),"")</f>
        <v/>
      </c>
      <c r="D722" s="27"/>
      <c r="E722" s="27"/>
      <c r="F722" s="27"/>
      <c r="G722" s="14">
        <f>IF(OR(H722&gt;AB$2,I722&gt;AC$2,J722&gt;AD$2,
P722&gt;1,V722&gt;1,
L722&gt;'Group List A'!E$2,M722&gt;'Group List A'!F$2,N722&gt;'Group List A'!G$2,
R722&gt;'Group List B'!E$2,S722&gt;'Group List B'!F$2,T722&gt;'Group List B'!G$2),"Exceed",
IF(OR(H722=AB$2,I722=AC$2,J722=AD$2,
P722=1,V722=1,
L722='Group List A'!E$2,M722='Group List A'!F$2,N722='Group List A'!G$2,
R722='Group List B'!E$2,S722='Group List B'!F$2,T722='Group List B'!G$2),"Limit",0))</f>
        <v>0</v>
      </c>
      <c r="H722" s="29">
        <f t="shared" si="167"/>
        <v>0</v>
      </c>
      <c r="I722" s="29">
        <f t="shared" si="168"/>
        <v>0</v>
      </c>
      <c r="J722" s="29">
        <f t="shared" si="169"/>
        <v>0</v>
      </c>
      <c r="K722" s="32" t="str" cm="1">
        <f t="array" ref="K722">IF(AF722&lt;&gt;"",IFERROR(INDEX('Group List A'!B:B,MATCH(AI722,'Group List A'!A:A,0),0),"-"),"")</f>
        <v/>
      </c>
      <c r="L722" s="33">
        <f t="shared" si="170"/>
        <v>0</v>
      </c>
      <c r="M722" s="33">
        <f t="shared" si="171"/>
        <v>0</v>
      </c>
      <c r="N722" s="33">
        <f t="shared" si="172"/>
        <v>0</v>
      </c>
      <c r="O722" s="28"/>
      <c r="P722" s="33">
        <f t="shared" si="173"/>
        <v>0</v>
      </c>
      <c r="Q722" s="35" t="str" cm="1">
        <f t="array" ref="Q722">IF(AF722&lt;&gt;"",IFERROR(INDEX('Group List B'!B:B,MATCH(AI722,'Group List B'!A:A,0),0),"-"),"")</f>
        <v/>
      </c>
      <c r="R722" s="36">
        <f t="shared" si="174"/>
        <v>0</v>
      </c>
      <c r="S722" s="36">
        <f t="shared" si="175"/>
        <v>0</v>
      </c>
      <c r="T722" s="36">
        <f t="shared" si="176"/>
        <v>0</v>
      </c>
      <c r="U722" s="28"/>
      <c r="V722" s="37">
        <f t="shared" si="177"/>
        <v>0</v>
      </c>
      <c r="W722" s="41"/>
      <c r="X722" s="27"/>
      <c r="Y722" s="27"/>
      <c r="Z722" s="27"/>
      <c r="AA722" s="15"/>
      <c r="AB722" s="17"/>
      <c r="AC722" s="17"/>
      <c r="AD722" s="17"/>
      <c r="AE722" s="90"/>
      <c r="AF722" s="82" t="str">
        <f t="shared" si="178"/>
        <v/>
      </c>
      <c r="AG722" s="83" t="str">
        <f t="shared" si="179"/>
        <v/>
      </c>
      <c r="AH722" s="82" t="str">
        <f t="shared" si="180"/>
        <v/>
      </c>
      <c r="AI722" s="82" t="str">
        <f t="shared" si="181"/>
        <v/>
      </c>
      <c r="AJ722" s="90"/>
      <c r="AP722" s="88"/>
    </row>
    <row r="723" spans="1:42" x14ac:dyDescent="0.25">
      <c r="A723" s="2"/>
      <c r="C723" s="68" t="str" cm="1">
        <f t="array" ref="C723">IF(AF723&lt;&gt;"",
IFERROR(INDEX('LaunchPad Markbook'!A:A,MATCH(AH723,'LaunchPad Markbook'!D:D,0),0),"-"),"")</f>
        <v/>
      </c>
      <c r="D723" s="27"/>
      <c r="E723" s="27"/>
      <c r="F723" s="27"/>
      <c r="G723" s="14">
        <f>IF(OR(H723&gt;AB$2,I723&gt;AC$2,J723&gt;AD$2,
P723&gt;1,V723&gt;1,
L723&gt;'Group List A'!E$2,M723&gt;'Group List A'!F$2,N723&gt;'Group List A'!G$2,
R723&gt;'Group List B'!E$2,S723&gt;'Group List B'!F$2,T723&gt;'Group List B'!G$2),"Exceed",
IF(OR(H723=AB$2,I723=AC$2,J723=AD$2,
P723=1,V723=1,
L723='Group List A'!E$2,M723='Group List A'!F$2,N723='Group List A'!G$2,
R723='Group List B'!E$2,S723='Group List B'!F$2,T723='Group List B'!G$2),"Limit",0))</f>
        <v>0</v>
      </c>
      <c r="H723" s="29">
        <f t="shared" si="167"/>
        <v>0</v>
      </c>
      <c r="I723" s="29">
        <f t="shared" si="168"/>
        <v>0</v>
      </c>
      <c r="J723" s="29">
        <f t="shared" si="169"/>
        <v>0</v>
      </c>
      <c r="K723" s="32" t="str" cm="1">
        <f t="array" ref="K723">IF(AF723&lt;&gt;"",IFERROR(INDEX('Group List A'!B:B,MATCH(AI723,'Group List A'!A:A,0),0),"-"),"")</f>
        <v/>
      </c>
      <c r="L723" s="33">
        <f t="shared" si="170"/>
        <v>0</v>
      </c>
      <c r="M723" s="33">
        <f t="shared" si="171"/>
        <v>0</v>
      </c>
      <c r="N723" s="33">
        <f t="shared" si="172"/>
        <v>0</v>
      </c>
      <c r="O723" s="28"/>
      <c r="P723" s="33">
        <f t="shared" si="173"/>
        <v>0</v>
      </c>
      <c r="Q723" s="35" t="str" cm="1">
        <f t="array" ref="Q723">IF(AF723&lt;&gt;"",IFERROR(INDEX('Group List B'!B:B,MATCH(AI723,'Group List B'!A:A,0),0),"-"),"")</f>
        <v/>
      </c>
      <c r="R723" s="36">
        <f t="shared" si="174"/>
        <v>0</v>
      </c>
      <c r="S723" s="36">
        <f t="shared" si="175"/>
        <v>0</v>
      </c>
      <c r="T723" s="36">
        <f t="shared" si="176"/>
        <v>0</v>
      </c>
      <c r="U723" s="28"/>
      <c r="V723" s="37">
        <f t="shared" si="177"/>
        <v>0</v>
      </c>
      <c r="W723" s="41"/>
      <c r="X723" s="27"/>
      <c r="Y723" s="27"/>
      <c r="Z723" s="27"/>
      <c r="AA723" s="15"/>
      <c r="AB723" s="17"/>
      <c r="AC723" s="17"/>
      <c r="AD723" s="17"/>
      <c r="AE723" s="90"/>
      <c r="AF723" s="82" t="str">
        <f t="shared" si="178"/>
        <v/>
      </c>
      <c r="AG723" s="83" t="str">
        <f t="shared" si="179"/>
        <v/>
      </c>
      <c r="AH723" s="82" t="str">
        <f t="shared" si="180"/>
        <v/>
      </c>
      <c r="AI723" s="82" t="str">
        <f t="shared" si="181"/>
        <v/>
      </c>
      <c r="AJ723" s="90"/>
      <c r="AP723" s="88"/>
    </row>
    <row r="724" spans="1:42" x14ac:dyDescent="0.25">
      <c r="A724" s="2"/>
      <c r="C724" s="68" t="str" cm="1">
        <f t="array" ref="C724">IF(AF724&lt;&gt;"",
IFERROR(INDEX('LaunchPad Markbook'!A:A,MATCH(AH724,'LaunchPad Markbook'!D:D,0),0),"-"),"")</f>
        <v/>
      </c>
      <c r="D724" s="27"/>
      <c r="E724" s="27"/>
      <c r="F724" s="27"/>
      <c r="G724" s="14">
        <f>IF(OR(H724&gt;AB$2,I724&gt;AC$2,J724&gt;AD$2,
P724&gt;1,V724&gt;1,
L724&gt;'Group List A'!E$2,M724&gt;'Group List A'!F$2,N724&gt;'Group List A'!G$2,
R724&gt;'Group List B'!E$2,S724&gt;'Group List B'!F$2,T724&gt;'Group List B'!G$2),"Exceed",
IF(OR(H724=AB$2,I724=AC$2,J724=AD$2,
P724=1,V724=1,
L724='Group List A'!E$2,M724='Group List A'!F$2,N724='Group List A'!G$2,
R724='Group List B'!E$2,S724='Group List B'!F$2,T724='Group List B'!G$2),"Limit",0))</f>
        <v>0</v>
      </c>
      <c r="H724" s="29">
        <f t="shared" si="167"/>
        <v>0</v>
      </c>
      <c r="I724" s="29">
        <f t="shared" si="168"/>
        <v>0</v>
      </c>
      <c r="J724" s="29">
        <f t="shared" si="169"/>
        <v>0</v>
      </c>
      <c r="K724" s="32" t="str" cm="1">
        <f t="array" ref="K724">IF(AF724&lt;&gt;"",IFERROR(INDEX('Group List A'!B:B,MATCH(AI724,'Group List A'!A:A,0),0),"-"),"")</f>
        <v/>
      </c>
      <c r="L724" s="33">
        <f t="shared" si="170"/>
        <v>0</v>
      </c>
      <c r="M724" s="33">
        <f t="shared" si="171"/>
        <v>0</v>
      </c>
      <c r="N724" s="33">
        <f t="shared" si="172"/>
        <v>0</v>
      </c>
      <c r="O724" s="28"/>
      <c r="P724" s="33">
        <f t="shared" si="173"/>
        <v>0</v>
      </c>
      <c r="Q724" s="35" t="str" cm="1">
        <f t="array" ref="Q724">IF(AF724&lt;&gt;"",IFERROR(INDEX('Group List B'!B:B,MATCH(AI724,'Group List B'!A:A,0),0),"-"),"")</f>
        <v/>
      </c>
      <c r="R724" s="36">
        <f t="shared" si="174"/>
        <v>0</v>
      </c>
      <c r="S724" s="36">
        <f t="shared" si="175"/>
        <v>0</v>
      </c>
      <c r="T724" s="36">
        <f t="shared" si="176"/>
        <v>0</v>
      </c>
      <c r="U724" s="28"/>
      <c r="V724" s="37">
        <f t="shared" si="177"/>
        <v>0</v>
      </c>
      <c r="W724" s="41"/>
      <c r="X724" s="27"/>
      <c r="Y724" s="27"/>
      <c r="Z724" s="27"/>
      <c r="AA724" s="15"/>
      <c r="AB724" s="17"/>
      <c r="AC724" s="17"/>
      <c r="AD724" s="17"/>
      <c r="AE724" s="90"/>
      <c r="AF724" s="82" t="str">
        <f t="shared" si="178"/>
        <v/>
      </c>
      <c r="AG724" s="83" t="str">
        <f t="shared" si="179"/>
        <v/>
      </c>
      <c r="AH724" s="82" t="str">
        <f t="shared" si="180"/>
        <v/>
      </c>
      <c r="AI724" s="82" t="str">
        <f t="shared" si="181"/>
        <v/>
      </c>
      <c r="AJ724" s="90"/>
      <c r="AP724" s="88"/>
    </row>
    <row r="725" spans="1:42" x14ac:dyDescent="0.25">
      <c r="A725" s="2"/>
      <c r="C725" s="68" t="str" cm="1">
        <f t="array" ref="C725">IF(AF725&lt;&gt;"",
IFERROR(INDEX('LaunchPad Markbook'!A:A,MATCH(AH725,'LaunchPad Markbook'!D:D,0),0),"-"),"")</f>
        <v/>
      </c>
      <c r="D725" s="27"/>
      <c r="E725" s="27"/>
      <c r="F725" s="27"/>
      <c r="G725" s="14">
        <f>IF(OR(H725&gt;AB$2,I725&gt;AC$2,J725&gt;AD$2,
P725&gt;1,V725&gt;1,
L725&gt;'Group List A'!E$2,M725&gt;'Group List A'!F$2,N725&gt;'Group List A'!G$2,
R725&gt;'Group List B'!E$2,S725&gt;'Group List B'!F$2,T725&gt;'Group List B'!G$2),"Exceed",
IF(OR(H725=AB$2,I725=AC$2,J725=AD$2,
P725=1,V725=1,
L725='Group List A'!E$2,M725='Group List A'!F$2,N725='Group List A'!G$2,
R725='Group List B'!E$2,S725='Group List B'!F$2,T725='Group List B'!G$2),"Limit",0))</f>
        <v>0</v>
      </c>
      <c r="H725" s="29">
        <f t="shared" si="167"/>
        <v>0</v>
      </c>
      <c r="I725" s="29">
        <f t="shared" si="168"/>
        <v>0</v>
      </c>
      <c r="J725" s="29">
        <f t="shared" si="169"/>
        <v>0</v>
      </c>
      <c r="K725" s="32" t="str" cm="1">
        <f t="array" ref="K725">IF(AF725&lt;&gt;"",IFERROR(INDEX('Group List A'!B:B,MATCH(AI725,'Group List A'!A:A,0),0),"-"),"")</f>
        <v/>
      </c>
      <c r="L725" s="33">
        <f t="shared" si="170"/>
        <v>0</v>
      </c>
      <c r="M725" s="33">
        <f t="shared" si="171"/>
        <v>0</v>
      </c>
      <c r="N725" s="33">
        <f t="shared" si="172"/>
        <v>0</v>
      </c>
      <c r="O725" s="28"/>
      <c r="P725" s="33">
        <f t="shared" si="173"/>
        <v>0</v>
      </c>
      <c r="Q725" s="35" t="str" cm="1">
        <f t="array" ref="Q725">IF(AF725&lt;&gt;"",IFERROR(INDEX('Group List B'!B:B,MATCH(AI725,'Group List B'!A:A,0),0),"-"),"")</f>
        <v/>
      </c>
      <c r="R725" s="36">
        <f t="shared" si="174"/>
        <v>0</v>
      </c>
      <c r="S725" s="36">
        <f t="shared" si="175"/>
        <v>0</v>
      </c>
      <c r="T725" s="36">
        <f t="shared" si="176"/>
        <v>0</v>
      </c>
      <c r="U725" s="28"/>
      <c r="V725" s="37">
        <f t="shared" si="177"/>
        <v>0</v>
      </c>
      <c r="W725" s="41"/>
      <c r="X725" s="27"/>
      <c r="Y725" s="27"/>
      <c r="Z725" s="27"/>
      <c r="AA725" s="15"/>
      <c r="AB725" s="17"/>
      <c r="AC725" s="17"/>
      <c r="AD725" s="17"/>
      <c r="AE725" s="90"/>
      <c r="AF725" s="82" t="str">
        <f t="shared" si="178"/>
        <v/>
      </c>
      <c r="AG725" s="83" t="str">
        <f t="shared" si="179"/>
        <v/>
      </c>
      <c r="AH725" s="82" t="str">
        <f t="shared" si="180"/>
        <v/>
      </c>
      <c r="AI725" s="82" t="str">
        <f t="shared" si="181"/>
        <v/>
      </c>
      <c r="AJ725" s="90"/>
      <c r="AP725" s="88"/>
    </row>
    <row r="726" spans="1:42" x14ac:dyDescent="0.25">
      <c r="A726" s="2"/>
      <c r="C726" s="68" t="str" cm="1">
        <f t="array" ref="C726">IF(AF726&lt;&gt;"",
IFERROR(INDEX('LaunchPad Markbook'!A:A,MATCH(AH726,'LaunchPad Markbook'!D:D,0),0),"-"),"")</f>
        <v/>
      </c>
      <c r="D726" s="27"/>
      <c r="E726" s="27"/>
      <c r="F726" s="27"/>
      <c r="G726" s="14">
        <f>IF(OR(H726&gt;AB$2,I726&gt;AC$2,J726&gt;AD$2,
P726&gt;1,V726&gt;1,
L726&gt;'Group List A'!E$2,M726&gt;'Group List A'!F$2,N726&gt;'Group List A'!G$2,
R726&gt;'Group List B'!E$2,S726&gt;'Group List B'!F$2,T726&gt;'Group List B'!G$2),"Exceed",
IF(OR(H726=AB$2,I726=AC$2,J726=AD$2,
P726=1,V726=1,
L726='Group List A'!E$2,M726='Group List A'!F$2,N726='Group List A'!G$2,
R726='Group List B'!E$2,S726='Group List B'!F$2,T726='Group List B'!G$2),"Limit",0))</f>
        <v>0</v>
      </c>
      <c r="H726" s="29">
        <f t="shared" si="167"/>
        <v>0</v>
      </c>
      <c r="I726" s="29">
        <f t="shared" si="168"/>
        <v>0</v>
      </c>
      <c r="J726" s="29">
        <f t="shared" si="169"/>
        <v>0</v>
      </c>
      <c r="K726" s="32" t="str" cm="1">
        <f t="array" ref="K726">IF(AF726&lt;&gt;"",IFERROR(INDEX('Group List A'!B:B,MATCH(AI726,'Group List A'!A:A,0),0),"-"),"")</f>
        <v/>
      </c>
      <c r="L726" s="33">
        <f t="shared" si="170"/>
        <v>0</v>
      </c>
      <c r="M726" s="33">
        <f t="shared" si="171"/>
        <v>0</v>
      </c>
      <c r="N726" s="33">
        <f t="shared" si="172"/>
        <v>0</v>
      </c>
      <c r="O726" s="28"/>
      <c r="P726" s="33">
        <f t="shared" si="173"/>
        <v>0</v>
      </c>
      <c r="Q726" s="35" t="str" cm="1">
        <f t="array" ref="Q726">IF(AF726&lt;&gt;"",IFERROR(INDEX('Group List B'!B:B,MATCH(AI726,'Group List B'!A:A,0),0),"-"),"")</f>
        <v/>
      </c>
      <c r="R726" s="36">
        <f t="shared" si="174"/>
        <v>0</v>
      </c>
      <c r="S726" s="36">
        <f t="shared" si="175"/>
        <v>0</v>
      </c>
      <c r="T726" s="36">
        <f t="shared" si="176"/>
        <v>0</v>
      </c>
      <c r="U726" s="28"/>
      <c r="V726" s="37">
        <f t="shared" si="177"/>
        <v>0</v>
      </c>
      <c r="W726" s="41"/>
      <c r="X726" s="27"/>
      <c r="Y726" s="27"/>
      <c r="Z726" s="27"/>
      <c r="AA726" s="15"/>
      <c r="AB726" s="17"/>
      <c r="AC726" s="17"/>
      <c r="AD726" s="17"/>
      <c r="AE726" s="90"/>
      <c r="AF726" s="82" t="str">
        <f t="shared" si="178"/>
        <v/>
      </c>
      <c r="AG726" s="83" t="str">
        <f t="shared" si="179"/>
        <v/>
      </c>
      <c r="AH726" s="82" t="str">
        <f t="shared" si="180"/>
        <v/>
      </c>
      <c r="AI726" s="82" t="str">
        <f t="shared" si="181"/>
        <v/>
      </c>
      <c r="AJ726" s="90"/>
      <c r="AP726" s="88"/>
    </row>
    <row r="727" spans="1:42" x14ac:dyDescent="0.25">
      <c r="A727" s="2"/>
      <c r="C727" s="68" t="str" cm="1">
        <f t="array" ref="C727">IF(AF727&lt;&gt;"",
IFERROR(INDEX('LaunchPad Markbook'!A:A,MATCH(AH727,'LaunchPad Markbook'!D:D,0),0),"-"),"")</f>
        <v/>
      </c>
      <c r="D727" s="27"/>
      <c r="E727" s="27"/>
      <c r="F727" s="27"/>
      <c r="G727" s="14">
        <f>IF(OR(H727&gt;AB$2,I727&gt;AC$2,J727&gt;AD$2,
P727&gt;1,V727&gt;1,
L727&gt;'Group List A'!E$2,M727&gt;'Group List A'!F$2,N727&gt;'Group List A'!G$2,
R727&gt;'Group List B'!E$2,S727&gt;'Group List B'!F$2,T727&gt;'Group List B'!G$2),"Exceed",
IF(OR(H727=AB$2,I727=AC$2,J727=AD$2,
P727=1,V727=1,
L727='Group List A'!E$2,M727='Group List A'!F$2,N727='Group List A'!G$2,
R727='Group List B'!E$2,S727='Group List B'!F$2,T727='Group List B'!G$2),"Limit",0))</f>
        <v>0</v>
      </c>
      <c r="H727" s="29">
        <f t="shared" si="167"/>
        <v>0</v>
      </c>
      <c r="I727" s="29">
        <f t="shared" si="168"/>
        <v>0</v>
      </c>
      <c r="J727" s="29">
        <f t="shared" si="169"/>
        <v>0</v>
      </c>
      <c r="K727" s="32" t="str" cm="1">
        <f t="array" ref="K727">IF(AF727&lt;&gt;"",IFERROR(INDEX('Group List A'!B:B,MATCH(AI727,'Group List A'!A:A,0),0),"-"),"")</f>
        <v/>
      </c>
      <c r="L727" s="33">
        <f t="shared" si="170"/>
        <v>0</v>
      </c>
      <c r="M727" s="33">
        <f t="shared" si="171"/>
        <v>0</v>
      </c>
      <c r="N727" s="33">
        <f t="shared" si="172"/>
        <v>0</v>
      </c>
      <c r="O727" s="28"/>
      <c r="P727" s="33">
        <f t="shared" si="173"/>
        <v>0</v>
      </c>
      <c r="Q727" s="35" t="str" cm="1">
        <f t="array" ref="Q727">IF(AF727&lt;&gt;"",IFERROR(INDEX('Group List B'!B:B,MATCH(AI727,'Group List B'!A:A,0),0),"-"),"")</f>
        <v/>
      </c>
      <c r="R727" s="36">
        <f t="shared" si="174"/>
        <v>0</v>
      </c>
      <c r="S727" s="36">
        <f t="shared" si="175"/>
        <v>0</v>
      </c>
      <c r="T727" s="36">
        <f t="shared" si="176"/>
        <v>0</v>
      </c>
      <c r="U727" s="28"/>
      <c r="V727" s="37">
        <f t="shared" si="177"/>
        <v>0</v>
      </c>
      <c r="W727" s="41"/>
      <c r="X727" s="27"/>
      <c r="Y727" s="27"/>
      <c r="Z727" s="27"/>
      <c r="AA727" s="15"/>
      <c r="AB727" s="17"/>
      <c r="AC727" s="17"/>
      <c r="AD727" s="17"/>
      <c r="AE727" s="90"/>
      <c r="AF727" s="82" t="str">
        <f t="shared" si="178"/>
        <v/>
      </c>
      <c r="AG727" s="83" t="str">
        <f t="shared" si="179"/>
        <v/>
      </c>
      <c r="AH727" s="82" t="str">
        <f t="shared" si="180"/>
        <v/>
      </c>
      <c r="AI727" s="82" t="str">
        <f t="shared" si="181"/>
        <v/>
      </c>
      <c r="AJ727" s="90"/>
      <c r="AP727" s="88"/>
    </row>
    <row r="728" spans="1:42" x14ac:dyDescent="0.25">
      <c r="A728" s="2"/>
      <c r="C728" s="68" t="str" cm="1">
        <f t="array" ref="C728">IF(AF728&lt;&gt;"",
IFERROR(INDEX('LaunchPad Markbook'!A:A,MATCH(AH728,'LaunchPad Markbook'!D:D,0),0),"-"),"")</f>
        <v/>
      </c>
      <c r="D728" s="27"/>
      <c r="E728" s="27"/>
      <c r="F728" s="27"/>
      <c r="G728" s="14">
        <f>IF(OR(H728&gt;AB$2,I728&gt;AC$2,J728&gt;AD$2,
P728&gt;1,V728&gt;1,
L728&gt;'Group List A'!E$2,M728&gt;'Group List A'!F$2,N728&gt;'Group List A'!G$2,
R728&gt;'Group List B'!E$2,S728&gt;'Group List B'!F$2,T728&gt;'Group List B'!G$2),"Exceed",
IF(OR(H728=AB$2,I728=AC$2,J728=AD$2,
P728=1,V728=1,
L728='Group List A'!E$2,M728='Group List A'!F$2,N728='Group List A'!G$2,
R728='Group List B'!E$2,S728='Group List B'!F$2,T728='Group List B'!G$2),"Limit",0))</f>
        <v>0</v>
      </c>
      <c r="H728" s="29">
        <f t="shared" si="167"/>
        <v>0</v>
      </c>
      <c r="I728" s="29">
        <f t="shared" si="168"/>
        <v>0</v>
      </c>
      <c r="J728" s="29">
        <f t="shared" si="169"/>
        <v>0</v>
      </c>
      <c r="K728" s="32" t="str" cm="1">
        <f t="array" ref="K728">IF(AF728&lt;&gt;"",IFERROR(INDEX('Group List A'!B:B,MATCH(AI728,'Group List A'!A:A,0),0),"-"),"")</f>
        <v/>
      </c>
      <c r="L728" s="33">
        <f t="shared" si="170"/>
        <v>0</v>
      </c>
      <c r="M728" s="33">
        <f t="shared" si="171"/>
        <v>0</v>
      </c>
      <c r="N728" s="33">
        <f t="shared" si="172"/>
        <v>0</v>
      </c>
      <c r="O728" s="28"/>
      <c r="P728" s="33">
        <f t="shared" si="173"/>
        <v>0</v>
      </c>
      <c r="Q728" s="35" t="str" cm="1">
        <f t="array" ref="Q728">IF(AF728&lt;&gt;"",IFERROR(INDEX('Group List B'!B:B,MATCH(AI728,'Group List B'!A:A,0),0),"-"),"")</f>
        <v/>
      </c>
      <c r="R728" s="36">
        <f t="shared" si="174"/>
        <v>0</v>
      </c>
      <c r="S728" s="36">
        <f t="shared" si="175"/>
        <v>0</v>
      </c>
      <c r="T728" s="36">
        <f t="shared" si="176"/>
        <v>0</v>
      </c>
      <c r="U728" s="28"/>
      <c r="V728" s="37">
        <f t="shared" si="177"/>
        <v>0</v>
      </c>
      <c r="W728" s="41"/>
      <c r="X728" s="27"/>
      <c r="Y728" s="27"/>
      <c r="Z728" s="27"/>
      <c r="AA728" s="15"/>
      <c r="AB728" s="17"/>
      <c r="AC728" s="17"/>
      <c r="AD728" s="17"/>
      <c r="AE728" s="90"/>
      <c r="AF728" s="82" t="str">
        <f t="shared" si="178"/>
        <v/>
      </c>
      <c r="AG728" s="83" t="str">
        <f t="shared" si="179"/>
        <v/>
      </c>
      <c r="AH728" s="82" t="str">
        <f t="shared" si="180"/>
        <v/>
      </c>
      <c r="AI728" s="82" t="str">
        <f t="shared" si="181"/>
        <v/>
      </c>
      <c r="AJ728" s="90"/>
      <c r="AP728" s="88"/>
    </row>
    <row r="729" spans="1:42" x14ac:dyDescent="0.25">
      <c r="A729" s="2"/>
      <c r="C729" s="68" t="str" cm="1">
        <f t="array" ref="C729">IF(AF729&lt;&gt;"",
IFERROR(INDEX('LaunchPad Markbook'!A:A,MATCH(AH729,'LaunchPad Markbook'!D:D,0),0),"-"),"")</f>
        <v/>
      </c>
      <c r="D729" s="27"/>
      <c r="E729" s="27"/>
      <c r="F729" s="27"/>
      <c r="G729" s="14">
        <f>IF(OR(H729&gt;AB$2,I729&gt;AC$2,J729&gt;AD$2,
P729&gt;1,V729&gt;1,
L729&gt;'Group List A'!E$2,M729&gt;'Group List A'!F$2,N729&gt;'Group List A'!G$2,
R729&gt;'Group List B'!E$2,S729&gt;'Group List B'!F$2,T729&gt;'Group List B'!G$2),"Exceed",
IF(OR(H729=AB$2,I729=AC$2,J729=AD$2,
P729=1,V729=1,
L729='Group List A'!E$2,M729='Group List A'!F$2,N729='Group List A'!G$2,
R729='Group List B'!E$2,S729='Group List B'!F$2,T729='Group List B'!G$2),"Limit",0))</f>
        <v>0</v>
      </c>
      <c r="H729" s="29">
        <f t="shared" si="167"/>
        <v>0</v>
      </c>
      <c r="I729" s="29">
        <f t="shared" si="168"/>
        <v>0</v>
      </c>
      <c r="J729" s="29">
        <f t="shared" si="169"/>
        <v>0</v>
      </c>
      <c r="K729" s="32" t="str" cm="1">
        <f t="array" ref="K729">IF(AF729&lt;&gt;"",IFERROR(INDEX('Group List A'!B:B,MATCH(AI729,'Group List A'!A:A,0),0),"-"),"")</f>
        <v/>
      </c>
      <c r="L729" s="33">
        <f t="shared" si="170"/>
        <v>0</v>
      </c>
      <c r="M729" s="33">
        <f t="shared" si="171"/>
        <v>0</v>
      </c>
      <c r="N729" s="33">
        <f t="shared" si="172"/>
        <v>0</v>
      </c>
      <c r="O729" s="28"/>
      <c r="P729" s="33">
        <f t="shared" si="173"/>
        <v>0</v>
      </c>
      <c r="Q729" s="35" t="str" cm="1">
        <f t="array" ref="Q729">IF(AF729&lt;&gt;"",IFERROR(INDEX('Group List B'!B:B,MATCH(AI729,'Group List B'!A:A,0),0),"-"),"")</f>
        <v/>
      </c>
      <c r="R729" s="36">
        <f t="shared" si="174"/>
        <v>0</v>
      </c>
      <c r="S729" s="36">
        <f t="shared" si="175"/>
        <v>0</v>
      </c>
      <c r="T729" s="36">
        <f t="shared" si="176"/>
        <v>0</v>
      </c>
      <c r="U729" s="28"/>
      <c r="V729" s="37">
        <f t="shared" si="177"/>
        <v>0</v>
      </c>
      <c r="W729" s="41"/>
      <c r="X729" s="27"/>
      <c r="Y729" s="27"/>
      <c r="Z729" s="27"/>
      <c r="AA729" s="15"/>
      <c r="AB729" s="17"/>
      <c r="AC729" s="17"/>
      <c r="AD729" s="17"/>
      <c r="AE729" s="90"/>
      <c r="AF729" s="82" t="str">
        <f t="shared" si="178"/>
        <v/>
      </c>
      <c r="AG729" s="83" t="str">
        <f t="shared" si="179"/>
        <v/>
      </c>
      <c r="AH729" s="82" t="str">
        <f t="shared" si="180"/>
        <v/>
      </c>
      <c r="AI729" s="82" t="str">
        <f t="shared" si="181"/>
        <v/>
      </c>
      <c r="AJ729" s="90"/>
      <c r="AP729" s="88"/>
    </row>
    <row r="730" spans="1:42" x14ac:dyDescent="0.25">
      <c r="A730" s="2"/>
      <c r="C730" s="68" t="str" cm="1">
        <f t="array" ref="C730">IF(AF730&lt;&gt;"",
IFERROR(INDEX('LaunchPad Markbook'!A:A,MATCH(AH730,'LaunchPad Markbook'!D:D,0),0),"-"),"")</f>
        <v/>
      </c>
      <c r="D730" s="27"/>
      <c r="E730" s="27"/>
      <c r="F730" s="27"/>
      <c r="G730" s="14">
        <f>IF(OR(H730&gt;AB$2,I730&gt;AC$2,J730&gt;AD$2,
P730&gt;1,V730&gt;1,
L730&gt;'Group List A'!E$2,M730&gt;'Group List A'!F$2,N730&gt;'Group List A'!G$2,
R730&gt;'Group List B'!E$2,S730&gt;'Group List B'!F$2,T730&gt;'Group List B'!G$2),"Exceed",
IF(OR(H730=AB$2,I730=AC$2,J730=AD$2,
P730=1,V730=1,
L730='Group List A'!E$2,M730='Group List A'!F$2,N730='Group List A'!G$2,
R730='Group List B'!E$2,S730='Group List B'!F$2,T730='Group List B'!G$2),"Limit",0))</f>
        <v>0</v>
      </c>
      <c r="H730" s="29">
        <f t="shared" si="167"/>
        <v>0</v>
      </c>
      <c r="I730" s="29">
        <f t="shared" si="168"/>
        <v>0</v>
      </c>
      <c r="J730" s="29">
        <f t="shared" si="169"/>
        <v>0</v>
      </c>
      <c r="K730" s="32" t="str" cm="1">
        <f t="array" ref="K730">IF(AF730&lt;&gt;"",IFERROR(INDEX('Group List A'!B:B,MATCH(AI730,'Group List A'!A:A,0),0),"-"),"")</f>
        <v/>
      </c>
      <c r="L730" s="33">
        <f t="shared" si="170"/>
        <v>0</v>
      </c>
      <c r="M730" s="33">
        <f t="shared" si="171"/>
        <v>0</v>
      </c>
      <c r="N730" s="33">
        <f t="shared" si="172"/>
        <v>0</v>
      </c>
      <c r="O730" s="28"/>
      <c r="P730" s="33">
        <f t="shared" si="173"/>
        <v>0</v>
      </c>
      <c r="Q730" s="35" t="str" cm="1">
        <f t="array" ref="Q730">IF(AF730&lt;&gt;"",IFERROR(INDEX('Group List B'!B:B,MATCH(AI730,'Group List B'!A:A,0),0),"-"),"")</f>
        <v/>
      </c>
      <c r="R730" s="36">
        <f t="shared" si="174"/>
        <v>0</v>
      </c>
      <c r="S730" s="36">
        <f t="shared" si="175"/>
        <v>0</v>
      </c>
      <c r="T730" s="36">
        <f t="shared" si="176"/>
        <v>0</v>
      </c>
      <c r="U730" s="28"/>
      <c r="V730" s="37">
        <f t="shared" si="177"/>
        <v>0</v>
      </c>
      <c r="W730" s="41"/>
      <c r="X730" s="27"/>
      <c r="Y730" s="27"/>
      <c r="Z730" s="27"/>
      <c r="AA730" s="15"/>
      <c r="AB730" s="17"/>
      <c r="AC730" s="17"/>
      <c r="AD730" s="17"/>
      <c r="AE730" s="90"/>
      <c r="AF730" s="82" t="str">
        <f t="shared" si="178"/>
        <v/>
      </c>
      <c r="AG730" s="83" t="str">
        <f t="shared" si="179"/>
        <v/>
      </c>
      <c r="AH730" s="82" t="str">
        <f t="shared" si="180"/>
        <v/>
      </c>
      <c r="AI730" s="82" t="str">
        <f t="shared" si="181"/>
        <v/>
      </c>
      <c r="AJ730" s="90"/>
      <c r="AP730" s="88"/>
    </row>
    <row r="731" spans="1:42" x14ac:dyDescent="0.25">
      <c r="A731" s="2"/>
      <c r="C731" s="68" t="str" cm="1">
        <f t="array" ref="C731">IF(AF731&lt;&gt;"",
IFERROR(INDEX('LaunchPad Markbook'!A:A,MATCH(AH731,'LaunchPad Markbook'!D:D,0),0),"-"),"")</f>
        <v/>
      </c>
      <c r="D731" s="27"/>
      <c r="E731" s="27"/>
      <c r="F731" s="27"/>
      <c r="G731" s="14">
        <f>IF(OR(H731&gt;AB$2,I731&gt;AC$2,J731&gt;AD$2,
P731&gt;1,V731&gt;1,
L731&gt;'Group List A'!E$2,M731&gt;'Group List A'!F$2,N731&gt;'Group List A'!G$2,
R731&gt;'Group List B'!E$2,S731&gt;'Group List B'!F$2,T731&gt;'Group List B'!G$2),"Exceed",
IF(OR(H731=AB$2,I731=AC$2,J731=AD$2,
P731=1,V731=1,
L731='Group List A'!E$2,M731='Group List A'!F$2,N731='Group List A'!G$2,
R731='Group List B'!E$2,S731='Group List B'!F$2,T731='Group List B'!G$2),"Limit",0))</f>
        <v>0</v>
      </c>
      <c r="H731" s="29">
        <f t="shared" si="167"/>
        <v>0</v>
      </c>
      <c r="I731" s="29">
        <f t="shared" si="168"/>
        <v>0</v>
      </c>
      <c r="J731" s="29">
        <f t="shared" si="169"/>
        <v>0</v>
      </c>
      <c r="K731" s="32" t="str" cm="1">
        <f t="array" ref="K731">IF(AF731&lt;&gt;"",IFERROR(INDEX('Group List A'!B:B,MATCH(AI731,'Group List A'!A:A,0),0),"-"),"")</f>
        <v/>
      </c>
      <c r="L731" s="33">
        <f t="shared" si="170"/>
        <v>0</v>
      </c>
      <c r="M731" s="33">
        <f t="shared" si="171"/>
        <v>0</v>
      </c>
      <c r="N731" s="33">
        <f t="shared" si="172"/>
        <v>0</v>
      </c>
      <c r="O731" s="28"/>
      <c r="P731" s="33">
        <f t="shared" si="173"/>
        <v>0</v>
      </c>
      <c r="Q731" s="35" t="str" cm="1">
        <f t="array" ref="Q731">IF(AF731&lt;&gt;"",IFERROR(INDEX('Group List B'!B:B,MATCH(AI731,'Group List B'!A:A,0),0),"-"),"")</f>
        <v/>
      </c>
      <c r="R731" s="36">
        <f t="shared" si="174"/>
        <v>0</v>
      </c>
      <c r="S731" s="36">
        <f t="shared" si="175"/>
        <v>0</v>
      </c>
      <c r="T731" s="36">
        <f t="shared" si="176"/>
        <v>0</v>
      </c>
      <c r="U731" s="28"/>
      <c r="V731" s="37">
        <f t="shared" si="177"/>
        <v>0</v>
      </c>
      <c r="W731" s="41"/>
      <c r="X731" s="27"/>
      <c r="Y731" s="27"/>
      <c r="Z731" s="27"/>
      <c r="AA731" s="15"/>
      <c r="AB731" s="17"/>
      <c r="AC731" s="17"/>
      <c r="AD731" s="17"/>
      <c r="AE731" s="90"/>
      <c r="AF731" s="82" t="str">
        <f t="shared" si="178"/>
        <v/>
      </c>
      <c r="AG731" s="83" t="str">
        <f t="shared" si="179"/>
        <v/>
      </c>
      <c r="AH731" s="82" t="str">
        <f t="shared" si="180"/>
        <v/>
      </c>
      <c r="AI731" s="82" t="str">
        <f t="shared" si="181"/>
        <v/>
      </c>
      <c r="AJ731" s="90"/>
      <c r="AP731" s="88"/>
    </row>
    <row r="732" spans="1:42" x14ac:dyDescent="0.25">
      <c r="A732" s="2"/>
      <c r="C732" s="68" t="str" cm="1">
        <f t="array" ref="C732">IF(AF732&lt;&gt;"",
IFERROR(INDEX('LaunchPad Markbook'!A:A,MATCH(AH732,'LaunchPad Markbook'!D:D,0),0),"-"),"")</f>
        <v/>
      </c>
      <c r="D732" s="27"/>
      <c r="E732" s="27"/>
      <c r="F732" s="27"/>
      <c r="G732" s="14">
        <f>IF(OR(H732&gt;AB$2,I732&gt;AC$2,J732&gt;AD$2,
P732&gt;1,V732&gt;1,
L732&gt;'Group List A'!E$2,M732&gt;'Group List A'!F$2,N732&gt;'Group List A'!G$2,
R732&gt;'Group List B'!E$2,S732&gt;'Group List B'!F$2,T732&gt;'Group List B'!G$2),"Exceed",
IF(OR(H732=AB$2,I732=AC$2,J732=AD$2,
P732=1,V732=1,
L732='Group List A'!E$2,M732='Group List A'!F$2,N732='Group List A'!G$2,
R732='Group List B'!E$2,S732='Group List B'!F$2,T732='Group List B'!G$2),"Limit",0))</f>
        <v>0</v>
      </c>
      <c r="H732" s="29">
        <f t="shared" si="167"/>
        <v>0</v>
      </c>
      <c r="I732" s="29">
        <f t="shared" si="168"/>
        <v>0</v>
      </c>
      <c r="J732" s="29">
        <f t="shared" si="169"/>
        <v>0</v>
      </c>
      <c r="K732" s="32" t="str" cm="1">
        <f t="array" ref="K732">IF(AF732&lt;&gt;"",IFERROR(INDEX('Group List A'!B:B,MATCH(AI732,'Group List A'!A:A,0),0),"-"),"")</f>
        <v/>
      </c>
      <c r="L732" s="33">
        <f t="shared" si="170"/>
        <v>0</v>
      </c>
      <c r="M732" s="33">
        <f t="shared" si="171"/>
        <v>0</v>
      </c>
      <c r="N732" s="33">
        <f t="shared" si="172"/>
        <v>0</v>
      </c>
      <c r="O732" s="28"/>
      <c r="P732" s="33">
        <f t="shared" si="173"/>
        <v>0</v>
      </c>
      <c r="Q732" s="35" t="str" cm="1">
        <f t="array" ref="Q732">IF(AF732&lt;&gt;"",IFERROR(INDEX('Group List B'!B:B,MATCH(AI732,'Group List B'!A:A,0),0),"-"),"")</f>
        <v/>
      </c>
      <c r="R732" s="36">
        <f t="shared" si="174"/>
        <v>0</v>
      </c>
      <c r="S732" s="36">
        <f t="shared" si="175"/>
        <v>0</v>
      </c>
      <c r="T732" s="36">
        <f t="shared" si="176"/>
        <v>0</v>
      </c>
      <c r="U732" s="28"/>
      <c r="V732" s="37">
        <f t="shared" si="177"/>
        <v>0</v>
      </c>
      <c r="W732" s="41"/>
      <c r="X732" s="27"/>
      <c r="Y732" s="27"/>
      <c r="Z732" s="27"/>
      <c r="AA732" s="15"/>
      <c r="AB732" s="17"/>
      <c r="AC732" s="17"/>
      <c r="AD732" s="17"/>
      <c r="AE732" s="90"/>
      <c r="AF732" s="82" t="str">
        <f t="shared" si="178"/>
        <v/>
      </c>
      <c r="AG732" s="83" t="str">
        <f t="shared" si="179"/>
        <v/>
      </c>
      <c r="AH732" s="82" t="str">
        <f t="shared" si="180"/>
        <v/>
      </c>
      <c r="AI732" s="82" t="str">
        <f t="shared" si="181"/>
        <v/>
      </c>
      <c r="AJ732" s="90"/>
      <c r="AP732" s="88"/>
    </row>
    <row r="733" spans="1:42" x14ac:dyDescent="0.25">
      <c r="A733" s="2"/>
      <c r="C733" s="68" t="str" cm="1">
        <f t="array" ref="C733">IF(AF733&lt;&gt;"",
IFERROR(INDEX('LaunchPad Markbook'!A:A,MATCH(AH733,'LaunchPad Markbook'!D:D,0),0),"-"),"")</f>
        <v/>
      </c>
      <c r="D733" s="27"/>
      <c r="E733" s="27"/>
      <c r="F733" s="27"/>
      <c r="G733" s="14">
        <f>IF(OR(H733&gt;AB$2,I733&gt;AC$2,J733&gt;AD$2,
P733&gt;1,V733&gt;1,
L733&gt;'Group List A'!E$2,M733&gt;'Group List A'!F$2,N733&gt;'Group List A'!G$2,
R733&gt;'Group List B'!E$2,S733&gt;'Group List B'!F$2,T733&gt;'Group List B'!G$2),"Exceed",
IF(OR(H733=AB$2,I733=AC$2,J733=AD$2,
P733=1,V733=1,
L733='Group List A'!E$2,M733='Group List A'!F$2,N733='Group List A'!G$2,
R733='Group List B'!E$2,S733='Group List B'!F$2,T733='Group List B'!G$2),"Limit",0))</f>
        <v>0</v>
      </c>
      <c r="H733" s="29">
        <f t="shared" si="167"/>
        <v>0</v>
      </c>
      <c r="I733" s="29">
        <f t="shared" si="168"/>
        <v>0</v>
      </c>
      <c r="J733" s="29">
        <f t="shared" si="169"/>
        <v>0</v>
      </c>
      <c r="K733" s="32" t="str" cm="1">
        <f t="array" ref="K733">IF(AF733&lt;&gt;"",IFERROR(INDEX('Group List A'!B:B,MATCH(AI733,'Group List A'!A:A,0),0),"-"),"")</f>
        <v/>
      </c>
      <c r="L733" s="33">
        <f t="shared" si="170"/>
        <v>0</v>
      </c>
      <c r="M733" s="33">
        <f t="shared" si="171"/>
        <v>0</v>
      </c>
      <c r="N733" s="33">
        <f t="shared" si="172"/>
        <v>0</v>
      </c>
      <c r="O733" s="28"/>
      <c r="P733" s="33">
        <f t="shared" si="173"/>
        <v>0</v>
      </c>
      <c r="Q733" s="35" t="str" cm="1">
        <f t="array" ref="Q733">IF(AF733&lt;&gt;"",IFERROR(INDEX('Group List B'!B:B,MATCH(AI733,'Group List B'!A:A,0),0),"-"),"")</f>
        <v/>
      </c>
      <c r="R733" s="36">
        <f t="shared" si="174"/>
        <v>0</v>
      </c>
      <c r="S733" s="36">
        <f t="shared" si="175"/>
        <v>0</v>
      </c>
      <c r="T733" s="36">
        <f t="shared" si="176"/>
        <v>0</v>
      </c>
      <c r="U733" s="28"/>
      <c r="V733" s="37">
        <f t="shared" si="177"/>
        <v>0</v>
      </c>
      <c r="W733" s="41"/>
      <c r="X733" s="27"/>
      <c r="Y733" s="27"/>
      <c r="Z733" s="27"/>
      <c r="AA733" s="15"/>
      <c r="AB733" s="17"/>
      <c r="AC733" s="17"/>
      <c r="AD733" s="17"/>
      <c r="AE733" s="90"/>
      <c r="AF733" s="82" t="str">
        <f t="shared" si="178"/>
        <v/>
      </c>
      <c r="AG733" s="83" t="str">
        <f t="shared" si="179"/>
        <v/>
      </c>
      <c r="AH733" s="82" t="str">
        <f t="shared" si="180"/>
        <v/>
      </c>
      <c r="AI733" s="82" t="str">
        <f t="shared" si="181"/>
        <v/>
      </c>
      <c r="AJ733" s="90"/>
      <c r="AP733" s="88"/>
    </row>
    <row r="734" spans="1:42" x14ac:dyDescent="0.25">
      <c r="A734" s="2"/>
      <c r="C734" s="68" t="str" cm="1">
        <f t="array" ref="C734">IF(AF734&lt;&gt;"",
IFERROR(INDEX('LaunchPad Markbook'!A:A,MATCH(AH734,'LaunchPad Markbook'!D:D,0),0),"-"),"")</f>
        <v/>
      </c>
      <c r="D734" s="27"/>
      <c r="E734" s="27"/>
      <c r="F734" s="27"/>
      <c r="G734" s="14">
        <f>IF(OR(H734&gt;AB$2,I734&gt;AC$2,J734&gt;AD$2,
P734&gt;1,V734&gt;1,
L734&gt;'Group List A'!E$2,M734&gt;'Group List A'!F$2,N734&gt;'Group List A'!G$2,
R734&gt;'Group List B'!E$2,S734&gt;'Group List B'!F$2,T734&gt;'Group List B'!G$2),"Exceed",
IF(OR(H734=AB$2,I734=AC$2,J734=AD$2,
P734=1,V734=1,
L734='Group List A'!E$2,M734='Group List A'!F$2,N734='Group List A'!G$2,
R734='Group List B'!E$2,S734='Group List B'!F$2,T734='Group List B'!G$2),"Limit",0))</f>
        <v>0</v>
      </c>
      <c r="H734" s="29">
        <f t="shared" si="167"/>
        <v>0</v>
      </c>
      <c r="I734" s="29">
        <f t="shared" si="168"/>
        <v>0</v>
      </c>
      <c r="J734" s="29">
        <f t="shared" si="169"/>
        <v>0</v>
      </c>
      <c r="K734" s="32" t="str" cm="1">
        <f t="array" ref="K734">IF(AF734&lt;&gt;"",IFERROR(INDEX('Group List A'!B:B,MATCH(AI734,'Group List A'!A:A,0),0),"-"),"")</f>
        <v/>
      </c>
      <c r="L734" s="33">
        <f t="shared" si="170"/>
        <v>0</v>
      </c>
      <c r="M734" s="33">
        <f t="shared" si="171"/>
        <v>0</v>
      </c>
      <c r="N734" s="33">
        <f t="shared" si="172"/>
        <v>0</v>
      </c>
      <c r="O734" s="28"/>
      <c r="P734" s="33">
        <f t="shared" si="173"/>
        <v>0</v>
      </c>
      <c r="Q734" s="35" t="str" cm="1">
        <f t="array" ref="Q734">IF(AF734&lt;&gt;"",IFERROR(INDEX('Group List B'!B:B,MATCH(AI734,'Group List B'!A:A,0),0),"-"),"")</f>
        <v/>
      </c>
      <c r="R734" s="36">
        <f t="shared" si="174"/>
        <v>0</v>
      </c>
      <c r="S734" s="36">
        <f t="shared" si="175"/>
        <v>0</v>
      </c>
      <c r="T734" s="36">
        <f t="shared" si="176"/>
        <v>0</v>
      </c>
      <c r="U734" s="28"/>
      <c r="V734" s="37">
        <f t="shared" si="177"/>
        <v>0</v>
      </c>
      <c r="W734" s="41"/>
      <c r="X734" s="27"/>
      <c r="Y734" s="27"/>
      <c r="Z734" s="27"/>
      <c r="AA734" s="15"/>
      <c r="AB734" s="17"/>
      <c r="AC734" s="17"/>
      <c r="AD734" s="17"/>
      <c r="AE734" s="90"/>
      <c r="AF734" s="82" t="str">
        <f t="shared" si="178"/>
        <v/>
      </c>
      <c r="AG734" s="83" t="str">
        <f t="shared" si="179"/>
        <v/>
      </c>
      <c r="AH734" s="82" t="str">
        <f t="shared" si="180"/>
        <v/>
      </c>
      <c r="AI734" s="82" t="str">
        <f t="shared" si="181"/>
        <v/>
      </c>
      <c r="AJ734" s="90"/>
      <c r="AP734" s="88"/>
    </row>
    <row r="735" spans="1:42" x14ac:dyDescent="0.25">
      <c r="A735" s="2"/>
      <c r="C735" s="68" t="str" cm="1">
        <f t="array" ref="C735">IF(AF735&lt;&gt;"",
IFERROR(INDEX('LaunchPad Markbook'!A:A,MATCH(AH735,'LaunchPad Markbook'!D:D,0),0),"-"),"")</f>
        <v/>
      </c>
      <c r="D735" s="27"/>
      <c r="E735" s="27"/>
      <c r="F735" s="27"/>
      <c r="G735" s="14">
        <f>IF(OR(H735&gt;AB$2,I735&gt;AC$2,J735&gt;AD$2,
P735&gt;1,V735&gt;1,
L735&gt;'Group List A'!E$2,M735&gt;'Group List A'!F$2,N735&gt;'Group List A'!G$2,
R735&gt;'Group List B'!E$2,S735&gt;'Group List B'!F$2,T735&gt;'Group List B'!G$2),"Exceed",
IF(OR(H735=AB$2,I735=AC$2,J735=AD$2,
P735=1,V735=1,
L735='Group List A'!E$2,M735='Group List A'!F$2,N735='Group List A'!G$2,
R735='Group List B'!E$2,S735='Group List B'!F$2,T735='Group List B'!G$2),"Limit",0))</f>
        <v>0</v>
      </c>
      <c r="H735" s="29">
        <f t="shared" si="167"/>
        <v>0</v>
      </c>
      <c r="I735" s="29">
        <f t="shared" si="168"/>
        <v>0</v>
      </c>
      <c r="J735" s="29">
        <f t="shared" si="169"/>
        <v>0</v>
      </c>
      <c r="K735" s="32" t="str" cm="1">
        <f t="array" ref="K735">IF(AF735&lt;&gt;"",IFERROR(INDEX('Group List A'!B:B,MATCH(AI735,'Group List A'!A:A,0),0),"-"),"")</f>
        <v/>
      </c>
      <c r="L735" s="33">
        <f t="shared" si="170"/>
        <v>0</v>
      </c>
      <c r="M735" s="33">
        <f t="shared" si="171"/>
        <v>0</v>
      </c>
      <c r="N735" s="33">
        <f t="shared" si="172"/>
        <v>0</v>
      </c>
      <c r="O735" s="28"/>
      <c r="P735" s="33">
        <f t="shared" si="173"/>
        <v>0</v>
      </c>
      <c r="Q735" s="35" t="str" cm="1">
        <f t="array" ref="Q735">IF(AF735&lt;&gt;"",IFERROR(INDEX('Group List B'!B:B,MATCH(AI735,'Group List B'!A:A,0),0),"-"),"")</f>
        <v/>
      </c>
      <c r="R735" s="36">
        <f t="shared" si="174"/>
        <v>0</v>
      </c>
      <c r="S735" s="36">
        <f t="shared" si="175"/>
        <v>0</v>
      </c>
      <c r="T735" s="36">
        <f t="shared" si="176"/>
        <v>0</v>
      </c>
      <c r="U735" s="28"/>
      <c r="V735" s="37">
        <f t="shared" si="177"/>
        <v>0</v>
      </c>
      <c r="W735" s="41"/>
      <c r="X735" s="27"/>
      <c r="Y735" s="27"/>
      <c r="Z735" s="27"/>
      <c r="AA735" s="15"/>
      <c r="AB735" s="17"/>
      <c r="AC735" s="17"/>
      <c r="AD735" s="17"/>
      <c r="AE735" s="90"/>
      <c r="AF735" s="82" t="str">
        <f t="shared" si="178"/>
        <v/>
      </c>
      <c r="AG735" s="83" t="str">
        <f t="shared" si="179"/>
        <v/>
      </c>
      <c r="AH735" s="82" t="str">
        <f t="shared" si="180"/>
        <v/>
      </c>
      <c r="AI735" s="82" t="str">
        <f t="shared" si="181"/>
        <v/>
      </c>
      <c r="AJ735" s="90"/>
      <c r="AP735" s="88"/>
    </row>
    <row r="736" spans="1:42" x14ac:dyDescent="0.25">
      <c r="A736" s="2"/>
      <c r="C736" s="68" t="str" cm="1">
        <f t="array" ref="C736">IF(AF736&lt;&gt;"",
IFERROR(INDEX('LaunchPad Markbook'!A:A,MATCH(AH736,'LaunchPad Markbook'!D:D,0),0),"-"),"")</f>
        <v/>
      </c>
      <c r="D736" s="27"/>
      <c r="E736" s="27"/>
      <c r="F736" s="27"/>
      <c r="G736" s="14">
        <f>IF(OR(H736&gt;AB$2,I736&gt;AC$2,J736&gt;AD$2,
P736&gt;1,V736&gt;1,
L736&gt;'Group List A'!E$2,M736&gt;'Group List A'!F$2,N736&gt;'Group List A'!G$2,
R736&gt;'Group List B'!E$2,S736&gt;'Group List B'!F$2,T736&gt;'Group List B'!G$2),"Exceed",
IF(OR(H736=AB$2,I736=AC$2,J736=AD$2,
P736=1,V736=1,
L736='Group List A'!E$2,M736='Group List A'!F$2,N736='Group List A'!G$2,
R736='Group List B'!E$2,S736='Group List B'!F$2,T736='Group List B'!G$2),"Limit",0))</f>
        <v>0</v>
      </c>
      <c r="H736" s="29">
        <f t="shared" si="167"/>
        <v>0</v>
      </c>
      <c r="I736" s="29">
        <f t="shared" si="168"/>
        <v>0</v>
      </c>
      <c r="J736" s="29">
        <f t="shared" si="169"/>
        <v>0</v>
      </c>
      <c r="K736" s="32" t="str" cm="1">
        <f t="array" ref="K736">IF(AF736&lt;&gt;"",IFERROR(INDEX('Group List A'!B:B,MATCH(AI736,'Group List A'!A:A,0),0),"-"),"")</f>
        <v/>
      </c>
      <c r="L736" s="33">
        <f t="shared" si="170"/>
        <v>0</v>
      </c>
      <c r="M736" s="33">
        <f t="shared" si="171"/>
        <v>0</v>
      </c>
      <c r="N736" s="33">
        <f t="shared" si="172"/>
        <v>0</v>
      </c>
      <c r="O736" s="28"/>
      <c r="P736" s="33">
        <f t="shared" si="173"/>
        <v>0</v>
      </c>
      <c r="Q736" s="35" t="str" cm="1">
        <f t="array" ref="Q736">IF(AF736&lt;&gt;"",IFERROR(INDEX('Group List B'!B:B,MATCH(AI736,'Group List B'!A:A,0),0),"-"),"")</f>
        <v/>
      </c>
      <c r="R736" s="36">
        <f t="shared" si="174"/>
        <v>0</v>
      </c>
      <c r="S736" s="36">
        <f t="shared" si="175"/>
        <v>0</v>
      </c>
      <c r="T736" s="36">
        <f t="shared" si="176"/>
        <v>0</v>
      </c>
      <c r="U736" s="28"/>
      <c r="V736" s="37">
        <f t="shared" si="177"/>
        <v>0</v>
      </c>
      <c r="W736" s="41"/>
      <c r="X736" s="27"/>
      <c r="Y736" s="27"/>
      <c r="Z736" s="27"/>
      <c r="AA736" s="15"/>
      <c r="AB736" s="17"/>
      <c r="AC736" s="17"/>
      <c r="AD736" s="17"/>
      <c r="AE736" s="90"/>
      <c r="AF736" s="82" t="str">
        <f t="shared" si="178"/>
        <v/>
      </c>
      <c r="AG736" s="83" t="str">
        <f t="shared" si="179"/>
        <v/>
      </c>
      <c r="AH736" s="82" t="str">
        <f t="shared" si="180"/>
        <v/>
      </c>
      <c r="AI736" s="82" t="str">
        <f t="shared" si="181"/>
        <v/>
      </c>
      <c r="AJ736" s="90"/>
      <c r="AP736" s="88"/>
    </row>
    <row r="737" spans="1:42" x14ac:dyDescent="0.25">
      <c r="A737" s="2"/>
      <c r="C737" s="68" t="str" cm="1">
        <f t="array" ref="C737">IF(AF737&lt;&gt;"",
IFERROR(INDEX('LaunchPad Markbook'!A:A,MATCH(AH737,'LaunchPad Markbook'!D:D,0),0),"-"),"")</f>
        <v/>
      </c>
      <c r="D737" s="27"/>
      <c r="E737" s="27"/>
      <c r="F737" s="27"/>
      <c r="G737" s="14">
        <f>IF(OR(H737&gt;AB$2,I737&gt;AC$2,J737&gt;AD$2,
P737&gt;1,V737&gt;1,
L737&gt;'Group List A'!E$2,M737&gt;'Group List A'!F$2,N737&gt;'Group List A'!G$2,
R737&gt;'Group List B'!E$2,S737&gt;'Group List B'!F$2,T737&gt;'Group List B'!G$2),"Exceed",
IF(OR(H737=AB$2,I737=AC$2,J737=AD$2,
P737=1,V737=1,
L737='Group List A'!E$2,M737='Group List A'!F$2,N737='Group List A'!G$2,
R737='Group List B'!E$2,S737='Group List B'!F$2,T737='Group List B'!G$2),"Limit",0))</f>
        <v>0</v>
      </c>
      <c r="H737" s="29">
        <f t="shared" si="167"/>
        <v>0</v>
      </c>
      <c r="I737" s="29">
        <f t="shared" si="168"/>
        <v>0</v>
      </c>
      <c r="J737" s="29">
        <f t="shared" si="169"/>
        <v>0</v>
      </c>
      <c r="K737" s="32" t="str" cm="1">
        <f t="array" ref="K737">IF(AF737&lt;&gt;"",IFERROR(INDEX('Group List A'!B:B,MATCH(AI737,'Group List A'!A:A,0),0),"-"),"")</f>
        <v/>
      </c>
      <c r="L737" s="33">
        <f t="shared" si="170"/>
        <v>0</v>
      </c>
      <c r="M737" s="33">
        <f t="shared" si="171"/>
        <v>0</v>
      </c>
      <c r="N737" s="33">
        <f t="shared" si="172"/>
        <v>0</v>
      </c>
      <c r="O737" s="28"/>
      <c r="P737" s="33">
        <f t="shared" si="173"/>
        <v>0</v>
      </c>
      <c r="Q737" s="35" t="str" cm="1">
        <f t="array" ref="Q737">IF(AF737&lt;&gt;"",IFERROR(INDEX('Group List B'!B:B,MATCH(AI737,'Group List B'!A:A,0),0),"-"),"")</f>
        <v/>
      </c>
      <c r="R737" s="36">
        <f t="shared" si="174"/>
        <v>0</v>
      </c>
      <c r="S737" s="36">
        <f t="shared" si="175"/>
        <v>0</v>
      </c>
      <c r="T737" s="36">
        <f t="shared" si="176"/>
        <v>0</v>
      </c>
      <c r="U737" s="28"/>
      <c r="V737" s="37">
        <f t="shared" si="177"/>
        <v>0</v>
      </c>
      <c r="W737" s="41"/>
      <c r="X737" s="27"/>
      <c r="Y737" s="27"/>
      <c r="Z737" s="27"/>
      <c r="AA737" s="15"/>
      <c r="AB737" s="17"/>
      <c r="AC737" s="17"/>
      <c r="AD737" s="17"/>
      <c r="AE737" s="90"/>
      <c r="AF737" s="82" t="str">
        <f t="shared" si="178"/>
        <v/>
      </c>
      <c r="AG737" s="83" t="str">
        <f t="shared" si="179"/>
        <v/>
      </c>
      <c r="AH737" s="82" t="str">
        <f t="shared" si="180"/>
        <v/>
      </c>
      <c r="AI737" s="82" t="str">
        <f t="shared" si="181"/>
        <v/>
      </c>
      <c r="AJ737" s="90"/>
      <c r="AP737" s="88"/>
    </row>
    <row r="738" spans="1:42" x14ac:dyDescent="0.25">
      <c r="A738" s="2"/>
      <c r="C738" s="68" t="str" cm="1">
        <f t="array" ref="C738">IF(AF738&lt;&gt;"",
IFERROR(INDEX('LaunchPad Markbook'!A:A,MATCH(AH738,'LaunchPad Markbook'!D:D,0),0),"-"),"")</f>
        <v/>
      </c>
      <c r="D738" s="27"/>
      <c r="E738" s="27"/>
      <c r="F738" s="27"/>
      <c r="G738" s="14">
        <f>IF(OR(H738&gt;AB$2,I738&gt;AC$2,J738&gt;AD$2,
P738&gt;1,V738&gt;1,
L738&gt;'Group List A'!E$2,M738&gt;'Group List A'!F$2,N738&gt;'Group List A'!G$2,
R738&gt;'Group List B'!E$2,S738&gt;'Group List B'!F$2,T738&gt;'Group List B'!G$2),"Exceed",
IF(OR(H738=AB$2,I738=AC$2,J738=AD$2,
P738=1,V738=1,
L738='Group List A'!E$2,M738='Group List A'!F$2,N738='Group List A'!G$2,
R738='Group List B'!E$2,S738='Group List B'!F$2,T738='Group List B'!G$2),"Limit",0))</f>
        <v>0</v>
      </c>
      <c r="H738" s="29">
        <f t="shared" si="167"/>
        <v>0</v>
      </c>
      <c r="I738" s="29">
        <f t="shared" si="168"/>
        <v>0</v>
      </c>
      <c r="J738" s="29">
        <f t="shared" si="169"/>
        <v>0</v>
      </c>
      <c r="K738" s="32" t="str" cm="1">
        <f t="array" ref="K738">IF(AF738&lt;&gt;"",IFERROR(INDEX('Group List A'!B:B,MATCH(AI738,'Group List A'!A:A,0),0),"-"),"")</f>
        <v/>
      </c>
      <c r="L738" s="33">
        <f t="shared" si="170"/>
        <v>0</v>
      </c>
      <c r="M738" s="33">
        <f t="shared" si="171"/>
        <v>0</v>
      </c>
      <c r="N738" s="33">
        <f t="shared" si="172"/>
        <v>0</v>
      </c>
      <c r="O738" s="28"/>
      <c r="P738" s="33">
        <f t="shared" si="173"/>
        <v>0</v>
      </c>
      <c r="Q738" s="35" t="str" cm="1">
        <f t="array" ref="Q738">IF(AF738&lt;&gt;"",IFERROR(INDEX('Group List B'!B:B,MATCH(AI738,'Group List B'!A:A,0),0),"-"),"")</f>
        <v/>
      </c>
      <c r="R738" s="36">
        <f t="shared" si="174"/>
        <v>0</v>
      </c>
      <c r="S738" s="36">
        <f t="shared" si="175"/>
        <v>0</v>
      </c>
      <c r="T738" s="36">
        <f t="shared" si="176"/>
        <v>0</v>
      </c>
      <c r="U738" s="28"/>
      <c r="V738" s="37">
        <f t="shared" si="177"/>
        <v>0</v>
      </c>
      <c r="W738" s="41"/>
      <c r="X738" s="27"/>
      <c r="Y738" s="27"/>
      <c r="Z738" s="27"/>
      <c r="AA738" s="15"/>
      <c r="AB738" s="17"/>
      <c r="AC738" s="17"/>
      <c r="AD738" s="17"/>
      <c r="AE738" s="90"/>
      <c r="AF738" s="82" t="str">
        <f t="shared" si="178"/>
        <v/>
      </c>
      <c r="AG738" s="83" t="str">
        <f t="shared" si="179"/>
        <v/>
      </c>
      <c r="AH738" s="82" t="str">
        <f t="shared" si="180"/>
        <v/>
      </c>
      <c r="AI738" s="82" t="str">
        <f t="shared" si="181"/>
        <v/>
      </c>
      <c r="AJ738" s="90"/>
      <c r="AP738" s="88"/>
    </row>
    <row r="739" spans="1:42" x14ac:dyDescent="0.25">
      <c r="A739" s="2"/>
      <c r="C739" s="68" t="str" cm="1">
        <f t="array" ref="C739">IF(AF739&lt;&gt;"",
IFERROR(INDEX('LaunchPad Markbook'!A:A,MATCH(AH739,'LaunchPad Markbook'!D:D,0),0),"-"),"")</f>
        <v/>
      </c>
      <c r="D739" s="27"/>
      <c r="E739" s="27"/>
      <c r="F739" s="27"/>
      <c r="G739" s="14">
        <f>IF(OR(H739&gt;AB$2,I739&gt;AC$2,J739&gt;AD$2,
P739&gt;1,V739&gt;1,
L739&gt;'Group List A'!E$2,M739&gt;'Group List A'!F$2,N739&gt;'Group List A'!G$2,
R739&gt;'Group List B'!E$2,S739&gt;'Group List B'!F$2,T739&gt;'Group List B'!G$2),"Exceed",
IF(OR(H739=AB$2,I739=AC$2,J739=AD$2,
P739=1,V739=1,
L739='Group List A'!E$2,M739='Group List A'!F$2,N739='Group List A'!G$2,
R739='Group List B'!E$2,S739='Group List B'!F$2,T739='Group List B'!G$2),"Limit",0))</f>
        <v>0</v>
      </c>
      <c r="H739" s="29">
        <f t="shared" si="167"/>
        <v>0</v>
      </c>
      <c r="I739" s="29">
        <f t="shared" si="168"/>
        <v>0</v>
      </c>
      <c r="J739" s="29">
        <f t="shared" si="169"/>
        <v>0</v>
      </c>
      <c r="K739" s="32" t="str" cm="1">
        <f t="array" ref="K739">IF(AF739&lt;&gt;"",IFERROR(INDEX('Group List A'!B:B,MATCH(AI739,'Group List A'!A:A,0),0),"-"),"")</f>
        <v/>
      </c>
      <c r="L739" s="33">
        <f t="shared" si="170"/>
        <v>0</v>
      </c>
      <c r="M739" s="33">
        <f t="shared" si="171"/>
        <v>0</v>
      </c>
      <c r="N739" s="33">
        <f t="shared" si="172"/>
        <v>0</v>
      </c>
      <c r="O739" s="28"/>
      <c r="P739" s="33">
        <f t="shared" si="173"/>
        <v>0</v>
      </c>
      <c r="Q739" s="35" t="str" cm="1">
        <f t="array" ref="Q739">IF(AF739&lt;&gt;"",IFERROR(INDEX('Group List B'!B:B,MATCH(AI739,'Group List B'!A:A,0),0),"-"),"")</f>
        <v/>
      </c>
      <c r="R739" s="36">
        <f t="shared" si="174"/>
        <v>0</v>
      </c>
      <c r="S739" s="36">
        <f t="shared" si="175"/>
        <v>0</v>
      </c>
      <c r="T739" s="36">
        <f t="shared" si="176"/>
        <v>0</v>
      </c>
      <c r="U739" s="28"/>
      <c r="V739" s="37">
        <f t="shared" si="177"/>
        <v>0</v>
      </c>
      <c r="W739" s="41"/>
      <c r="X739" s="27"/>
      <c r="Y739" s="27"/>
      <c r="Z739" s="27"/>
      <c r="AA739" s="15"/>
      <c r="AB739" s="17"/>
      <c r="AC739" s="17"/>
      <c r="AD739" s="17"/>
      <c r="AE739" s="90"/>
      <c r="AF739" s="82" t="str">
        <f t="shared" si="178"/>
        <v/>
      </c>
      <c r="AG739" s="83" t="str">
        <f t="shared" si="179"/>
        <v/>
      </c>
      <c r="AH739" s="82" t="str">
        <f t="shared" si="180"/>
        <v/>
      </c>
      <c r="AI739" s="82" t="str">
        <f t="shared" si="181"/>
        <v/>
      </c>
      <c r="AJ739" s="90"/>
      <c r="AP739" s="88"/>
    </row>
    <row r="740" spans="1:42" x14ac:dyDescent="0.25">
      <c r="A740" s="2"/>
      <c r="C740" s="68" t="str" cm="1">
        <f t="array" ref="C740">IF(AF740&lt;&gt;"",
IFERROR(INDEX('LaunchPad Markbook'!A:A,MATCH(AH740,'LaunchPad Markbook'!D:D,0),0),"-"),"")</f>
        <v/>
      </c>
      <c r="D740" s="27"/>
      <c r="E740" s="27"/>
      <c r="F740" s="27"/>
      <c r="G740" s="14">
        <f>IF(OR(H740&gt;AB$2,I740&gt;AC$2,J740&gt;AD$2,
P740&gt;1,V740&gt;1,
L740&gt;'Group List A'!E$2,M740&gt;'Group List A'!F$2,N740&gt;'Group List A'!G$2,
R740&gt;'Group List B'!E$2,S740&gt;'Group List B'!F$2,T740&gt;'Group List B'!G$2),"Exceed",
IF(OR(H740=AB$2,I740=AC$2,J740=AD$2,
P740=1,V740=1,
L740='Group List A'!E$2,M740='Group List A'!F$2,N740='Group List A'!G$2,
R740='Group List B'!E$2,S740='Group List B'!F$2,T740='Group List B'!G$2),"Limit",0))</f>
        <v>0</v>
      </c>
      <c r="H740" s="29">
        <f t="shared" si="167"/>
        <v>0</v>
      </c>
      <c r="I740" s="29">
        <f t="shared" si="168"/>
        <v>0</v>
      </c>
      <c r="J740" s="29">
        <f t="shared" si="169"/>
        <v>0</v>
      </c>
      <c r="K740" s="32" t="str" cm="1">
        <f t="array" ref="K740">IF(AF740&lt;&gt;"",IFERROR(INDEX('Group List A'!B:B,MATCH(AI740,'Group List A'!A:A,0),0),"-"),"")</f>
        <v/>
      </c>
      <c r="L740" s="33">
        <f t="shared" si="170"/>
        <v>0</v>
      </c>
      <c r="M740" s="33">
        <f t="shared" si="171"/>
        <v>0</v>
      </c>
      <c r="N740" s="33">
        <f t="shared" si="172"/>
        <v>0</v>
      </c>
      <c r="O740" s="28"/>
      <c r="P740" s="33">
        <f t="shared" si="173"/>
        <v>0</v>
      </c>
      <c r="Q740" s="35" t="str" cm="1">
        <f t="array" ref="Q740">IF(AF740&lt;&gt;"",IFERROR(INDEX('Group List B'!B:B,MATCH(AI740,'Group List B'!A:A,0),0),"-"),"")</f>
        <v/>
      </c>
      <c r="R740" s="36">
        <f t="shared" si="174"/>
        <v>0</v>
      </c>
      <c r="S740" s="36">
        <f t="shared" si="175"/>
        <v>0</v>
      </c>
      <c r="T740" s="36">
        <f t="shared" si="176"/>
        <v>0</v>
      </c>
      <c r="U740" s="28"/>
      <c r="V740" s="37">
        <f t="shared" si="177"/>
        <v>0</v>
      </c>
      <c r="W740" s="41"/>
      <c r="X740" s="27"/>
      <c r="Y740" s="27"/>
      <c r="Z740" s="27"/>
      <c r="AA740" s="15"/>
      <c r="AB740" s="17"/>
      <c r="AC740" s="17"/>
      <c r="AD740" s="17"/>
      <c r="AE740" s="90"/>
      <c r="AF740" s="82" t="str">
        <f t="shared" si="178"/>
        <v/>
      </c>
      <c r="AG740" s="83" t="str">
        <f t="shared" si="179"/>
        <v/>
      </c>
      <c r="AH740" s="82" t="str">
        <f t="shared" si="180"/>
        <v/>
      </c>
      <c r="AI740" s="82" t="str">
        <f t="shared" si="181"/>
        <v/>
      </c>
      <c r="AJ740" s="90"/>
      <c r="AP740" s="88"/>
    </row>
    <row r="741" spans="1:42" x14ac:dyDescent="0.25">
      <c r="A741" s="2"/>
      <c r="C741" s="68" t="str" cm="1">
        <f t="array" ref="C741">IF(AF741&lt;&gt;"",
IFERROR(INDEX('LaunchPad Markbook'!A:A,MATCH(AH741,'LaunchPad Markbook'!D:D,0),0),"-"),"")</f>
        <v/>
      </c>
      <c r="D741" s="27"/>
      <c r="E741" s="27"/>
      <c r="F741" s="27"/>
      <c r="G741" s="14">
        <f>IF(OR(H741&gt;AB$2,I741&gt;AC$2,J741&gt;AD$2,
P741&gt;1,V741&gt;1,
L741&gt;'Group List A'!E$2,M741&gt;'Group List A'!F$2,N741&gt;'Group List A'!G$2,
R741&gt;'Group List B'!E$2,S741&gt;'Group List B'!F$2,T741&gt;'Group List B'!G$2),"Exceed",
IF(OR(H741=AB$2,I741=AC$2,J741=AD$2,
P741=1,V741=1,
L741='Group List A'!E$2,M741='Group List A'!F$2,N741='Group List A'!G$2,
R741='Group List B'!E$2,S741='Group List B'!F$2,T741='Group List B'!G$2),"Limit",0))</f>
        <v>0</v>
      </c>
      <c r="H741" s="29">
        <f t="shared" si="167"/>
        <v>0</v>
      </c>
      <c r="I741" s="29">
        <f t="shared" si="168"/>
        <v>0</v>
      </c>
      <c r="J741" s="29">
        <f t="shared" si="169"/>
        <v>0</v>
      </c>
      <c r="K741" s="32" t="str" cm="1">
        <f t="array" ref="K741">IF(AF741&lt;&gt;"",IFERROR(INDEX('Group List A'!B:B,MATCH(AI741,'Group List A'!A:A,0),0),"-"),"")</f>
        <v/>
      </c>
      <c r="L741" s="33">
        <f t="shared" si="170"/>
        <v>0</v>
      </c>
      <c r="M741" s="33">
        <f t="shared" si="171"/>
        <v>0</v>
      </c>
      <c r="N741" s="33">
        <f t="shared" si="172"/>
        <v>0</v>
      </c>
      <c r="O741" s="28"/>
      <c r="P741" s="33">
        <f t="shared" si="173"/>
        <v>0</v>
      </c>
      <c r="Q741" s="35" t="str" cm="1">
        <f t="array" ref="Q741">IF(AF741&lt;&gt;"",IFERROR(INDEX('Group List B'!B:B,MATCH(AI741,'Group List B'!A:A,0),0),"-"),"")</f>
        <v/>
      </c>
      <c r="R741" s="36">
        <f t="shared" si="174"/>
        <v>0</v>
      </c>
      <c r="S741" s="36">
        <f t="shared" si="175"/>
        <v>0</v>
      </c>
      <c r="T741" s="36">
        <f t="shared" si="176"/>
        <v>0</v>
      </c>
      <c r="U741" s="28"/>
      <c r="V741" s="37">
        <f t="shared" si="177"/>
        <v>0</v>
      </c>
      <c r="W741" s="41"/>
      <c r="X741" s="27"/>
      <c r="Y741" s="27"/>
      <c r="Z741" s="27"/>
      <c r="AA741" s="15"/>
      <c r="AB741" s="17"/>
      <c r="AC741" s="17"/>
      <c r="AD741" s="17"/>
      <c r="AE741" s="90"/>
      <c r="AF741" s="82" t="str">
        <f t="shared" si="178"/>
        <v/>
      </c>
      <c r="AG741" s="83" t="str">
        <f t="shared" si="179"/>
        <v/>
      </c>
      <c r="AH741" s="82" t="str">
        <f t="shared" si="180"/>
        <v/>
      </c>
      <c r="AI741" s="82" t="str">
        <f t="shared" si="181"/>
        <v/>
      </c>
      <c r="AJ741" s="90"/>
      <c r="AP741" s="88"/>
    </row>
    <row r="742" spans="1:42" x14ac:dyDescent="0.25">
      <c r="A742" s="2"/>
      <c r="C742" s="68" t="str" cm="1">
        <f t="array" ref="C742">IF(AF742&lt;&gt;"",
IFERROR(INDEX('LaunchPad Markbook'!A:A,MATCH(AH742,'LaunchPad Markbook'!D:D,0),0),"-"),"")</f>
        <v/>
      </c>
      <c r="D742" s="27"/>
      <c r="E742" s="27"/>
      <c r="F742" s="27"/>
      <c r="G742" s="14">
        <f>IF(OR(H742&gt;AB$2,I742&gt;AC$2,J742&gt;AD$2,
P742&gt;1,V742&gt;1,
L742&gt;'Group List A'!E$2,M742&gt;'Group List A'!F$2,N742&gt;'Group List A'!G$2,
R742&gt;'Group List B'!E$2,S742&gt;'Group List B'!F$2,T742&gt;'Group List B'!G$2),"Exceed",
IF(OR(H742=AB$2,I742=AC$2,J742=AD$2,
P742=1,V742=1,
L742='Group List A'!E$2,M742='Group List A'!F$2,N742='Group List A'!G$2,
R742='Group List B'!E$2,S742='Group List B'!F$2,T742='Group List B'!G$2),"Limit",0))</f>
        <v>0</v>
      </c>
      <c r="H742" s="29">
        <f t="shared" si="167"/>
        <v>0</v>
      </c>
      <c r="I742" s="29">
        <f t="shared" si="168"/>
        <v>0</v>
      </c>
      <c r="J742" s="29">
        <f t="shared" si="169"/>
        <v>0</v>
      </c>
      <c r="K742" s="32" t="str" cm="1">
        <f t="array" ref="K742">IF(AF742&lt;&gt;"",IFERROR(INDEX('Group List A'!B:B,MATCH(AI742,'Group List A'!A:A,0),0),"-"),"")</f>
        <v/>
      </c>
      <c r="L742" s="33">
        <f t="shared" si="170"/>
        <v>0</v>
      </c>
      <c r="M742" s="33">
        <f t="shared" si="171"/>
        <v>0</v>
      </c>
      <c r="N742" s="33">
        <f t="shared" si="172"/>
        <v>0</v>
      </c>
      <c r="O742" s="28"/>
      <c r="P742" s="33">
        <f t="shared" si="173"/>
        <v>0</v>
      </c>
      <c r="Q742" s="35" t="str" cm="1">
        <f t="array" ref="Q742">IF(AF742&lt;&gt;"",IFERROR(INDEX('Group List B'!B:B,MATCH(AI742,'Group List B'!A:A,0),0),"-"),"")</f>
        <v/>
      </c>
      <c r="R742" s="36">
        <f t="shared" si="174"/>
        <v>0</v>
      </c>
      <c r="S742" s="36">
        <f t="shared" si="175"/>
        <v>0</v>
      </c>
      <c r="T742" s="36">
        <f t="shared" si="176"/>
        <v>0</v>
      </c>
      <c r="U742" s="28"/>
      <c r="V742" s="37">
        <f t="shared" si="177"/>
        <v>0</v>
      </c>
      <c r="W742" s="41"/>
      <c r="X742" s="27"/>
      <c r="Y742" s="27"/>
      <c r="Z742" s="27"/>
      <c r="AA742" s="15"/>
      <c r="AB742" s="17"/>
      <c r="AC742" s="17"/>
      <c r="AD742" s="17"/>
      <c r="AE742" s="90"/>
      <c r="AF742" s="82" t="str">
        <f t="shared" si="178"/>
        <v/>
      </c>
      <c r="AG742" s="83" t="str">
        <f t="shared" si="179"/>
        <v/>
      </c>
      <c r="AH742" s="82" t="str">
        <f t="shared" si="180"/>
        <v/>
      </c>
      <c r="AI742" s="82" t="str">
        <f t="shared" si="181"/>
        <v/>
      </c>
      <c r="AJ742" s="90"/>
      <c r="AP742" s="88"/>
    </row>
    <row r="743" spans="1:42" x14ac:dyDescent="0.25">
      <c r="A743" s="2"/>
      <c r="C743" s="68" t="str" cm="1">
        <f t="array" ref="C743">IF(AF743&lt;&gt;"",
IFERROR(INDEX('LaunchPad Markbook'!A:A,MATCH(AH743,'LaunchPad Markbook'!D:D,0),0),"-"),"")</f>
        <v/>
      </c>
      <c r="D743" s="27"/>
      <c r="E743" s="27"/>
      <c r="F743" s="27"/>
      <c r="G743" s="14">
        <f>IF(OR(H743&gt;AB$2,I743&gt;AC$2,J743&gt;AD$2,
P743&gt;1,V743&gt;1,
L743&gt;'Group List A'!E$2,M743&gt;'Group List A'!F$2,N743&gt;'Group List A'!G$2,
R743&gt;'Group List B'!E$2,S743&gt;'Group List B'!F$2,T743&gt;'Group List B'!G$2),"Exceed",
IF(OR(H743=AB$2,I743=AC$2,J743=AD$2,
P743=1,V743=1,
L743='Group List A'!E$2,M743='Group List A'!F$2,N743='Group List A'!G$2,
R743='Group List B'!E$2,S743='Group List B'!F$2,T743='Group List B'!G$2),"Limit",0))</f>
        <v>0</v>
      </c>
      <c r="H743" s="29">
        <f t="shared" si="167"/>
        <v>0</v>
      </c>
      <c r="I743" s="29">
        <f t="shared" si="168"/>
        <v>0</v>
      </c>
      <c r="J743" s="29">
        <f t="shared" si="169"/>
        <v>0</v>
      </c>
      <c r="K743" s="32" t="str" cm="1">
        <f t="array" ref="K743">IF(AF743&lt;&gt;"",IFERROR(INDEX('Group List A'!B:B,MATCH(AI743,'Group List A'!A:A,0),0),"-"),"")</f>
        <v/>
      </c>
      <c r="L743" s="33">
        <f t="shared" si="170"/>
        <v>0</v>
      </c>
      <c r="M743" s="33">
        <f t="shared" si="171"/>
        <v>0</v>
      </c>
      <c r="N743" s="33">
        <f t="shared" si="172"/>
        <v>0</v>
      </c>
      <c r="O743" s="28"/>
      <c r="P743" s="33">
        <f t="shared" si="173"/>
        <v>0</v>
      </c>
      <c r="Q743" s="35" t="str" cm="1">
        <f t="array" ref="Q743">IF(AF743&lt;&gt;"",IFERROR(INDEX('Group List B'!B:B,MATCH(AI743,'Group List B'!A:A,0),0),"-"),"")</f>
        <v/>
      </c>
      <c r="R743" s="36">
        <f t="shared" si="174"/>
        <v>0</v>
      </c>
      <c r="S743" s="36">
        <f t="shared" si="175"/>
        <v>0</v>
      </c>
      <c r="T743" s="36">
        <f t="shared" si="176"/>
        <v>0</v>
      </c>
      <c r="U743" s="28"/>
      <c r="V743" s="37">
        <f t="shared" si="177"/>
        <v>0</v>
      </c>
      <c r="W743" s="41"/>
      <c r="X743" s="27"/>
      <c r="Y743" s="27"/>
      <c r="Z743" s="27"/>
      <c r="AA743" s="15"/>
      <c r="AB743" s="17"/>
      <c r="AC743" s="17"/>
      <c r="AD743" s="17"/>
      <c r="AE743" s="90"/>
      <c r="AF743" s="82" t="str">
        <f t="shared" si="178"/>
        <v/>
      </c>
      <c r="AG743" s="83" t="str">
        <f t="shared" si="179"/>
        <v/>
      </c>
      <c r="AH743" s="82" t="str">
        <f t="shared" si="180"/>
        <v/>
      </c>
      <c r="AI743" s="82" t="str">
        <f t="shared" si="181"/>
        <v/>
      </c>
      <c r="AJ743" s="90"/>
      <c r="AP743" s="88"/>
    </row>
    <row r="744" spans="1:42" x14ac:dyDescent="0.25">
      <c r="A744" s="2"/>
      <c r="C744" s="68" t="str" cm="1">
        <f t="array" ref="C744">IF(AF744&lt;&gt;"",
IFERROR(INDEX('LaunchPad Markbook'!A:A,MATCH(AH744,'LaunchPad Markbook'!D:D,0),0),"-"),"")</f>
        <v/>
      </c>
      <c r="D744" s="27"/>
      <c r="E744" s="27"/>
      <c r="F744" s="27"/>
      <c r="G744" s="14">
        <f>IF(OR(H744&gt;AB$2,I744&gt;AC$2,J744&gt;AD$2,
P744&gt;1,V744&gt;1,
L744&gt;'Group List A'!E$2,M744&gt;'Group List A'!F$2,N744&gt;'Group List A'!G$2,
R744&gt;'Group List B'!E$2,S744&gt;'Group List B'!F$2,T744&gt;'Group List B'!G$2),"Exceed",
IF(OR(H744=AB$2,I744=AC$2,J744=AD$2,
P744=1,V744=1,
L744='Group List A'!E$2,M744='Group List A'!F$2,N744='Group List A'!G$2,
R744='Group List B'!E$2,S744='Group List B'!F$2,T744='Group List B'!G$2),"Limit",0))</f>
        <v>0</v>
      </c>
      <c r="H744" s="29">
        <f t="shared" si="167"/>
        <v>0</v>
      </c>
      <c r="I744" s="29">
        <f t="shared" si="168"/>
        <v>0</v>
      </c>
      <c r="J744" s="29">
        <f t="shared" si="169"/>
        <v>0</v>
      </c>
      <c r="K744" s="32" t="str" cm="1">
        <f t="array" ref="K744">IF(AF744&lt;&gt;"",IFERROR(INDEX('Group List A'!B:B,MATCH(AI744,'Group List A'!A:A,0),0),"-"),"")</f>
        <v/>
      </c>
      <c r="L744" s="33">
        <f t="shared" si="170"/>
        <v>0</v>
      </c>
      <c r="M744" s="33">
        <f t="shared" si="171"/>
        <v>0</v>
      </c>
      <c r="N744" s="33">
        <f t="shared" si="172"/>
        <v>0</v>
      </c>
      <c r="O744" s="28"/>
      <c r="P744" s="33">
        <f t="shared" si="173"/>
        <v>0</v>
      </c>
      <c r="Q744" s="35" t="str" cm="1">
        <f t="array" ref="Q744">IF(AF744&lt;&gt;"",IFERROR(INDEX('Group List B'!B:B,MATCH(AI744,'Group List B'!A:A,0),0),"-"),"")</f>
        <v/>
      </c>
      <c r="R744" s="36">
        <f t="shared" si="174"/>
        <v>0</v>
      </c>
      <c r="S744" s="36">
        <f t="shared" si="175"/>
        <v>0</v>
      </c>
      <c r="T744" s="36">
        <f t="shared" si="176"/>
        <v>0</v>
      </c>
      <c r="U744" s="28"/>
      <c r="V744" s="37">
        <f t="shared" si="177"/>
        <v>0</v>
      </c>
      <c r="W744" s="41"/>
      <c r="X744" s="27"/>
      <c r="Y744" s="27"/>
      <c r="Z744" s="27"/>
      <c r="AA744" s="15"/>
      <c r="AB744" s="17"/>
      <c r="AC744" s="17"/>
      <c r="AD744" s="17"/>
      <c r="AE744" s="90"/>
      <c r="AF744" s="82" t="str">
        <f t="shared" si="178"/>
        <v/>
      </c>
      <c r="AG744" s="83" t="str">
        <f t="shared" si="179"/>
        <v/>
      </c>
      <c r="AH744" s="82" t="str">
        <f t="shared" si="180"/>
        <v/>
      </c>
      <c r="AI744" s="82" t="str">
        <f t="shared" si="181"/>
        <v/>
      </c>
      <c r="AJ744" s="90"/>
      <c r="AP744" s="88"/>
    </row>
    <row r="745" spans="1:42" x14ac:dyDescent="0.25">
      <c r="A745" s="2"/>
      <c r="C745" s="68" t="str" cm="1">
        <f t="array" ref="C745">IF(AF745&lt;&gt;"",
IFERROR(INDEX('LaunchPad Markbook'!A:A,MATCH(AH745,'LaunchPad Markbook'!D:D,0),0),"-"),"")</f>
        <v/>
      </c>
      <c r="D745" s="27"/>
      <c r="E745" s="27"/>
      <c r="F745" s="27"/>
      <c r="G745" s="14">
        <f>IF(OR(H745&gt;AB$2,I745&gt;AC$2,J745&gt;AD$2,
P745&gt;1,V745&gt;1,
L745&gt;'Group List A'!E$2,M745&gt;'Group List A'!F$2,N745&gt;'Group List A'!G$2,
R745&gt;'Group List B'!E$2,S745&gt;'Group List B'!F$2,T745&gt;'Group List B'!G$2),"Exceed",
IF(OR(H745=AB$2,I745=AC$2,J745=AD$2,
P745=1,V745=1,
L745='Group List A'!E$2,M745='Group List A'!F$2,N745='Group List A'!G$2,
R745='Group List B'!E$2,S745='Group List B'!F$2,T745='Group List B'!G$2),"Limit",0))</f>
        <v>0</v>
      </c>
      <c r="H745" s="29">
        <f t="shared" si="167"/>
        <v>0</v>
      </c>
      <c r="I745" s="29">
        <f t="shared" si="168"/>
        <v>0</v>
      </c>
      <c r="J745" s="29">
        <f t="shared" si="169"/>
        <v>0</v>
      </c>
      <c r="K745" s="32" t="str" cm="1">
        <f t="array" ref="K745">IF(AF745&lt;&gt;"",IFERROR(INDEX('Group List A'!B:B,MATCH(AI745,'Group List A'!A:A,0),0),"-"),"")</f>
        <v/>
      </c>
      <c r="L745" s="33">
        <f t="shared" si="170"/>
        <v>0</v>
      </c>
      <c r="M745" s="33">
        <f t="shared" si="171"/>
        <v>0</v>
      </c>
      <c r="N745" s="33">
        <f t="shared" si="172"/>
        <v>0</v>
      </c>
      <c r="O745" s="28"/>
      <c r="P745" s="33">
        <f t="shared" si="173"/>
        <v>0</v>
      </c>
      <c r="Q745" s="35" t="str" cm="1">
        <f t="array" ref="Q745">IF(AF745&lt;&gt;"",IFERROR(INDEX('Group List B'!B:B,MATCH(AI745,'Group List B'!A:A,0),0),"-"),"")</f>
        <v/>
      </c>
      <c r="R745" s="36">
        <f t="shared" si="174"/>
        <v>0</v>
      </c>
      <c r="S745" s="36">
        <f t="shared" si="175"/>
        <v>0</v>
      </c>
      <c r="T745" s="36">
        <f t="shared" si="176"/>
        <v>0</v>
      </c>
      <c r="U745" s="28"/>
      <c r="V745" s="37">
        <f t="shared" si="177"/>
        <v>0</v>
      </c>
      <c r="W745" s="41"/>
      <c r="X745" s="27"/>
      <c r="Y745" s="27"/>
      <c r="Z745" s="27"/>
      <c r="AA745" s="15"/>
      <c r="AB745" s="17"/>
      <c r="AC745" s="17"/>
      <c r="AD745" s="17"/>
      <c r="AE745" s="90"/>
      <c r="AF745" s="82" t="str">
        <f t="shared" si="178"/>
        <v/>
      </c>
      <c r="AG745" s="83" t="str">
        <f t="shared" si="179"/>
        <v/>
      </c>
      <c r="AH745" s="82" t="str">
        <f t="shared" si="180"/>
        <v/>
      </c>
      <c r="AI745" s="82" t="str">
        <f t="shared" si="181"/>
        <v/>
      </c>
      <c r="AJ745" s="90"/>
      <c r="AP745" s="88"/>
    </row>
    <row r="746" spans="1:42" x14ac:dyDescent="0.25">
      <c r="A746" s="2"/>
      <c r="C746" s="68" t="str" cm="1">
        <f t="array" ref="C746">IF(AF746&lt;&gt;"",
IFERROR(INDEX('LaunchPad Markbook'!A:A,MATCH(AH746,'LaunchPad Markbook'!D:D,0),0),"-"),"")</f>
        <v/>
      </c>
      <c r="D746" s="27"/>
      <c r="E746" s="27"/>
      <c r="F746" s="27"/>
      <c r="G746" s="14">
        <f>IF(OR(H746&gt;AB$2,I746&gt;AC$2,J746&gt;AD$2,
P746&gt;1,V746&gt;1,
L746&gt;'Group List A'!E$2,M746&gt;'Group List A'!F$2,N746&gt;'Group List A'!G$2,
R746&gt;'Group List B'!E$2,S746&gt;'Group List B'!F$2,T746&gt;'Group List B'!G$2),"Exceed",
IF(OR(H746=AB$2,I746=AC$2,J746=AD$2,
P746=1,V746=1,
L746='Group List A'!E$2,M746='Group List A'!F$2,N746='Group List A'!G$2,
R746='Group List B'!E$2,S746='Group List B'!F$2,T746='Group List B'!G$2),"Limit",0))</f>
        <v>0</v>
      </c>
      <c r="H746" s="29">
        <f t="shared" si="167"/>
        <v>0</v>
      </c>
      <c r="I746" s="29">
        <f t="shared" si="168"/>
        <v>0</v>
      </c>
      <c r="J746" s="29">
        <f t="shared" si="169"/>
        <v>0</v>
      </c>
      <c r="K746" s="32" t="str" cm="1">
        <f t="array" ref="K746">IF(AF746&lt;&gt;"",IFERROR(INDEX('Group List A'!B:B,MATCH(AI746,'Group List A'!A:A,0),0),"-"),"")</f>
        <v/>
      </c>
      <c r="L746" s="33">
        <f t="shared" si="170"/>
        <v>0</v>
      </c>
      <c r="M746" s="33">
        <f t="shared" si="171"/>
        <v>0</v>
      </c>
      <c r="N746" s="33">
        <f t="shared" si="172"/>
        <v>0</v>
      </c>
      <c r="O746" s="28"/>
      <c r="P746" s="33">
        <f t="shared" si="173"/>
        <v>0</v>
      </c>
      <c r="Q746" s="35" t="str" cm="1">
        <f t="array" ref="Q746">IF(AF746&lt;&gt;"",IFERROR(INDEX('Group List B'!B:B,MATCH(AI746,'Group List B'!A:A,0),0),"-"),"")</f>
        <v/>
      </c>
      <c r="R746" s="36">
        <f t="shared" si="174"/>
        <v>0</v>
      </c>
      <c r="S746" s="36">
        <f t="shared" si="175"/>
        <v>0</v>
      </c>
      <c r="T746" s="36">
        <f t="shared" si="176"/>
        <v>0</v>
      </c>
      <c r="U746" s="28"/>
      <c r="V746" s="37">
        <f t="shared" si="177"/>
        <v>0</v>
      </c>
      <c r="W746" s="41"/>
      <c r="X746" s="27"/>
      <c r="Y746" s="27"/>
      <c r="Z746" s="27"/>
      <c r="AA746" s="15"/>
      <c r="AB746" s="17"/>
      <c r="AC746" s="17"/>
      <c r="AD746" s="17"/>
      <c r="AE746" s="90"/>
      <c r="AF746" s="82" t="str">
        <f t="shared" si="178"/>
        <v/>
      </c>
      <c r="AG746" s="83" t="str">
        <f t="shared" si="179"/>
        <v/>
      </c>
      <c r="AH746" s="82" t="str">
        <f t="shared" si="180"/>
        <v/>
      </c>
      <c r="AI746" s="82" t="str">
        <f t="shared" si="181"/>
        <v/>
      </c>
      <c r="AJ746" s="90"/>
      <c r="AP746" s="88"/>
    </row>
    <row r="747" spans="1:42" x14ac:dyDescent="0.25">
      <c r="A747" s="2"/>
      <c r="C747" s="68" t="str" cm="1">
        <f t="array" ref="C747">IF(AF747&lt;&gt;"",
IFERROR(INDEX('LaunchPad Markbook'!A:A,MATCH(AH747,'LaunchPad Markbook'!D:D,0),0),"-"),"")</f>
        <v/>
      </c>
      <c r="D747" s="27"/>
      <c r="E747" s="27"/>
      <c r="F747" s="27"/>
      <c r="G747" s="14">
        <f>IF(OR(H747&gt;AB$2,I747&gt;AC$2,J747&gt;AD$2,
P747&gt;1,V747&gt;1,
L747&gt;'Group List A'!E$2,M747&gt;'Group List A'!F$2,N747&gt;'Group List A'!G$2,
R747&gt;'Group List B'!E$2,S747&gt;'Group List B'!F$2,T747&gt;'Group List B'!G$2),"Exceed",
IF(OR(H747=AB$2,I747=AC$2,J747=AD$2,
P747=1,V747=1,
L747='Group List A'!E$2,M747='Group List A'!F$2,N747='Group List A'!G$2,
R747='Group List B'!E$2,S747='Group List B'!F$2,T747='Group List B'!G$2),"Limit",0))</f>
        <v>0</v>
      </c>
      <c r="H747" s="29">
        <f t="shared" si="167"/>
        <v>0</v>
      </c>
      <c r="I747" s="29">
        <f t="shared" si="168"/>
        <v>0</v>
      </c>
      <c r="J747" s="29">
        <f t="shared" si="169"/>
        <v>0</v>
      </c>
      <c r="K747" s="32" t="str" cm="1">
        <f t="array" ref="K747">IF(AF747&lt;&gt;"",IFERROR(INDEX('Group List A'!B:B,MATCH(AI747,'Group List A'!A:A,0),0),"-"),"")</f>
        <v/>
      </c>
      <c r="L747" s="33">
        <f t="shared" si="170"/>
        <v>0</v>
      </c>
      <c r="M747" s="33">
        <f t="shared" si="171"/>
        <v>0</v>
      </c>
      <c r="N747" s="33">
        <f t="shared" si="172"/>
        <v>0</v>
      </c>
      <c r="O747" s="28"/>
      <c r="P747" s="33">
        <f t="shared" si="173"/>
        <v>0</v>
      </c>
      <c r="Q747" s="35" t="str" cm="1">
        <f t="array" ref="Q747">IF(AF747&lt;&gt;"",IFERROR(INDEX('Group List B'!B:B,MATCH(AI747,'Group List B'!A:A,0),0),"-"),"")</f>
        <v/>
      </c>
      <c r="R747" s="36">
        <f t="shared" si="174"/>
        <v>0</v>
      </c>
      <c r="S747" s="36">
        <f t="shared" si="175"/>
        <v>0</v>
      </c>
      <c r="T747" s="36">
        <f t="shared" si="176"/>
        <v>0</v>
      </c>
      <c r="U747" s="28"/>
      <c r="V747" s="37">
        <f t="shared" si="177"/>
        <v>0</v>
      </c>
      <c r="W747" s="41"/>
      <c r="X747" s="27"/>
      <c r="Y747" s="27"/>
      <c r="Z747" s="27"/>
      <c r="AA747" s="15"/>
      <c r="AB747" s="17"/>
      <c r="AC747" s="17"/>
      <c r="AD747" s="17"/>
      <c r="AE747" s="90"/>
      <c r="AF747" s="82" t="str">
        <f t="shared" si="178"/>
        <v/>
      </c>
      <c r="AG747" s="83" t="str">
        <f t="shared" si="179"/>
        <v/>
      </c>
      <c r="AH747" s="82" t="str">
        <f t="shared" si="180"/>
        <v/>
      </c>
      <c r="AI747" s="82" t="str">
        <f t="shared" si="181"/>
        <v/>
      </c>
      <c r="AJ747" s="90"/>
      <c r="AP747" s="88"/>
    </row>
    <row r="748" spans="1:42" x14ac:dyDescent="0.25">
      <c r="A748" s="2"/>
      <c r="C748" s="68" t="str" cm="1">
        <f t="array" ref="C748">IF(AF748&lt;&gt;"",
IFERROR(INDEX('LaunchPad Markbook'!A:A,MATCH(AH748,'LaunchPad Markbook'!D:D,0),0),"-"),"")</f>
        <v/>
      </c>
      <c r="D748" s="27"/>
      <c r="E748" s="27"/>
      <c r="F748" s="27"/>
      <c r="G748" s="14">
        <f>IF(OR(H748&gt;AB$2,I748&gt;AC$2,J748&gt;AD$2,
P748&gt;1,V748&gt;1,
L748&gt;'Group List A'!E$2,M748&gt;'Group List A'!F$2,N748&gt;'Group List A'!G$2,
R748&gt;'Group List B'!E$2,S748&gt;'Group List B'!F$2,T748&gt;'Group List B'!G$2),"Exceed",
IF(OR(H748=AB$2,I748=AC$2,J748=AD$2,
P748=1,V748=1,
L748='Group List A'!E$2,M748='Group List A'!F$2,N748='Group List A'!G$2,
R748='Group List B'!E$2,S748='Group List B'!F$2,T748='Group List B'!G$2),"Limit",0))</f>
        <v>0</v>
      </c>
      <c r="H748" s="29">
        <f t="shared" si="167"/>
        <v>0</v>
      </c>
      <c r="I748" s="29">
        <f t="shared" si="168"/>
        <v>0</v>
      </c>
      <c r="J748" s="29">
        <f t="shared" si="169"/>
        <v>0</v>
      </c>
      <c r="K748" s="32" t="str" cm="1">
        <f t="array" ref="K748">IF(AF748&lt;&gt;"",IFERROR(INDEX('Group List A'!B:B,MATCH(AI748,'Group List A'!A:A,0),0),"-"),"")</f>
        <v/>
      </c>
      <c r="L748" s="33">
        <f t="shared" si="170"/>
        <v>0</v>
      </c>
      <c r="M748" s="33">
        <f t="shared" si="171"/>
        <v>0</v>
      </c>
      <c r="N748" s="33">
        <f t="shared" si="172"/>
        <v>0</v>
      </c>
      <c r="O748" s="28"/>
      <c r="P748" s="33">
        <f t="shared" si="173"/>
        <v>0</v>
      </c>
      <c r="Q748" s="35" t="str" cm="1">
        <f t="array" ref="Q748">IF(AF748&lt;&gt;"",IFERROR(INDEX('Group List B'!B:B,MATCH(AI748,'Group List B'!A:A,0),0),"-"),"")</f>
        <v/>
      </c>
      <c r="R748" s="36">
        <f t="shared" si="174"/>
        <v>0</v>
      </c>
      <c r="S748" s="36">
        <f t="shared" si="175"/>
        <v>0</v>
      </c>
      <c r="T748" s="36">
        <f t="shared" si="176"/>
        <v>0</v>
      </c>
      <c r="U748" s="28"/>
      <c r="V748" s="37">
        <f t="shared" si="177"/>
        <v>0</v>
      </c>
      <c r="W748" s="41"/>
      <c r="X748" s="27"/>
      <c r="Y748" s="27"/>
      <c r="Z748" s="27"/>
      <c r="AA748" s="15"/>
      <c r="AB748" s="17"/>
      <c r="AC748" s="17"/>
      <c r="AD748" s="17"/>
      <c r="AE748" s="90"/>
      <c r="AF748" s="82" t="str">
        <f t="shared" si="178"/>
        <v/>
      </c>
      <c r="AG748" s="83" t="str">
        <f t="shared" si="179"/>
        <v/>
      </c>
      <c r="AH748" s="82" t="str">
        <f t="shared" si="180"/>
        <v/>
      </c>
      <c r="AI748" s="82" t="str">
        <f t="shared" si="181"/>
        <v/>
      </c>
      <c r="AJ748" s="90"/>
      <c r="AP748" s="88"/>
    </row>
    <row r="749" spans="1:42" x14ac:dyDescent="0.25">
      <c r="A749" s="2"/>
      <c r="C749" s="68" t="str" cm="1">
        <f t="array" ref="C749">IF(AF749&lt;&gt;"",
IFERROR(INDEX('LaunchPad Markbook'!A:A,MATCH(AH749,'LaunchPad Markbook'!D:D,0),0),"-"),"")</f>
        <v/>
      </c>
      <c r="D749" s="27"/>
      <c r="E749" s="27"/>
      <c r="F749" s="27"/>
      <c r="G749" s="14">
        <f>IF(OR(H749&gt;AB$2,I749&gt;AC$2,J749&gt;AD$2,
P749&gt;1,V749&gt;1,
L749&gt;'Group List A'!E$2,M749&gt;'Group List A'!F$2,N749&gt;'Group List A'!G$2,
R749&gt;'Group List B'!E$2,S749&gt;'Group List B'!F$2,T749&gt;'Group List B'!G$2),"Exceed",
IF(OR(H749=AB$2,I749=AC$2,J749=AD$2,
P749=1,V749=1,
L749='Group List A'!E$2,M749='Group List A'!F$2,N749='Group List A'!G$2,
R749='Group List B'!E$2,S749='Group List B'!F$2,T749='Group List B'!G$2),"Limit",0))</f>
        <v>0</v>
      </c>
      <c r="H749" s="29">
        <f t="shared" si="167"/>
        <v>0</v>
      </c>
      <c r="I749" s="29">
        <f t="shared" si="168"/>
        <v>0</v>
      </c>
      <c r="J749" s="29">
        <f t="shared" si="169"/>
        <v>0</v>
      </c>
      <c r="K749" s="32" t="str" cm="1">
        <f t="array" ref="K749">IF(AF749&lt;&gt;"",IFERROR(INDEX('Group List A'!B:B,MATCH(AI749,'Group List A'!A:A,0),0),"-"),"")</f>
        <v/>
      </c>
      <c r="L749" s="33">
        <f t="shared" si="170"/>
        <v>0</v>
      </c>
      <c r="M749" s="33">
        <f t="shared" si="171"/>
        <v>0</v>
      </c>
      <c r="N749" s="33">
        <f t="shared" si="172"/>
        <v>0</v>
      </c>
      <c r="O749" s="28"/>
      <c r="P749" s="33">
        <f t="shared" si="173"/>
        <v>0</v>
      </c>
      <c r="Q749" s="35" t="str" cm="1">
        <f t="array" ref="Q749">IF(AF749&lt;&gt;"",IFERROR(INDEX('Group List B'!B:B,MATCH(AI749,'Group List B'!A:A,0),0),"-"),"")</f>
        <v/>
      </c>
      <c r="R749" s="36">
        <f t="shared" si="174"/>
        <v>0</v>
      </c>
      <c r="S749" s="36">
        <f t="shared" si="175"/>
        <v>0</v>
      </c>
      <c r="T749" s="36">
        <f t="shared" si="176"/>
        <v>0</v>
      </c>
      <c r="U749" s="28"/>
      <c r="V749" s="37">
        <f t="shared" si="177"/>
        <v>0</v>
      </c>
      <c r="W749" s="41"/>
      <c r="X749" s="27"/>
      <c r="Y749" s="27"/>
      <c r="Z749" s="27"/>
      <c r="AA749" s="15"/>
      <c r="AB749" s="17"/>
      <c r="AC749" s="17"/>
      <c r="AD749" s="17"/>
      <c r="AE749" s="90"/>
      <c r="AF749" s="82" t="str">
        <f t="shared" si="178"/>
        <v/>
      </c>
      <c r="AG749" s="83" t="str">
        <f t="shared" si="179"/>
        <v/>
      </c>
      <c r="AH749" s="82" t="str">
        <f t="shared" si="180"/>
        <v/>
      </c>
      <c r="AI749" s="82" t="str">
        <f t="shared" si="181"/>
        <v/>
      </c>
      <c r="AJ749" s="90"/>
      <c r="AP749" s="88"/>
    </row>
    <row r="750" spans="1:42" x14ac:dyDescent="0.25">
      <c r="A750" s="2"/>
      <c r="C750" s="68" t="str" cm="1">
        <f t="array" ref="C750">IF(AF750&lt;&gt;"",
IFERROR(INDEX('LaunchPad Markbook'!A:A,MATCH(AH750,'LaunchPad Markbook'!D:D,0),0),"-"),"")</f>
        <v/>
      </c>
      <c r="D750" s="27"/>
      <c r="E750" s="27"/>
      <c r="F750" s="27"/>
      <c r="G750" s="14">
        <f>IF(OR(H750&gt;AB$2,I750&gt;AC$2,J750&gt;AD$2,
P750&gt;1,V750&gt;1,
L750&gt;'Group List A'!E$2,M750&gt;'Group List A'!F$2,N750&gt;'Group List A'!G$2,
R750&gt;'Group List B'!E$2,S750&gt;'Group List B'!F$2,T750&gt;'Group List B'!G$2),"Exceed",
IF(OR(H750=AB$2,I750=AC$2,J750=AD$2,
P750=1,V750=1,
L750='Group List A'!E$2,M750='Group List A'!F$2,N750='Group List A'!G$2,
R750='Group List B'!E$2,S750='Group List B'!F$2,T750='Group List B'!G$2),"Limit",0))</f>
        <v>0</v>
      </c>
      <c r="H750" s="29">
        <f t="shared" si="167"/>
        <v>0</v>
      </c>
      <c r="I750" s="29">
        <f t="shared" si="168"/>
        <v>0</v>
      </c>
      <c r="J750" s="29">
        <f t="shared" si="169"/>
        <v>0</v>
      </c>
      <c r="K750" s="32" t="str" cm="1">
        <f t="array" ref="K750">IF(AF750&lt;&gt;"",IFERROR(INDEX('Group List A'!B:B,MATCH(AI750,'Group List A'!A:A,0),0),"-"),"")</f>
        <v/>
      </c>
      <c r="L750" s="33">
        <f t="shared" si="170"/>
        <v>0</v>
      </c>
      <c r="M750" s="33">
        <f t="shared" si="171"/>
        <v>0</v>
      </c>
      <c r="N750" s="33">
        <f t="shared" si="172"/>
        <v>0</v>
      </c>
      <c r="O750" s="28"/>
      <c r="P750" s="33">
        <f t="shared" si="173"/>
        <v>0</v>
      </c>
      <c r="Q750" s="35" t="str" cm="1">
        <f t="array" ref="Q750">IF(AF750&lt;&gt;"",IFERROR(INDEX('Group List B'!B:B,MATCH(AI750,'Group List B'!A:A,0),0),"-"),"")</f>
        <v/>
      </c>
      <c r="R750" s="36">
        <f t="shared" si="174"/>
        <v>0</v>
      </c>
      <c r="S750" s="36">
        <f t="shared" si="175"/>
        <v>0</v>
      </c>
      <c r="T750" s="36">
        <f t="shared" si="176"/>
        <v>0</v>
      </c>
      <c r="U750" s="28"/>
      <c r="V750" s="37">
        <f t="shared" si="177"/>
        <v>0</v>
      </c>
      <c r="W750" s="41"/>
      <c r="X750" s="27"/>
      <c r="Y750" s="27"/>
      <c r="Z750" s="27"/>
      <c r="AA750" s="15"/>
      <c r="AB750" s="17"/>
      <c r="AC750" s="17"/>
      <c r="AD750" s="17"/>
      <c r="AE750" s="90"/>
      <c r="AF750" s="82" t="str">
        <f t="shared" si="178"/>
        <v/>
      </c>
      <c r="AG750" s="83" t="str">
        <f t="shared" si="179"/>
        <v/>
      </c>
      <c r="AH750" s="82" t="str">
        <f t="shared" si="180"/>
        <v/>
      </c>
      <c r="AI750" s="82" t="str">
        <f t="shared" si="181"/>
        <v/>
      </c>
      <c r="AJ750" s="90"/>
      <c r="AP750" s="88"/>
    </row>
    <row r="751" spans="1:42" x14ac:dyDescent="0.25">
      <c r="A751" s="2"/>
      <c r="C751" s="68" t="str" cm="1">
        <f t="array" ref="C751">IF(AF751&lt;&gt;"",
IFERROR(INDEX('LaunchPad Markbook'!A:A,MATCH(AH751,'LaunchPad Markbook'!D:D,0),0),"-"),"")</f>
        <v/>
      </c>
      <c r="D751" s="27"/>
      <c r="E751" s="27"/>
      <c r="F751" s="27"/>
      <c r="G751" s="14">
        <f>IF(OR(H751&gt;AB$2,I751&gt;AC$2,J751&gt;AD$2,
P751&gt;1,V751&gt;1,
L751&gt;'Group List A'!E$2,M751&gt;'Group List A'!F$2,N751&gt;'Group List A'!G$2,
R751&gt;'Group List B'!E$2,S751&gt;'Group List B'!F$2,T751&gt;'Group List B'!G$2),"Exceed",
IF(OR(H751=AB$2,I751=AC$2,J751=AD$2,
P751=1,V751=1,
L751='Group List A'!E$2,M751='Group List A'!F$2,N751='Group List A'!G$2,
R751='Group List B'!E$2,S751='Group List B'!F$2,T751='Group List B'!G$2),"Limit",0))</f>
        <v>0</v>
      </c>
      <c r="H751" s="29">
        <f t="shared" si="167"/>
        <v>0</v>
      </c>
      <c r="I751" s="29">
        <f t="shared" si="168"/>
        <v>0</v>
      </c>
      <c r="J751" s="29">
        <f t="shared" si="169"/>
        <v>0</v>
      </c>
      <c r="K751" s="32" t="str" cm="1">
        <f t="array" ref="K751">IF(AF751&lt;&gt;"",IFERROR(INDEX('Group List A'!B:B,MATCH(AI751,'Group List A'!A:A,0),0),"-"),"")</f>
        <v/>
      </c>
      <c r="L751" s="33">
        <f t="shared" si="170"/>
        <v>0</v>
      </c>
      <c r="M751" s="33">
        <f t="shared" si="171"/>
        <v>0</v>
      </c>
      <c r="N751" s="33">
        <f t="shared" si="172"/>
        <v>0</v>
      </c>
      <c r="O751" s="28"/>
      <c r="P751" s="33">
        <f t="shared" si="173"/>
        <v>0</v>
      </c>
      <c r="Q751" s="35" t="str" cm="1">
        <f t="array" ref="Q751">IF(AF751&lt;&gt;"",IFERROR(INDEX('Group List B'!B:B,MATCH(AI751,'Group List B'!A:A,0),0),"-"),"")</f>
        <v/>
      </c>
      <c r="R751" s="36">
        <f t="shared" si="174"/>
        <v>0</v>
      </c>
      <c r="S751" s="36">
        <f t="shared" si="175"/>
        <v>0</v>
      </c>
      <c r="T751" s="36">
        <f t="shared" si="176"/>
        <v>0</v>
      </c>
      <c r="U751" s="28"/>
      <c r="V751" s="37">
        <f t="shared" si="177"/>
        <v>0</v>
      </c>
      <c r="W751" s="41"/>
      <c r="X751" s="27"/>
      <c r="Y751" s="27"/>
      <c r="Z751" s="27"/>
      <c r="AA751" s="15"/>
      <c r="AB751" s="17"/>
      <c r="AC751" s="17"/>
      <c r="AD751" s="17"/>
      <c r="AE751" s="90"/>
      <c r="AF751" s="82" t="str">
        <f t="shared" si="178"/>
        <v/>
      </c>
      <c r="AG751" s="83" t="str">
        <f t="shared" si="179"/>
        <v/>
      </c>
      <c r="AH751" s="82" t="str">
        <f t="shared" si="180"/>
        <v/>
      </c>
      <c r="AI751" s="82" t="str">
        <f t="shared" si="181"/>
        <v/>
      </c>
      <c r="AJ751" s="90"/>
      <c r="AP751" s="88"/>
    </row>
    <row r="752" spans="1:42" x14ac:dyDescent="0.25">
      <c r="A752" s="2"/>
      <c r="C752" s="68" t="str" cm="1">
        <f t="array" ref="C752">IF(AF752&lt;&gt;"",
IFERROR(INDEX('LaunchPad Markbook'!A:A,MATCH(AH752,'LaunchPad Markbook'!D:D,0),0),"-"),"")</f>
        <v/>
      </c>
      <c r="D752" s="27"/>
      <c r="E752" s="27"/>
      <c r="F752" s="27"/>
      <c r="G752" s="14">
        <f>IF(OR(H752&gt;AB$2,I752&gt;AC$2,J752&gt;AD$2,
P752&gt;1,V752&gt;1,
L752&gt;'Group List A'!E$2,M752&gt;'Group List A'!F$2,N752&gt;'Group List A'!G$2,
R752&gt;'Group List B'!E$2,S752&gt;'Group List B'!F$2,T752&gt;'Group List B'!G$2),"Exceed",
IF(OR(H752=AB$2,I752=AC$2,J752=AD$2,
P752=1,V752=1,
L752='Group List A'!E$2,M752='Group List A'!F$2,N752='Group List A'!G$2,
R752='Group List B'!E$2,S752='Group List B'!F$2,T752='Group List B'!G$2),"Limit",0))</f>
        <v>0</v>
      </c>
      <c r="H752" s="29">
        <f t="shared" si="167"/>
        <v>0</v>
      </c>
      <c r="I752" s="29">
        <f t="shared" si="168"/>
        <v>0</v>
      </c>
      <c r="J752" s="29">
        <f t="shared" si="169"/>
        <v>0</v>
      </c>
      <c r="K752" s="32" t="str" cm="1">
        <f t="array" ref="K752">IF(AF752&lt;&gt;"",IFERROR(INDEX('Group List A'!B:B,MATCH(AI752,'Group List A'!A:A,0),0),"-"),"")</f>
        <v/>
      </c>
      <c r="L752" s="33">
        <f t="shared" si="170"/>
        <v>0</v>
      </c>
      <c r="M752" s="33">
        <f t="shared" si="171"/>
        <v>0</v>
      </c>
      <c r="N752" s="33">
        <f t="shared" si="172"/>
        <v>0</v>
      </c>
      <c r="O752" s="28"/>
      <c r="P752" s="33">
        <f t="shared" si="173"/>
        <v>0</v>
      </c>
      <c r="Q752" s="35" t="str" cm="1">
        <f t="array" ref="Q752">IF(AF752&lt;&gt;"",IFERROR(INDEX('Group List B'!B:B,MATCH(AI752,'Group List B'!A:A,0),0),"-"),"")</f>
        <v/>
      </c>
      <c r="R752" s="36">
        <f t="shared" si="174"/>
        <v>0</v>
      </c>
      <c r="S752" s="36">
        <f t="shared" si="175"/>
        <v>0</v>
      </c>
      <c r="T752" s="36">
        <f t="shared" si="176"/>
        <v>0</v>
      </c>
      <c r="U752" s="28"/>
      <c r="V752" s="37">
        <f t="shared" si="177"/>
        <v>0</v>
      </c>
      <c r="W752" s="41"/>
      <c r="X752" s="27"/>
      <c r="Y752" s="27"/>
      <c r="Z752" s="27"/>
      <c r="AA752" s="15"/>
      <c r="AB752" s="17"/>
      <c r="AC752" s="17"/>
      <c r="AD752" s="17"/>
      <c r="AE752" s="90"/>
      <c r="AF752" s="82" t="str">
        <f t="shared" si="178"/>
        <v/>
      </c>
      <c r="AG752" s="83" t="str">
        <f t="shared" si="179"/>
        <v/>
      </c>
      <c r="AH752" s="82" t="str">
        <f t="shared" si="180"/>
        <v/>
      </c>
      <c r="AI752" s="82" t="str">
        <f t="shared" si="181"/>
        <v/>
      </c>
      <c r="AJ752" s="90"/>
      <c r="AP752" s="88"/>
    </row>
    <row r="753" spans="1:42" x14ac:dyDescent="0.25">
      <c r="A753" s="2"/>
      <c r="C753" s="68" t="str" cm="1">
        <f t="array" ref="C753">IF(AF753&lt;&gt;"",
IFERROR(INDEX('LaunchPad Markbook'!A:A,MATCH(AH753,'LaunchPad Markbook'!D:D,0),0),"-"),"")</f>
        <v/>
      </c>
      <c r="D753" s="27"/>
      <c r="E753" s="27"/>
      <c r="F753" s="27"/>
      <c r="G753" s="14">
        <f>IF(OR(H753&gt;AB$2,I753&gt;AC$2,J753&gt;AD$2,
P753&gt;1,V753&gt;1,
L753&gt;'Group List A'!E$2,M753&gt;'Group List A'!F$2,N753&gt;'Group List A'!G$2,
R753&gt;'Group List B'!E$2,S753&gt;'Group List B'!F$2,T753&gt;'Group List B'!G$2),"Exceed",
IF(OR(H753=AB$2,I753=AC$2,J753=AD$2,
P753=1,V753=1,
L753='Group List A'!E$2,M753='Group List A'!F$2,N753='Group List A'!G$2,
R753='Group List B'!E$2,S753='Group List B'!F$2,T753='Group List B'!G$2),"Limit",0))</f>
        <v>0</v>
      </c>
      <c r="H753" s="29">
        <f t="shared" si="167"/>
        <v>0</v>
      </c>
      <c r="I753" s="29">
        <f t="shared" si="168"/>
        <v>0</v>
      </c>
      <c r="J753" s="29">
        <f t="shared" si="169"/>
        <v>0</v>
      </c>
      <c r="K753" s="32" t="str" cm="1">
        <f t="array" ref="K753">IF(AF753&lt;&gt;"",IFERROR(INDEX('Group List A'!B:B,MATCH(AI753,'Group List A'!A:A,0),0),"-"),"")</f>
        <v/>
      </c>
      <c r="L753" s="33">
        <f t="shared" si="170"/>
        <v>0</v>
      </c>
      <c r="M753" s="33">
        <f t="shared" si="171"/>
        <v>0</v>
      </c>
      <c r="N753" s="33">
        <f t="shared" si="172"/>
        <v>0</v>
      </c>
      <c r="O753" s="28"/>
      <c r="P753" s="33">
        <f t="shared" si="173"/>
        <v>0</v>
      </c>
      <c r="Q753" s="35" t="str" cm="1">
        <f t="array" ref="Q753">IF(AF753&lt;&gt;"",IFERROR(INDEX('Group List B'!B:B,MATCH(AI753,'Group List B'!A:A,0),0),"-"),"")</f>
        <v/>
      </c>
      <c r="R753" s="36">
        <f t="shared" si="174"/>
        <v>0</v>
      </c>
      <c r="S753" s="36">
        <f t="shared" si="175"/>
        <v>0</v>
      </c>
      <c r="T753" s="36">
        <f t="shared" si="176"/>
        <v>0</v>
      </c>
      <c r="U753" s="28"/>
      <c r="V753" s="37">
        <f t="shared" si="177"/>
        <v>0</v>
      </c>
      <c r="W753" s="41"/>
      <c r="X753" s="27"/>
      <c r="Y753" s="27"/>
      <c r="Z753" s="27"/>
      <c r="AA753" s="15"/>
      <c r="AB753" s="17"/>
      <c r="AC753" s="17"/>
      <c r="AD753" s="17"/>
      <c r="AE753" s="90"/>
      <c r="AF753" s="82" t="str">
        <f t="shared" si="178"/>
        <v/>
      </c>
      <c r="AG753" s="83" t="str">
        <f t="shared" si="179"/>
        <v/>
      </c>
      <c r="AH753" s="82" t="str">
        <f t="shared" si="180"/>
        <v/>
      </c>
      <c r="AI753" s="82" t="str">
        <f t="shared" si="181"/>
        <v/>
      </c>
      <c r="AJ753" s="90"/>
      <c r="AP753" s="88"/>
    </row>
    <row r="754" spans="1:42" x14ac:dyDescent="0.25">
      <c r="A754" s="2"/>
      <c r="C754" s="68" t="str" cm="1">
        <f t="array" ref="C754">IF(AF754&lt;&gt;"",
IFERROR(INDEX('LaunchPad Markbook'!A:A,MATCH(AH754,'LaunchPad Markbook'!D:D,0),0),"-"),"")</f>
        <v/>
      </c>
      <c r="D754" s="27"/>
      <c r="E754" s="27"/>
      <c r="F754" s="27"/>
      <c r="G754" s="14">
        <f>IF(OR(H754&gt;AB$2,I754&gt;AC$2,J754&gt;AD$2,
P754&gt;1,V754&gt;1,
L754&gt;'Group List A'!E$2,M754&gt;'Group List A'!F$2,N754&gt;'Group List A'!G$2,
R754&gt;'Group List B'!E$2,S754&gt;'Group List B'!F$2,T754&gt;'Group List B'!G$2),"Exceed",
IF(OR(H754=AB$2,I754=AC$2,J754=AD$2,
P754=1,V754=1,
L754='Group List A'!E$2,M754='Group List A'!F$2,N754='Group List A'!G$2,
R754='Group List B'!E$2,S754='Group List B'!F$2,T754='Group List B'!G$2),"Limit",0))</f>
        <v>0</v>
      </c>
      <c r="H754" s="29">
        <f t="shared" si="167"/>
        <v>0</v>
      </c>
      <c r="I754" s="29">
        <f t="shared" si="168"/>
        <v>0</v>
      </c>
      <c r="J754" s="29">
        <f t="shared" si="169"/>
        <v>0</v>
      </c>
      <c r="K754" s="32" t="str" cm="1">
        <f t="array" ref="K754">IF(AF754&lt;&gt;"",IFERROR(INDEX('Group List A'!B:B,MATCH(AI754,'Group List A'!A:A,0),0),"-"),"")</f>
        <v/>
      </c>
      <c r="L754" s="33">
        <f t="shared" si="170"/>
        <v>0</v>
      </c>
      <c r="M754" s="33">
        <f t="shared" si="171"/>
        <v>0</v>
      </c>
      <c r="N754" s="33">
        <f t="shared" si="172"/>
        <v>0</v>
      </c>
      <c r="O754" s="28"/>
      <c r="P754" s="33">
        <f t="shared" si="173"/>
        <v>0</v>
      </c>
      <c r="Q754" s="35" t="str" cm="1">
        <f t="array" ref="Q754">IF(AF754&lt;&gt;"",IFERROR(INDEX('Group List B'!B:B,MATCH(AI754,'Group List B'!A:A,0),0),"-"),"")</f>
        <v/>
      </c>
      <c r="R754" s="36">
        <f t="shared" si="174"/>
        <v>0</v>
      </c>
      <c r="S754" s="36">
        <f t="shared" si="175"/>
        <v>0</v>
      </c>
      <c r="T754" s="36">
        <f t="shared" si="176"/>
        <v>0</v>
      </c>
      <c r="U754" s="28"/>
      <c r="V754" s="37">
        <f t="shared" si="177"/>
        <v>0</v>
      </c>
      <c r="W754" s="41"/>
      <c r="X754" s="27"/>
      <c r="Y754" s="27"/>
      <c r="Z754" s="27"/>
      <c r="AA754" s="15"/>
      <c r="AB754" s="17"/>
      <c r="AC754" s="17"/>
      <c r="AD754" s="17"/>
      <c r="AE754" s="90"/>
      <c r="AF754" s="82" t="str">
        <f t="shared" si="178"/>
        <v/>
      </c>
      <c r="AG754" s="83" t="str">
        <f t="shared" si="179"/>
        <v/>
      </c>
      <c r="AH754" s="82" t="str">
        <f t="shared" si="180"/>
        <v/>
      </c>
      <c r="AI754" s="82" t="str">
        <f t="shared" si="181"/>
        <v/>
      </c>
      <c r="AJ754" s="90"/>
      <c r="AP754" s="88"/>
    </row>
    <row r="755" spans="1:42" x14ac:dyDescent="0.25">
      <c r="A755" s="2"/>
      <c r="C755" s="68" t="str" cm="1">
        <f t="array" ref="C755">IF(AF755&lt;&gt;"",
IFERROR(INDEX('LaunchPad Markbook'!A:A,MATCH(AH755,'LaunchPad Markbook'!D:D,0),0),"-"),"")</f>
        <v/>
      </c>
      <c r="D755" s="27"/>
      <c r="E755" s="27"/>
      <c r="F755" s="27"/>
      <c r="G755" s="14">
        <f>IF(OR(H755&gt;AB$2,I755&gt;AC$2,J755&gt;AD$2,
P755&gt;1,V755&gt;1,
L755&gt;'Group List A'!E$2,M755&gt;'Group List A'!F$2,N755&gt;'Group List A'!G$2,
R755&gt;'Group List B'!E$2,S755&gt;'Group List B'!F$2,T755&gt;'Group List B'!G$2),"Exceed",
IF(OR(H755=AB$2,I755=AC$2,J755=AD$2,
P755=1,V755=1,
L755='Group List A'!E$2,M755='Group List A'!F$2,N755='Group List A'!G$2,
R755='Group List B'!E$2,S755='Group List B'!F$2,T755='Group List B'!G$2),"Limit",0))</f>
        <v>0</v>
      </c>
      <c r="H755" s="29">
        <f t="shared" si="167"/>
        <v>0</v>
      </c>
      <c r="I755" s="29">
        <f t="shared" si="168"/>
        <v>0</v>
      </c>
      <c r="J755" s="29">
        <f t="shared" si="169"/>
        <v>0</v>
      </c>
      <c r="K755" s="32" t="str" cm="1">
        <f t="array" ref="K755">IF(AF755&lt;&gt;"",IFERROR(INDEX('Group List A'!B:B,MATCH(AI755,'Group List A'!A:A,0),0),"-"),"")</f>
        <v/>
      </c>
      <c r="L755" s="33">
        <f t="shared" si="170"/>
        <v>0</v>
      </c>
      <c r="M755" s="33">
        <f t="shared" si="171"/>
        <v>0</v>
      </c>
      <c r="N755" s="33">
        <f t="shared" si="172"/>
        <v>0</v>
      </c>
      <c r="O755" s="28"/>
      <c r="P755" s="33">
        <f t="shared" si="173"/>
        <v>0</v>
      </c>
      <c r="Q755" s="35" t="str" cm="1">
        <f t="array" ref="Q755">IF(AF755&lt;&gt;"",IFERROR(INDEX('Group List B'!B:B,MATCH(AI755,'Group List B'!A:A,0),0),"-"),"")</f>
        <v/>
      </c>
      <c r="R755" s="36">
        <f t="shared" si="174"/>
        <v>0</v>
      </c>
      <c r="S755" s="36">
        <f t="shared" si="175"/>
        <v>0</v>
      </c>
      <c r="T755" s="36">
        <f t="shared" si="176"/>
        <v>0</v>
      </c>
      <c r="U755" s="28"/>
      <c r="V755" s="37">
        <f t="shared" si="177"/>
        <v>0</v>
      </c>
      <c r="W755" s="41"/>
      <c r="X755" s="27"/>
      <c r="Y755" s="27"/>
      <c r="Z755" s="27"/>
      <c r="AA755" s="15"/>
      <c r="AB755" s="17"/>
      <c r="AC755" s="17"/>
      <c r="AD755" s="17"/>
      <c r="AE755" s="90"/>
      <c r="AF755" s="82" t="str">
        <f t="shared" si="178"/>
        <v/>
      </c>
      <c r="AG755" s="83" t="str">
        <f t="shared" si="179"/>
        <v/>
      </c>
      <c r="AH755" s="82" t="str">
        <f t="shared" si="180"/>
        <v/>
      </c>
      <c r="AI755" s="82" t="str">
        <f t="shared" si="181"/>
        <v/>
      </c>
      <c r="AJ755" s="90"/>
      <c r="AP755" s="88"/>
    </row>
    <row r="756" spans="1:42" x14ac:dyDescent="0.25">
      <c r="A756" s="2"/>
      <c r="C756" s="68" t="str" cm="1">
        <f t="array" ref="C756">IF(AF756&lt;&gt;"",
IFERROR(INDEX('LaunchPad Markbook'!A:A,MATCH(AH756,'LaunchPad Markbook'!D:D,0),0),"-"),"")</f>
        <v/>
      </c>
      <c r="D756" s="27"/>
      <c r="E756" s="27"/>
      <c r="F756" s="27"/>
      <c r="G756" s="14">
        <f>IF(OR(H756&gt;AB$2,I756&gt;AC$2,J756&gt;AD$2,
P756&gt;1,V756&gt;1,
L756&gt;'Group List A'!E$2,M756&gt;'Group List A'!F$2,N756&gt;'Group List A'!G$2,
R756&gt;'Group List B'!E$2,S756&gt;'Group List B'!F$2,T756&gt;'Group List B'!G$2),"Exceed",
IF(OR(H756=AB$2,I756=AC$2,J756=AD$2,
P756=1,V756=1,
L756='Group List A'!E$2,M756='Group List A'!F$2,N756='Group List A'!G$2,
R756='Group List B'!E$2,S756='Group List B'!F$2,T756='Group List B'!G$2),"Limit",0))</f>
        <v>0</v>
      </c>
      <c r="H756" s="29">
        <f t="shared" si="167"/>
        <v>0</v>
      </c>
      <c r="I756" s="29">
        <f t="shared" si="168"/>
        <v>0</v>
      </c>
      <c r="J756" s="29">
        <f t="shared" si="169"/>
        <v>0</v>
      </c>
      <c r="K756" s="32" t="str" cm="1">
        <f t="array" ref="K756">IF(AF756&lt;&gt;"",IFERROR(INDEX('Group List A'!B:B,MATCH(AI756,'Group List A'!A:A,0),0),"-"),"")</f>
        <v/>
      </c>
      <c r="L756" s="33">
        <f t="shared" si="170"/>
        <v>0</v>
      </c>
      <c r="M756" s="33">
        <f t="shared" si="171"/>
        <v>0</v>
      </c>
      <c r="N756" s="33">
        <f t="shared" si="172"/>
        <v>0</v>
      </c>
      <c r="O756" s="28"/>
      <c r="P756" s="33">
        <f t="shared" si="173"/>
        <v>0</v>
      </c>
      <c r="Q756" s="35" t="str" cm="1">
        <f t="array" ref="Q756">IF(AF756&lt;&gt;"",IFERROR(INDEX('Group List B'!B:B,MATCH(AI756,'Group List B'!A:A,0),0),"-"),"")</f>
        <v/>
      </c>
      <c r="R756" s="36">
        <f t="shared" si="174"/>
        <v>0</v>
      </c>
      <c r="S756" s="36">
        <f t="shared" si="175"/>
        <v>0</v>
      </c>
      <c r="T756" s="36">
        <f t="shared" si="176"/>
        <v>0</v>
      </c>
      <c r="U756" s="28"/>
      <c r="V756" s="37">
        <f t="shared" si="177"/>
        <v>0</v>
      </c>
      <c r="W756" s="41"/>
      <c r="X756" s="27"/>
      <c r="Y756" s="27"/>
      <c r="Z756" s="27"/>
      <c r="AA756" s="15"/>
      <c r="AB756" s="17"/>
      <c r="AC756" s="17"/>
      <c r="AD756" s="17"/>
      <c r="AE756" s="90"/>
      <c r="AF756" s="82" t="str">
        <f t="shared" si="178"/>
        <v/>
      </c>
      <c r="AG756" s="83" t="str">
        <f t="shared" si="179"/>
        <v/>
      </c>
      <c r="AH756" s="82" t="str">
        <f t="shared" si="180"/>
        <v/>
      </c>
      <c r="AI756" s="82" t="str">
        <f t="shared" si="181"/>
        <v/>
      </c>
      <c r="AJ756" s="90"/>
      <c r="AP756" s="88"/>
    </row>
    <row r="757" spans="1:42" x14ac:dyDescent="0.25">
      <c r="A757" s="2"/>
      <c r="C757" s="68" t="str" cm="1">
        <f t="array" ref="C757">IF(AF757&lt;&gt;"",
IFERROR(INDEX('LaunchPad Markbook'!A:A,MATCH(AH757,'LaunchPad Markbook'!D:D,0),0),"-"),"")</f>
        <v/>
      </c>
      <c r="D757" s="27"/>
      <c r="E757" s="27"/>
      <c r="F757" s="27"/>
      <c r="G757" s="14">
        <f>IF(OR(H757&gt;AB$2,I757&gt;AC$2,J757&gt;AD$2,
P757&gt;1,V757&gt;1,
L757&gt;'Group List A'!E$2,M757&gt;'Group List A'!F$2,N757&gt;'Group List A'!G$2,
R757&gt;'Group List B'!E$2,S757&gt;'Group List B'!F$2,T757&gt;'Group List B'!G$2),"Exceed",
IF(OR(H757=AB$2,I757=AC$2,J757=AD$2,
P757=1,V757=1,
L757='Group List A'!E$2,M757='Group List A'!F$2,N757='Group List A'!G$2,
R757='Group List B'!E$2,S757='Group List B'!F$2,T757='Group List B'!G$2),"Limit",0))</f>
        <v>0</v>
      </c>
      <c r="H757" s="29">
        <f t="shared" si="167"/>
        <v>0</v>
      </c>
      <c r="I757" s="29">
        <f t="shared" si="168"/>
        <v>0</v>
      </c>
      <c r="J757" s="29">
        <f t="shared" si="169"/>
        <v>0</v>
      </c>
      <c r="K757" s="32" t="str" cm="1">
        <f t="array" ref="K757">IF(AF757&lt;&gt;"",IFERROR(INDEX('Group List A'!B:B,MATCH(AI757,'Group List A'!A:A,0),0),"-"),"")</f>
        <v/>
      </c>
      <c r="L757" s="33">
        <f t="shared" si="170"/>
        <v>0</v>
      </c>
      <c r="M757" s="33">
        <f t="shared" si="171"/>
        <v>0</v>
      </c>
      <c r="N757" s="33">
        <f t="shared" si="172"/>
        <v>0</v>
      </c>
      <c r="O757" s="28"/>
      <c r="P757" s="33">
        <f t="shared" si="173"/>
        <v>0</v>
      </c>
      <c r="Q757" s="35" t="str" cm="1">
        <f t="array" ref="Q757">IF(AF757&lt;&gt;"",IFERROR(INDEX('Group List B'!B:B,MATCH(AI757,'Group List B'!A:A,0),0),"-"),"")</f>
        <v/>
      </c>
      <c r="R757" s="36">
        <f t="shared" si="174"/>
        <v>0</v>
      </c>
      <c r="S757" s="36">
        <f t="shared" si="175"/>
        <v>0</v>
      </c>
      <c r="T757" s="36">
        <f t="shared" si="176"/>
        <v>0</v>
      </c>
      <c r="U757" s="28"/>
      <c r="V757" s="37">
        <f t="shared" si="177"/>
        <v>0</v>
      </c>
      <c r="W757" s="41"/>
      <c r="X757" s="27"/>
      <c r="Y757" s="27"/>
      <c r="Z757" s="27"/>
      <c r="AA757" s="15"/>
      <c r="AB757" s="17"/>
      <c r="AC757" s="17"/>
      <c r="AD757" s="17"/>
      <c r="AE757" s="90"/>
      <c r="AF757" s="82" t="str">
        <f t="shared" si="178"/>
        <v/>
      </c>
      <c r="AG757" s="83" t="str">
        <f t="shared" si="179"/>
        <v/>
      </c>
      <c r="AH757" s="82" t="str">
        <f t="shared" si="180"/>
        <v/>
      </c>
      <c r="AI757" s="82" t="str">
        <f t="shared" si="181"/>
        <v/>
      </c>
      <c r="AJ757" s="90"/>
      <c r="AP757" s="88"/>
    </row>
    <row r="758" spans="1:42" x14ac:dyDescent="0.25">
      <c r="A758" s="2"/>
      <c r="C758" s="68" t="str" cm="1">
        <f t="array" ref="C758">IF(AF758&lt;&gt;"",
IFERROR(INDEX('LaunchPad Markbook'!A:A,MATCH(AH758,'LaunchPad Markbook'!D:D,0),0),"-"),"")</f>
        <v/>
      </c>
      <c r="D758" s="27"/>
      <c r="E758" s="27"/>
      <c r="F758" s="27"/>
      <c r="G758" s="14">
        <f>IF(OR(H758&gt;AB$2,I758&gt;AC$2,J758&gt;AD$2,
P758&gt;1,V758&gt;1,
L758&gt;'Group List A'!E$2,M758&gt;'Group List A'!F$2,N758&gt;'Group List A'!G$2,
R758&gt;'Group List B'!E$2,S758&gt;'Group List B'!F$2,T758&gt;'Group List B'!G$2),"Exceed",
IF(OR(H758=AB$2,I758=AC$2,J758=AD$2,
P758=1,V758=1,
L758='Group List A'!E$2,M758='Group List A'!F$2,N758='Group List A'!G$2,
R758='Group List B'!E$2,S758='Group List B'!F$2,T758='Group List B'!G$2),"Limit",0))</f>
        <v>0</v>
      </c>
      <c r="H758" s="29">
        <f t="shared" si="167"/>
        <v>0</v>
      </c>
      <c r="I758" s="29">
        <f t="shared" si="168"/>
        <v>0</v>
      </c>
      <c r="J758" s="29">
        <f t="shared" si="169"/>
        <v>0</v>
      </c>
      <c r="K758" s="32" t="str" cm="1">
        <f t="array" ref="K758">IF(AF758&lt;&gt;"",IFERROR(INDEX('Group List A'!B:B,MATCH(AI758,'Group List A'!A:A,0),0),"-"),"")</f>
        <v/>
      </c>
      <c r="L758" s="33">
        <f t="shared" si="170"/>
        <v>0</v>
      </c>
      <c r="M758" s="33">
        <f t="shared" si="171"/>
        <v>0</v>
      </c>
      <c r="N758" s="33">
        <f t="shared" si="172"/>
        <v>0</v>
      </c>
      <c r="O758" s="28"/>
      <c r="P758" s="33">
        <f t="shared" si="173"/>
        <v>0</v>
      </c>
      <c r="Q758" s="35" t="str" cm="1">
        <f t="array" ref="Q758">IF(AF758&lt;&gt;"",IFERROR(INDEX('Group List B'!B:B,MATCH(AI758,'Group List B'!A:A,0),0),"-"),"")</f>
        <v/>
      </c>
      <c r="R758" s="36">
        <f t="shared" si="174"/>
        <v>0</v>
      </c>
      <c r="S758" s="36">
        <f t="shared" si="175"/>
        <v>0</v>
      </c>
      <c r="T758" s="36">
        <f t="shared" si="176"/>
        <v>0</v>
      </c>
      <c r="U758" s="28"/>
      <c r="V758" s="37">
        <f t="shared" si="177"/>
        <v>0</v>
      </c>
      <c r="W758" s="41"/>
      <c r="X758" s="27"/>
      <c r="Y758" s="27"/>
      <c r="Z758" s="27"/>
      <c r="AA758" s="15"/>
      <c r="AB758" s="17"/>
      <c r="AC758" s="17"/>
      <c r="AD758" s="17"/>
      <c r="AE758" s="90"/>
      <c r="AF758" s="82" t="str">
        <f t="shared" si="178"/>
        <v/>
      </c>
      <c r="AG758" s="83" t="str">
        <f t="shared" si="179"/>
        <v/>
      </c>
      <c r="AH758" s="82" t="str">
        <f t="shared" si="180"/>
        <v/>
      </c>
      <c r="AI758" s="82" t="str">
        <f t="shared" si="181"/>
        <v/>
      </c>
      <c r="AJ758" s="90"/>
      <c r="AP758" s="88"/>
    </row>
    <row r="759" spans="1:42" x14ac:dyDescent="0.25">
      <c r="A759" s="2"/>
      <c r="C759" s="68" t="str" cm="1">
        <f t="array" ref="C759">IF(AF759&lt;&gt;"",
IFERROR(INDEX('LaunchPad Markbook'!A:A,MATCH(AH759,'LaunchPad Markbook'!D:D,0),0),"-"),"")</f>
        <v/>
      </c>
      <c r="D759" s="27"/>
      <c r="E759" s="27"/>
      <c r="F759" s="27"/>
      <c r="G759" s="14">
        <f>IF(OR(H759&gt;AB$2,I759&gt;AC$2,J759&gt;AD$2,
P759&gt;1,V759&gt;1,
L759&gt;'Group List A'!E$2,M759&gt;'Group List A'!F$2,N759&gt;'Group List A'!G$2,
R759&gt;'Group List B'!E$2,S759&gt;'Group List B'!F$2,T759&gt;'Group List B'!G$2),"Exceed",
IF(OR(H759=AB$2,I759=AC$2,J759=AD$2,
P759=1,V759=1,
L759='Group List A'!E$2,M759='Group List A'!F$2,N759='Group List A'!G$2,
R759='Group List B'!E$2,S759='Group List B'!F$2,T759='Group List B'!G$2),"Limit",0))</f>
        <v>0</v>
      </c>
      <c r="H759" s="29">
        <f t="shared" si="167"/>
        <v>0</v>
      </c>
      <c r="I759" s="29">
        <f t="shared" si="168"/>
        <v>0</v>
      </c>
      <c r="J759" s="29">
        <f t="shared" si="169"/>
        <v>0</v>
      </c>
      <c r="K759" s="32" t="str" cm="1">
        <f t="array" ref="K759">IF(AF759&lt;&gt;"",IFERROR(INDEX('Group List A'!B:B,MATCH(AI759,'Group List A'!A:A,0),0),"-"),"")</f>
        <v/>
      </c>
      <c r="L759" s="33">
        <f t="shared" si="170"/>
        <v>0</v>
      </c>
      <c r="M759" s="33">
        <f t="shared" si="171"/>
        <v>0</v>
      </c>
      <c r="N759" s="33">
        <f t="shared" si="172"/>
        <v>0</v>
      </c>
      <c r="O759" s="28"/>
      <c r="P759" s="33">
        <f t="shared" si="173"/>
        <v>0</v>
      </c>
      <c r="Q759" s="35" t="str" cm="1">
        <f t="array" ref="Q759">IF(AF759&lt;&gt;"",IFERROR(INDEX('Group List B'!B:B,MATCH(AI759,'Group List B'!A:A,0),0),"-"),"")</f>
        <v/>
      </c>
      <c r="R759" s="36">
        <f t="shared" si="174"/>
        <v>0</v>
      </c>
      <c r="S759" s="36">
        <f t="shared" si="175"/>
        <v>0</v>
      </c>
      <c r="T759" s="36">
        <f t="shared" si="176"/>
        <v>0</v>
      </c>
      <c r="U759" s="28"/>
      <c r="V759" s="37">
        <f t="shared" si="177"/>
        <v>0</v>
      </c>
      <c r="W759" s="41"/>
      <c r="X759" s="27"/>
      <c r="Y759" s="27"/>
      <c r="Z759" s="27"/>
      <c r="AA759" s="15"/>
      <c r="AB759" s="17"/>
      <c r="AC759" s="17"/>
      <c r="AD759" s="17"/>
      <c r="AE759" s="90"/>
      <c r="AF759" s="82" t="str">
        <f t="shared" si="178"/>
        <v/>
      </c>
      <c r="AG759" s="83" t="str">
        <f t="shared" si="179"/>
        <v/>
      </c>
      <c r="AH759" s="82" t="str">
        <f t="shared" si="180"/>
        <v/>
      </c>
      <c r="AI759" s="82" t="str">
        <f t="shared" si="181"/>
        <v/>
      </c>
      <c r="AJ759" s="90"/>
      <c r="AP759" s="88"/>
    </row>
    <row r="760" spans="1:42" x14ac:dyDescent="0.25">
      <c r="A760" s="2"/>
      <c r="C760" s="68" t="str" cm="1">
        <f t="array" ref="C760">IF(AF760&lt;&gt;"",
IFERROR(INDEX('LaunchPad Markbook'!A:A,MATCH(AH760,'LaunchPad Markbook'!D:D,0),0),"-"),"")</f>
        <v/>
      </c>
      <c r="D760" s="27"/>
      <c r="E760" s="27"/>
      <c r="F760" s="27"/>
      <c r="G760" s="14">
        <f>IF(OR(H760&gt;AB$2,I760&gt;AC$2,J760&gt;AD$2,
P760&gt;1,V760&gt;1,
L760&gt;'Group List A'!E$2,M760&gt;'Group List A'!F$2,N760&gt;'Group List A'!G$2,
R760&gt;'Group List B'!E$2,S760&gt;'Group List B'!F$2,T760&gt;'Group List B'!G$2),"Exceed",
IF(OR(H760=AB$2,I760=AC$2,J760=AD$2,
P760=1,V760=1,
L760='Group List A'!E$2,M760='Group List A'!F$2,N760='Group List A'!G$2,
R760='Group List B'!E$2,S760='Group List B'!F$2,T760='Group List B'!G$2),"Limit",0))</f>
        <v>0</v>
      </c>
      <c r="H760" s="29">
        <f t="shared" si="167"/>
        <v>0</v>
      </c>
      <c r="I760" s="29">
        <f t="shared" si="168"/>
        <v>0</v>
      </c>
      <c r="J760" s="29">
        <f t="shared" si="169"/>
        <v>0</v>
      </c>
      <c r="K760" s="32" t="str" cm="1">
        <f t="array" ref="K760">IF(AF760&lt;&gt;"",IFERROR(INDEX('Group List A'!B:B,MATCH(AI760,'Group List A'!A:A,0),0),"-"),"")</f>
        <v/>
      </c>
      <c r="L760" s="33">
        <f t="shared" si="170"/>
        <v>0</v>
      </c>
      <c r="M760" s="33">
        <f t="shared" si="171"/>
        <v>0</v>
      </c>
      <c r="N760" s="33">
        <f t="shared" si="172"/>
        <v>0</v>
      </c>
      <c r="O760" s="28"/>
      <c r="P760" s="33">
        <f t="shared" si="173"/>
        <v>0</v>
      </c>
      <c r="Q760" s="35" t="str" cm="1">
        <f t="array" ref="Q760">IF(AF760&lt;&gt;"",IFERROR(INDEX('Group List B'!B:B,MATCH(AI760,'Group List B'!A:A,0),0),"-"),"")</f>
        <v/>
      </c>
      <c r="R760" s="36">
        <f t="shared" si="174"/>
        <v>0</v>
      </c>
      <c r="S760" s="36">
        <f t="shared" si="175"/>
        <v>0</v>
      </c>
      <c r="T760" s="36">
        <f t="shared" si="176"/>
        <v>0</v>
      </c>
      <c r="U760" s="28"/>
      <c r="V760" s="37">
        <f t="shared" si="177"/>
        <v>0</v>
      </c>
      <c r="W760" s="41"/>
      <c r="X760" s="27"/>
      <c r="Y760" s="27"/>
      <c r="Z760" s="27"/>
      <c r="AA760" s="15"/>
      <c r="AB760" s="17"/>
      <c r="AC760" s="17"/>
      <c r="AD760" s="17"/>
      <c r="AE760" s="90"/>
      <c r="AF760" s="82" t="str">
        <f t="shared" si="178"/>
        <v/>
      </c>
      <c r="AG760" s="83" t="str">
        <f t="shared" si="179"/>
        <v/>
      </c>
      <c r="AH760" s="82" t="str">
        <f t="shared" si="180"/>
        <v/>
      </c>
      <c r="AI760" s="82" t="str">
        <f t="shared" si="181"/>
        <v/>
      </c>
      <c r="AJ760" s="90"/>
      <c r="AP760" s="88"/>
    </row>
    <row r="761" spans="1:42" x14ac:dyDescent="0.25">
      <c r="A761" s="2"/>
      <c r="C761" s="68" t="str" cm="1">
        <f t="array" ref="C761">IF(AF761&lt;&gt;"",
IFERROR(INDEX('LaunchPad Markbook'!A:A,MATCH(AH761,'LaunchPad Markbook'!D:D,0),0),"-"),"")</f>
        <v/>
      </c>
      <c r="D761" s="27"/>
      <c r="E761" s="27"/>
      <c r="F761" s="27"/>
      <c r="G761" s="14">
        <f>IF(OR(H761&gt;AB$2,I761&gt;AC$2,J761&gt;AD$2,
P761&gt;1,V761&gt;1,
L761&gt;'Group List A'!E$2,M761&gt;'Group List A'!F$2,N761&gt;'Group List A'!G$2,
R761&gt;'Group List B'!E$2,S761&gt;'Group List B'!F$2,T761&gt;'Group List B'!G$2),"Exceed",
IF(OR(H761=AB$2,I761=AC$2,J761=AD$2,
P761=1,V761=1,
L761='Group List A'!E$2,M761='Group List A'!F$2,N761='Group List A'!G$2,
R761='Group List B'!E$2,S761='Group List B'!F$2,T761='Group List B'!G$2),"Limit",0))</f>
        <v>0</v>
      </c>
      <c r="H761" s="29">
        <f t="shared" si="167"/>
        <v>0</v>
      </c>
      <c r="I761" s="29">
        <f t="shared" si="168"/>
        <v>0</v>
      </c>
      <c r="J761" s="29">
        <f t="shared" si="169"/>
        <v>0</v>
      </c>
      <c r="K761" s="32" t="str" cm="1">
        <f t="array" ref="K761">IF(AF761&lt;&gt;"",IFERROR(INDEX('Group List A'!B:B,MATCH(AI761,'Group List A'!A:A,0),0),"-"),"")</f>
        <v/>
      </c>
      <c r="L761" s="33">
        <f t="shared" si="170"/>
        <v>0</v>
      </c>
      <c r="M761" s="33">
        <f t="shared" si="171"/>
        <v>0</v>
      </c>
      <c r="N761" s="33">
        <f t="shared" si="172"/>
        <v>0</v>
      </c>
      <c r="O761" s="28"/>
      <c r="P761" s="33">
        <f t="shared" si="173"/>
        <v>0</v>
      </c>
      <c r="Q761" s="35" t="str" cm="1">
        <f t="array" ref="Q761">IF(AF761&lt;&gt;"",IFERROR(INDEX('Group List B'!B:B,MATCH(AI761,'Group List B'!A:A,0),0),"-"),"")</f>
        <v/>
      </c>
      <c r="R761" s="36">
        <f t="shared" si="174"/>
        <v>0</v>
      </c>
      <c r="S761" s="36">
        <f t="shared" si="175"/>
        <v>0</v>
      </c>
      <c r="T761" s="36">
        <f t="shared" si="176"/>
        <v>0</v>
      </c>
      <c r="U761" s="28"/>
      <c r="V761" s="37">
        <f t="shared" si="177"/>
        <v>0</v>
      </c>
      <c r="W761" s="41"/>
      <c r="X761" s="27"/>
      <c r="Y761" s="27"/>
      <c r="Z761" s="27"/>
      <c r="AA761" s="15"/>
      <c r="AB761" s="17"/>
      <c r="AC761" s="17"/>
      <c r="AD761" s="17"/>
      <c r="AE761" s="90"/>
      <c r="AF761" s="82" t="str">
        <f t="shared" si="178"/>
        <v/>
      </c>
      <c r="AG761" s="83" t="str">
        <f t="shared" si="179"/>
        <v/>
      </c>
      <c r="AH761" s="82" t="str">
        <f t="shared" si="180"/>
        <v/>
      </c>
      <c r="AI761" s="82" t="str">
        <f t="shared" si="181"/>
        <v/>
      </c>
      <c r="AJ761" s="90"/>
      <c r="AP761" s="88"/>
    </row>
    <row r="762" spans="1:42" x14ac:dyDescent="0.25">
      <c r="A762" s="2"/>
      <c r="C762" s="68" t="str" cm="1">
        <f t="array" ref="C762">IF(AF762&lt;&gt;"",
IFERROR(INDEX('LaunchPad Markbook'!A:A,MATCH(AH762,'LaunchPad Markbook'!D:D,0),0),"-"),"")</f>
        <v/>
      </c>
      <c r="D762" s="27"/>
      <c r="E762" s="27"/>
      <c r="F762" s="27"/>
      <c r="G762" s="14">
        <f>IF(OR(H762&gt;AB$2,I762&gt;AC$2,J762&gt;AD$2,
P762&gt;1,V762&gt;1,
L762&gt;'Group List A'!E$2,M762&gt;'Group List A'!F$2,N762&gt;'Group List A'!G$2,
R762&gt;'Group List B'!E$2,S762&gt;'Group List B'!F$2,T762&gt;'Group List B'!G$2),"Exceed",
IF(OR(H762=AB$2,I762=AC$2,J762=AD$2,
P762=1,V762=1,
L762='Group List A'!E$2,M762='Group List A'!F$2,N762='Group List A'!G$2,
R762='Group List B'!E$2,S762='Group List B'!F$2,T762='Group List B'!G$2),"Limit",0))</f>
        <v>0</v>
      </c>
      <c r="H762" s="29">
        <f t="shared" si="167"/>
        <v>0</v>
      </c>
      <c r="I762" s="29">
        <f t="shared" si="168"/>
        <v>0</v>
      </c>
      <c r="J762" s="29">
        <f t="shared" si="169"/>
        <v>0</v>
      </c>
      <c r="K762" s="32" t="str" cm="1">
        <f t="array" ref="K762">IF(AF762&lt;&gt;"",IFERROR(INDEX('Group List A'!B:B,MATCH(AI762,'Group List A'!A:A,0),0),"-"),"")</f>
        <v/>
      </c>
      <c r="L762" s="33">
        <f t="shared" si="170"/>
        <v>0</v>
      </c>
      <c r="M762" s="33">
        <f t="shared" si="171"/>
        <v>0</v>
      </c>
      <c r="N762" s="33">
        <f t="shared" si="172"/>
        <v>0</v>
      </c>
      <c r="O762" s="28"/>
      <c r="P762" s="33">
        <f t="shared" si="173"/>
        <v>0</v>
      </c>
      <c r="Q762" s="35" t="str" cm="1">
        <f t="array" ref="Q762">IF(AF762&lt;&gt;"",IFERROR(INDEX('Group List B'!B:B,MATCH(AI762,'Group List B'!A:A,0),0),"-"),"")</f>
        <v/>
      </c>
      <c r="R762" s="36">
        <f t="shared" si="174"/>
        <v>0</v>
      </c>
      <c r="S762" s="36">
        <f t="shared" si="175"/>
        <v>0</v>
      </c>
      <c r="T762" s="36">
        <f t="shared" si="176"/>
        <v>0</v>
      </c>
      <c r="U762" s="28"/>
      <c r="V762" s="37">
        <f t="shared" si="177"/>
        <v>0</v>
      </c>
      <c r="W762" s="41"/>
      <c r="X762" s="27"/>
      <c r="Y762" s="27"/>
      <c r="Z762" s="27"/>
      <c r="AA762" s="15"/>
      <c r="AB762" s="17"/>
      <c r="AC762" s="17"/>
      <c r="AD762" s="17"/>
      <c r="AE762" s="90"/>
      <c r="AF762" s="82" t="str">
        <f t="shared" si="178"/>
        <v/>
      </c>
      <c r="AG762" s="83" t="str">
        <f t="shared" si="179"/>
        <v/>
      </c>
      <c r="AH762" s="82" t="str">
        <f t="shared" si="180"/>
        <v/>
      </c>
      <c r="AI762" s="82" t="str">
        <f t="shared" si="181"/>
        <v/>
      </c>
      <c r="AJ762" s="90"/>
      <c r="AP762" s="88"/>
    </row>
    <row r="763" spans="1:42" x14ac:dyDescent="0.25">
      <c r="A763" s="2"/>
      <c r="C763" s="68" t="str" cm="1">
        <f t="array" ref="C763">IF(AF763&lt;&gt;"",
IFERROR(INDEX('LaunchPad Markbook'!A:A,MATCH(AH763,'LaunchPad Markbook'!D:D,0),0),"-"),"")</f>
        <v/>
      </c>
      <c r="D763" s="27"/>
      <c r="E763" s="27"/>
      <c r="F763" s="27"/>
      <c r="G763" s="14">
        <f>IF(OR(H763&gt;AB$2,I763&gt;AC$2,J763&gt;AD$2,
P763&gt;1,V763&gt;1,
L763&gt;'Group List A'!E$2,M763&gt;'Group List A'!F$2,N763&gt;'Group List A'!G$2,
R763&gt;'Group List B'!E$2,S763&gt;'Group List B'!F$2,T763&gt;'Group List B'!G$2),"Exceed",
IF(OR(H763=AB$2,I763=AC$2,J763=AD$2,
P763=1,V763=1,
L763='Group List A'!E$2,M763='Group List A'!F$2,N763='Group List A'!G$2,
R763='Group List B'!E$2,S763='Group List B'!F$2,T763='Group List B'!G$2),"Limit",0))</f>
        <v>0</v>
      </c>
      <c r="H763" s="29">
        <f t="shared" si="167"/>
        <v>0</v>
      </c>
      <c r="I763" s="29">
        <f t="shared" si="168"/>
        <v>0</v>
      </c>
      <c r="J763" s="29">
        <f t="shared" si="169"/>
        <v>0</v>
      </c>
      <c r="K763" s="32" t="str" cm="1">
        <f t="array" ref="K763">IF(AF763&lt;&gt;"",IFERROR(INDEX('Group List A'!B:B,MATCH(AI763,'Group List A'!A:A,0),0),"-"),"")</f>
        <v/>
      </c>
      <c r="L763" s="33">
        <f t="shared" si="170"/>
        <v>0</v>
      </c>
      <c r="M763" s="33">
        <f t="shared" si="171"/>
        <v>0</v>
      </c>
      <c r="N763" s="33">
        <f t="shared" si="172"/>
        <v>0</v>
      </c>
      <c r="O763" s="28"/>
      <c r="P763" s="33">
        <f t="shared" si="173"/>
        <v>0</v>
      </c>
      <c r="Q763" s="35" t="str" cm="1">
        <f t="array" ref="Q763">IF(AF763&lt;&gt;"",IFERROR(INDEX('Group List B'!B:B,MATCH(AI763,'Group List B'!A:A,0),0),"-"),"")</f>
        <v/>
      </c>
      <c r="R763" s="36">
        <f t="shared" si="174"/>
        <v>0</v>
      </c>
      <c r="S763" s="36">
        <f t="shared" si="175"/>
        <v>0</v>
      </c>
      <c r="T763" s="36">
        <f t="shared" si="176"/>
        <v>0</v>
      </c>
      <c r="U763" s="28"/>
      <c r="V763" s="37">
        <f t="shared" si="177"/>
        <v>0</v>
      </c>
      <c r="W763" s="41"/>
      <c r="X763" s="27"/>
      <c r="Y763" s="27"/>
      <c r="Z763" s="27"/>
      <c r="AA763" s="15"/>
      <c r="AB763" s="17"/>
      <c r="AC763" s="17"/>
      <c r="AD763" s="17"/>
      <c r="AE763" s="90"/>
      <c r="AF763" s="82" t="str">
        <f t="shared" si="178"/>
        <v/>
      </c>
      <c r="AG763" s="83" t="str">
        <f t="shared" si="179"/>
        <v/>
      </c>
      <c r="AH763" s="82" t="str">
        <f t="shared" si="180"/>
        <v/>
      </c>
      <c r="AI763" s="82" t="str">
        <f t="shared" si="181"/>
        <v/>
      </c>
      <c r="AJ763" s="90"/>
      <c r="AP763" s="88"/>
    </row>
    <row r="764" spans="1:42" x14ac:dyDescent="0.25">
      <c r="A764" s="2"/>
      <c r="C764" s="68" t="str" cm="1">
        <f t="array" ref="C764">IF(AF764&lt;&gt;"",
IFERROR(INDEX('LaunchPad Markbook'!A:A,MATCH(AH764,'LaunchPad Markbook'!D:D,0),0),"-"),"")</f>
        <v/>
      </c>
      <c r="D764" s="27"/>
      <c r="E764" s="27"/>
      <c r="F764" s="27"/>
      <c r="G764" s="14">
        <f>IF(OR(H764&gt;AB$2,I764&gt;AC$2,J764&gt;AD$2,
P764&gt;1,V764&gt;1,
L764&gt;'Group List A'!E$2,M764&gt;'Group List A'!F$2,N764&gt;'Group List A'!G$2,
R764&gt;'Group List B'!E$2,S764&gt;'Group List B'!F$2,T764&gt;'Group List B'!G$2),"Exceed",
IF(OR(H764=AB$2,I764=AC$2,J764=AD$2,
P764=1,V764=1,
L764='Group List A'!E$2,M764='Group List A'!F$2,N764='Group List A'!G$2,
R764='Group List B'!E$2,S764='Group List B'!F$2,T764='Group List B'!G$2),"Limit",0))</f>
        <v>0</v>
      </c>
      <c r="H764" s="29">
        <f t="shared" si="167"/>
        <v>0</v>
      </c>
      <c r="I764" s="29">
        <f t="shared" si="168"/>
        <v>0</v>
      </c>
      <c r="J764" s="29">
        <f t="shared" si="169"/>
        <v>0</v>
      </c>
      <c r="K764" s="32" t="str" cm="1">
        <f t="array" ref="K764">IF(AF764&lt;&gt;"",IFERROR(INDEX('Group List A'!B:B,MATCH(AI764,'Group List A'!A:A,0),0),"-"),"")</f>
        <v/>
      </c>
      <c r="L764" s="33">
        <f t="shared" si="170"/>
        <v>0</v>
      </c>
      <c r="M764" s="33">
        <f t="shared" si="171"/>
        <v>0</v>
      </c>
      <c r="N764" s="33">
        <f t="shared" si="172"/>
        <v>0</v>
      </c>
      <c r="O764" s="28"/>
      <c r="P764" s="33">
        <f t="shared" si="173"/>
        <v>0</v>
      </c>
      <c r="Q764" s="35" t="str" cm="1">
        <f t="array" ref="Q764">IF(AF764&lt;&gt;"",IFERROR(INDEX('Group List B'!B:B,MATCH(AI764,'Group List B'!A:A,0),0),"-"),"")</f>
        <v/>
      </c>
      <c r="R764" s="36">
        <f t="shared" si="174"/>
        <v>0</v>
      </c>
      <c r="S764" s="36">
        <f t="shared" si="175"/>
        <v>0</v>
      </c>
      <c r="T764" s="36">
        <f t="shared" si="176"/>
        <v>0</v>
      </c>
      <c r="U764" s="28"/>
      <c r="V764" s="37">
        <f t="shared" si="177"/>
        <v>0</v>
      </c>
      <c r="W764" s="41"/>
      <c r="X764" s="27"/>
      <c r="Y764" s="27"/>
      <c r="Z764" s="27"/>
      <c r="AA764" s="15"/>
      <c r="AB764" s="17"/>
      <c r="AC764" s="17"/>
      <c r="AD764" s="17"/>
      <c r="AE764" s="90"/>
      <c r="AF764" s="82" t="str">
        <f t="shared" si="178"/>
        <v/>
      </c>
      <c r="AG764" s="83" t="str">
        <f t="shared" si="179"/>
        <v/>
      </c>
      <c r="AH764" s="82" t="str">
        <f t="shared" si="180"/>
        <v/>
      </c>
      <c r="AI764" s="82" t="str">
        <f t="shared" si="181"/>
        <v/>
      </c>
      <c r="AJ764" s="90"/>
      <c r="AP764" s="88"/>
    </row>
    <row r="765" spans="1:42" x14ac:dyDescent="0.25">
      <c r="A765" s="2"/>
      <c r="C765" s="68" t="str" cm="1">
        <f t="array" ref="C765">IF(AF765&lt;&gt;"",
IFERROR(INDEX('LaunchPad Markbook'!A:A,MATCH(AH765,'LaunchPad Markbook'!D:D,0),0),"-"),"")</f>
        <v/>
      </c>
      <c r="D765" s="27"/>
      <c r="E765" s="27"/>
      <c r="F765" s="27"/>
      <c r="G765" s="14">
        <f>IF(OR(H765&gt;AB$2,I765&gt;AC$2,J765&gt;AD$2,
P765&gt;1,V765&gt;1,
L765&gt;'Group List A'!E$2,M765&gt;'Group List A'!F$2,N765&gt;'Group List A'!G$2,
R765&gt;'Group List B'!E$2,S765&gt;'Group List B'!F$2,T765&gt;'Group List B'!G$2),"Exceed",
IF(OR(H765=AB$2,I765=AC$2,J765=AD$2,
P765=1,V765=1,
L765='Group List A'!E$2,M765='Group List A'!F$2,N765='Group List A'!G$2,
R765='Group List B'!E$2,S765='Group List B'!F$2,T765='Group List B'!G$2),"Limit",0))</f>
        <v>0</v>
      </c>
      <c r="H765" s="29">
        <f t="shared" si="167"/>
        <v>0</v>
      </c>
      <c r="I765" s="29">
        <f t="shared" si="168"/>
        <v>0</v>
      </c>
      <c r="J765" s="29">
        <f t="shared" si="169"/>
        <v>0</v>
      </c>
      <c r="K765" s="32" t="str" cm="1">
        <f t="array" ref="K765">IF(AF765&lt;&gt;"",IFERROR(INDEX('Group List A'!B:B,MATCH(AI765,'Group List A'!A:A,0),0),"-"),"")</f>
        <v/>
      </c>
      <c r="L765" s="33">
        <f t="shared" si="170"/>
        <v>0</v>
      </c>
      <c r="M765" s="33">
        <f t="shared" si="171"/>
        <v>0</v>
      </c>
      <c r="N765" s="33">
        <f t="shared" si="172"/>
        <v>0</v>
      </c>
      <c r="O765" s="28"/>
      <c r="P765" s="33">
        <f t="shared" si="173"/>
        <v>0</v>
      </c>
      <c r="Q765" s="35" t="str" cm="1">
        <f t="array" ref="Q765">IF(AF765&lt;&gt;"",IFERROR(INDEX('Group List B'!B:B,MATCH(AI765,'Group List B'!A:A,0),0),"-"),"")</f>
        <v/>
      </c>
      <c r="R765" s="36">
        <f t="shared" si="174"/>
        <v>0</v>
      </c>
      <c r="S765" s="36">
        <f t="shared" si="175"/>
        <v>0</v>
      </c>
      <c r="T765" s="36">
        <f t="shared" si="176"/>
        <v>0</v>
      </c>
      <c r="U765" s="28"/>
      <c r="V765" s="37">
        <f t="shared" si="177"/>
        <v>0</v>
      </c>
      <c r="W765" s="41"/>
      <c r="X765" s="27"/>
      <c r="Y765" s="27"/>
      <c r="Z765" s="27"/>
      <c r="AA765" s="15"/>
      <c r="AB765" s="17"/>
      <c r="AC765" s="17"/>
      <c r="AD765" s="17"/>
      <c r="AE765" s="90"/>
      <c r="AF765" s="82" t="str">
        <f t="shared" si="178"/>
        <v/>
      </c>
      <c r="AG765" s="83" t="str">
        <f t="shared" si="179"/>
        <v/>
      </c>
      <c r="AH765" s="82" t="str">
        <f t="shared" si="180"/>
        <v/>
      </c>
      <c r="AI765" s="82" t="str">
        <f t="shared" si="181"/>
        <v/>
      </c>
      <c r="AJ765" s="90"/>
      <c r="AP765" s="88"/>
    </row>
    <row r="766" spans="1:42" x14ac:dyDescent="0.25">
      <c r="A766" s="2"/>
      <c r="C766" s="68" t="str" cm="1">
        <f t="array" ref="C766">IF(AF766&lt;&gt;"",
IFERROR(INDEX('LaunchPad Markbook'!A:A,MATCH(AH766,'LaunchPad Markbook'!D:D,0),0),"-"),"")</f>
        <v/>
      </c>
      <c r="D766" s="27"/>
      <c r="E766" s="27"/>
      <c r="F766" s="27"/>
      <c r="G766" s="14">
        <f>IF(OR(H766&gt;AB$2,I766&gt;AC$2,J766&gt;AD$2,
P766&gt;1,V766&gt;1,
L766&gt;'Group List A'!E$2,M766&gt;'Group List A'!F$2,N766&gt;'Group List A'!G$2,
R766&gt;'Group List B'!E$2,S766&gt;'Group List B'!F$2,T766&gt;'Group List B'!G$2),"Exceed",
IF(OR(H766=AB$2,I766=AC$2,J766=AD$2,
P766=1,V766=1,
L766='Group List A'!E$2,M766='Group List A'!F$2,N766='Group List A'!G$2,
R766='Group List B'!E$2,S766='Group List B'!F$2,T766='Group List B'!G$2),"Limit",0))</f>
        <v>0</v>
      </c>
      <c r="H766" s="29">
        <f t="shared" si="167"/>
        <v>0</v>
      </c>
      <c r="I766" s="29">
        <f t="shared" si="168"/>
        <v>0</v>
      </c>
      <c r="J766" s="29">
        <f t="shared" si="169"/>
        <v>0</v>
      </c>
      <c r="K766" s="32" t="str" cm="1">
        <f t="array" ref="K766">IF(AF766&lt;&gt;"",IFERROR(INDEX('Group List A'!B:B,MATCH(AI766,'Group List A'!A:A,0),0),"-"),"")</f>
        <v/>
      </c>
      <c r="L766" s="33">
        <f t="shared" si="170"/>
        <v>0</v>
      </c>
      <c r="M766" s="33">
        <f t="shared" si="171"/>
        <v>0</v>
      </c>
      <c r="N766" s="33">
        <f t="shared" si="172"/>
        <v>0</v>
      </c>
      <c r="O766" s="28"/>
      <c r="P766" s="33">
        <f t="shared" si="173"/>
        <v>0</v>
      </c>
      <c r="Q766" s="35" t="str" cm="1">
        <f t="array" ref="Q766">IF(AF766&lt;&gt;"",IFERROR(INDEX('Group List B'!B:B,MATCH(AI766,'Group List B'!A:A,0),0),"-"),"")</f>
        <v/>
      </c>
      <c r="R766" s="36">
        <f t="shared" si="174"/>
        <v>0</v>
      </c>
      <c r="S766" s="36">
        <f t="shared" si="175"/>
        <v>0</v>
      </c>
      <c r="T766" s="36">
        <f t="shared" si="176"/>
        <v>0</v>
      </c>
      <c r="U766" s="28"/>
      <c r="V766" s="37">
        <f t="shared" si="177"/>
        <v>0</v>
      </c>
      <c r="W766" s="41"/>
      <c r="X766" s="27"/>
      <c r="Y766" s="27"/>
      <c r="Z766" s="27"/>
      <c r="AA766" s="15"/>
      <c r="AB766" s="17"/>
      <c r="AC766" s="17"/>
      <c r="AD766" s="17"/>
      <c r="AE766" s="90"/>
      <c r="AF766" s="82" t="str">
        <f t="shared" si="178"/>
        <v/>
      </c>
      <c r="AG766" s="83" t="str">
        <f t="shared" si="179"/>
        <v/>
      </c>
      <c r="AH766" s="82" t="str">
        <f t="shared" si="180"/>
        <v/>
      </c>
      <c r="AI766" s="82" t="str">
        <f t="shared" si="181"/>
        <v/>
      </c>
      <c r="AJ766" s="90"/>
      <c r="AP766" s="88"/>
    </row>
    <row r="767" spans="1:42" x14ac:dyDescent="0.25">
      <c r="A767" s="2"/>
      <c r="C767" s="68" t="str" cm="1">
        <f t="array" ref="C767">IF(AF767&lt;&gt;"",
IFERROR(INDEX('LaunchPad Markbook'!A:A,MATCH(AH767,'LaunchPad Markbook'!D:D,0),0),"-"),"")</f>
        <v/>
      </c>
      <c r="D767" s="27"/>
      <c r="E767" s="27"/>
      <c r="F767" s="27"/>
      <c r="G767" s="14">
        <f>IF(OR(H767&gt;AB$2,I767&gt;AC$2,J767&gt;AD$2,
P767&gt;1,V767&gt;1,
L767&gt;'Group List A'!E$2,M767&gt;'Group List A'!F$2,N767&gt;'Group List A'!G$2,
R767&gt;'Group List B'!E$2,S767&gt;'Group List B'!F$2,T767&gt;'Group List B'!G$2),"Exceed",
IF(OR(H767=AB$2,I767=AC$2,J767=AD$2,
P767=1,V767=1,
L767='Group List A'!E$2,M767='Group List A'!F$2,N767='Group List A'!G$2,
R767='Group List B'!E$2,S767='Group List B'!F$2,T767='Group List B'!G$2),"Limit",0))</f>
        <v>0</v>
      </c>
      <c r="H767" s="29">
        <f t="shared" si="167"/>
        <v>0</v>
      </c>
      <c r="I767" s="29">
        <f t="shared" si="168"/>
        <v>0</v>
      </c>
      <c r="J767" s="29">
        <f t="shared" si="169"/>
        <v>0</v>
      </c>
      <c r="K767" s="32" t="str" cm="1">
        <f t="array" ref="K767">IF(AF767&lt;&gt;"",IFERROR(INDEX('Group List A'!B:B,MATCH(AI767,'Group List A'!A:A,0),0),"-"),"")</f>
        <v/>
      </c>
      <c r="L767" s="33">
        <f t="shared" si="170"/>
        <v>0</v>
      </c>
      <c r="M767" s="33">
        <f t="shared" si="171"/>
        <v>0</v>
      </c>
      <c r="N767" s="33">
        <f t="shared" si="172"/>
        <v>0</v>
      </c>
      <c r="O767" s="28"/>
      <c r="P767" s="33">
        <f t="shared" si="173"/>
        <v>0</v>
      </c>
      <c r="Q767" s="35" t="str" cm="1">
        <f t="array" ref="Q767">IF(AF767&lt;&gt;"",IFERROR(INDEX('Group List B'!B:B,MATCH(AI767,'Group List B'!A:A,0),0),"-"),"")</f>
        <v/>
      </c>
      <c r="R767" s="36">
        <f t="shared" si="174"/>
        <v>0</v>
      </c>
      <c r="S767" s="36">
        <f t="shared" si="175"/>
        <v>0</v>
      </c>
      <c r="T767" s="36">
        <f t="shared" si="176"/>
        <v>0</v>
      </c>
      <c r="U767" s="28"/>
      <c r="V767" s="37">
        <f t="shared" si="177"/>
        <v>0</v>
      </c>
      <c r="W767" s="41"/>
      <c r="X767" s="27"/>
      <c r="Y767" s="27"/>
      <c r="Z767" s="27"/>
      <c r="AA767" s="15"/>
      <c r="AB767" s="17"/>
      <c r="AC767" s="17"/>
      <c r="AD767" s="17"/>
      <c r="AE767" s="90"/>
      <c r="AF767" s="82" t="str">
        <f t="shared" si="178"/>
        <v/>
      </c>
      <c r="AG767" s="83" t="str">
        <f t="shared" si="179"/>
        <v/>
      </c>
      <c r="AH767" s="82" t="str">
        <f t="shared" si="180"/>
        <v/>
      </c>
      <c r="AI767" s="82" t="str">
        <f t="shared" si="181"/>
        <v/>
      </c>
      <c r="AJ767" s="90"/>
      <c r="AP767" s="88"/>
    </row>
    <row r="768" spans="1:42" x14ac:dyDescent="0.25">
      <c r="A768" s="2"/>
      <c r="C768" s="68" t="str" cm="1">
        <f t="array" ref="C768">IF(AF768&lt;&gt;"",
IFERROR(INDEX('LaunchPad Markbook'!A:A,MATCH(AH768,'LaunchPad Markbook'!D:D,0),0),"-"),"")</f>
        <v/>
      </c>
      <c r="D768" s="27"/>
      <c r="E768" s="27"/>
      <c r="F768" s="27"/>
      <c r="G768" s="14">
        <f>IF(OR(H768&gt;AB$2,I768&gt;AC$2,J768&gt;AD$2,
P768&gt;1,V768&gt;1,
L768&gt;'Group List A'!E$2,M768&gt;'Group List A'!F$2,N768&gt;'Group List A'!G$2,
R768&gt;'Group List B'!E$2,S768&gt;'Group List B'!F$2,T768&gt;'Group List B'!G$2),"Exceed",
IF(OR(H768=AB$2,I768=AC$2,J768=AD$2,
P768=1,V768=1,
L768='Group List A'!E$2,M768='Group List A'!F$2,N768='Group List A'!G$2,
R768='Group List B'!E$2,S768='Group List B'!F$2,T768='Group List B'!G$2),"Limit",0))</f>
        <v>0</v>
      </c>
      <c r="H768" s="29">
        <f t="shared" si="167"/>
        <v>0</v>
      </c>
      <c r="I768" s="29">
        <f t="shared" si="168"/>
        <v>0</v>
      </c>
      <c r="J768" s="29">
        <f t="shared" si="169"/>
        <v>0</v>
      </c>
      <c r="K768" s="32" t="str" cm="1">
        <f t="array" ref="K768">IF(AF768&lt;&gt;"",IFERROR(INDEX('Group List A'!B:B,MATCH(AI768,'Group List A'!A:A,0),0),"-"),"")</f>
        <v/>
      </c>
      <c r="L768" s="33">
        <f t="shared" si="170"/>
        <v>0</v>
      </c>
      <c r="M768" s="33">
        <f t="shared" si="171"/>
        <v>0</v>
      </c>
      <c r="N768" s="33">
        <f t="shared" si="172"/>
        <v>0</v>
      </c>
      <c r="O768" s="28"/>
      <c r="P768" s="33">
        <f t="shared" si="173"/>
        <v>0</v>
      </c>
      <c r="Q768" s="35" t="str" cm="1">
        <f t="array" ref="Q768">IF(AF768&lt;&gt;"",IFERROR(INDEX('Group List B'!B:B,MATCH(AI768,'Group List B'!A:A,0),0),"-"),"")</f>
        <v/>
      </c>
      <c r="R768" s="36">
        <f t="shared" si="174"/>
        <v>0</v>
      </c>
      <c r="S768" s="36">
        <f t="shared" si="175"/>
        <v>0</v>
      </c>
      <c r="T768" s="36">
        <f t="shared" si="176"/>
        <v>0</v>
      </c>
      <c r="U768" s="28"/>
      <c r="V768" s="37">
        <f t="shared" si="177"/>
        <v>0</v>
      </c>
      <c r="W768" s="41"/>
      <c r="X768" s="27"/>
      <c r="Y768" s="27"/>
      <c r="Z768" s="27"/>
      <c r="AA768" s="15"/>
      <c r="AB768" s="17"/>
      <c r="AC768" s="17"/>
      <c r="AD768" s="17"/>
      <c r="AE768" s="90"/>
      <c r="AF768" s="82" t="str">
        <f t="shared" si="178"/>
        <v/>
      </c>
      <c r="AG768" s="83" t="str">
        <f t="shared" si="179"/>
        <v/>
      </c>
      <c r="AH768" s="82" t="str">
        <f t="shared" si="180"/>
        <v/>
      </c>
      <c r="AI768" s="82" t="str">
        <f t="shared" si="181"/>
        <v/>
      </c>
      <c r="AJ768" s="90"/>
      <c r="AP768" s="88"/>
    </row>
    <row r="769" spans="1:42" x14ac:dyDescent="0.25">
      <c r="A769" s="2"/>
      <c r="C769" s="68" t="str" cm="1">
        <f t="array" ref="C769">IF(AF769&lt;&gt;"",
IFERROR(INDEX('LaunchPad Markbook'!A:A,MATCH(AH769,'LaunchPad Markbook'!D:D,0),0),"-"),"")</f>
        <v/>
      </c>
      <c r="D769" s="27"/>
      <c r="E769" s="27"/>
      <c r="F769" s="27"/>
      <c r="G769" s="14">
        <f>IF(OR(H769&gt;AB$2,I769&gt;AC$2,J769&gt;AD$2,
P769&gt;1,V769&gt;1,
L769&gt;'Group List A'!E$2,M769&gt;'Group List A'!F$2,N769&gt;'Group List A'!G$2,
R769&gt;'Group List B'!E$2,S769&gt;'Group List B'!F$2,T769&gt;'Group List B'!G$2),"Exceed",
IF(OR(H769=AB$2,I769=AC$2,J769=AD$2,
P769=1,V769=1,
L769='Group List A'!E$2,M769='Group List A'!F$2,N769='Group List A'!G$2,
R769='Group List B'!E$2,S769='Group List B'!F$2,T769='Group List B'!G$2),"Limit",0))</f>
        <v>0</v>
      </c>
      <c r="H769" s="29">
        <f t="shared" si="167"/>
        <v>0</v>
      </c>
      <c r="I769" s="29">
        <f t="shared" si="168"/>
        <v>0</v>
      </c>
      <c r="J769" s="29">
        <f t="shared" si="169"/>
        <v>0</v>
      </c>
      <c r="K769" s="32" t="str" cm="1">
        <f t="array" ref="K769">IF(AF769&lt;&gt;"",IFERROR(INDEX('Group List A'!B:B,MATCH(AI769,'Group List A'!A:A,0),0),"-"),"")</f>
        <v/>
      </c>
      <c r="L769" s="33">
        <f t="shared" si="170"/>
        <v>0</v>
      </c>
      <c r="M769" s="33">
        <f t="shared" si="171"/>
        <v>0</v>
      </c>
      <c r="N769" s="33">
        <f t="shared" si="172"/>
        <v>0</v>
      </c>
      <c r="O769" s="28"/>
      <c r="P769" s="33">
        <f t="shared" si="173"/>
        <v>0</v>
      </c>
      <c r="Q769" s="35" t="str" cm="1">
        <f t="array" ref="Q769">IF(AF769&lt;&gt;"",IFERROR(INDEX('Group List B'!B:B,MATCH(AI769,'Group List B'!A:A,0),0),"-"),"")</f>
        <v/>
      </c>
      <c r="R769" s="36">
        <f t="shared" si="174"/>
        <v>0</v>
      </c>
      <c r="S769" s="36">
        <f t="shared" si="175"/>
        <v>0</v>
      </c>
      <c r="T769" s="36">
        <f t="shared" si="176"/>
        <v>0</v>
      </c>
      <c r="U769" s="28"/>
      <c r="V769" s="37">
        <f t="shared" si="177"/>
        <v>0</v>
      </c>
      <c r="W769" s="41"/>
      <c r="X769" s="27"/>
      <c r="Y769" s="27"/>
      <c r="Z769" s="27"/>
      <c r="AA769" s="15"/>
      <c r="AB769" s="17"/>
      <c r="AC769" s="17"/>
      <c r="AD769" s="17"/>
      <c r="AE769" s="90"/>
      <c r="AF769" s="82" t="str">
        <f t="shared" si="178"/>
        <v/>
      </c>
      <c r="AG769" s="83" t="str">
        <f t="shared" si="179"/>
        <v/>
      </c>
      <c r="AH769" s="82" t="str">
        <f t="shared" si="180"/>
        <v/>
      </c>
      <c r="AI769" s="82" t="str">
        <f t="shared" si="181"/>
        <v/>
      </c>
      <c r="AJ769" s="90"/>
      <c r="AP769" s="88"/>
    </row>
    <row r="770" spans="1:42" x14ac:dyDescent="0.25">
      <c r="A770" s="2"/>
      <c r="C770" s="68" t="str" cm="1">
        <f t="array" ref="C770">IF(AF770&lt;&gt;"",
IFERROR(INDEX('LaunchPad Markbook'!A:A,MATCH(AH770,'LaunchPad Markbook'!D:D,0),0),"-"),"")</f>
        <v/>
      </c>
      <c r="D770" s="27"/>
      <c r="E770" s="27"/>
      <c r="F770" s="27"/>
      <c r="G770" s="14">
        <f>IF(OR(H770&gt;AB$2,I770&gt;AC$2,J770&gt;AD$2,
P770&gt;1,V770&gt;1,
L770&gt;'Group List A'!E$2,M770&gt;'Group List A'!F$2,N770&gt;'Group List A'!G$2,
R770&gt;'Group List B'!E$2,S770&gt;'Group List B'!F$2,T770&gt;'Group List B'!G$2),"Exceed",
IF(OR(H770=AB$2,I770=AC$2,J770=AD$2,
P770=1,V770=1,
L770='Group List A'!E$2,M770='Group List A'!F$2,N770='Group List A'!G$2,
R770='Group List B'!E$2,S770='Group List B'!F$2,T770='Group List B'!G$2),"Limit",0))</f>
        <v>0</v>
      </c>
      <c r="H770" s="29">
        <f t="shared" si="167"/>
        <v>0</v>
      </c>
      <c r="I770" s="29">
        <f t="shared" si="168"/>
        <v>0</v>
      </c>
      <c r="J770" s="29">
        <f t="shared" si="169"/>
        <v>0</v>
      </c>
      <c r="K770" s="32" t="str" cm="1">
        <f t="array" ref="K770">IF(AF770&lt;&gt;"",IFERROR(INDEX('Group List A'!B:B,MATCH(AI770,'Group List A'!A:A,0),0),"-"),"")</f>
        <v/>
      </c>
      <c r="L770" s="33">
        <f t="shared" si="170"/>
        <v>0</v>
      </c>
      <c r="M770" s="33">
        <f t="shared" si="171"/>
        <v>0</v>
      </c>
      <c r="N770" s="33">
        <f t="shared" si="172"/>
        <v>0</v>
      </c>
      <c r="O770" s="28"/>
      <c r="P770" s="33">
        <f t="shared" si="173"/>
        <v>0</v>
      </c>
      <c r="Q770" s="35" t="str" cm="1">
        <f t="array" ref="Q770">IF(AF770&lt;&gt;"",IFERROR(INDEX('Group List B'!B:B,MATCH(AI770,'Group List B'!A:A,0),0),"-"),"")</f>
        <v/>
      </c>
      <c r="R770" s="36">
        <f t="shared" si="174"/>
        <v>0</v>
      </c>
      <c r="S770" s="36">
        <f t="shared" si="175"/>
        <v>0</v>
      </c>
      <c r="T770" s="36">
        <f t="shared" si="176"/>
        <v>0</v>
      </c>
      <c r="U770" s="28"/>
      <c r="V770" s="37">
        <f t="shared" si="177"/>
        <v>0</v>
      </c>
      <c r="W770" s="41"/>
      <c r="X770" s="27"/>
      <c r="Y770" s="27"/>
      <c r="Z770" s="27"/>
      <c r="AA770" s="15"/>
      <c r="AB770" s="17"/>
      <c r="AC770" s="17"/>
      <c r="AD770" s="17"/>
      <c r="AE770" s="90"/>
      <c r="AF770" s="82" t="str">
        <f t="shared" si="178"/>
        <v/>
      </c>
      <c r="AG770" s="83" t="str">
        <f t="shared" si="179"/>
        <v/>
      </c>
      <c r="AH770" s="82" t="str">
        <f t="shared" si="180"/>
        <v/>
      </c>
      <c r="AI770" s="82" t="str">
        <f t="shared" si="181"/>
        <v/>
      </c>
      <c r="AJ770" s="90"/>
      <c r="AP770" s="88"/>
    </row>
    <row r="771" spans="1:42" x14ac:dyDescent="0.25">
      <c r="A771" s="2"/>
      <c r="C771" s="68" t="str" cm="1">
        <f t="array" ref="C771">IF(AF771&lt;&gt;"",
IFERROR(INDEX('LaunchPad Markbook'!A:A,MATCH(AH771,'LaunchPad Markbook'!D:D,0),0),"-"),"")</f>
        <v/>
      </c>
      <c r="D771" s="27"/>
      <c r="E771" s="27"/>
      <c r="F771" s="27"/>
      <c r="G771" s="14">
        <f>IF(OR(H771&gt;AB$2,I771&gt;AC$2,J771&gt;AD$2,
P771&gt;1,V771&gt;1,
L771&gt;'Group List A'!E$2,M771&gt;'Group List A'!F$2,N771&gt;'Group List A'!G$2,
R771&gt;'Group List B'!E$2,S771&gt;'Group List B'!F$2,T771&gt;'Group List B'!G$2),"Exceed",
IF(OR(H771=AB$2,I771=AC$2,J771=AD$2,
P771=1,V771=1,
L771='Group List A'!E$2,M771='Group List A'!F$2,N771='Group List A'!G$2,
R771='Group List B'!E$2,S771='Group List B'!F$2,T771='Group List B'!G$2),"Limit",0))</f>
        <v>0</v>
      </c>
      <c r="H771" s="29">
        <f t="shared" ref="H771:H834" si="182">IF(AND(K771="-",Q771="-"),
SUMIFS(D$2:D$2000,$AH$2:$AH$2000,$AH771),0)</f>
        <v>0</v>
      </c>
      <c r="I771" s="29">
        <f t="shared" ref="I771:I834" si="183">IF(AND(K771="-",Q771="-"),
SUMIFS(E$2:E$2000,$AH$2:$AH$2000,$AH771),0)</f>
        <v>0</v>
      </c>
      <c r="J771" s="29">
        <f t="shared" ref="J771:J834" si="184">IF(AND(K771="-",Q771="-"),
SUMIFS(F$2:F$2000,$AH$2:$AH$2000,$AH771),0)</f>
        <v>0</v>
      </c>
      <c r="K771" s="32" t="str" cm="1">
        <f t="array" ref="K771">IF(AF771&lt;&gt;"",IFERROR(INDEX('Group List A'!B:B,MATCH(AI771,'Group List A'!A:A,0),0),"-"),"")</f>
        <v/>
      </c>
      <c r="L771" s="33">
        <f t="shared" ref="L771:L834" si="185">IF($K771&lt;&gt;"-",SUMIFS(D$2:D$2000,$K$2:$K$2000,$K771),0)</f>
        <v>0</v>
      </c>
      <c r="M771" s="33">
        <f t="shared" ref="M771:M834" si="186">IF($K771&lt;&gt;"-",SUMIFS(E$2:E$2000,$K$2:$K$2000,$K771),0)</f>
        <v>0</v>
      </c>
      <c r="N771" s="33">
        <f t="shared" ref="N771:N834" si="187">IF($K771&lt;&gt;"-",SUMIFS(F$2:F$2000,$K$2:$K$2000,$K771),0)</f>
        <v>0</v>
      </c>
      <c r="O771" s="28"/>
      <c r="P771" s="33">
        <f t="shared" ref="P771:P834" si="188">SUMIFS(O$2:O$2000,$AH$2:$AH$2000,$AH771)</f>
        <v>0</v>
      </c>
      <c r="Q771" s="35" t="str" cm="1">
        <f t="array" ref="Q771">IF(AF771&lt;&gt;"",IFERROR(INDEX('Group List B'!B:B,MATCH(AI771,'Group List B'!A:A,0),0),"-"),"")</f>
        <v/>
      </c>
      <c r="R771" s="36">
        <f t="shared" ref="R771:R834" si="189">IF($Q771&lt;&gt;"-",SUMIFS(D$2:D$2000,$Q$2:$Q$2000,$Q771),0)</f>
        <v>0</v>
      </c>
      <c r="S771" s="36">
        <f t="shared" ref="S771:S834" si="190">IF($Q771&lt;&gt;"-",SUMIFS(E$2:E$2000,$Q$2:$Q$2000,$Q771),0)</f>
        <v>0</v>
      </c>
      <c r="T771" s="36">
        <f t="shared" ref="T771:T834" si="191">IF($Q771&lt;&gt;"-",SUMIFS(F$2:F$2000,$Q$2:$Q$2000,$Q771),0)</f>
        <v>0</v>
      </c>
      <c r="U771" s="28"/>
      <c r="V771" s="37">
        <f t="shared" ref="V771:V834" si="192">SUMIFS(U$2:U$2000,$AH$2:$AH$2000,$AH771)</f>
        <v>0</v>
      </c>
      <c r="W771" s="41"/>
      <c r="X771" s="27"/>
      <c r="Y771" s="27"/>
      <c r="Z771" s="27"/>
      <c r="AA771" s="15"/>
      <c r="AB771" s="17"/>
      <c r="AC771" s="17"/>
      <c r="AD771" s="17"/>
      <c r="AE771" s="90"/>
      <c r="AF771" s="82" t="str">
        <f t="shared" ref="AF771:AF834" si="193">IF(A771&lt;&gt;"",A771,"")</f>
        <v/>
      </c>
      <c r="AG771" s="83" t="str">
        <f t="shared" ref="AG771:AG834" si="194">IF(MID(AF771,1,1)="N","STUDENT",
IF(MID(AF771,1,1)="S","STAFF",
IF(MID(AF771,1,1)="V","VISITOR",
IF(AF771&lt;&gt;"","ERROR",""))))</f>
        <v/>
      </c>
      <c r="AH771" s="82" t="str">
        <f t="shared" ref="AH771:AH834" si="195">IF(AG771="STUDENT","N"&amp;(MID(AF771,2,8)-0),
IF(AG771="STAFF","S"&amp;MID(AF771,2,8),""))</f>
        <v/>
      </c>
      <c r="AI771" s="82" t="str">
        <f t="shared" ref="AI771:AI834" si="196">IF(AG771="STUDENT",(MID(AF771,2,8)-0),
IF(AG771="STAFF","STAFF",""))</f>
        <v/>
      </c>
      <c r="AJ771" s="90"/>
      <c r="AP771" s="88"/>
    </row>
    <row r="772" spans="1:42" x14ac:dyDescent="0.25">
      <c r="A772" s="2"/>
      <c r="C772" s="68" t="str" cm="1">
        <f t="array" ref="C772">IF(AF772&lt;&gt;"",
IFERROR(INDEX('LaunchPad Markbook'!A:A,MATCH(AH772,'LaunchPad Markbook'!D:D,0),0),"-"),"")</f>
        <v/>
      </c>
      <c r="D772" s="27"/>
      <c r="E772" s="27"/>
      <c r="F772" s="27"/>
      <c r="G772" s="14">
        <f>IF(OR(H772&gt;AB$2,I772&gt;AC$2,J772&gt;AD$2,
P772&gt;1,V772&gt;1,
L772&gt;'Group List A'!E$2,M772&gt;'Group List A'!F$2,N772&gt;'Group List A'!G$2,
R772&gt;'Group List B'!E$2,S772&gt;'Group List B'!F$2,T772&gt;'Group List B'!G$2),"Exceed",
IF(OR(H772=AB$2,I772=AC$2,J772=AD$2,
P772=1,V772=1,
L772='Group List A'!E$2,M772='Group List A'!F$2,N772='Group List A'!G$2,
R772='Group List B'!E$2,S772='Group List B'!F$2,T772='Group List B'!G$2),"Limit",0))</f>
        <v>0</v>
      </c>
      <c r="H772" s="29">
        <f t="shared" si="182"/>
        <v>0</v>
      </c>
      <c r="I772" s="29">
        <f t="shared" si="183"/>
        <v>0</v>
      </c>
      <c r="J772" s="29">
        <f t="shared" si="184"/>
        <v>0</v>
      </c>
      <c r="K772" s="32" t="str" cm="1">
        <f t="array" ref="K772">IF(AF772&lt;&gt;"",IFERROR(INDEX('Group List A'!B:B,MATCH(AI772,'Group List A'!A:A,0),0),"-"),"")</f>
        <v/>
      </c>
      <c r="L772" s="33">
        <f t="shared" si="185"/>
        <v>0</v>
      </c>
      <c r="M772" s="33">
        <f t="shared" si="186"/>
        <v>0</v>
      </c>
      <c r="N772" s="33">
        <f t="shared" si="187"/>
        <v>0</v>
      </c>
      <c r="O772" s="28"/>
      <c r="P772" s="33">
        <f t="shared" si="188"/>
        <v>0</v>
      </c>
      <c r="Q772" s="35" t="str" cm="1">
        <f t="array" ref="Q772">IF(AF772&lt;&gt;"",IFERROR(INDEX('Group List B'!B:B,MATCH(AI772,'Group List B'!A:A,0),0),"-"),"")</f>
        <v/>
      </c>
      <c r="R772" s="36">
        <f t="shared" si="189"/>
        <v>0</v>
      </c>
      <c r="S772" s="36">
        <f t="shared" si="190"/>
        <v>0</v>
      </c>
      <c r="T772" s="36">
        <f t="shared" si="191"/>
        <v>0</v>
      </c>
      <c r="U772" s="28"/>
      <c r="V772" s="37">
        <f t="shared" si="192"/>
        <v>0</v>
      </c>
      <c r="W772" s="41"/>
      <c r="X772" s="27"/>
      <c r="Y772" s="27"/>
      <c r="Z772" s="27"/>
      <c r="AA772" s="15"/>
      <c r="AB772" s="17"/>
      <c r="AC772" s="17"/>
      <c r="AD772" s="17"/>
      <c r="AE772" s="90"/>
      <c r="AF772" s="82" t="str">
        <f t="shared" si="193"/>
        <v/>
      </c>
      <c r="AG772" s="83" t="str">
        <f t="shared" si="194"/>
        <v/>
      </c>
      <c r="AH772" s="82" t="str">
        <f t="shared" si="195"/>
        <v/>
      </c>
      <c r="AI772" s="82" t="str">
        <f t="shared" si="196"/>
        <v/>
      </c>
      <c r="AJ772" s="90"/>
      <c r="AP772" s="88"/>
    </row>
    <row r="773" spans="1:42" x14ac:dyDescent="0.25">
      <c r="A773" s="2"/>
      <c r="C773" s="68" t="str" cm="1">
        <f t="array" ref="C773">IF(AF773&lt;&gt;"",
IFERROR(INDEX('LaunchPad Markbook'!A:A,MATCH(AH773,'LaunchPad Markbook'!D:D,0),0),"-"),"")</f>
        <v/>
      </c>
      <c r="D773" s="27"/>
      <c r="E773" s="27"/>
      <c r="F773" s="27"/>
      <c r="G773" s="14">
        <f>IF(OR(H773&gt;AB$2,I773&gt;AC$2,J773&gt;AD$2,
P773&gt;1,V773&gt;1,
L773&gt;'Group List A'!E$2,M773&gt;'Group List A'!F$2,N773&gt;'Group List A'!G$2,
R773&gt;'Group List B'!E$2,S773&gt;'Group List B'!F$2,T773&gt;'Group List B'!G$2),"Exceed",
IF(OR(H773=AB$2,I773=AC$2,J773=AD$2,
P773=1,V773=1,
L773='Group List A'!E$2,M773='Group List A'!F$2,N773='Group List A'!G$2,
R773='Group List B'!E$2,S773='Group List B'!F$2,T773='Group List B'!G$2),"Limit",0))</f>
        <v>0</v>
      </c>
      <c r="H773" s="29">
        <f t="shared" si="182"/>
        <v>0</v>
      </c>
      <c r="I773" s="29">
        <f t="shared" si="183"/>
        <v>0</v>
      </c>
      <c r="J773" s="29">
        <f t="shared" si="184"/>
        <v>0</v>
      </c>
      <c r="K773" s="32" t="str" cm="1">
        <f t="array" ref="K773">IF(AF773&lt;&gt;"",IFERROR(INDEX('Group List A'!B:B,MATCH(AI773,'Group List A'!A:A,0),0),"-"),"")</f>
        <v/>
      </c>
      <c r="L773" s="33">
        <f t="shared" si="185"/>
        <v>0</v>
      </c>
      <c r="M773" s="33">
        <f t="shared" si="186"/>
        <v>0</v>
      </c>
      <c r="N773" s="33">
        <f t="shared" si="187"/>
        <v>0</v>
      </c>
      <c r="O773" s="28"/>
      <c r="P773" s="33">
        <f t="shared" si="188"/>
        <v>0</v>
      </c>
      <c r="Q773" s="35" t="str" cm="1">
        <f t="array" ref="Q773">IF(AF773&lt;&gt;"",IFERROR(INDEX('Group List B'!B:B,MATCH(AI773,'Group List B'!A:A,0),0),"-"),"")</f>
        <v/>
      </c>
      <c r="R773" s="36">
        <f t="shared" si="189"/>
        <v>0</v>
      </c>
      <c r="S773" s="36">
        <f t="shared" si="190"/>
        <v>0</v>
      </c>
      <c r="T773" s="36">
        <f t="shared" si="191"/>
        <v>0</v>
      </c>
      <c r="U773" s="28"/>
      <c r="V773" s="37">
        <f t="shared" si="192"/>
        <v>0</v>
      </c>
      <c r="W773" s="41"/>
      <c r="X773" s="27"/>
      <c r="Y773" s="27"/>
      <c r="Z773" s="27"/>
      <c r="AA773" s="15"/>
      <c r="AB773" s="17"/>
      <c r="AC773" s="17"/>
      <c r="AD773" s="17"/>
      <c r="AE773" s="90"/>
      <c r="AF773" s="82" t="str">
        <f t="shared" si="193"/>
        <v/>
      </c>
      <c r="AG773" s="83" t="str">
        <f t="shared" si="194"/>
        <v/>
      </c>
      <c r="AH773" s="82" t="str">
        <f t="shared" si="195"/>
        <v/>
      </c>
      <c r="AI773" s="82" t="str">
        <f t="shared" si="196"/>
        <v/>
      </c>
      <c r="AJ773" s="90"/>
      <c r="AP773" s="88"/>
    </row>
    <row r="774" spans="1:42" x14ac:dyDescent="0.25">
      <c r="A774" s="2"/>
      <c r="C774" s="68" t="str" cm="1">
        <f t="array" ref="C774">IF(AF774&lt;&gt;"",
IFERROR(INDEX('LaunchPad Markbook'!A:A,MATCH(AH774,'LaunchPad Markbook'!D:D,0),0),"-"),"")</f>
        <v/>
      </c>
      <c r="D774" s="27"/>
      <c r="E774" s="27"/>
      <c r="F774" s="27"/>
      <c r="G774" s="14">
        <f>IF(OR(H774&gt;AB$2,I774&gt;AC$2,J774&gt;AD$2,
P774&gt;1,V774&gt;1,
L774&gt;'Group List A'!E$2,M774&gt;'Group List A'!F$2,N774&gt;'Group List A'!G$2,
R774&gt;'Group List B'!E$2,S774&gt;'Group List B'!F$2,T774&gt;'Group List B'!G$2),"Exceed",
IF(OR(H774=AB$2,I774=AC$2,J774=AD$2,
P774=1,V774=1,
L774='Group List A'!E$2,M774='Group List A'!F$2,N774='Group List A'!G$2,
R774='Group List B'!E$2,S774='Group List B'!F$2,T774='Group List B'!G$2),"Limit",0))</f>
        <v>0</v>
      </c>
      <c r="H774" s="29">
        <f t="shared" si="182"/>
        <v>0</v>
      </c>
      <c r="I774" s="29">
        <f t="shared" si="183"/>
        <v>0</v>
      </c>
      <c r="J774" s="29">
        <f t="shared" si="184"/>
        <v>0</v>
      </c>
      <c r="K774" s="32" t="str" cm="1">
        <f t="array" ref="K774">IF(AF774&lt;&gt;"",IFERROR(INDEX('Group List A'!B:B,MATCH(AI774,'Group List A'!A:A,0),0),"-"),"")</f>
        <v/>
      </c>
      <c r="L774" s="33">
        <f t="shared" si="185"/>
        <v>0</v>
      </c>
      <c r="M774" s="33">
        <f t="shared" si="186"/>
        <v>0</v>
      </c>
      <c r="N774" s="33">
        <f t="shared" si="187"/>
        <v>0</v>
      </c>
      <c r="O774" s="28"/>
      <c r="P774" s="33">
        <f t="shared" si="188"/>
        <v>0</v>
      </c>
      <c r="Q774" s="35" t="str" cm="1">
        <f t="array" ref="Q774">IF(AF774&lt;&gt;"",IFERROR(INDEX('Group List B'!B:B,MATCH(AI774,'Group List B'!A:A,0),0),"-"),"")</f>
        <v/>
      </c>
      <c r="R774" s="36">
        <f t="shared" si="189"/>
        <v>0</v>
      </c>
      <c r="S774" s="36">
        <f t="shared" si="190"/>
        <v>0</v>
      </c>
      <c r="T774" s="36">
        <f t="shared" si="191"/>
        <v>0</v>
      </c>
      <c r="U774" s="28"/>
      <c r="V774" s="37">
        <f t="shared" si="192"/>
        <v>0</v>
      </c>
      <c r="W774" s="41"/>
      <c r="X774" s="27"/>
      <c r="Y774" s="27"/>
      <c r="Z774" s="27"/>
      <c r="AA774" s="15"/>
      <c r="AB774" s="17"/>
      <c r="AC774" s="17"/>
      <c r="AD774" s="17"/>
      <c r="AE774" s="90"/>
      <c r="AF774" s="82" t="str">
        <f t="shared" si="193"/>
        <v/>
      </c>
      <c r="AG774" s="83" t="str">
        <f t="shared" si="194"/>
        <v/>
      </c>
      <c r="AH774" s="82" t="str">
        <f t="shared" si="195"/>
        <v/>
      </c>
      <c r="AI774" s="82" t="str">
        <f t="shared" si="196"/>
        <v/>
      </c>
      <c r="AJ774" s="90"/>
      <c r="AP774" s="88"/>
    </row>
    <row r="775" spans="1:42" x14ac:dyDescent="0.25">
      <c r="A775" s="2"/>
      <c r="C775" s="68" t="str" cm="1">
        <f t="array" ref="C775">IF(AF775&lt;&gt;"",
IFERROR(INDEX('LaunchPad Markbook'!A:A,MATCH(AH775,'LaunchPad Markbook'!D:D,0),0),"-"),"")</f>
        <v/>
      </c>
      <c r="D775" s="27"/>
      <c r="E775" s="27"/>
      <c r="F775" s="27"/>
      <c r="G775" s="14">
        <f>IF(OR(H775&gt;AB$2,I775&gt;AC$2,J775&gt;AD$2,
P775&gt;1,V775&gt;1,
L775&gt;'Group List A'!E$2,M775&gt;'Group List A'!F$2,N775&gt;'Group List A'!G$2,
R775&gt;'Group List B'!E$2,S775&gt;'Group List B'!F$2,T775&gt;'Group List B'!G$2),"Exceed",
IF(OR(H775=AB$2,I775=AC$2,J775=AD$2,
P775=1,V775=1,
L775='Group List A'!E$2,M775='Group List A'!F$2,N775='Group List A'!G$2,
R775='Group List B'!E$2,S775='Group List B'!F$2,T775='Group List B'!G$2),"Limit",0))</f>
        <v>0</v>
      </c>
      <c r="H775" s="29">
        <f t="shared" si="182"/>
        <v>0</v>
      </c>
      <c r="I775" s="29">
        <f t="shared" si="183"/>
        <v>0</v>
      </c>
      <c r="J775" s="29">
        <f t="shared" si="184"/>
        <v>0</v>
      </c>
      <c r="K775" s="32" t="str" cm="1">
        <f t="array" ref="K775">IF(AF775&lt;&gt;"",IFERROR(INDEX('Group List A'!B:B,MATCH(AI775,'Group List A'!A:A,0),0),"-"),"")</f>
        <v/>
      </c>
      <c r="L775" s="33">
        <f t="shared" si="185"/>
        <v>0</v>
      </c>
      <c r="M775" s="33">
        <f t="shared" si="186"/>
        <v>0</v>
      </c>
      <c r="N775" s="33">
        <f t="shared" si="187"/>
        <v>0</v>
      </c>
      <c r="O775" s="28"/>
      <c r="P775" s="33">
        <f t="shared" si="188"/>
        <v>0</v>
      </c>
      <c r="Q775" s="35" t="str" cm="1">
        <f t="array" ref="Q775">IF(AF775&lt;&gt;"",IFERROR(INDEX('Group List B'!B:B,MATCH(AI775,'Group List B'!A:A,0),0),"-"),"")</f>
        <v/>
      </c>
      <c r="R775" s="36">
        <f t="shared" si="189"/>
        <v>0</v>
      </c>
      <c r="S775" s="36">
        <f t="shared" si="190"/>
        <v>0</v>
      </c>
      <c r="T775" s="36">
        <f t="shared" si="191"/>
        <v>0</v>
      </c>
      <c r="U775" s="28"/>
      <c r="V775" s="37">
        <f t="shared" si="192"/>
        <v>0</v>
      </c>
      <c r="W775" s="41"/>
      <c r="X775" s="27"/>
      <c r="Y775" s="27"/>
      <c r="Z775" s="27"/>
      <c r="AA775" s="15"/>
      <c r="AB775" s="17"/>
      <c r="AC775" s="17"/>
      <c r="AD775" s="17"/>
      <c r="AE775" s="90"/>
      <c r="AF775" s="82" t="str">
        <f t="shared" si="193"/>
        <v/>
      </c>
      <c r="AG775" s="83" t="str">
        <f t="shared" si="194"/>
        <v/>
      </c>
      <c r="AH775" s="82" t="str">
        <f t="shared" si="195"/>
        <v/>
      </c>
      <c r="AI775" s="82" t="str">
        <f t="shared" si="196"/>
        <v/>
      </c>
      <c r="AJ775" s="90"/>
      <c r="AP775" s="88"/>
    </row>
    <row r="776" spans="1:42" x14ac:dyDescent="0.25">
      <c r="A776" s="2"/>
      <c r="C776" s="68" t="str" cm="1">
        <f t="array" ref="C776">IF(AF776&lt;&gt;"",
IFERROR(INDEX('LaunchPad Markbook'!A:A,MATCH(AH776,'LaunchPad Markbook'!D:D,0),0),"-"),"")</f>
        <v/>
      </c>
      <c r="D776" s="27"/>
      <c r="E776" s="27"/>
      <c r="F776" s="27"/>
      <c r="G776" s="14">
        <f>IF(OR(H776&gt;AB$2,I776&gt;AC$2,J776&gt;AD$2,
P776&gt;1,V776&gt;1,
L776&gt;'Group List A'!E$2,M776&gt;'Group List A'!F$2,N776&gt;'Group List A'!G$2,
R776&gt;'Group List B'!E$2,S776&gt;'Group List B'!F$2,T776&gt;'Group List B'!G$2),"Exceed",
IF(OR(H776=AB$2,I776=AC$2,J776=AD$2,
P776=1,V776=1,
L776='Group List A'!E$2,M776='Group List A'!F$2,N776='Group List A'!G$2,
R776='Group List B'!E$2,S776='Group List B'!F$2,T776='Group List B'!G$2),"Limit",0))</f>
        <v>0</v>
      </c>
      <c r="H776" s="29">
        <f t="shared" si="182"/>
        <v>0</v>
      </c>
      <c r="I776" s="29">
        <f t="shared" si="183"/>
        <v>0</v>
      </c>
      <c r="J776" s="29">
        <f t="shared" si="184"/>
        <v>0</v>
      </c>
      <c r="K776" s="32" t="str" cm="1">
        <f t="array" ref="K776">IF(AF776&lt;&gt;"",IFERROR(INDEX('Group List A'!B:B,MATCH(AI776,'Group List A'!A:A,0),0),"-"),"")</f>
        <v/>
      </c>
      <c r="L776" s="33">
        <f t="shared" si="185"/>
        <v>0</v>
      </c>
      <c r="M776" s="33">
        <f t="shared" si="186"/>
        <v>0</v>
      </c>
      <c r="N776" s="33">
        <f t="shared" si="187"/>
        <v>0</v>
      </c>
      <c r="O776" s="28"/>
      <c r="P776" s="33">
        <f t="shared" si="188"/>
        <v>0</v>
      </c>
      <c r="Q776" s="35" t="str" cm="1">
        <f t="array" ref="Q776">IF(AF776&lt;&gt;"",IFERROR(INDEX('Group List B'!B:B,MATCH(AI776,'Group List B'!A:A,0),0),"-"),"")</f>
        <v/>
      </c>
      <c r="R776" s="36">
        <f t="shared" si="189"/>
        <v>0</v>
      </c>
      <c r="S776" s="36">
        <f t="shared" si="190"/>
        <v>0</v>
      </c>
      <c r="T776" s="36">
        <f t="shared" si="191"/>
        <v>0</v>
      </c>
      <c r="U776" s="28"/>
      <c r="V776" s="37">
        <f t="shared" si="192"/>
        <v>0</v>
      </c>
      <c r="W776" s="41"/>
      <c r="X776" s="27"/>
      <c r="Y776" s="27"/>
      <c r="Z776" s="27"/>
      <c r="AA776" s="15"/>
      <c r="AB776" s="17"/>
      <c r="AC776" s="17"/>
      <c r="AD776" s="17"/>
      <c r="AE776" s="90"/>
      <c r="AF776" s="82" t="str">
        <f t="shared" si="193"/>
        <v/>
      </c>
      <c r="AG776" s="83" t="str">
        <f t="shared" si="194"/>
        <v/>
      </c>
      <c r="AH776" s="82" t="str">
        <f t="shared" si="195"/>
        <v/>
      </c>
      <c r="AI776" s="82" t="str">
        <f t="shared" si="196"/>
        <v/>
      </c>
      <c r="AJ776" s="90"/>
      <c r="AP776" s="88"/>
    </row>
    <row r="777" spans="1:42" x14ac:dyDescent="0.25">
      <c r="A777" s="2"/>
      <c r="C777" s="68" t="str" cm="1">
        <f t="array" ref="C777">IF(AF777&lt;&gt;"",
IFERROR(INDEX('LaunchPad Markbook'!A:A,MATCH(AH777,'LaunchPad Markbook'!D:D,0),0),"-"),"")</f>
        <v/>
      </c>
      <c r="D777" s="27"/>
      <c r="E777" s="27"/>
      <c r="F777" s="27"/>
      <c r="G777" s="14">
        <f>IF(OR(H777&gt;AB$2,I777&gt;AC$2,J777&gt;AD$2,
P777&gt;1,V777&gt;1,
L777&gt;'Group List A'!E$2,M777&gt;'Group List A'!F$2,N777&gt;'Group List A'!G$2,
R777&gt;'Group List B'!E$2,S777&gt;'Group List B'!F$2,T777&gt;'Group List B'!G$2),"Exceed",
IF(OR(H777=AB$2,I777=AC$2,J777=AD$2,
P777=1,V777=1,
L777='Group List A'!E$2,M777='Group List A'!F$2,N777='Group List A'!G$2,
R777='Group List B'!E$2,S777='Group List B'!F$2,T777='Group List B'!G$2),"Limit",0))</f>
        <v>0</v>
      </c>
      <c r="H777" s="29">
        <f t="shared" si="182"/>
        <v>0</v>
      </c>
      <c r="I777" s="29">
        <f t="shared" si="183"/>
        <v>0</v>
      </c>
      <c r="J777" s="29">
        <f t="shared" si="184"/>
        <v>0</v>
      </c>
      <c r="K777" s="32" t="str" cm="1">
        <f t="array" ref="K777">IF(AF777&lt;&gt;"",IFERROR(INDEX('Group List A'!B:B,MATCH(AI777,'Group List A'!A:A,0),0),"-"),"")</f>
        <v/>
      </c>
      <c r="L777" s="33">
        <f t="shared" si="185"/>
        <v>0</v>
      </c>
      <c r="M777" s="33">
        <f t="shared" si="186"/>
        <v>0</v>
      </c>
      <c r="N777" s="33">
        <f t="shared" si="187"/>
        <v>0</v>
      </c>
      <c r="O777" s="28"/>
      <c r="P777" s="33">
        <f t="shared" si="188"/>
        <v>0</v>
      </c>
      <c r="Q777" s="35" t="str" cm="1">
        <f t="array" ref="Q777">IF(AF777&lt;&gt;"",IFERROR(INDEX('Group List B'!B:B,MATCH(AI777,'Group List B'!A:A,0),0),"-"),"")</f>
        <v/>
      </c>
      <c r="R777" s="36">
        <f t="shared" si="189"/>
        <v>0</v>
      </c>
      <c r="S777" s="36">
        <f t="shared" si="190"/>
        <v>0</v>
      </c>
      <c r="T777" s="36">
        <f t="shared" si="191"/>
        <v>0</v>
      </c>
      <c r="U777" s="28"/>
      <c r="V777" s="37">
        <f t="shared" si="192"/>
        <v>0</v>
      </c>
      <c r="W777" s="41"/>
      <c r="X777" s="27"/>
      <c r="Y777" s="27"/>
      <c r="Z777" s="27"/>
      <c r="AA777" s="15"/>
      <c r="AB777" s="17"/>
      <c r="AC777" s="17"/>
      <c r="AD777" s="17"/>
      <c r="AE777" s="90"/>
      <c r="AF777" s="82" t="str">
        <f t="shared" si="193"/>
        <v/>
      </c>
      <c r="AG777" s="83" t="str">
        <f t="shared" si="194"/>
        <v/>
      </c>
      <c r="AH777" s="82" t="str">
        <f t="shared" si="195"/>
        <v/>
      </c>
      <c r="AI777" s="82" t="str">
        <f t="shared" si="196"/>
        <v/>
      </c>
      <c r="AJ777" s="90"/>
      <c r="AP777" s="88"/>
    </row>
    <row r="778" spans="1:42" x14ac:dyDescent="0.25">
      <c r="A778" s="2"/>
      <c r="C778" s="68" t="str" cm="1">
        <f t="array" ref="C778">IF(AF778&lt;&gt;"",
IFERROR(INDEX('LaunchPad Markbook'!A:A,MATCH(AH778,'LaunchPad Markbook'!D:D,0),0),"-"),"")</f>
        <v/>
      </c>
      <c r="D778" s="27"/>
      <c r="E778" s="27"/>
      <c r="F778" s="27"/>
      <c r="G778" s="14">
        <f>IF(OR(H778&gt;AB$2,I778&gt;AC$2,J778&gt;AD$2,
P778&gt;1,V778&gt;1,
L778&gt;'Group List A'!E$2,M778&gt;'Group List A'!F$2,N778&gt;'Group List A'!G$2,
R778&gt;'Group List B'!E$2,S778&gt;'Group List B'!F$2,T778&gt;'Group List B'!G$2),"Exceed",
IF(OR(H778=AB$2,I778=AC$2,J778=AD$2,
P778=1,V778=1,
L778='Group List A'!E$2,M778='Group List A'!F$2,N778='Group List A'!G$2,
R778='Group List B'!E$2,S778='Group List B'!F$2,T778='Group List B'!G$2),"Limit",0))</f>
        <v>0</v>
      </c>
      <c r="H778" s="29">
        <f t="shared" si="182"/>
        <v>0</v>
      </c>
      <c r="I778" s="29">
        <f t="shared" si="183"/>
        <v>0</v>
      </c>
      <c r="J778" s="29">
        <f t="shared" si="184"/>
        <v>0</v>
      </c>
      <c r="K778" s="32" t="str" cm="1">
        <f t="array" ref="K778">IF(AF778&lt;&gt;"",IFERROR(INDEX('Group List A'!B:B,MATCH(AI778,'Group List A'!A:A,0),0),"-"),"")</f>
        <v/>
      </c>
      <c r="L778" s="33">
        <f t="shared" si="185"/>
        <v>0</v>
      </c>
      <c r="M778" s="33">
        <f t="shared" si="186"/>
        <v>0</v>
      </c>
      <c r="N778" s="33">
        <f t="shared" si="187"/>
        <v>0</v>
      </c>
      <c r="O778" s="28"/>
      <c r="P778" s="33">
        <f t="shared" si="188"/>
        <v>0</v>
      </c>
      <c r="Q778" s="35" t="str" cm="1">
        <f t="array" ref="Q778">IF(AF778&lt;&gt;"",IFERROR(INDEX('Group List B'!B:B,MATCH(AI778,'Group List B'!A:A,0),0),"-"),"")</f>
        <v/>
      </c>
      <c r="R778" s="36">
        <f t="shared" si="189"/>
        <v>0</v>
      </c>
      <c r="S778" s="36">
        <f t="shared" si="190"/>
        <v>0</v>
      </c>
      <c r="T778" s="36">
        <f t="shared" si="191"/>
        <v>0</v>
      </c>
      <c r="U778" s="28"/>
      <c r="V778" s="37">
        <f t="shared" si="192"/>
        <v>0</v>
      </c>
      <c r="W778" s="41"/>
      <c r="X778" s="27"/>
      <c r="Y778" s="27"/>
      <c r="Z778" s="27"/>
      <c r="AA778" s="15"/>
      <c r="AB778" s="17"/>
      <c r="AC778" s="17"/>
      <c r="AD778" s="17"/>
      <c r="AE778" s="90"/>
      <c r="AF778" s="82" t="str">
        <f t="shared" si="193"/>
        <v/>
      </c>
      <c r="AG778" s="83" t="str">
        <f t="shared" si="194"/>
        <v/>
      </c>
      <c r="AH778" s="82" t="str">
        <f t="shared" si="195"/>
        <v/>
      </c>
      <c r="AI778" s="82" t="str">
        <f t="shared" si="196"/>
        <v/>
      </c>
      <c r="AJ778" s="90"/>
      <c r="AP778" s="88"/>
    </row>
    <row r="779" spans="1:42" x14ac:dyDescent="0.25">
      <c r="A779" s="2"/>
      <c r="C779" s="68" t="str" cm="1">
        <f t="array" ref="C779">IF(AF779&lt;&gt;"",
IFERROR(INDEX('LaunchPad Markbook'!A:A,MATCH(AH779,'LaunchPad Markbook'!D:D,0),0),"-"),"")</f>
        <v/>
      </c>
      <c r="D779" s="27"/>
      <c r="E779" s="27"/>
      <c r="F779" s="27"/>
      <c r="G779" s="14">
        <f>IF(OR(H779&gt;AB$2,I779&gt;AC$2,J779&gt;AD$2,
P779&gt;1,V779&gt;1,
L779&gt;'Group List A'!E$2,M779&gt;'Group List A'!F$2,N779&gt;'Group List A'!G$2,
R779&gt;'Group List B'!E$2,S779&gt;'Group List B'!F$2,T779&gt;'Group List B'!G$2),"Exceed",
IF(OR(H779=AB$2,I779=AC$2,J779=AD$2,
P779=1,V779=1,
L779='Group List A'!E$2,M779='Group List A'!F$2,N779='Group List A'!G$2,
R779='Group List B'!E$2,S779='Group List B'!F$2,T779='Group List B'!G$2),"Limit",0))</f>
        <v>0</v>
      </c>
      <c r="H779" s="29">
        <f t="shared" si="182"/>
        <v>0</v>
      </c>
      <c r="I779" s="29">
        <f t="shared" si="183"/>
        <v>0</v>
      </c>
      <c r="J779" s="29">
        <f t="shared" si="184"/>
        <v>0</v>
      </c>
      <c r="K779" s="32" t="str" cm="1">
        <f t="array" ref="K779">IF(AF779&lt;&gt;"",IFERROR(INDEX('Group List A'!B:B,MATCH(AI779,'Group List A'!A:A,0),0),"-"),"")</f>
        <v/>
      </c>
      <c r="L779" s="33">
        <f t="shared" si="185"/>
        <v>0</v>
      </c>
      <c r="M779" s="33">
        <f t="shared" si="186"/>
        <v>0</v>
      </c>
      <c r="N779" s="33">
        <f t="shared" si="187"/>
        <v>0</v>
      </c>
      <c r="O779" s="28"/>
      <c r="P779" s="33">
        <f t="shared" si="188"/>
        <v>0</v>
      </c>
      <c r="Q779" s="35" t="str" cm="1">
        <f t="array" ref="Q779">IF(AF779&lt;&gt;"",IFERROR(INDEX('Group List B'!B:B,MATCH(AI779,'Group List B'!A:A,0),0),"-"),"")</f>
        <v/>
      </c>
      <c r="R779" s="36">
        <f t="shared" si="189"/>
        <v>0</v>
      </c>
      <c r="S779" s="36">
        <f t="shared" si="190"/>
        <v>0</v>
      </c>
      <c r="T779" s="36">
        <f t="shared" si="191"/>
        <v>0</v>
      </c>
      <c r="U779" s="28"/>
      <c r="V779" s="37">
        <f t="shared" si="192"/>
        <v>0</v>
      </c>
      <c r="W779" s="41"/>
      <c r="X779" s="27"/>
      <c r="Y779" s="27"/>
      <c r="Z779" s="27"/>
      <c r="AA779" s="15"/>
      <c r="AB779" s="17"/>
      <c r="AC779" s="17"/>
      <c r="AD779" s="17"/>
      <c r="AE779" s="90"/>
      <c r="AF779" s="82" t="str">
        <f t="shared" si="193"/>
        <v/>
      </c>
      <c r="AG779" s="83" t="str">
        <f t="shared" si="194"/>
        <v/>
      </c>
      <c r="AH779" s="82" t="str">
        <f t="shared" si="195"/>
        <v/>
      </c>
      <c r="AI779" s="82" t="str">
        <f t="shared" si="196"/>
        <v/>
      </c>
      <c r="AJ779" s="90"/>
      <c r="AP779" s="88"/>
    </row>
    <row r="780" spans="1:42" x14ac:dyDescent="0.25">
      <c r="A780" s="2"/>
      <c r="C780" s="68" t="str" cm="1">
        <f t="array" ref="C780">IF(AF780&lt;&gt;"",
IFERROR(INDEX('LaunchPad Markbook'!A:A,MATCH(AH780,'LaunchPad Markbook'!D:D,0),0),"-"),"")</f>
        <v/>
      </c>
      <c r="D780" s="27"/>
      <c r="E780" s="27"/>
      <c r="F780" s="27"/>
      <c r="G780" s="14">
        <f>IF(OR(H780&gt;AB$2,I780&gt;AC$2,J780&gt;AD$2,
P780&gt;1,V780&gt;1,
L780&gt;'Group List A'!E$2,M780&gt;'Group List A'!F$2,N780&gt;'Group List A'!G$2,
R780&gt;'Group List B'!E$2,S780&gt;'Group List B'!F$2,T780&gt;'Group List B'!G$2),"Exceed",
IF(OR(H780=AB$2,I780=AC$2,J780=AD$2,
P780=1,V780=1,
L780='Group List A'!E$2,M780='Group List A'!F$2,N780='Group List A'!G$2,
R780='Group List B'!E$2,S780='Group List B'!F$2,T780='Group List B'!G$2),"Limit",0))</f>
        <v>0</v>
      </c>
      <c r="H780" s="29">
        <f t="shared" si="182"/>
        <v>0</v>
      </c>
      <c r="I780" s="29">
        <f t="shared" si="183"/>
        <v>0</v>
      </c>
      <c r="J780" s="29">
        <f t="shared" si="184"/>
        <v>0</v>
      </c>
      <c r="K780" s="32" t="str" cm="1">
        <f t="array" ref="K780">IF(AF780&lt;&gt;"",IFERROR(INDEX('Group List A'!B:B,MATCH(AI780,'Group List A'!A:A,0),0),"-"),"")</f>
        <v/>
      </c>
      <c r="L780" s="33">
        <f t="shared" si="185"/>
        <v>0</v>
      </c>
      <c r="M780" s="33">
        <f t="shared" si="186"/>
        <v>0</v>
      </c>
      <c r="N780" s="33">
        <f t="shared" si="187"/>
        <v>0</v>
      </c>
      <c r="O780" s="28"/>
      <c r="P780" s="33">
        <f t="shared" si="188"/>
        <v>0</v>
      </c>
      <c r="Q780" s="35" t="str" cm="1">
        <f t="array" ref="Q780">IF(AF780&lt;&gt;"",IFERROR(INDEX('Group List B'!B:B,MATCH(AI780,'Group List B'!A:A,0),0),"-"),"")</f>
        <v/>
      </c>
      <c r="R780" s="36">
        <f t="shared" si="189"/>
        <v>0</v>
      </c>
      <c r="S780" s="36">
        <f t="shared" si="190"/>
        <v>0</v>
      </c>
      <c r="T780" s="36">
        <f t="shared" si="191"/>
        <v>0</v>
      </c>
      <c r="U780" s="28"/>
      <c r="V780" s="37">
        <f t="shared" si="192"/>
        <v>0</v>
      </c>
      <c r="W780" s="41"/>
      <c r="X780" s="27"/>
      <c r="Y780" s="27"/>
      <c r="Z780" s="27"/>
      <c r="AA780" s="15"/>
      <c r="AB780" s="17"/>
      <c r="AC780" s="17"/>
      <c r="AD780" s="17"/>
      <c r="AE780" s="90"/>
      <c r="AF780" s="82" t="str">
        <f t="shared" si="193"/>
        <v/>
      </c>
      <c r="AG780" s="83" t="str">
        <f t="shared" si="194"/>
        <v/>
      </c>
      <c r="AH780" s="82" t="str">
        <f t="shared" si="195"/>
        <v/>
      </c>
      <c r="AI780" s="82" t="str">
        <f t="shared" si="196"/>
        <v/>
      </c>
      <c r="AJ780" s="90"/>
      <c r="AP780" s="88"/>
    </row>
    <row r="781" spans="1:42" x14ac:dyDescent="0.25">
      <c r="A781" s="2"/>
      <c r="C781" s="68" t="str" cm="1">
        <f t="array" ref="C781">IF(AF781&lt;&gt;"",
IFERROR(INDEX('LaunchPad Markbook'!A:A,MATCH(AH781,'LaunchPad Markbook'!D:D,0),0),"-"),"")</f>
        <v/>
      </c>
      <c r="D781" s="27"/>
      <c r="E781" s="27"/>
      <c r="F781" s="27"/>
      <c r="G781" s="14">
        <f>IF(OR(H781&gt;AB$2,I781&gt;AC$2,J781&gt;AD$2,
P781&gt;1,V781&gt;1,
L781&gt;'Group List A'!E$2,M781&gt;'Group List A'!F$2,N781&gt;'Group List A'!G$2,
R781&gt;'Group List B'!E$2,S781&gt;'Group List B'!F$2,T781&gt;'Group List B'!G$2),"Exceed",
IF(OR(H781=AB$2,I781=AC$2,J781=AD$2,
P781=1,V781=1,
L781='Group List A'!E$2,M781='Group List A'!F$2,N781='Group List A'!G$2,
R781='Group List B'!E$2,S781='Group List B'!F$2,T781='Group List B'!G$2),"Limit",0))</f>
        <v>0</v>
      </c>
      <c r="H781" s="29">
        <f t="shared" si="182"/>
        <v>0</v>
      </c>
      <c r="I781" s="29">
        <f t="shared" si="183"/>
        <v>0</v>
      </c>
      <c r="J781" s="29">
        <f t="shared" si="184"/>
        <v>0</v>
      </c>
      <c r="K781" s="32" t="str" cm="1">
        <f t="array" ref="K781">IF(AF781&lt;&gt;"",IFERROR(INDEX('Group List A'!B:B,MATCH(AI781,'Group List A'!A:A,0),0),"-"),"")</f>
        <v/>
      </c>
      <c r="L781" s="33">
        <f t="shared" si="185"/>
        <v>0</v>
      </c>
      <c r="M781" s="33">
        <f t="shared" si="186"/>
        <v>0</v>
      </c>
      <c r="N781" s="33">
        <f t="shared" si="187"/>
        <v>0</v>
      </c>
      <c r="O781" s="28"/>
      <c r="P781" s="33">
        <f t="shared" si="188"/>
        <v>0</v>
      </c>
      <c r="Q781" s="35" t="str" cm="1">
        <f t="array" ref="Q781">IF(AF781&lt;&gt;"",IFERROR(INDEX('Group List B'!B:B,MATCH(AI781,'Group List B'!A:A,0),0),"-"),"")</f>
        <v/>
      </c>
      <c r="R781" s="36">
        <f t="shared" si="189"/>
        <v>0</v>
      </c>
      <c r="S781" s="36">
        <f t="shared" si="190"/>
        <v>0</v>
      </c>
      <c r="T781" s="36">
        <f t="shared" si="191"/>
        <v>0</v>
      </c>
      <c r="U781" s="28"/>
      <c r="V781" s="37">
        <f t="shared" si="192"/>
        <v>0</v>
      </c>
      <c r="W781" s="41"/>
      <c r="X781" s="27"/>
      <c r="Y781" s="27"/>
      <c r="Z781" s="27"/>
      <c r="AA781" s="15"/>
      <c r="AB781" s="17"/>
      <c r="AC781" s="17"/>
      <c r="AD781" s="17"/>
      <c r="AE781" s="90"/>
      <c r="AF781" s="82" t="str">
        <f t="shared" si="193"/>
        <v/>
      </c>
      <c r="AG781" s="83" t="str">
        <f t="shared" si="194"/>
        <v/>
      </c>
      <c r="AH781" s="82" t="str">
        <f t="shared" si="195"/>
        <v/>
      </c>
      <c r="AI781" s="82" t="str">
        <f t="shared" si="196"/>
        <v/>
      </c>
      <c r="AJ781" s="90"/>
      <c r="AP781" s="88"/>
    </row>
    <row r="782" spans="1:42" x14ac:dyDescent="0.25">
      <c r="A782" s="2"/>
      <c r="C782" s="68" t="str" cm="1">
        <f t="array" ref="C782">IF(AF782&lt;&gt;"",
IFERROR(INDEX('LaunchPad Markbook'!A:A,MATCH(AH782,'LaunchPad Markbook'!D:D,0),0),"-"),"")</f>
        <v/>
      </c>
      <c r="D782" s="27"/>
      <c r="E782" s="27"/>
      <c r="F782" s="27"/>
      <c r="G782" s="14">
        <f>IF(OR(H782&gt;AB$2,I782&gt;AC$2,J782&gt;AD$2,
P782&gt;1,V782&gt;1,
L782&gt;'Group List A'!E$2,M782&gt;'Group List A'!F$2,N782&gt;'Group List A'!G$2,
R782&gt;'Group List B'!E$2,S782&gt;'Group List B'!F$2,T782&gt;'Group List B'!G$2),"Exceed",
IF(OR(H782=AB$2,I782=AC$2,J782=AD$2,
P782=1,V782=1,
L782='Group List A'!E$2,M782='Group List A'!F$2,N782='Group List A'!G$2,
R782='Group List B'!E$2,S782='Group List B'!F$2,T782='Group List B'!G$2),"Limit",0))</f>
        <v>0</v>
      </c>
      <c r="H782" s="29">
        <f t="shared" si="182"/>
        <v>0</v>
      </c>
      <c r="I782" s="29">
        <f t="shared" si="183"/>
        <v>0</v>
      </c>
      <c r="J782" s="29">
        <f t="shared" si="184"/>
        <v>0</v>
      </c>
      <c r="K782" s="32" t="str" cm="1">
        <f t="array" ref="K782">IF(AF782&lt;&gt;"",IFERROR(INDEX('Group List A'!B:B,MATCH(AI782,'Group List A'!A:A,0),0),"-"),"")</f>
        <v/>
      </c>
      <c r="L782" s="33">
        <f t="shared" si="185"/>
        <v>0</v>
      </c>
      <c r="M782" s="33">
        <f t="shared" si="186"/>
        <v>0</v>
      </c>
      <c r="N782" s="33">
        <f t="shared" si="187"/>
        <v>0</v>
      </c>
      <c r="O782" s="28"/>
      <c r="P782" s="33">
        <f t="shared" si="188"/>
        <v>0</v>
      </c>
      <c r="Q782" s="35" t="str" cm="1">
        <f t="array" ref="Q782">IF(AF782&lt;&gt;"",IFERROR(INDEX('Group List B'!B:B,MATCH(AI782,'Group List B'!A:A,0),0),"-"),"")</f>
        <v/>
      </c>
      <c r="R782" s="36">
        <f t="shared" si="189"/>
        <v>0</v>
      </c>
      <c r="S782" s="36">
        <f t="shared" si="190"/>
        <v>0</v>
      </c>
      <c r="T782" s="36">
        <f t="shared" si="191"/>
        <v>0</v>
      </c>
      <c r="U782" s="28"/>
      <c r="V782" s="37">
        <f t="shared" si="192"/>
        <v>0</v>
      </c>
      <c r="W782" s="41"/>
      <c r="X782" s="27"/>
      <c r="Y782" s="27"/>
      <c r="Z782" s="27"/>
      <c r="AA782" s="15"/>
      <c r="AB782" s="17"/>
      <c r="AC782" s="17"/>
      <c r="AD782" s="17"/>
      <c r="AE782" s="90"/>
      <c r="AF782" s="82" t="str">
        <f t="shared" si="193"/>
        <v/>
      </c>
      <c r="AG782" s="83" t="str">
        <f t="shared" si="194"/>
        <v/>
      </c>
      <c r="AH782" s="82" t="str">
        <f t="shared" si="195"/>
        <v/>
      </c>
      <c r="AI782" s="82" t="str">
        <f t="shared" si="196"/>
        <v/>
      </c>
      <c r="AJ782" s="90"/>
      <c r="AP782" s="88"/>
    </row>
    <row r="783" spans="1:42" x14ac:dyDescent="0.25">
      <c r="A783" s="2"/>
      <c r="C783" s="68" t="str" cm="1">
        <f t="array" ref="C783">IF(AF783&lt;&gt;"",
IFERROR(INDEX('LaunchPad Markbook'!A:A,MATCH(AH783,'LaunchPad Markbook'!D:D,0),0),"-"),"")</f>
        <v/>
      </c>
      <c r="D783" s="27"/>
      <c r="E783" s="27"/>
      <c r="F783" s="27"/>
      <c r="G783" s="14">
        <f>IF(OR(H783&gt;AB$2,I783&gt;AC$2,J783&gt;AD$2,
P783&gt;1,V783&gt;1,
L783&gt;'Group List A'!E$2,M783&gt;'Group List A'!F$2,N783&gt;'Group List A'!G$2,
R783&gt;'Group List B'!E$2,S783&gt;'Group List B'!F$2,T783&gt;'Group List B'!G$2),"Exceed",
IF(OR(H783=AB$2,I783=AC$2,J783=AD$2,
P783=1,V783=1,
L783='Group List A'!E$2,M783='Group List A'!F$2,N783='Group List A'!G$2,
R783='Group List B'!E$2,S783='Group List B'!F$2,T783='Group List B'!G$2),"Limit",0))</f>
        <v>0</v>
      </c>
      <c r="H783" s="29">
        <f t="shared" si="182"/>
        <v>0</v>
      </c>
      <c r="I783" s="29">
        <f t="shared" si="183"/>
        <v>0</v>
      </c>
      <c r="J783" s="29">
        <f t="shared" si="184"/>
        <v>0</v>
      </c>
      <c r="K783" s="32" t="str" cm="1">
        <f t="array" ref="K783">IF(AF783&lt;&gt;"",IFERROR(INDEX('Group List A'!B:B,MATCH(AI783,'Group List A'!A:A,0),0),"-"),"")</f>
        <v/>
      </c>
      <c r="L783" s="33">
        <f t="shared" si="185"/>
        <v>0</v>
      </c>
      <c r="M783" s="33">
        <f t="shared" si="186"/>
        <v>0</v>
      </c>
      <c r="N783" s="33">
        <f t="shared" si="187"/>
        <v>0</v>
      </c>
      <c r="O783" s="28"/>
      <c r="P783" s="33">
        <f t="shared" si="188"/>
        <v>0</v>
      </c>
      <c r="Q783" s="35" t="str" cm="1">
        <f t="array" ref="Q783">IF(AF783&lt;&gt;"",IFERROR(INDEX('Group List B'!B:B,MATCH(AI783,'Group List B'!A:A,0),0),"-"),"")</f>
        <v/>
      </c>
      <c r="R783" s="36">
        <f t="shared" si="189"/>
        <v>0</v>
      </c>
      <c r="S783" s="36">
        <f t="shared" si="190"/>
        <v>0</v>
      </c>
      <c r="T783" s="36">
        <f t="shared" si="191"/>
        <v>0</v>
      </c>
      <c r="U783" s="28"/>
      <c r="V783" s="37">
        <f t="shared" si="192"/>
        <v>0</v>
      </c>
      <c r="W783" s="41"/>
      <c r="X783" s="27"/>
      <c r="Y783" s="27"/>
      <c r="Z783" s="27"/>
      <c r="AA783" s="15"/>
      <c r="AB783" s="17"/>
      <c r="AC783" s="17"/>
      <c r="AD783" s="17"/>
      <c r="AE783" s="90"/>
      <c r="AF783" s="82" t="str">
        <f t="shared" si="193"/>
        <v/>
      </c>
      <c r="AG783" s="83" t="str">
        <f t="shared" si="194"/>
        <v/>
      </c>
      <c r="AH783" s="82" t="str">
        <f t="shared" si="195"/>
        <v/>
      </c>
      <c r="AI783" s="82" t="str">
        <f t="shared" si="196"/>
        <v/>
      </c>
      <c r="AJ783" s="90"/>
      <c r="AP783" s="88"/>
    </row>
    <row r="784" spans="1:42" x14ac:dyDescent="0.25">
      <c r="A784" s="2"/>
      <c r="C784" s="68" t="str" cm="1">
        <f t="array" ref="C784">IF(AF784&lt;&gt;"",
IFERROR(INDEX('LaunchPad Markbook'!A:A,MATCH(AH784,'LaunchPad Markbook'!D:D,0),0),"-"),"")</f>
        <v/>
      </c>
      <c r="D784" s="27"/>
      <c r="E784" s="27"/>
      <c r="F784" s="27"/>
      <c r="G784" s="14">
        <f>IF(OR(H784&gt;AB$2,I784&gt;AC$2,J784&gt;AD$2,
P784&gt;1,V784&gt;1,
L784&gt;'Group List A'!E$2,M784&gt;'Group List A'!F$2,N784&gt;'Group List A'!G$2,
R784&gt;'Group List B'!E$2,S784&gt;'Group List B'!F$2,T784&gt;'Group List B'!G$2),"Exceed",
IF(OR(H784=AB$2,I784=AC$2,J784=AD$2,
P784=1,V784=1,
L784='Group List A'!E$2,M784='Group List A'!F$2,N784='Group List A'!G$2,
R784='Group List B'!E$2,S784='Group List B'!F$2,T784='Group List B'!G$2),"Limit",0))</f>
        <v>0</v>
      </c>
      <c r="H784" s="29">
        <f t="shared" si="182"/>
        <v>0</v>
      </c>
      <c r="I784" s="29">
        <f t="shared" si="183"/>
        <v>0</v>
      </c>
      <c r="J784" s="29">
        <f t="shared" si="184"/>
        <v>0</v>
      </c>
      <c r="K784" s="32" t="str" cm="1">
        <f t="array" ref="K784">IF(AF784&lt;&gt;"",IFERROR(INDEX('Group List A'!B:B,MATCH(AI784,'Group List A'!A:A,0),0),"-"),"")</f>
        <v/>
      </c>
      <c r="L784" s="33">
        <f t="shared" si="185"/>
        <v>0</v>
      </c>
      <c r="M784" s="33">
        <f t="shared" si="186"/>
        <v>0</v>
      </c>
      <c r="N784" s="33">
        <f t="shared" si="187"/>
        <v>0</v>
      </c>
      <c r="O784" s="28"/>
      <c r="P784" s="33">
        <f t="shared" si="188"/>
        <v>0</v>
      </c>
      <c r="Q784" s="35" t="str" cm="1">
        <f t="array" ref="Q784">IF(AF784&lt;&gt;"",IFERROR(INDEX('Group List B'!B:B,MATCH(AI784,'Group List B'!A:A,0),0),"-"),"")</f>
        <v/>
      </c>
      <c r="R784" s="36">
        <f t="shared" si="189"/>
        <v>0</v>
      </c>
      <c r="S784" s="36">
        <f t="shared" si="190"/>
        <v>0</v>
      </c>
      <c r="T784" s="36">
        <f t="shared" si="191"/>
        <v>0</v>
      </c>
      <c r="U784" s="28"/>
      <c r="V784" s="37">
        <f t="shared" si="192"/>
        <v>0</v>
      </c>
      <c r="W784" s="41"/>
      <c r="X784" s="27"/>
      <c r="Y784" s="27"/>
      <c r="Z784" s="27"/>
      <c r="AA784" s="15"/>
      <c r="AB784" s="17"/>
      <c r="AC784" s="17"/>
      <c r="AD784" s="17"/>
      <c r="AE784" s="90"/>
      <c r="AF784" s="82" t="str">
        <f t="shared" si="193"/>
        <v/>
      </c>
      <c r="AG784" s="83" t="str">
        <f t="shared" si="194"/>
        <v/>
      </c>
      <c r="AH784" s="82" t="str">
        <f t="shared" si="195"/>
        <v/>
      </c>
      <c r="AI784" s="82" t="str">
        <f t="shared" si="196"/>
        <v/>
      </c>
      <c r="AJ784" s="90"/>
      <c r="AP784" s="88"/>
    </row>
    <row r="785" spans="1:42" x14ac:dyDescent="0.25">
      <c r="A785" s="2"/>
      <c r="C785" s="68" t="str" cm="1">
        <f t="array" ref="C785">IF(AF785&lt;&gt;"",
IFERROR(INDEX('LaunchPad Markbook'!A:A,MATCH(AH785,'LaunchPad Markbook'!D:D,0),0),"-"),"")</f>
        <v/>
      </c>
      <c r="D785" s="27"/>
      <c r="E785" s="27"/>
      <c r="F785" s="27"/>
      <c r="G785" s="14">
        <f>IF(OR(H785&gt;AB$2,I785&gt;AC$2,J785&gt;AD$2,
P785&gt;1,V785&gt;1,
L785&gt;'Group List A'!E$2,M785&gt;'Group List A'!F$2,N785&gt;'Group List A'!G$2,
R785&gt;'Group List B'!E$2,S785&gt;'Group List B'!F$2,T785&gt;'Group List B'!G$2),"Exceed",
IF(OR(H785=AB$2,I785=AC$2,J785=AD$2,
P785=1,V785=1,
L785='Group List A'!E$2,M785='Group List A'!F$2,N785='Group List A'!G$2,
R785='Group List B'!E$2,S785='Group List B'!F$2,T785='Group List B'!G$2),"Limit",0))</f>
        <v>0</v>
      </c>
      <c r="H785" s="29">
        <f t="shared" si="182"/>
        <v>0</v>
      </c>
      <c r="I785" s="29">
        <f t="shared" si="183"/>
        <v>0</v>
      </c>
      <c r="J785" s="29">
        <f t="shared" si="184"/>
        <v>0</v>
      </c>
      <c r="K785" s="32" t="str" cm="1">
        <f t="array" ref="K785">IF(AF785&lt;&gt;"",IFERROR(INDEX('Group List A'!B:B,MATCH(AI785,'Group List A'!A:A,0),0),"-"),"")</f>
        <v/>
      </c>
      <c r="L785" s="33">
        <f t="shared" si="185"/>
        <v>0</v>
      </c>
      <c r="M785" s="33">
        <f t="shared" si="186"/>
        <v>0</v>
      </c>
      <c r="N785" s="33">
        <f t="shared" si="187"/>
        <v>0</v>
      </c>
      <c r="O785" s="28"/>
      <c r="P785" s="33">
        <f t="shared" si="188"/>
        <v>0</v>
      </c>
      <c r="Q785" s="35" t="str" cm="1">
        <f t="array" ref="Q785">IF(AF785&lt;&gt;"",IFERROR(INDEX('Group List B'!B:B,MATCH(AI785,'Group List B'!A:A,0),0),"-"),"")</f>
        <v/>
      </c>
      <c r="R785" s="36">
        <f t="shared" si="189"/>
        <v>0</v>
      </c>
      <c r="S785" s="36">
        <f t="shared" si="190"/>
        <v>0</v>
      </c>
      <c r="T785" s="36">
        <f t="shared" si="191"/>
        <v>0</v>
      </c>
      <c r="U785" s="28"/>
      <c r="V785" s="37">
        <f t="shared" si="192"/>
        <v>0</v>
      </c>
      <c r="W785" s="41"/>
      <c r="X785" s="27"/>
      <c r="Y785" s="27"/>
      <c r="Z785" s="27"/>
      <c r="AA785" s="15"/>
      <c r="AB785" s="17"/>
      <c r="AC785" s="17"/>
      <c r="AD785" s="17"/>
      <c r="AE785" s="90"/>
      <c r="AF785" s="82" t="str">
        <f t="shared" si="193"/>
        <v/>
      </c>
      <c r="AG785" s="83" t="str">
        <f t="shared" si="194"/>
        <v/>
      </c>
      <c r="AH785" s="82" t="str">
        <f t="shared" si="195"/>
        <v/>
      </c>
      <c r="AI785" s="82" t="str">
        <f t="shared" si="196"/>
        <v/>
      </c>
      <c r="AJ785" s="90"/>
      <c r="AP785" s="88"/>
    </row>
    <row r="786" spans="1:42" x14ac:dyDescent="0.25">
      <c r="A786" s="2"/>
      <c r="C786" s="68" t="str" cm="1">
        <f t="array" ref="C786">IF(AF786&lt;&gt;"",
IFERROR(INDEX('LaunchPad Markbook'!A:A,MATCH(AH786,'LaunchPad Markbook'!D:D,0),0),"-"),"")</f>
        <v/>
      </c>
      <c r="D786" s="27"/>
      <c r="E786" s="27"/>
      <c r="F786" s="27"/>
      <c r="G786" s="14">
        <f>IF(OR(H786&gt;AB$2,I786&gt;AC$2,J786&gt;AD$2,
P786&gt;1,V786&gt;1,
L786&gt;'Group List A'!E$2,M786&gt;'Group List A'!F$2,N786&gt;'Group List A'!G$2,
R786&gt;'Group List B'!E$2,S786&gt;'Group List B'!F$2,T786&gt;'Group List B'!G$2),"Exceed",
IF(OR(H786=AB$2,I786=AC$2,J786=AD$2,
P786=1,V786=1,
L786='Group List A'!E$2,M786='Group List A'!F$2,N786='Group List A'!G$2,
R786='Group List B'!E$2,S786='Group List B'!F$2,T786='Group List B'!G$2),"Limit",0))</f>
        <v>0</v>
      </c>
      <c r="H786" s="29">
        <f t="shared" si="182"/>
        <v>0</v>
      </c>
      <c r="I786" s="29">
        <f t="shared" si="183"/>
        <v>0</v>
      </c>
      <c r="J786" s="29">
        <f t="shared" si="184"/>
        <v>0</v>
      </c>
      <c r="K786" s="32" t="str" cm="1">
        <f t="array" ref="K786">IF(AF786&lt;&gt;"",IFERROR(INDEX('Group List A'!B:B,MATCH(AI786,'Group List A'!A:A,0),0),"-"),"")</f>
        <v/>
      </c>
      <c r="L786" s="33">
        <f t="shared" si="185"/>
        <v>0</v>
      </c>
      <c r="M786" s="33">
        <f t="shared" si="186"/>
        <v>0</v>
      </c>
      <c r="N786" s="33">
        <f t="shared" si="187"/>
        <v>0</v>
      </c>
      <c r="O786" s="28"/>
      <c r="P786" s="33">
        <f t="shared" si="188"/>
        <v>0</v>
      </c>
      <c r="Q786" s="35" t="str" cm="1">
        <f t="array" ref="Q786">IF(AF786&lt;&gt;"",IFERROR(INDEX('Group List B'!B:B,MATCH(AI786,'Group List B'!A:A,0),0),"-"),"")</f>
        <v/>
      </c>
      <c r="R786" s="36">
        <f t="shared" si="189"/>
        <v>0</v>
      </c>
      <c r="S786" s="36">
        <f t="shared" si="190"/>
        <v>0</v>
      </c>
      <c r="T786" s="36">
        <f t="shared" si="191"/>
        <v>0</v>
      </c>
      <c r="U786" s="28"/>
      <c r="V786" s="37">
        <f t="shared" si="192"/>
        <v>0</v>
      </c>
      <c r="W786" s="41"/>
      <c r="X786" s="27"/>
      <c r="Y786" s="27"/>
      <c r="Z786" s="27"/>
      <c r="AA786" s="15"/>
      <c r="AB786" s="17"/>
      <c r="AC786" s="17"/>
      <c r="AD786" s="17"/>
      <c r="AE786" s="90"/>
      <c r="AF786" s="82" t="str">
        <f t="shared" si="193"/>
        <v/>
      </c>
      <c r="AG786" s="83" t="str">
        <f t="shared" si="194"/>
        <v/>
      </c>
      <c r="AH786" s="82" t="str">
        <f t="shared" si="195"/>
        <v/>
      </c>
      <c r="AI786" s="82" t="str">
        <f t="shared" si="196"/>
        <v/>
      </c>
      <c r="AJ786" s="90"/>
      <c r="AP786" s="88"/>
    </row>
    <row r="787" spans="1:42" x14ac:dyDescent="0.25">
      <c r="A787" s="2"/>
      <c r="C787" s="68" t="str" cm="1">
        <f t="array" ref="C787">IF(AF787&lt;&gt;"",
IFERROR(INDEX('LaunchPad Markbook'!A:A,MATCH(AH787,'LaunchPad Markbook'!D:D,0),0),"-"),"")</f>
        <v/>
      </c>
      <c r="D787" s="27"/>
      <c r="E787" s="27"/>
      <c r="F787" s="27"/>
      <c r="G787" s="14">
        <f>IF(OR(H787&gt;AB$2,I787&gt;AC$2,J787&gt;AD$2,
P787&gt;1,V787&gt;1,
L787&gt;'Group List A'!E$2,M787&gt;'Group List A'!F$2,N787&gt;'Group List A'!G$2,
R787&gt;'Group List B'!E$2,S787&gt;'Group List B'!F$2,T787&gt;'Group List B'!G$2),"Exceed",
IF(OR(H787=AB$2,I787=AC$2,J787=AD$2,
P787=1,V787=1,
L787='Group List A'!E$2,M787='Group List A'!F$2,N787='Group List A'!G$2,
R787='Group List B'!E$2,S787='Group List B'!F$2,T787='Group List B'!G$2),"Limit",0))</f>
        <v>0</v>
      </c>
      <c r="H787" s="29">
        <f t="shared" si="182"/>
        <v>0</v>
      </c>
      <c r="I787" s="29">
        <f t="shared" si="183"/>
        <v>0</v>
      </c>
      <c r="J787" s="29">
        <f t="shared" si="184"/>
        <v>0</v>
      </c>
      <c r="K787" s="32" t="str" cm="1">
        <f t="array" ref="K787">IF(AF787&lt;&gt;"",IFERROR(INDEX('Group List A'!B:B,MATCH(AI787,'Group List A'!A:A,0),0),"-"),"")</f>
        <v/>
      </c>
      <c r="L787" s="33">
        <f t="shared" si="185"/>
        <v>0</v>
      </c>
      <c r="M787" s="33">
        <f t="shared" si="186"/>
        <v>0</v>
      </c>
      <c r="N787" s="33">
        <f t="shared" si="187"/>
        <v>0</v>
      </c>
      <c r="O787" s="28"/>
      <c r="P787" s="33">
        <f t="shared" si="188"/>
        <v>0</v>
      </c>
      <c r="Q787" s="35" t="str" cm="1">
        <f t="array" ref="Q787">IF(AF787&lt;&gt;"",IFERROR(INDEX('Group List B'!B:B,MATCH(AI787,'Group List B'!A:A,0),0),"-"),"")</f>
        <v/>
      </c>
      <c r="R787" s="36">
        <f t="shared" si="189"/>
        <v>0</v>
      </c>
      <c r="S787" s="36">
        <f t="shared" si="190"/>
        <v>0</v>
      </c>
      <c r="T787" s="36">
        <f t="shared" si="191"/>
        <v>0</v>
      </c>
      <c r="U787" s="28"/>
      <c r="V787" s="37">
        <f t="shared" si="192"/>
        <v>0</v>
      </c>
      <c r="W787" s="41"/>
      <c r="X787" s="27"/>
      <c r="Y787" s="27"/>
      <c r="Z787" s="27"/>
      <c r="AA787" s="15"/>
      <c r="AB787" s="17"/>
      <c r="AC787" s="17"/>
      <c r="AD787" s="17"/>
      <c r="AE787" s="90"/>
      <c r="AF787" s="82" t="str">
        <f t="shared" si="193"/>
        <v/>
      </c>
      <c r="AG787" s="83" t="str">
        <f t="shared" si="194"/>
        <v/>
      </c>
      <c r="AH787" s="82" t="str">
        <f t="shared" si="195"/>
        <v/>
      </c>
      <c r="AI787" s="82" t="str">
        <f t="shared" si="196"/>
        <v/>
      </c>
      <c r="AJ787" s="90"/>
      <c r="AP787" s="88"/>
    </row>
    <row r="788" spans="1:42" x14ac:dyDescent="0.25">
      <c r="A788" s="2"/>
      <c r="C788" s="68" t="str" cm="1">
        <f t="array" ref="C788">IF(AF788&lt;&gt;"",
IFERROR(INDEX('LaunchPad Markbook'!A:A,MATCH(AH788,'LaunchPad Markbook'!D:D,0),0),"-"),"")</f>
        <v/>
      </c>
      <c r="D788" s="27"/>
      <c r="E788" s="27"/>
      <c r="F788" s="27"/>
      <c r="G788" s="14">
        <f>IF(OR(H788&gt;AB$2,I788&gt;AC$2,J788&gt;AD$2,
P788&gt;1,V788&gt;1,
L788&gt;'Group List A'!E$2,M788&gt;'Group List A'!F$2,N788&gt;'Group List A'!G$2,
R788&gt;'Group List B'!E$2,S788&gt;'Group List B'!F$2,T788&gt;'Group List B'!G$2),"Exceed",
IF(OR(H788=AB$2,I788=AC$2,J788=AD$2,
P788=1,V788=1,
L788='Group List A'!E$2,M788='Group List A'!F$2,N788='Group List A'!G$2,
R788='Group List B'!E$2,S788='Group List B'!F$2,T788='Group List B'!G$2),"Limit",0))</f>
        <v>0</v>
      </c>
      <c r="H788" s="29">
        <f t="shared" si="182"/>
        <v>0</v>
      </c>
      <c r="I788" s="29">
        <f t="shared" si="183"/>
        <v>0</v>
      </c>
      <c r="J788" s="29">
        <f t="shared" si="184"/>
        <v>0</v>
      </c>
      <c r="K788" s="32" t="str" cm="1">
        <f t="array" ref="K788">IF(AF788&lt;&gt;"",IFERROR(INDEX('Group List A'!B:B,MATCH(AI788,'Group List A'!A:A,0),0),"-"),"")</f>
        <v/>
      </c>
      <c r="L788" s="33">
        <f t="shared" si="185"/>
        <v>0</v>
      </c>
      <c r="M788" s="33">
        <f t="shared" si="186"/>
        <v>0</v>
      </c>
      <c r="N788" s="33">
        <f t="shared" si="187"/>
        <v>0</v>
      </c>
      <c r="O788" s="28"/>
      <c r="P788" s="33">
        <f t="shared" si="188"/>
        <v>0</v>
      </c>
      <c r="Q788" s="35" t="str" cm="1">
        <f t="array" ref="Q788">IF(AF788&lt;&gt;"",IFERROR(INDEX('Group List B'!B:B,MATCH(AI788,'Group List B'!A:A,0),0),"-"),"")</f>
        <v/>
      </c>
      <c r="R788" s="36">
        <f t="shared" si="189"/>
        <v>0</v>
      </c>
      <c r="S788" s="36">
        <f t="shared" si="190"/>
        <v>0</v>
      </c>
      <c r="T788" s="36">
        <f t="shared" si="191"/>
        <v>0</v>
      </c>
      <c r="U788" s="28"/>
      <c r="V788" s="37">
        <f t="shared" si="192"/>
        <v>0</v>
      </c>
      <c r="W788" s="41"/>
      <c r="X788" s="27"/>
      <c r="Y788" s="27"/>
      <c r="Z788" s="27"/>
      <c r="AA788" s="15"/>
      <c r="AB788" s="17"/>
      <c r="AC788" s="17"/>
      <c r="AD788" s="17"/>
      <c r="AE788" s="90"/>
      <c r="AF788" s="82" t="str">
        <f t="shared" si="193"/>
        <v/>
      </c>
      <c r="AG788" s="83" t="str">
        <f t="shared" si="194"/>
        <v/>
      </c>
      <c r="AH788" s="82" t="str">
        <f t="shared" si="195"/>
        <v/>
      </c>
      <c r="AI788" s="82" t="str">
        <f t="shared" si="196"/>
        <v/>
      </c>
      <c r="AJ788" s="90"/>
      <c r="AP788" s="88"/>
    </row>
    <row r="789" spans="1:42" x14ac:dyDescent="0.25">
      <c r="A789" s="2"/>
      <c r="C789" s="68" t="str" cm="1">
        <f t="array" ref="C789">IF(AF789&lt;&gt;"",
IFERROR(INDEX('LaunchPad Markbook'!A:A,MATCH(AH789,'LaunchPad Markbook'!D:D,0),0),"-"),"")</f>
        <v/>
      </c>
      <c r="D789" s="27"/>
      <c r="E789" s="27"/>
      <c r="F789" s="27"/>
      <c r="G789" s="14">
        <f>IF(OR(H789&gt;AB$2,I789&gt;AC$2,J789&gt;AD$2,
P789&gt;1,V789&gt;1,
L789&gt;'Group List A'!E$2,M789&gt;'Group List A'!F$2,N789&gt;'Group List A'!G$2,
R789&gt;'Group List B'!E$2,S789&gt;'Group List B'!F$2,T789&gt;'Group List B'!G$2),"Exceed",
IF(OR(H789=AB$2,I789=AC$2,J789=AD$2,
P789=1,V789=1,
L789='Group List A'!E$2,M789='Group List A'!F$2,N789='Group List A'!G$2,
R789='Group List B'!E$2,S789='Group List B'!F$2,T789='Group List B'!G$2),"Limit",0))</f>
        <v>0</v>
      </c>
      <c r="H789" s="29">
        <f t="shared" si="182"/>
        <v>0</v>
      </c>
      <c r="I789" s="29">
        <f t="shared" si="183"/>
        <v>0</v>
      </c>
      <c r="J789" s="29">
        <f t="shared" si="184"/>
        <v>0</v>
      </c>
      <c r="K789" s="32" t="str" cm="1">
        <f t="array" ref="K789">IF(AF789&lt;&gt;"",IFERROR(INDEX('Group List A'!B:B,MATCH(AI789,'Group List A'!A:A,0),0),"-"),"")</f>
        <v/>
      </c>
      <c r="L789" s="33">
        <f t="shared" si="185"/>
        <v>0</v>
      </c>
      <c r="M789" s="33">
        <f t="shared" si="186"/>
        <v>0</v>
      </c>
      <c r="N789" s="33">
        <f t="shared" si="187"/>
        <v>0</v>
      </c>
      <c r="O789" s="28"/>
      <c r="P789" s="33">
        <f t="shared" si="188"/>
        <v>0</v>
      </c>
      <c r="Q789" s="35" t="str" cm="1">
        <f t="array" ref="Q789">IF(AF789&lt;&gt;"",IFERROR(INDEX('Group List B'!B:B,MATCH(AI789,'Group List B'!A:A,0),0),"-"),"")</f>
        <v/>
      </c>
      <c r="R789" s="36">
        <f t="shared" si="189"/>
        <v>0</v>
      </c>
      <c r="S789" s="36">
        <f t="shared" si="190"/>
        <v>0</v>
      </c>
      <c r="T789" s="36">
        <f t="shared" si="191"/>
        <v>0</v>
      </c>
      <c r="U789" s="28"/>
      <c r="V789" s="37">
        <f t="shared" si="192"/>
        <v>0</v>
      </c>
      <c r="W789" s="41"/>
      <c r="X789" s="27"/>
      <c r="Y789" s="27"/>
      <c r="Z789" s="27"/>
      <c r="AA789" s="15"/>
      <c r="AB789" s="17"/>
      <c r="AC789" s="17"/>
      <c r="AD789" s="17"/>
      <c r="AE789" s="90"/>
      <c r="AF789" s="82" t="str">
        <f t="shared" si="193"/>
        <v/>
      </c>
      <c r="AG789" s="83" t="str">
        <f t="shared" si="194"/>
        <v/>
      </c>
      <c r="AH789" s="82" t="str">
        <f t="shared" si="195"/>
        <v/>
      </c>
      <c r="AI789" s="82" t="str">
        <f t="shared" si="196"/>
        <v/>
      </c>
      <c r="AJ789" s="90"/>
      <c r="AP789" s="88"/>
    </row>
    <row r="790" spans="1:42" x14ac:dyDescent="0.25">
      <c r="A790" s="2"/>
      <c r="C790" s="68" t="str" cm="1">
        <f t="array" ref="C790">IF(AF790&lt;&gt;"",
IFERROR(INDEX('LaunchPad Markbook'!A:A,MATCH(AH790,'LaunchPad Markbook'!D:D,0),0),"-"),"")</f>
        <v/>
      </c>
      <c r="D790" s="27"/>
      <c r="E790" s="27"/>
      <c r="F790" s="27"/>
      <c r="G790" s="14">
        <f>IF(OR(H790&gt;AB$2,I790&gt;AC$2,J790&gt;AD$2,
P790&gt;1,V790&gt;1,
L790&gt;'Group List A'!E$2,M790&gt;'Group List A'!F$2,N790&gt;'Group List A'!G$2,
R790&gt;'Group List B'!E$2,S790&gt;'Group List B'!F$2,T790&gt;'Group List B'!G$2),"Exceed",
IF(OR(H790=AB$2,I790=AC$2,J790=AD$2,
P790=1,V790=1,
L790='Group List A'!E$2,M790='Group List A'!F$2,N790='Group List A'!G$2,
R790='Group List B'!E$2,S790='Group List B'!F$2,T790='Group List B'!G$2),"Limit",0))</f>
        <v>0</v>
      </c>
      <c r="H790" s="29">
        <f t="shared" si="182"/>
        <v>0</v>
      </c>
      <c r="I790" s="29">
        <f t="shared" si="183"/>
        <v>0</v>
      </c>
      <c r="J790" s="29">
        <f t="shared" si="184"/>
        <v>0</v>
      </c>
      <c r="K790" s="32" t="str" cm="1">
        <f t="array" ref="K790">IF(AF790&lt;&gt;"",IFERROR(INDEX('Group List A'!B:B,MATCH(AI790,'Group List A'!A:A,0),0),"-"),"")</f>
        <v/>
      </c>
      <c r="L790" s="33">
        <f t="shared" si="185"/>
        <v>0</v>
      </c>
      <c r="M790" s="33">
        <f t="shared" si="186"/>
        <v>0</v>
      </c>
      <c r="N790" s="33">
        <f t="shared" si="187"/>
        <v>0</v>
      </c>
      <c r="O790" s="28"/>
      <c r="P790" s="33">
        <f t="shared" si="188"/>
        <v>0</v>
      </c>
      <c r="Q790" s="35" t="str" cm="1">
        <f t="array" ref="Q790">IF(AF790&lt;&gt;"",IFERROR(INDEX('Group List B'!B:B,MATCH(AI790,'Group List B'!A:A,0),0),"-"),"")</f>
        <v/>
      </c>
      <c r="R790" s="36">
        <f t="shared" si="189"/>
        <v>0</v>
      </c>
      <c r="S790" s="36">
        <f t="shared" si="190"/>
        <v>0</v>
      </c>
      <c r="T790" s="36">
        <f t="shared" si="191"/>
        <v>0</v>
      </c>
      <c r="U790" s="28"/>
      <c r="V790" s="37">
        <f t="shared" si="192"/>
        <v>0</v>
      </c>
      <c r="W790" s="41"/>
      <c r="X790" s="27"/>
      <c r="Y790" s="27"/>
      <c r="Z790" s="27"/>
      <c r="AA790" s="15"/>
      <c r="AB790" s="17"/>
      <c r="AC790" s="17"/>
      <c r="AD790" s="17"/>
      <c r="AE790" s="90"/>
      <c r="AF790" s="82" t="str">
        <f t="shared" si="193"/>
        <v/>
      </c>
      <c r="AG790" s="83" t="str">
        <f t="shared" si="194"/>
        <v/>
      </c>
      <c r="AH790" s="82" t="str">
        <f t="shared" si="195"/>
        <v/>
      </c>
      <c r="AI790" s="82" t="str">
        <f t="shared" si="196"/>
        <v/>
      </c>
      <c r="AJ790" s="90"/>
      <c r="AP790" s="88"/>
    </row>
    <row r="791" spans="1:42" x14ac:dyDescent="0.25">
      <c r="A791" s="2"/>
      <c r="C791" s="68" t="str" cm="1">
        <f t="array" ref="C791">IF(AF791&lt;&gt;"",
IFERROR(INDEX('LaunchPad Markbook'!A:A,MATCH(AH791,'LaunchPad Markbook'!D:D,0),0),"-"),"")</f>
        <v/>
      </c>
      <c r="D791" s="27"/>
      <c r="E791" s="27"/>
      <c r="F791" s="27"/>
      <c r="G791" s="14">
        <f>IF(OR(H791&gt;AB$2,I791&gt;AC$2,J791&gt;AD$2,
P791&gt;1,V791&gt;1,
L791&gt;'Group List A'!E$2,M791&gt;'Group List A'!F$2,N791&gt;'Group List A'!G$2,
R791&gt;'Group List B'!E$2,S791&gt;'Group List B'!F$2,T791&gt;'Group List B'!G$2),"Exceed",
IF(OR(H791=AB$2,I791=AC$2,J791=AD$2,
P791=1,V791=1,
L791='Group List A'!E$2,M791='Group List A'!F$2,N791='Group List A'!G$2,
R791='Group List B'!E$2,S791='Group List B'!F$2,T791='Group List B'!G$2),"Limit",0))</f>
        <v>0</v>
      </c>
      <c r="H791" s="29">
        <f t="shared" si="182"/>
        <v>0</v>
      </c>
      <c r="I791" s="29">
        <f t="shared" si="183"/>
        <v>0</v>
      </c>
      <c r="J791" s="29">
        <f t="shared" si="184"/>
        <v>0</v>
      </c>
      <c r="K791" s="32" t="str" cm="1">
        <f t="array" ref="K791">IF(AF791&lt;&gt;"",IFERROR(INDEX('Group List A'!B:B,MATCH(AI791,'Group List A'!A:A,0),0),"-"),"")</f>
        <v/>
      </c>
      <c r="L791" s="33">
        <f t="shared" si="185"/>
        <v>0</v>
      </c>
      <c r="M791" s="33">
        <f t="shared" si="186"/>
        <v>0</v>
      </c>
      <c r="N791" s="33">
        <f t="shared" si="187"/>
        <v>0</v>
      </c>
      <c r="O791" s="28"/>
      <c r="P791" s="33">
        <f t="shared" si="188"/>
        <v>0</v>
      </c>
      <c r="Q791" s="35" t="str" cm="1">
        <f t="array" ref="Q791">IF(AF791&lt;&gt;"",IFERROR(INDEX('Group List B'!B:B,MATCH(AI791,'Group List B'!A:A,0),0),"-"),"")</f>
        <v/>
      </c>
      <c r="R791" s="36">
        <f t="shared" si="189"/>
        <v>0</v>
      </c>
      <c r="S791" s="36">
        <f t="shared" si="190"/>
        <v>0</v>
      </c>
      <c r="T791" s="36">
        <f t="shared" si="191"/>
        <v>0</v>
      </c>
      <c r="U791" s="28"/>
      <c r="V791" s="37">
        <f t="shared" si="192"/>
        <v>0</v>
      </c>
      <c r="W791" s="41"/>
      <c r="X791" s="27"/>
      <c r="Y791" s="27"/>
      <c r="Z791" s="27"/>
      <c r="AA791" s="15"/>
      <c r="AB791" s="17"/>
      <c r="AC791" s="17"/>
      <c r="AD791" s="17"/>
      <c r="AE791" s="90"/>
      <c r="AF791" s="82" t="str">
        <f t="shared" si="193"/>
        <v/>
      </c>
      <c r="AG791" s="83" t="str">
        <f t="shared" si="194"/>
        <v/>
      </c>
      <c r="AH791" s="82" t="str">
        <f t="shared" si="195"/>
        <v/>
      </c>
      <c r="AI791" s="82" t="str">
        <f t="shared" si="196"/>
        <v/>
      </c>
      <c r="AJ791" s="90"/>
      <c r="AP791" s="88"/>
    </row>
    <row r="792" spans="1:42" x14ac:dyDescent="0.25">
      <c r="A792" s="2"/>
      <c r="C792" s="68" t="str" cm="1">
        <f t="array" ref="C792">IF(AF792&lt;&gt;"",
IFERROR(INDEX('LaunchPad Markbook'!A:A,MATCH(AH792,'LaunchPad Markbook'!D:D,0),0),"-"),"")</f>
        <v/>
      </c>
      <c r="D792" s="27"/>
      <c r="E792" s="27"/>
      <c r="F792" s="27"/>
      <c r="G792" s="14">
        <f>IF(OR(H792&gt;AB$2,I792&gt;AC$2,J792&gt;AD$2,
P792&gt;1,V792&gt;1,
L792&gt;'Group List A'!E$2,M792&gt;'Group List A'!F$2,N792&gt;'Group List A'!G$2,
R792&gt;'Group List B'!E$2,S792&gt;'Group List B'!F$2,T792&gt;'Group List B'!G$2),"Exceed",
IF(OR(H792=AB$2,I792=AC$2,J792=AD$2,
P792=1,V792=1,
L792='Group List A'!E$2,M792='Group List A'!F$2,N792='Group List A'!G$2,
R792='Group List B'!E$2,S792='Group List B'!F$2,T792='Group List B'!G$2),"Limit",0))</f>
        <v>0</v>
      </c>
      <c r="H792" s="29">
        <f t="shared" si="182"/>
        <v>0</v>
      </c>
      <c r="I792" s="29">
        <f t="shared" si="183"/>
        <v>0</v>
      </c>
      <c r="J792" s="29">
        <f t="shared" si="184"/>
        <v>0</v>
      </c>
      <c r="K792" s="32" t="str" cm="1">
        <f t="array" ref="K792">IF(AF792&lt;&gt;"",IFERROR(INDEX('Group List A'!B:B,MATCH(AI792,'Group List A'!A:A,0),0),"-"),"")</f>
        <v/>
      </c>
      <c r="L792" s="33">
        <f t="shared" si="185"/>
        <v>0</v>
      </c>
      <c r="M792" s="33">
        <f t="shared" si="186"/>
        <v>0</v>
      </c>
      <c r="N792" s="33">
        <f t="shared" si="187"/>
        <v>0</v>
      </c>
      <c r="O792" s="28"/>
      <c r="P792" s="33">
        <f t="shared" si="188"/>
        <v>0</v>
      </c>
      <c r="Q792" s="35" t="str" cm="1">
        <f t="array" ref="Q792">IF(AF792&lt;&gt;"",IFERROR(INDEX('Group List B'!B:B,MATCH(AI792,'Group List B'!A:A,0),0),"-"),"")</f>
        <v/>
      </c>
      <c r="R792" s="36">
        <f t="shared" si="189"/>
        <v>0</v>
      </c>
      <c r="S792" s="36">
        <f t="shared" si="190"/>
        <v>0</v>
      </c>
      <c r="T792" s="36">
        <f t="shared" si="191"/>
        <v>0</v>
      </c>
      <c r="U792" s="28"/>
      <c r="V792" s="37">
        <f t="shared" si="192"/>
        <v>0</v>
      </c>
      <c r="W792" s="41"/>
      <c r="X792" s="27"/>
      <c r="Y792" s="27"/>
      <c r="Z792" s="27"/>
      <c r="AA792" s="15"/>
      <c r="AB792" s="17"/>
      <c r="AC792" s="17"/>
      <c r="AD792" s="17"/>
      <c r="AE792" s="90"/>
      <c r="AF792" s="82" t="str">
        <f t="shared" si="193"/>
        <v/>
      </c>
      <c r="AG792" s="83" t="str">
        <f t="shared" si="194"/>
        <v/>
      </c>
      <c r="AH792" s="82" t="str">
        <f t="shared" si="195"/>
        <v/>
      </c>
      <c r="AI792" s="82" t="str">
        <f t="shared" si="196"/>
        <v/>
      </c>
      <c r="AJ792" s="90"/>
      <c r="AP792" s="88"/>
    </row>
    <row r="793" spans="1:42" x14ac:dyDescent="0.25">
      <c r="A793" s="2"/>
      <c r="C793" s="68" t="str" cm="1">
        <f t="array" ref="C793">IF(AF793&lt;&gt;"",
IFERROR(INDEX('LaunchPad Markbook'!A:A,MATCH(AH793,'LaunchPad Markbook'!D:D,0),0),"-"),"")</f>
        <v/>
      </c>
      <c r="D793" s="27"/>
      <c r="E793" s="27"/>
      <c r="F793" s="27"/>
      <c r="G793" s="14">
        <f>IF(OR(H793&gt;AB$2,I793&gt;AC$2,J793&gt;AD$2,
P793&gt;1,V793&gt;1,
L793&gt;'Group List A'!E$2,M793&gt;'Group List A'!F$2,N793&gt;'Group List A'!G$2,
R793&gt;'Group List B'!E$2,S793&gt;'Group List B'!F$2,T793&gt;'Group List B'!G$2),"Exceed",
IF(OR(H793=AB$2,I793=AC$2,J793=AD$2,
P793=1,V793=1,
L793='Group List A'!E$2,M793='Group List A'!F$2,N793='Group List A'!G$2,
R793='Group List B'!E$2,S793='Group List B'!F$2,T793='Group List B'!G$2),"Limit",0))</f>
        <v>0</v>
      </c>
      <c r="H793" s="29">
        <f t="shared" si="182"/>
        <v>0</v>
      </c>
      <c r="I793" s="29">
        <f t="shared" si="183"/>
        <v>0</v>
      </c>
      <c r="J793" s="29">
        <f t="shared" si="184"/>
        <v>0</v>
      </c>
      <c r="K793" s="32" t="str" cm="1">
        <f t="array" ref="K793">IF(AF793&lt;&gt;"",IFERROR(INDEX('Group List A'!B:B,MATCH(AI793,'Group List A'!A:A,0),0),"-"),"")</f>
        <v/>
      </c>
      <c r="L793" s="33">
        <f t="shared" si="185"/>
        <v>0</v>
      </c>
      <c r="M793" s="33">
        <f t="shared" si="186"/>
        <v>0</v>
      </c>
      <c r="N793" s="33">
        <f t="shared" si="187"/>
        <v>0</v>
      </c>
      <c r="O793" s="28"/>
      <c r="P793" s="33">
        <f t="shared" si="188"/>
        <v>0</v>
      </c>
      <c r="Q793" s="35" t="str" cm="1">
        <f t="array" ref="Q793">IF(AF793&lt;&gt;"",IFERROR(INDEX('Group List B'!B:B,MATCH(AI793,'Group List B'!A:A,0),0),"-"),"")</f>
        <v/>
      </c>
      <c r="R793" s="36">
        <f t="shared" si="189"/>
        <v>0</v>
      </c>
      <c r="S793" s="36">
        <f t="shared" si="190"/>
        <v>0</v>
      </c>
      <c r="T793" s="36">
        <f t="shared" si="191"/>
        <v>0</v>
      </c>
      <c r="U793" s="28"/>
      <c r="V793" s="37">
        <f t="shared" si="192"/>
        <v>0</v>
      </c>
      <c r="W793" s="41"/>
      <c r="X793" s="27"/>
      <c r="Y793" s="27"/>
      <c r="Z793" s="27"/>
      <c r="AA793" s="15"/>
      <c r="AB793" s="17"/>
      <c r="AC793" s="17"/>
      <c r="AD793" s="17"/>
      <c r="AE793" s="90"/>
      <c r="AF793" s="82" t="str">
        <f t="shared" si="193"/>
        <v/>
      </c>
      <c r="AG793" s="83" t="str">
        <f t="shared" si="194"/>
        <v/>
      </c>
      <c r="AH793" s="82" t="str">
        <f t="shared" si="195"/>
        <v/>
      </c>
      <c r="AI793" s="82" t="str">
        <f t="shared" si="196"/>
        <v/>
      </c>
      <c r="AJ793" s="90"/>
      <c r="AP793" s="88"/>
    </row>
    <row r="794" spans="1:42" x14ac:dyDescent="0.25">
      <c r="A794" s="2"/>
      <c r="C794" s="68" t="str" cm="1">
        <f t="array" ref="C794">IF(AF794&lt;&gt;"",
IFERROR(INDEX('LaunchPad Markbook'!A:A,MATCH(AH794,'LaunchPad Markbook'!D:D,0),0),"-"),"")</f>
        <v/>
      </c>
      <c r="D794" s="27"/>
      <c r="E794" s="27"/>
      <c r="F794" s="27"/>
      <c r="G794" s="14">
        <f>IF(OR(H794&gt;AB$2,I794&gt;AC$2,J794&gt;AD$2,
P794&gt;1,V794&gt;1,
L794&gt;'Group List A'!E$2,M794&gt;'Group List A'!F$2,N794&gt;'Group List A'!G$2,
R794&gt;'Group List B'!E$2,S794&gt;'Group List B'!F$2,T794&gt;'Group List B'!G$2),"Exceed",
IF(OR(H794=AB$2,I794=AC$2,J794=AD$2,
P794=1,V794=1,
L794='Group List A'!E$2,M794='Group List A'!F$2,N794='Group List A'!G$2,
R794='Group List B'!E$2,S794='Group List B'!F$2,T794='Group List B'!G$2),"Limit",0))</f>
        <v>0</v>
      </c>
      <c r="H794" s="29">
        <f t="shared" si="182"/>
        <v>0</v>
      </c>
      <c r="I794" s="29">
        <f t="shared" si="183"/>
        <v>0</v>
      </c>
      <c r="J794" s="29">
        <f t="shared" si="184"/>
        <v>0</v>
      </c>
      <c r="K794" s="32" t="str" cm="1">
        <f t="array" ref="K794">IF(AF794&lt;&gt;"",IFERROR(INDEX('Group List A'!B:B,MATCH(AI794,'Group List A'!A:A,0),0),"-"),"")</f>
        <v/>
      </c>
      <c r="L794" s="33">
        <f t="shared" si="185"/>
        <v>0</v>
      </c>
      <c r="M794" s="33">
        <f t="shared" si="186"/>
        <v>0</v>
      </c>
      <c r="N794" s="33">
        <f t="shared" si="187"/>
        <v>0</v>
      </c>
      <c r="O794" s="28"/>
      <c r="P794" s="33">
        <f t="shared" si="188"/>
        <v>0</v>
      </c>
      <c r="Q794" s="35" t="str" cm="1">
        <f t="array" ref="Q794">IF(AF794&lt;&gt;"",IFERROR(INDEX('Group List B'!B:B,MATCH(AI794,'Group List B'!A:A,0),0),"-"),"")</f>
        <v/>
      </c>
      <c r="R794" s="36">
        <f t="shared" si="189"/>
        <v>0</v>
      </c>
      <c r="S794" s="36">
        <f t="shared" si="190"/>
        <v>0</v>
      </c>
      <c r="T794" s="36">
        <f t="shared" si="191"/>
        <v>0</v>
      </c>
      <c r="U794" s="28"/>
      <c r="V794" s="37">
        <f t="shared" si="192"/>
        <v>0</v>
      </c>
      <c r="W794" s="41"/>
      <c r="X794" s="27"/>
      <c r="Y794" s="27"/>
      <c r="Z794" s="27"/>
      <c r="AA794" s="15"/>
      <c r="AB794" s="17"/>
      <c r="AC794" s="17"/>
      <c r="AD794" s="17"/>
      <c r="AE794" s="90"/>
      <c r="AF794" s="82" t="str">
        <f t="shared" si="193"/>
        <v/>
      </c>
      <c r="AG794" s="83" t="str">
        <f t="shared" si="194"/>
        <v/>
      </c>
      <c r="AH794" s="82" t="str">
        <f t="shared" si="195"/>
        <v/>
      </c>
      <c r="AI794" s="82" t="str">
        <f t="shared" si="196"/>
        <v/>
      </c>
      <c r="AJ794" s="90"/>
      <c r="AP794" s="88"/>
    </row>
    <row r="795" spans="1:42" x14ac:dyDescent="0.25">
      <c r="A795" s="2"/>
      <c r="C795" s="68" t="str" cm="1">
        <f t="array" ref="C795">IF(AF795&lt;&gt;"",
IFERROR(INDEX('LaunchPad Markbook'!A:A,MATCH(AH795,'LaunchPad Markbook'!D:D,0),0),"-"),"")</f>
        <v/>
      </c>
      <c r="D795" s="27"/>
      <c r="E795" s="27"/>
      <c r="F795" s="27"/>
      <c r="G795" s="14">
        <f>IF(OR(H795&gt;AB$2,I795&gt;AC$2,J795&gt;AD$2,
P795&gt;1,V795&gt;1,
L795&gt;'Group List A'!E$2,M795&gt;'Group List A'!F$2,N795&gt;'Group List A'!G$2,
R795&gt;'Group List B'!E$2,S795&gt;'Group List B'!F$2,T795&gt;'Group List B'!G$2),"Exceed",
IF(OR(H795=AB$2,I795=AC$2,J795=AD$2,
P795=1,V795=1,
L795='Group List A'!E$2,M795='Group List A'!F$2,N795='Group List A'!G$2,
R795='Group List B'!E$2,S795='Group List B'!F$2,T795='Group List B'!G$2),"Limit",0))</f>
        <v>0</v>
      </c>
      <c r="H795" s="29">
        <f t="shared" si="182"/>
        <v>0</v>
      </c>
      <c r="I795" s="29">
        <f t="shared" si="183"/>
        <v>0</v>
      </c>
      <c r="J795" s="29">
        <f t="shared" si="184"/>
        <v>0</v>
      </c>
      <c r="K795" s="32" t="str" cm="1">
        <f t="array" ref="K795">IF(AF795&lt;&gt;"",IFERROR(INDEX('Group List A'!B:B,MATCH(AI795,'Group List A'!A:A,0),0),"-"),"")</f>
        <v/>
      </c>
      <c r="L795" s="33">
        <f t="shared" si="185"/>
        <v>0</v>
      </c>
      <c r="M795" s="33">
        <f t="shared" si="186"/>
        <v>0</v>
      </c>
      <c r="N795" s="33">
        <f t="shared" si="187"/>
        <v>0</v>
      </c>
      <c r="O795" s="28"/>
      <c r="P795" s="33">
        <f t="shared" si="188"/>
        <v>0</v>
      </c>
      <c r="Q795" s="35" t="str" cm="1">
        <f t="array" ref="Q795">IF(AF795&lt;&gt;"",IFERROR(INDEX('Group List B'!B:B,MATCH(AI795,'Group List B'!A:A,0),0),"-"),"")</f>
        <v/>
      </c>
      <c r="R795" s="36">
        <f t="shared" si="189"/>
        <v>0</v>
      </c>
      <c r="S795" s="36">
        <f t="shared" si="190"/>
        <v>0</v>
      </c>
      <c r="T795" s="36">
        <f t="shared" si="191"/>
        <v>0</v>
      </c>
      <c r="U795" s="28"/>
      <c r="V795" s="37">
        <f t="shared" si="192"/>
        <v>0</v>
      </c>
      <c r="W795" s="41"/>
      <c r="X795" s="27"/>
      <c r="Y795" s="27"/>
      <c r="Z795" s="27"/>
      <c r="AA795" s="15"/>
      <c r="AB795" s="17"/>
      <c r="AC795" s="17"/>
      <c r="AD795" s="17"/>
      <c r="AE795" s="90"/>
      <c r="AF795" s="82" t="str">
        <f t="shared" si="193"/>
        <v/>
      </c>
      <c r="AG795" s="83" t="str">
        <f t="shared" si="194"/>
        <v/>
      </c>
      <c r="AH795" s="82" t="str">
        <f t="shared" si="195"/>
        <v/>
      </c>
      <c r="AI795" s="82" t="str">
        <f t="shared" si="196"/>
        <v/>
      </c>
      <c r="AJ795" s="90"/>
      <c r="AP795" s="88"/>
    </row>
    <row r="796" spans="1:42" x14ac:dyDescent="0.25">
      <c r="A796" s="2"/>
      <c r="C796" s="68" t="str" cm="1">
        <f t="array" ref="C796">IF(AF796&lt;&gt;"",
IFERROR(INDEX('LaunchPad Markbook'!A:A,MATCH(AH796,'LaunchPad Markbook'!D:D,0),0),"-"),"")</f>
        <v/>
      </c>
      <c r="D796" s="27"/>
      <c r="E796" s="27"/>
      <c r="F796" s="27"/>
      <c r="G796" s="14">
        <f>IF(OR(H796&gt;AB$2,I796&gt;AC$2,J796&gt;AD$2,
P796&gt;1,V796&gt;1,
L796&gt;'Group List A'!E$2,M796&gt;'Group List A'!F$2,N796&gt;'Group List A'!G$2,
R796&gt;'Group List B'!E$2,S796&gt;'Group List B'!F$2,T796&gt;'Group List B'!G$2),"Exceed",
IF(OR(H796=AB$2,I796=AC$2,J796=AD$2,
P796=1,V796=1,
L796='Group List A'!E$2,M796='Group List A'!F$2,N796='Group List A'!G$2,
R796='Group List B'!E$2,S796='Group List B'!F$2,T796='Group List B'!G$2),"Limit",0))</f>
        <v>0</v>
      </c>
      <c r="H796" s="29">
        <f t="shared" si="182"/>
        <v>0</v>
      </c>
      <c r="I796" s="29">
        <f t="shared" si="183"/>
        <v>0</v>
      </c>
      <c r="J796" s="29">
        <f t="shared" si="184"/>
        <v>0</v>
      </c>
      <c r="K796" s="32" t="str" cm="1">
        <f t="array" ref="K796">IF(AF796&lt;&gt;"",IFERROR(INDEX('Group List A'!B:B,MATCH(AI796,'Group List A'!A:A,0),0),"-"),"")</f>
        <v/>
      </c>
      <c r="L796" s="33">
        <f t="shared" si="185"/>
        <v>0</v>
      </c>
      <c r="M796" s="33">
        <f t="shared" si="186"/>
        <v>0</v>
      </c>
      <c r="N796" s="33">
        <f t="shared" si="187"/>
        <v>0</v>
      </c>
      <c r="O796" s="28"/>
      <c r="P796" s="33">
        <f t="shared" si="188"/>
        <v>0</v>
      </c>
      <c r="Q796" s="35" t="str" cm="1">
        <f t="array" ref="Q796">IF(AF796&lt;&gt;"",IFERROR(INDEX('Group List B'!B:B,MATCH(AI796,'Group List B'!A:A,0),0),"-"),"")</f>
        <v/>
      </c>
      <c r="R796" s="36">
        <f t="shared" si="189"/>
        <v>0</v>
      </c>
      <c r="S796" s="36">
        <f t="shared" si="190"/>
        <v>0</v>
      </c>
      <c r="T796" s="36">
        <f t="shared" si="191"/>
        <v>0</v>
      </c>
      <c r="U796" s="28"/>
      <c r="V796" s="37">
        <f t="shared" si="192"/>
        <v>0</v>
      </c>
      <c r="W796" s="41"/>
      <c r="X796" s="27"/>
      <c r="Y796" s="27"/>
      <c r="Z796" s="27"/>
      <c r="AA796" s="15"/>
      <c r="AB796" s="17"/>
      <c r="AC796" s="17"/>
      <c r="AD796" s="17"/>
      <c r="AE796" s="90"/>
      <c r="AF796" s="82" t="str">
        <f t="shared" si="193"/>
        <v/>
      </c>
      <c r="AG796" s="83" t="str">
        <f t="shared" si="194"/>
        <v/>
      </c>
      <c r="AH796" s="82" t="str">
        <f t="shared" si="195"/>
        <v/>
      </c>
      <c r="AI796" s="82" t="str">
        <f t="shared" si="196"/>
        <v/>
      </c>
      <c r="AJ796" s="90"/>
      <c r="AP796" s="88"/>
    </row>
    <row r="797" spans="1:42" x14ac:dyDescent="0.25">
      <c r="A797" s="2"/>
      <c r="C797" s="68" t="str" cm="1">
        <f t="array" ref="C797">IF(AF797&lt;&gt;"",
IFERROR(INDEX('LaunchPad Markbook'!A:A,MATCH(AH797,'LaunchPad Markbook'!D:D,0),0),"-"),"")</f>
        <v/>
      </c>
      <c r="D797" s="27"/>
      <c r="E797" s="27"/>
      <c r="F797" s="27"/>
      <c r="G797" s="14">
        <f>IF(OR(H797&gt;AB$2,I797&gt;AC$2,J797&gt;AD$2,
P797&gt;1,V797&gt;1,
L797&gt;'Group List A'!E$2,M797&gt;'Group List A'!F$2,N797&gt;'Group List A'!G$2,
R797&gt;'Group List B'!E$2,S797&gt;'Group List B'!F$2,T797&gt;'Group List B'!G$2),"Exceed",
IF(OR(H797=AB$2,I797=AC$2,J797=AD$2,
P797=1,V797=1,
L797='Group List A'!E$2,M797='Group List A'!F$2,N797='Group List A'!G$2,
R797='Group List B'!E$2,S797='Group List B'!F$2,T797='Group List B'!G$2),"Limit",0))</f>
        <v>0</v>
      </c>
      <c r="H797" s="29">
        <f t="shared" si="182"/>
        <v>0</v>
      </c>
      <c r="I797" s="29">
        <f t="shared" si="183"/>
        <v>0</v>
      </c>
      <c r="J797" s="29">
        <f t="shared" si="184"/>
        <v>0</v>
      </c>
      <c r="K797" s="32" t="str" cm="1">
        <f t="array" ref="K797">IF(AF797&lt;&gt;"",IFERROR(INDEX('Group List A'!B:B,MATCH(AI797,'Group List A'!A:A,0),0),"-"),"")</f>
        <v/>
      </c>
      <c r="L797" s="33">
        <f t="shared" si="185"/>
        <v>0</v>
      </c>
      <c r="M797" s="33">
        <f t="shared" si="186"/>
        <v>0</v>
      </c>
      <c r="N797" s="33">
        <f t="shared" si="187"/>
        <v>0</v>
      </c>
      <c r="O797" s="28"/>
      <c r="P797" s="33">
        <f t="shared" si="188"/>
        <v>0</v>
      </c>
      <c r="Q797" s="35" t="str" cm="1">
        <f t="array" ref="Q797">IF(AF797&lt;&gt;"",IFERROR(INDEX('Group List B'!B:B,MATCH(AI797,'Group List B'!A:A,0),0),"-"),"")</f>
        <v/>
      </c>
      <c r="R797" s="36">
        <f t="shared" si="189"/>
        <v>0</v>
      </c>
      <c r="S797" s="36">
        <f t="shared" si="190"/>
        <v>0</v>
      </c>
      <c r="T797" s="36">
        <f t="shared" si="191"/>
        <v>0</v>
      </c>
      <c r="U797" s="28"/>
      <c r="V797" s="37">
        <f t="shared" si="192"/>
        <v>0</v>
      </c>
      <c r="W797" s="41"/>
      <c r="X797" s="27"/>
      <c r="Y797" s="27"/>
      <c r="Z797" s="27"/>
      <c r="AA797" s="15"/>
      <c r="AB797" s="17"/>
      <c r="AC797" s="17"/>
      <c r="AD797" s="17"/>
      <c r="AE797" s="90"/>
      <c r="AF797" s="82" t="str">
        <f t="shared" si="193"/>
        <v/>
      </c>
      <c r="AG797" s="83" t="str">
        <f t="shared" si="194"/>
        <v/>
      </c>
      <c r="AH797" s="82" t="str">
        <f t="shared" si="195"/>
        <v/>
      </c>
      <c r="AI797" s="82" t="str">
        <f t="shared" si="196"/>
        <v/>
      </c>
      <c r="AJ797" s="90"/>
      <c r="AP797" s="88"/>
    </row>
    <row r="798" spans="1:42" x14ac:dyDescent="0.25">
      <c r="A798" s="2"/>
      <c r="C798" s="68" t="str" cm="1">
        <f t="array" ref="C798">IF(AF798&lt;&gt;"",
IFERROR(INDEX('LaunchPad Markbook'!A:A,MATCH(AH798,'LaunchPad Markbook'!D:D,0),0),"-"),"")</f>
        <v/>
      </c>
      <c r="D798" s="27"/>
      <c r="E798" s="27"/>
      <c r="F798" s="27"/>
      <c r="G798" s="14">
        <f>IF(OR(H798&gt;AB$2,I798&gt;AC$2,J798&gt;AD$2,
P798&gt;1,V798&gt;1,
L798&gt;'Group List A'!E$2,M798&gt;'Group List A'!F$2,N798&gt;'Group List A'!G$2,
R798&gt;'Group List B'!E$2,S798&gt;'Group List B'!F$2,T798&gt;'Group List B'!G$2),"Exceed",
IF(OR(H798=AB$2,I798=AC$2,J798=AD$2,
P798=1,V798=1,
L798='Group List A'!E$2,M798='Group List A'!F$2,N798='Group List A'!G$2,
R798='Group List B'!E$2,S798='Group List B'!F$2,T798='Group List B'!G$2),"Limit",0))</f>
        <v>0</v>
      </c>
      <c r="H798" s="29">
        <f t="shared" si="182"/>
        <v>0</v>
      </c>
      <c r="I798" s="29">
        <f t="shared" si="183"/>
        <v>0</v>
      </c>
      <c r="J798" s="29">
        <f t="shared" si="184"/>
        <v>0</v>
      </c>
      <c r="K798" s="32" t="str" cm="1">
        <f t="array" ref="K798">IF(AF798&lt;&gt;"",IFERROR(INDEX('Group List A'!B:B,MATCH(AI798,'Group List A'!A:A,0),0),"-"),"")</f>
        <v/>
      </c>
      <c r="L798" s="33">
        <f t="shared" si="185"/>
        <v>0</v>
      </c>
      <c r="M798" s="33">
        <f t="shared" si="186"/>
        <v>0</v>
      </c>
      <c r="N798" s="33">
        <f t="shared" si="187"/>
        <v>0</v>
      </c>
      <c r="O798" s="28"/>
      <c r="P798" s="33">
        <f t="shared" si="188"/>
        <v>0</v>
      </c>
      <c r="Q798" s="35" t="str" cm="1">
        <f t="array" ref="Q798">IF(AF798&lt;&gt;"",IFERROR(INDEX('Group List B'!B:B,MATCH(AI798,'Group List B'!A:A,0),0),"-"),"")</f>
        <v/>
      </c>
      <c r="R798" s="36">
        <f t="shared" si="189"/>
        <v>0</v>
      </c>
      <c r="S798" s="36">
        <f t="shared" si="190"/>
        <v>0</v>
      </c>
      <c r="T798" s="36">
        <f t="shared" si="191"/>
        <v>0</v>
      </c>
      <c r="U798" s="28"/>
      <c r="V798" s="37">
        <f t="shared" si="192"/>
        <v>0</v>
      </c>
      <c r="W798" s="41"/>
      <c r="X798" s="27"/>
      <c r="Y798" s="27"/>
      <c r="Z798" s="27"/>
      <c r="AA798" s="15"/>
      <c r="AB798" s="17"/>
      <c r="AC798" s="17"/>
      <c r="AD798" s="17"/>
      <c r="AE798" s="90"/>
      <c r="AF798" s="82" t="str">
        <f t="shared" si="193"/>
        <v/>
      </c>
      <c r="AG798" s="83" t="str">
        <f t="shared" si="194"/>
        <v/>
      </c>
      <c r="AH798" s="82" t="str">
        <f t="shared" si="195"/>
        <v/>
      </c>
      <c r="AI798" s="82" t="str">
        <f t="shared" si="196"/>
        <v/>
      </c>
      <c r="AJ798" s="90"/>
      <c r="AP798" s="88"/>
    </row>
    <row r="799" spans="1:42" x14ac:dyDescent="0.25">
      <c r="A799" s="2"/>
      <c r="C799" s="68" t="str" cm="1">
        <f t="array" ref="C799">IF(AF799&lt;&gt;"",
IFERROR(INDEX('LaunchPad Markbook'!A:A,MATCH(AH799,'LaunchPad Markbook'!D:D,0),0),"-"),"")</f>
        <v/>
      </c>
      <c r="D799" s="27"/>
      <c r="E799" s="27"/>
      <c r="F799" s="27"/>
      <c r="G799" s="14">
        <f>IF(OR(H799&gt;AB$2,I799&gt;AC$2,J799&gt;AD$2,
P799&gt;1,V799&gt;1,
L799&gt;'Group List A'!E$2,M799&gt;'Group List A'!F$2,N799&gt;'Group List A'!G$2,
R799&gt;'Group List B'!E$2,S799&gt;'Group List B'!F$2,T799&gt;'Group List B'!G$2),"Exceed",
IF(OR(H799=AB$2,I799=AC$2,J799=AD$2,
P799=1,V799=1,
L799='Group List A'!E$2,M799='Group List A'!F$2,N799='Group List A'!G$2,
R799='Group List B'!E$2,S799='Group List B'!F$2,T799='Group List B'!G$2),"Limit",0))</f>
        <v>0</v>
      </c>
      <c r="H799" s="29">
        <f t="shared" si="182"/>
        <v>0</v>
      </c>
      <c r="I799" s="29">
        <f t="shared" si="183"/>
        <v>0</v>
      </c>
      <c r="J799" s="29">
        <f t="shared" si="184"/>
        <v>0</v>
      </c>
      <c r="K799" s="32" t="str" cm="1">
        <f t="array" ref="K799">IF(AF799&lt;&gt;"",IFERROR(INDEX('Group List A'!B:B,MATCH(AI799,'Group List A'!A:A,0),0),"-"),"")</f>
        <v/>
      </c>
      <c r="L799" s="33">
        <f t="shared" si="185"/>
        <v>0</v>
      </c>
      <c r="M799" s="33">
        <f t="shared" si="186"/>
        <v>0</v>
      </c>
      <c r="N799" s="33">
        <f t="shared" si="187"/>
        <v>0</v>
      </c>
      <c r="O799" s="28"/>
      <c r="P799" s="33">
        <f t="shared" si="188"/>
        <v>0</v>
      </c>
      <c r="Q799" s="35" t="str" cm="1">
        <f t="array" ref="Q799">IF(AF799&lt;&gt;"",IFERROR(INDEX('Group List B'!B:B,MATCH(AI799,'Group List B'!A:A,0),0),"-"),"")</f>
        <v/>
      </c>
      <c r="R799" s="36">
        <f t="shared" si="189"/>
        <v>0</v>
      </c>
      <c r="S799" s="36">
        <f t="shared" si="190"/>
        <v>0</v>
      </c>
      <c r="T799" s="36">
        <f t="shared" si="191"/>
        <v>0</v>
      </c>
      <c r="U799" s="28"/>
      <c r="V799" s="37">
        <f t="shared" si="192"/>
        <v>0</v>
      </c>
      <c r="W799" s="41"/>
      <c r="X799" s="27"/>
      <c r="Y799" s="27"/>
      <c r="Z799" s="27"/>
      <c r="AA799" s="15"/>
      <c r="AB799" s="17"/>
      <c r="AC799" s="17"/>
      <c r="AD799" s="17"/>
      <c r="AE799" s="90"/>
      <c r="AF799" s="82" t="str">
        <f t="shared" si="193"/>
        <v/>
      </c>
      <c r="AG799" s="83" t="str">
        <f t="shared" si="194"/>
        <v/>
      </c>
      <c r="AH799" s="82" t="str">
        <f t="shared" si="195"/>
        <v/>
      </c>
      <c r="AI799" s="82" t="str">
        <f t="shared" si="196"/>
        <v/>
      </c>
      <c r="AJ799" s="90"/>
      <c r="AP799" s="88"/>
    </row>
    <row r="800" spans="1:42" x14ac:dyDescent="0.25">
      <c r="A800" s="2"/>
      <c r="C800" s="68" t="str" cm="1">
        <f t="array" ref="C800">IF(AF800&lt;&gt;"",
IFERROR(INDEX('LaunchPad Markbook'!A:A,MATCH(AH800,'LaunchPad Markbook'!D:D,0),0),"-"),"")</f>
        <v/>
      </c>
      <c r="D800" s="27"/>
      <c r="E800" s="27"/>
      <c r="F800" s="27"/>
      <c r="G800" s="14">
        <f>IF(OR(H800&gt;AB$2,I800&gt;AC$2,J800&gt;AD$2,
P800&gt;1,V800&gt;1,
L800&gt;'Group List A'!E$2,M800&gt;'Group List A'!F$2,N800&gt;'Group List A'!G$2,
R800&gt;'Group List B'!E$2,S800&gt;'Group List B'!F$2,T800&gt;'Group List B'!G$2),"Exceed",
IF(OR(H800=AB$2,I800=AC$2,J800=AD$2,
P800=1,V800=1,
L800='Group List A'!E$2,M800='Group List A'!F$2,N800='Group List A'!G$2,
R800='Group List B'!E$2,S800='Group List B'!F$2,T800='Group List B'!G$2),"Limit",0))</f>
        <v>0</v>
      </c>
      <c r="H800" s="29">
        <f t="shared" si="182"/>
        <v>0</v>
      </c>
      <c r="I800" s="29">
        <f t="shared" si="183"/>
        <v>0</v>
      </c>
      <c r="J800" s="29">
        <f t="shared" si="184"/>
        <v>0</v>
      </c>
      <c r="K800" s="32" t="str" cm="1">
        <f t="array" ref="K800">IF(AF800&lt;&gt;"",IFERROR(INDEX('Group List A'!B:B,MATCH(AI800,'Group List A'!A:A,0),0),"-"),"")</f>
        <v/>
      </c>
      <c r="L800" s="33">
        <f t="shared" si="185"/>
        <v>0</v>
      </c>
      <c r="M800" s="33">
        <f t="shared" si="186"/>
        <v>0</v>
      </c>
      <c r="N800" s="33">
        <f t="shared" si="187"/>
        <v>0</v>
      </c>
      <c r="O800" s="28"/>
      <c r="P800" s="33">
        <f t="shared" si="188"/>
        <v>0</v>
      </c>
      <c r="Q800" s="35" t="str" cm="1">
        <f t="array" ref="Q800">IF(AF800&lt;&gt;"",IFERROR(INDEX('Group List B'!B:B,MATCH(AI800,'Group List B'!A:A,0),0),"-"),"")</f>
        <v/>
      </c>
      <c r="R800" s="36">
        <f t="shared" si="189"/>
        <v>0</v>
      </c>
      <c r="S800" s="36">
        <f t="shared" si="190"/>
        <v>0</v>
      </c>
      <c r="T800" s="36">
        <f t="shared" si="191"/>
        <v>0</v>
      </c>
      <c r="U800" s="28"/>
      <c r="V800" s="37">
        <f t="shared" si="192"/>
        <v>0</v>
      </c>
      <c r="W800" s="41"/>
      <c r="X800" s="27"/>
      <c r="Y800" s="27"/>
      <c r="Z800" s="27"/>
      <c r="AA800" s="15"/>
      <c r="AB800" s="17"/>
      <c r="AC800" s="17"/>
      <c r="AD800" s="17"/>
      <c r="AE800" s="90"/>
      <c r="AF800" s="82" t="str">
        <f t="shared" si="193"/>
        <v/>
      </c>
      <c r="AG800" s="83" t="str">
        <f t="shared" si="194"/>
        <v/>
      </c>
      <c r="AH800" s="82" t="str">
        <f t="shared" si="195"/>
        <v/>
      </c>
      <c r="AI800" s="82" t="str">
        <f t="shared" si="196"/>
        <v/>
      </c>
      <c r="AJ800" s="90"/>
      <c r="AP800" s="88"/>
    </row>
    <row r="801" spans="1:42" x14ac:dyDescent="0.25">
      <c r="A801" s="2"/>
      <c r="C801" s="68" t="str" cm="1">
        <f t="array" ref="C801">IF(AF801&lt;&gt;"",
IFERROR(INDEX('LaunchPad Markbook'!A:A,MATCH(AH801,'LaunchPad Markbook'!D:D,0),0),"-"),"")</f>
        <v/>
      </c>
      <c r="D801" s="27"/>
      <c r="E801" s="27"/>
      <c r="F801" s="27"/>
      <c r="G801" s="14">
        <f>IF(OR(H801&gt;AB$2,I801&gt;AC$2,J801&gt;AD$2,
P801&gt;1,V801&gt;1,
L801&gt;'Group List A'!E$2,M801&gt;'Group List A'!F$2,N801&gt;'Group List A'!G$2,
R801&gt;'Group List B'!E$2,S801&gt;'Group List B'!F$2,T801&gt;'Group List B'!G$2),"Exceed",
IF(OR(H801=AB$2,I801=AC$2,J801=AD$2,
P801=1,V801=1,
L801='Group List A'!E$2,M801='Group List A'!F$2,N801='Group List A'!G$2,
R801='Group List B'!E$2,S801='Group List B'!F$2,T801='Group List B'!G$2),"Limit",0))</f>
        <v>0</v>
      </c>
      <c r="H801" s="29">
        <f t="shared" si="182"/>
        <v>0</v>
      </c>
      <c r="I801" s="29">
        <f t="shared" si="183"/>
        <v>0</v>
      </c>
      <c r="J801" s="29">
        <f t="shared" si="184"/>
        <v>0</v>
      </c>
      <c r="K801" s="32" t="str" cm="1">
        <f t="array" ref="K801">IF(AF801&lt;&gt;"",IFERROR(INDEX('Group List A'!B:B,MATCH(AI801,'Group List A'!A:A,0),0),"-"),"")</f>
        <v/>
      </c>
      <c r="L801" s="33">
        <f t="shared" si="185"/>
        <v>0</v>
      </c>
      <c r="M801" s="33">
        <f t="shared" si="186"/>
        <v>0</v>
      </c>
      <c r="N801" s="33">
        <f t="shared" si="187"/>
        <v>0</v>
      </c>
      <c r="O801" s="28"/>
      <c r="P801" s="33">
        <f t="shared" si="188"/>
        <v>0</v>
      </c>
      <c r="Q801" s="35" t="str" cm="1">
        <f t="array" ref="Q801">IF(AF801&lt;&gt;"",IFERROR(INDEX('Group List B'!B:B,MATCH(AI801,'Group List B'!A:A,0),0),"-"),"")</f>
        <v/>
      </c>
      <c r="R801" s="36">
        <f t="shared" si="189"/>
        <v>0</v>
      </c>
      <c r="S801" s="36">
        <f t="shared" si="190"/>
        <v>0</v>
      </c>
      <c r="T801" s="36">
        <f t="shared" si="191"/>
        <v>0</v>
      </c>
      <c r="U801" s="28"/>
      <c r="V801" s="37">
        <f t="shared" si="192"/>
        <v>0</v>
      </c>
      <c r="W801" s="41"/>
      <c r="X801" s="27"/>
      <c r="Y801" s="27"/>
      <c r="Z801" s="27"/>
      <c r="AA801" s="15"/>
      <c r="AB801" s="17"/>
      <c r="AC801" s="17"/>
      <c r="AD801" s="17"/>
      <c r="AE801" s="90"/>
      <c r="AF801" s="82" t="str">
        <f t="shared" si="193"/>
        <v/>
      </c>
      <c r="AG801" s="83" t="str">
        <f t="shared" si="194"/>
        <v/>
      </c>
      <c r="AH801" s="82" t="str">
        <f t="shared" si="195"/>
        <v/>
      </c>
      <c r="AI801" s="82" t="str">
        <f t="shared" si="196"/>
        <v/>
      </c>
      <c r="AJ801" s="90"/>
      <c r="AP801" s="88"/>
    </row>
    <row r="802" spans="1:42" x14ac:dyDescent="0.25">
      <c r="A802" s="2"/>
      <c r="C802" s="68" t="str" cm="1">
        <f t="array" ref="C802">IF(AF802&lt;&gt;"",
IFERROR(INDEX('LaunchPad Markbook'!A:A,MATCH(AH802,'LaunchPad Markbook'!D:D,0),0),"-"),"")</f>
        <v/>
      </c>
      <c r="D802" s="27"/>
      <c r="E802" s="27"/>
      <c r="F802" s="27"/>
      <c r="G802" s="14">
        <f>IF(OR(H802&gt;AB$2,I802&gt;AC$2,J802&gt;AD$2,
P802&gt;1,V802&gt;1,
L802&gt;'Group List A'!E$2,M802&gt;'Group List A'!F$2,N802&gt;'Group List A'!G$2,
R802&gt;'Group List B'!E$2,S802&gt;'Group List B'!F$2,T802&gt;'Group List B'!G$2),"Exceed",
IF(OR(H802=AB$2,I802=AC$2,J802=AD$2,
P802=1,V802=1,
L802='Group List A'!E$2,M802='Group List A'!F$2,N802='Group List A'!G$2,
R802='Group List B'!E$2,S802='Group List B'!F$2,T802='Group List B'!G$2),"Limit",0))</f>
        <v>0</v>
      </c>
      <c r="H802" s="29">
        <f t="shared" si="182"/>
        <v>0</v>
      </c>
      <c r="I802" s="29">
        <f t="shared" si="183"/>
        <v>0</v>
      </c>
      <c r="J802" s="29">
        <f t="shared" si="184"/>
        <v>0</v>
      </c>
      <c r="K802" s="32" t="str" cm="1">
        <f t="array" ref="K802">IF(AF802&lt;&gt;"",IFERROR(INDEX('Group List A'!B:B,MATCH(AI802,'Group List A'!A:A,0),0),"-"),"")</f>
        <v/>
      </c>
      <c r="L802" s="33">
        <f t="shared" si="185"/>
        <v>0</v>
      </c>
      <c r="M802" s="33">
        <f t="shared" si="186"/>
        <v>0</v>
      </c>
      <c r="N802" s="33">
        <f t="shared" si="187"/>
        <v>0</v>
      </c>
      <c r="O802" s="28"/>
      <c r="P802" s="33">
        <f t="shared" si="188"/>
        <v>0</v>
      </c>
      <c r="Q802" s="35" t="str" cm="1">
        <f t="array" ref="Q802">IF(AF802&lt;&gt;"",IFERROR(INDEX('Group List B'!B:B,MATCH(AI802,'Group List B'!A:A,0),0),"-"),"")</f>
        <v/>
      </c>
      <c r="R802" s="36">
        <f t="shared" si="189"/>
        <v>0</v>
      </c>
      <c r="S802" s="36">
        <f t="shared" si="190"/>
        <v>0</v>
      </c>
      <c r="T802" s="36">
        <f t="shared" si="191"/>
        <v>0</v>
      </c>
      <c r="U802" s="28"/>
      <c r="V802" s="37">
        <f t="shared" si="192"/>
        <v>0</v>
      </c>
      <c r="W802" s="41"/>
      <c r="X802" s="27"/>
      <c r="Y802" s="27"/>
      <c r="Z802" s="27"/>
      <c r="AA802" s="15"/>
      <c r="AB802" s="17"/>
      <c r="AC802" s="17"/>
      <c r="AD802" s="17"/>
      <c r="AE802" s="90"/>
      <c r="AF802" s="82" t="str">
        <f t="shared" si="193"/>
        <v/>
      </c>
      <c r="AG802" s="83" t="str">
        <f t="shared" si="194"/>
        <v/>
      </c>
      <c r="AH802" s="82" t="str">
        <f t="shared" si="195"/>
        <v/>
      </c>
      <c r="AI802" s="82" t="str">
        <f t="shared" si="196"/>
        <v/>
      </c>
      <c r="AJ802" s="90"/>
      <c r="AP802" s="88"/>
    </row>
    <row r="803" spans="1:42" x14ac:dyDescent="0.25">
      <c r="A803" s="2"/>
      <c r="C803" s="68" t="str" cm="1">
        <f t="array" ref="C803">IF(AF803&lt;&gt;"",
IFERROR(INDEX('LaunchPad Markbook'!A:A,MATCH(AH803,'LaunchPad Markbook'!D:D,0),0),"-"),"")</f>
        <v/>
      </c>
      <c r="D803" s="27"/>
      <c r="E803" s="27"/>
      <c r="F803" s="27"/>
      <c r="G803" s="14">
        <f>IF(OR(H803&gt;AB$2,I803&gt;AC$2,J803&gt;AD$2,
P803&gt;1,V803&gt;1,
L803&gt;'Group List A'!E$2,M803&gt;'Group List A'!F$2,N803&gt;'Group List A'!G$2,
R803&gt;'Group List B'!E$2,S803&gt;'Group List B'!F$2,T803&gt;'Group List B'!G$2),"Exceed",
IF(OR(H803=AB$2,I803=AC$2,J803=AD$2,
P803=1,V803=1,
L803='Group List A'!E$2,M803='Group List A'!F$2,N803='Group List A'!G$2,
R803='Group List B'!E$2,S803='Group List B'!F$2,T803='Group List B'!G$2),"Limit",0))</f>
        <v>0</v>
      </c>
      <c r="H803" s="29">
        <f t="shared" si="182"/>
        <v>0</v>
      </c>
      <c r="I803" s="29">
        <f t="shared" si="183"/>
        <v>0</v>
      </c>
      <c r="J803" s="29">
        <f t="shared" si="184"/>
        <v>0</v>
      </c>
      <c r="K803" s="32" t="str" cm="1">
        <f t="array" ref="K803">IF(AF803&lt;&gt;"",IFERROR(INDEX('Group List A'!B:B,MATCH(AI803,'Group List A'!A:A,0),0),"-"),"")</f>
        <v/>
      </c>
      <c r="L803" s="33">
        <f t="shared" si="185"/>
        <v>0</v>
      </c>
      <c r="M803" s="33">
        <f t="shared" si="186"/>
        <v>0</v>
      </c>
      <c r="N803" s="33">
        <f t="shared" si="187"/>
        <v>0</v>
      </c>
      <c r="O803" s="28"/>
      <c r="P803" s="33">
        <f t="shared" si="188"/>
        <v>0</v>
      </c>
      <c r="Q803" s="35" t="str" cm="1">
        <f t="array" ref="Q803">IF(AF803&lt;&gt;"",IFERROR(INDEX('Group List B'!B:B,MATCH(AI803,'Group List B'!A:A,0),0),"-"),"")</f>
        <v/>
      </c>
      <c r="R803" s="36">
        <f t="shared" si="189"/>
        <v>0</v>
      </c>
      <c r="S803" s="36">
        <f t="shared" si="190"/>
        <v>0</v>
      </c>
      <c r="T803" s="36">
        <f t="shared" si="191"/>
        <v>0</v>
      </c>
      <c r="U803" s="28"/>
      <c r="V803" s="37">
        <f t="shared" si="192"/>
        <v>0</v>
      </c>
      <c r="W803" s="41"/>
      <c r="X803" s="27"/>
      <c r="Y803" s="27"/>
      <c r="Z803" s="27"/>
      <c r="AA803" s="15"/>
      <c r="AB803" s="17"/>
      <c r="AC803" s="17"/>
      <c r="AD803" s="17"/>
      <c r="AE803" s="90"/>
      <c r="AF803" s="82" t="str">
        <f t="shared" si="193"/>
        <v/>
      </c>
      <c r="AG803" s="83" t="str">
        <f t="shared" si="194"/>
        <v/>
      </c>
      <c r="AH803" s="82" t="str">
        <f t="shared" si="195"/>
        <v/>
      </c>
      <c r="AI803" s="82" t="str">
        <f t="shared" si="196"/>
        <v/>
      </c>
      <c r="AJ803" s="90"/>
      <c r="AP803" s="88"/>
    </row>
    <row r="804" spans="1:42" x14ac:dyDescent="0.25">
      <c r="A804" s="2"/>
      <c r="C804" s="68" t="str" cm="1">
        <f t="array" ref="C804">IF(AF804&lt;&gt;"",
IFERROR(INDEX('LaunchPad Markbook'!A:A,MATCH(AH804,'LaunchPad Markbook'!D:D,0),0),"-"),"")</f>
        <v/>
      </c>
      <c r="D804" s="27"/>
      <c r="E804" s="27"/>
      <c r="F804" s="27"/>
      <c r="G804" s="14">
        <f>IF(OR(H804&gt;AB$2,I804&gt;AC$2,J804&gt;AD$2,
P804&gt;1,V804&gt;1,
L804&gt;'Group List A'!E$2,M804&gt;'Group List A'!F$2,N804&gt;'Group List A'!G$2,
R804&gt;'Group List B'!E$2,S804&gt;'Group List B'!F$2,T804&gt;'Group List B'!G$2),"Exceed",
IF(OR(H804=AB$2,I804=AC$2,J804=AD$2,
P804=1,V804=1,
L804='Group List A'!E$2,M804='Group List A'!F$2,N804='Group List A'!G$2,
R804='Group List B'!E$2,S804='Group List B'!F$2,T804='Group List B'!G$2),"Limit",0))</f>
        <v>0</v>
      </c>
      <c r="H804" s="29">
        <f t="shared" si="182"/>
        <v>0</v>
      </c>
      <c r="I804" s="29">
        <f t="shared" si="183"/>
        <v>0</v>
      </c>
      <c r="J804" s="29">
        <f t="shared" si="184"/>
        <v>0</v>
      </c>
      <c r="K804" s="32" t="str" cm="1">
        <f t="array" ref="K804">IF(AF804&lt;&gt;"",IFERROR(INDEX('Group List A'!B:B,MATCH(AI804,'Group List A'!A:A,0),0),"-"),"")</f>
        <v/>
      </c>
      <c r="L804" s="33">
        <f t="shared" si="185"/>
        <v>0</v>
      </c>
      <c r="M804" s="33">
        <f t="shared" si="186"/>
        <v>0</v>
      </c>
      <c r="N804" s="33">
        <f t="shared" si="187"/>
        <v>0</v>
      </c>
      <c r="O804" s="28"/>
      <c r="P804" s="33">
        <f t="shared" si="188"/>
        <v>0</v>
      </c>
      <c r="Q804" s="35" t="str" cm="1">
        <f t="array" ref="Q804">IF(AF804&lt;&gt;"",IFERROR(INDEX('Group List B'!B:B,MATCH(AI804,'Group List B'!A:A,0),0),"-"),"")</f>
        <v/>
      </c>
      <c r="R804" s="36">
        <f t="shared" si="189"/>
        <v>0</v>
      </c>
      <c r="S804" s="36">
        <f t="shared" si="190"/>
        <v>0</v>
      </c>
      <c r="T804" s="36">
        <f t="shared" si="191"/>
        <v>0</v>
      </c>
      <c r="U804" s="28"/>
      <c r="V804" s="37">
        <f t="shared" si="192"/>
        <v>0</v>
      </c>
      <c r="W804" s="41"/>
      <c r="X804" s="27"/>
      <c r="Y804" s="27"/>
      <c r="Z804" s="27"/>
      <c r="AA804" s="15"/>
      <c r="AB804" s="17"/>
      <c r="AC804" s="17"/>
      <c r="AD804" s="17"/>
      <c r="AE804" s="90"/>
      <c r="AF804" s="82" t="str">
        <f t="shared" si="193"/>
        <v/>
      </c>
      <c r="AG804" s="83" t="str">
        <f t="shared" si="194"/>
        <v/>
      </c>
      <c r="AH804" s="82" t="str">
        <f t="shared" si="195"/>
        <v/>
      </c>
      <c r="AI804" s="82" t="str">
        <f t="shared" si="196"/>
        <v/>
      </c>
      <c r="AJ804" s="90"/>
      <c r="AP804" s="88"/>
    </row>
    <row r="805" spans="1:42" x14ac:dyDescent="0.25">
      <c r="A805" s="2"/>
      <c r="C805" s="68" t="str" cm="1">
        <f t="array" ref="C805">IF(AF805&lt;&gt;"",
IFERROR(INDEX('LaunchPad Markbook'!A:A,MATCH(AH805,'LaunchPad Markbook'!D:D,0),0),"-"),"")</f>
        <v/>
      </c>
      <c r="D805" s="27"/>
      <c r="E805" s="27"/>
      <c r="F805" s="27"/>
      <c r="G805" s="14">
        <f>IF(OR(H805&gt;AB$2,I805&gt;AC$2,J805&gt;AD$2,
P805&gt;1,V805&gt;1,
L805&gt;'Group List A'!E$2,M805&gt;'Group List A'!F$2,N805&gt;'Group List A'!G$2,
R805&gt;'Group List B'!E$2,S805&gt;'Group List B'!F$2,T805&gt;'Group List B'!G$2),"Exceed",
IF(OR(H805=AB$2,I805=AC$2,J805=AD$2,
P805=1,V805=1,
L805='Group List A'!E$2,M805='Group List A'!F$2,N805='Group List A'!G$2,
R805='Group List B'!E$2,S805='Group List B'!F$2,T805='Group List B'!G$2),"Limit",0))</f>
        <v>0</v>
      </c>
      <c r="H805" s="29">
        <f t="shared" si="182"/>
        <v>0</v>
      </c>
      <c r="I805" s="29">
        <f t="shared" si="183"/>
        <v>0</v>
      </c>
      <c r="J805" s="29">
        <f t="shared" si="184"/>
        <v>0</v>
      </c>
      <c r="K805" s="32" t="str" cm="1">
        <f t="array" ref="K805">IF(AF805&lt;&gt;"",IFERROR(INDEX('Group List A'!B:B,MATCH(AI805,'Group List A'!A:A,0),0),"-"),"")</f>
        <v/>
      </c>
      <c r="L805" s="33">
        <f t="shared" si="185"/>
        <v>0</v>
      </c>
      <c r="M805" s="33">
        <f t="shared" si="186"/>
        <v>0</v>
      </c>
      <c r="N805" s="33">
        <f t="shared" si="187"/>
        <v>0</v>
      </c>
      <c r="O805" s="28"/>
      <c r="P805" s="33">
        <f t="shared" si="188"/>
        <v>0</v>
      </c>
      <c r="Q805" s="35" t="str" cm="1">
        <f t="array" ref="Q805">IF(AF805&lt;&gt;"",IFERROR(INDEX('Group List B'!B:B,MATCH(AI805,'Group List B'!A:A,0),0),"-"),"")</f>
        <v/>
      </c>
      <c r="R805" s="36">
        <f t="shared" si="189"/>
        <v>0</v>
      </c>
      <c r="S805" s="36">
        <f t="shared" si="190"/>
        <v>0</v>
      </c>
      <c r="T805" s="36">
        <f t="shared" si="191"/>
        <v>0</v>
      </c>
      <c r="U805" s="28"/>
      <c r="V805" s="37">
        <f t="shared" si="192"/>
        <v>0</v>
      </c>
      <c r="W805" s="41"/>
      <c r="X805" s="27"/>
      <c r="Y805" s="27"/>
      <c r="Z805" s="27"/>
      <c r="AA805" s="15"/>
      <c r="AB805" s="17"/>
      <c r="AC805" s="17"/>
      <c r="AD805" s="17"/>
      <c r="AE805" s="90"/>
      <c r="AF805" s="82" t="str">
        <f t="shared" si="193"/>
        <v/>
      </c>
      <c r="AG805" s="83" t="str">
        <f t="shared" si="194"/>
        <v/>
      </c>
      <c r="AH805" s="82" t="str">
        <f t="shared" si="195"/>
        <v/>
      </c>
      <c r="AI805" s="82" t="str">
        <f t="shared" si="196"/>
        <v/>
      </c>
      <c r="AJ805" s="90"/>
      <c r="AP805" s="88"/>
    </row>
    <row r="806" spans="1:42" x14ac:dyDescent="0.25">
      <c r="A806" s="2"/>
      <c r="C806" s="68" t="str" cm="1">
        <f t="array" ref="C806">IF(AF806&lt;&gt;"",
IFERROR(INDEX('LaunchPad Markbook'!A:A,MATCH(AH806,'LaunchPad Markbook'!D:D,0),0),"-"),"")</f>
        <v/>
      </c>
      <c r="D806" s="27"/>
      <c r="E806" s="27"/>
      <c r="F806" s="27"/>
      <c r="G806" s="14">
        <f>IF(OR(H806&gt;AB$2,I806&gt;AC$2,J806&gt;AD$2,
P806&gt;1,V806&gt;1,
L806&gt;'Group List A'!E$2,M806&gt;'Group List A'!F$2,N806&gt;'Group List A'!G$2,
R806&gt;'Group List B'!E$2,S806&gt;'Group List B'!F$2,T806&gt;'Group List B'!G$2),"Exceed",
IF(OR(H806=AB$2,I806=AC$2,J806=AD$2,
P806=1,V806=1,
L806='Group List A'!E$2,M806='Group List A'!F$2,N806='Group List A'!G$2,
R806='Group List B'!E$2,S806='Group List B'!F$2,T806='Group List B'!G$2),"Limit",0))</f>
        <v>0</v>
      </c>
      <c r="H806" s="29">
        <f t="shared" si="182"/>
        <v>0</v>
      </c>
      <c r="I806" s="29">
        <f t="shared" si="183"/>
        <v>0</v>
      </c>
      <c r="J806" s="29">
        <f t="shared" si="184"/>
        <v>0</v>
      </c>
      <c r="K806" s="32" t="str" cm="1">
        <f t="array" ref="K806">IF(AF806&lt;&gt;"",IFERROR(INDEX('Group List A'!B:B,MATCH(AI806,'Group List A'!A:A,0),0),"-"),"")</f>
        <v/>
      </c>
      <c r="L806" s="33">
        <f t="shared" si="185"/>
        <v>0</v>
      </c>
      <c r="M806" s="33">
        <f t="shared" si="186"/>
        <v>0</v>
      </c>
      <c r="N806" s="33">
        <f t="shared" si="187"/>
        <v>0</v>
      </c>
      <c r="O806" s="28"/>
      <c r="P806" s="33">
        <f t="shared" si="188"/>
        <v>0</v>
      </c>
      <c r="Q806" s="35" t="str" cm="1">
        <f t="array" ref="Q806">IF(AF806&lt;&gt;"",IFERROR(INDEX('Group List B'!B:B,MATCH(AI806,'Group List B'!A:A,0),0),"-"),"")</f>
        <v/>
      </c>
      <c r="R806" s="36">
        <f t="shared" si="189"/>
        <v>0</v>
      </c>
      <c r="S806" s="36">
        <f t="shared" si="190"/>
        <v>0</v>
      </c>
      <c r="T806" s="36">
        <f t="shared" si="191"/>
        <v>0</v>
      </c>
      <c r="U806" s="28"/>
      <c r="V806" s="37">
        <f t="shared" si="192"/>
        <v>0</v>
      </c>
      <c r="W806" s="41"/>
      <c r="X806" s="27"/>
      <c r="Y806" s="27"/>
      <c r="Z806" s="27"/>
      <c r="AA806" s="15"/>
      <c r="AB806" s="17"/>
      <c r="AC806" s="17"/>
      <c r="AD806" s="17"/>
      <c r="AE806" s="90"/>
      <c r="AF806" s="82" t="str">
        <f t="shared" si="193"/>
        <v/>
      </c>
      <c r="AG806" s="83" t="str">
        <f t="shared" si="194"/>
        <v/>
      </c>
      <c r="AH806" s="82" t="str">
        <f t="shared" si="195"/>
        <v/>
      </c>
      <c r="AI806" s="82" t="str">
        <f t="shared" si="196"/>
        <v/>
      </c>
      <c r="AJ806" s="90"/>
      <c r="AP806" s="88"/>
    </row>
    <row r="807" spans="1:42" x14ac:dyDescent="0.25">
      <c r="A807" s="2"/>
      <c r="C807" s="68" t="str" cm="1">
        <f t="array" ref="C807">IF(AF807&lt;&gt;"",
IFERROR(INDEX('LaunchPad Markbook'!A:A,MATCH(AH807,'LaunchPad Markbook'!D:D,0),0),"-"),"")</f>
        <v/>
      </c>
      <c r="D807" s="27"/>
      <c r="E807" s="27"/>
      <c r="F807" s="27"/>
      <c r="G807" s="14">
        <f>IF(OR(H807&gt;AB$2,I807&gt;AC$2,J807&gt;AD$2,
P807&gt;1,V807&gt;1,
L807&gt;'Group List A'!E$2,M807&gt;'Group List A'!F$2,N807&gt;'Group List A'!G$2,
R807&gt;'Group List B'!E$2,S807&gt;'Group List B'!F$2,T807&gt;'Group List B'!G$2),"Exceed",
IF(OR(H807=AB$2,I807=AC$2,J807=AD$2,
P807=1,V807=1,
L807='Group List A'!E$2,M807='Group List A'!F$2,N807='Group List A'!G$2,
R807='Group List B'!E$2,S807='Group List B'!F$2,T807='Group List B'!G$2),"Limit",0))</f>
        <v>0</v>
      </c>
      <c r="H807" s="29">
        <f t="shared" si="182"/>
        <v>0</v>
      </c>
      <c r="I807" s="29">
        <f t="shared" si="183"/>
        <v>0</v>
      </c>
      <c r="J807" s="29">
        <f t="shared" si="184"/>
        <v>0</v>
      </c>
      <c r="K807" s="32" t="str" cm="1">
        <f t="array" ref="K807">IF(AF807&lt;&gt;"",IFERROR(INDEX('Group List A'!B:B,MATCH(AI807,'Group List A'!A:A,0),0),"-"),"")</f>
        <v/>
      </c>
      <c r="L807" s="33">
        <f t="shared" si="185"/>
        <v>0</v>
      </c>
      <c r="M807" s="33">
        <f t="shared" si="186"/>
        <v>0</v>
      </c>
      <c r="N807" s="33">
        <f t="shared" si="187"/>
        <v>0</v>
      </c>
      <c r="O807" s="28"/>
      <c r="P807" s="33">
        <f t="shared" si="188"/>
        <v>0</v>
      </c>
      <c r="Q807" s="35" t="str" cm="1">
        <f t="array" ref="Q807">IF(AF807&lt;&gt;"",IFERROR(INDEX('Group List B'!B:B,MATCH(AI807,'Group List B'!A:A,0),0),"-"),"")</f>
        <v/>
      </c>
      <c r="R807" s="36">
        <f t="shared" si="189"/>
        <v>0</v>
      </c>
      <c r="S807" s="36">
        <f t="shared" si="190"/>
        <v>0</v>
      </c>
      <c r="T807" s="36">
        <f t="shared" si="191"/>
        <v>0</v>
      </c>
      <c r="U807" s="28"/>
      <c r="V807" s="37">
        <f t="shared" si="192"/>
        <v>0</v>
      </c>
      <c r="W807" s="41"/>
      <c r="X807" s="27"/>
      <c r="Y807" s="27"/>
      <c r="Z807" s="27"/>
      <c r="AA807" s="15"/>
      <c r="AB807" s="17"/>
      <c r="AC807" s="17"/>
      <c r="AD807" s="17"/>
      <c r="AE807" s="90"/>
      <c r="AF807" s="82" t="str">
        <f t="shared" si="193"/>
        <v/>
      </c>
      <c r="AG807" s="83" t="str">
        <f t="shared" si="194"/>
        <v/>
      </c>
      <c r="AH807" s="82" t="str">
        <f t="shared" si="195"/>
        <v/>
      </c>
      <c r="AI807" s="82" t="str">
        <f t="shared" si="196"/>
        <v/>
      </c>
      <c r="AJ807" s="90"/>
      <c r="AP807" s="88"/>
    </row>
    <row r="808" spans="1:42" x14ac:dyDescent="0.25">
      <c r="A808" s="2"/>
      <c r="C808" s="68" t="str" cm="1">
        <f t="array" ref="C808">IF(AF808&lt;&gt;"",
IFERROR(INDEX('LaunchPad Markbook'!A:A,MATCH(AH808,'LaunchPad Markbook'!D:D,0),0),"-"),"")</f>
        <v/>
      </c>
      <c r="D808" s="27"/>
      <c r="E808" s="27"/>
      <c r="F808" s="27"/>
      <c r="G808" s="14">
        <f>IF(OR(H808&gt;AB$2,I808&gt;AC$2,J808&gt;AD$2,
P808&gt;1,V808&gt;1,
L808&gt;'Group List A'!E$2,M808&gt;'Group List A'!F$2,N808&gt;'Group List A'!G$2,
R808&gt;'Group List B'!E$2,S808&gt;'Group List B'!F$2,T808&gt;'Group List B'!G$2),"Exceed",
IF(OR(H808=AB$2,I808=AC$2,J808=AD$2,
P808=1,V808=1,
L808='Group List A'!E$2,M808='Group List A'!F$2,N808='Group List A'!G$2,
R808='Group List B'!E$2,S808='Group List B'!F$2,T808='Group List B'!G$2),"Limit",0))</f>
        <v>0</v>
      </c>
      <c r="H808" s="29">
        <f t="shared" si="182"/>
        <v>0</v>
      </c>
      <c r="I808" s="29">
        <f t="shared" si="183"/>
        <v>0</v>
      </c>
      <c r="J808" s="29">
        <f t="shared" si="184"/>
        <v>0</v>
      </c>
      <c r="K808" s="32" t="str" cm="1">
        <f t="array" ref="K808">IF(AF808&lt;&gt;"",IFERROR(INDEX('Group List A'!B:B,MATCH(AI808,'Group List A'!A:A,0),0),"-"),"")</f>
        <v/>
      </c>
      <c r="L808" s="33">
        <f t="shared" si="185"/>
        <v>0</v>
      </c>
      <c r="M808" s="33">
        <f t="shared" si="186"/>
        <v>0</v>
      </c>
      <c r="N808" s="33">
        <f t="shared" si="187"/>
        <v>0</v>
      </c>
      <c r="O808" s="28"/>
      <c r="P808" s="33">
        <f t="shared" si="188"/>
        <v>0</v>
      </c>
      <c r="Q808" s="35" t="str" cm="1">
        <f t="array" ref="Q808">IF(AF808&lt;&gt;"",IFERROR(INDEX('Group List B'!B:B,MATCH(AI808,'Group List B'!A:A,0),0),"-"),"")</f>
        <v/>
      </c>
      <c r="R808" s="36">
        <f t="shared" si="189"/>
        <v>0</v>
      </c>
      <c r="S808" s="36">
        <f t="shared" si="190"/>
        <v>0</v>
      </c>
      <c r="T808" s="36">
        <f t="shared" si="191"/>
        <v>0</v>
      </c>
      <c r="U808" s="28"/>
      <c r="V808" s="37">
        <f t="shared" si="192"/>
        <v>0</v>
      </c>
      <c r="W808" s="41"/>
      <c r="X808" s="27"/>
      <c r="Y808" s="27"/>
      <c r="Z808" s="27"/>
      <c r="AA808" s="15"/>
      <c r="AB808" s="17"/>
      <c r="AC808" s="17"/>
      <c r="AD808" s="17"/>
      <c r="AE808" s="90"/>
      <c r="AF808" s="82" t="str">
        <f t="shared" si="193"/>
        <v/>
      </c>
      <c r="AG808" s="83" t="str">
        <f t="shared" si="194"/>
        <v/>
      </c>
      <c r="AH808" s="82" t="str">
        <f t="shared" si="195"/>
        <v/>
      </c>
      <c r="AI808" s="82" t="str">
        <f t="shared" si="196"/>
        <v/>
      </c>
      <c r="AJ808" s="90"/>
      <c r="AP808" s="88"/>
    </row>
    <row r="809" spans="1:42" x14ac:dyDescent="0.25">
      <c r="A809" s="2"/>
      <c r="C809" s="68" t="str" cm="1">
        <f t="array" ref="C809">IF(AF809&lt;&gt;"",
IFERROR(INDEX('LaunchPad Markbook'!A:A,MATCH(AH809,'LaunchPad Markbook'!D:D,0),0),"-"),"")</f>
        <v/>
      </c>
      <c r="D809" s="27"/>
      <c r="E809" s="27"/>
      <c r="F809" s="27"/>
      <c r="G809" s="14">
        <f>IF(OR(H809&gt;AB$2,I809&gt;AC$2,J809&gt;AD$2,
P809&gt;1,V809&gt;1,
L809&gt;'Group List A'!E$2,M809&gt;'Group List A'!F$2,N809&gt;'Group List A'!G$2,
R809&gt;'Group List B'!E$2,S809&gt;'Group List B'!F$2,T809&gt;'Group List B'!G$2),"Exceed",
IF(OR(H809=AB$2,I809=AC$2,J809=AD$2,
P809=1,V809=1,
L809='Group List A'!E$2,M809='Group List A'!F$2,N809='Group List A'!G$2,
R809='Group List B'!E$2,S809='Group List B'!F$2,T809='Group List B'!G$2),"Limit",0))</f>
        <v>0</v>
      </c>
      <c r="H809" s="29">
        <f t="shared" si="182"/>
        <v>0</v>
      </c>
      <c r="I809" s="29">
        <f t="shared" si="183"/>
        <v>0</v>
      </c>
      <c r="J809" s="29">
        <f t="shared" si="184"/>
        <v>0</v>
      </c>
      <c r="K809" s="32" t="str" cm="1">
        <f t="array" ref="K809">IF(AF809&lt;&gt;"",IFERROR(INDEX('Group List A'!B:B,MATCH(AI809,'Group List A'!A:A,0),0),"-"),"")</f>
        <v/>
      </c>
      <c r="L809" s="33">
        <f t="shared" si="185"/>
        <v>0</v>
      </c>
      <c r="M809" s="33">
        <f t="shared" si="186"/>
        <v>0</v>
      </c>
      <c r="N809" s="33">
        <f t="shared" si="187"/>
        <v>0</v>
      </c>
      <c r="O809" s="28"/>
      <c r="P809" s="33">
        <f t="shared" si="188"/>
        <v>0</v>
      </c>
      <c r="Q809" s="35" t="str" cm="1">
        <f t="array" ref="Q809">IF(AF809&lt;&gt;"",IFERROR(INDEX('Group List B'!B:B,MATCH(AI809,'Group List B'!A:A,0),0),"-"),"")</f>
        <v/>
      </c>
      <c r="R809" s="36">
        <f t="shared" si="189"/>
        <v>0</v>
      </c>
      <c r="S809" s="36">
        <f t="shared" si="190"/>
        <v>0</v>
      </c>
      <c r="T809" s="36">
        <f t="shared" si="191"/>
        <v>0</v>
      </c>
      <c r="U809" s="28"/>
      <c r="V809" s="37">
        <f t="shared" si="192"/>
        <v>0</v>
      </c>
      <c r="W809" s="41"/>
      <c r="X809" s="27"/>
      <c r="Y809" s="27"/>
      <c r="Z809" s="27"/>
      <c r="AA809" s="15"/>
      <c r="AB809" s="17"/>
      <c r="AC809" s="17"/>
      <c r="AD809" s="17"/>
      <c r="AE809" s="90"/>
      <c r="AF809" s="82" t="str">
        <f t="shared" si="193"/>
        <v/>
      </c>
      <c r="AG809" s="83" t="str">
        <f t="shared" si="194"/>
        <v/>
      </c>
      <c r="AH809" s="82" t="str">
        <f t="shared" si="195"/>
        <v/>
      </c>
      <c r="AI809" s="82" t="str">
        <f t="shared" si="196"/>
        <v/>
      </c>
      <c r="AJ809" s="90"/>
      <c r="AP809" s="88"/>
    </row>
    <row r="810" spans="1:42" x14ac:dyDescent="0.25">
      <c r="A810" s="2"/>
      <c r="C810" s="68" t="str" cm="1">
        <f t="array" ref="C810">IF(AF810&lt;&gt;"",
IFERROR(INDEX('LaunchPad Markbook'!A:A,MATCH(AH810,'LaunchPad Markbook'!D:D,0),0),"-"),"")</f>
        <v/>
      </c>
      <c r="D810" s="27"/>
      <c r="E810" s="27"/>
      <c r="F810" s="27"/>
      <c r="G810" s="14">
        <f>IF(OR(H810&gt;AB$2,I810&gt;AC$2,J810&gt;AD$2,
P810&gt;1,V810&gt;1,
L810&gt;'Group List A'!E$2,M810&gt;'Group List A'!F$2,N810&gt;'Group List A'!G$2,
R810&gt;'Group List B'!E$2,S810&gt;'Group List B'!F$2,T810&gt;'Group List B'!G$2),"Exceed",
IF(OR(H810=AB$2,I810=AC$2,J810=AD$2,
P810=1,V810=1,
L810='Group List A'!E$2,M810='Group List A'!F$2,N810='Group List A'!G$2,
R810='Group List B'!E$2,S810='Group List B'!F$2,T810='Group List B'!G$2),"Limit",0))</f>
        <v>0</v>
      </c>
      <c r="H810" s="29">
        <f t="shared" si="182"/>
        <v>0</v>
      </c>
      <c r="I810" s="29">
        <f t="shared" si="183"/>
        <v>0</v>
      </c>
      <c r="J810" s="29">
        <f t="shared" si="184"/>
        <v>0</v>
      </c>
      <c r="K810" s="32" t="str" cm="1">
        <f t="array" ref="K810">IF(AF810&lt;&gt;"",IFERROR(INDEX('Group List A'!B:B,MATCH(AI810,'Group List A'!A:A,0),0),"-"),"")</f>
        <v/>
      </c>
      <c r="L810" s="33">
        <f t="shared" si="185"/>
        <v>0</v>
      </c>
      <c r="M810" s="33">
        <f t="shared" si="186"/>
        <v>0</v>
      </c>
      <c r="N810" s="33">
        <f t="shared" si="187"/>
        <v>0</v>
      </c>
      <c r="O810" s="28"/>
      <c r="P810" s="33">
        <f t="shared" si="188"/>
        <v>0</v>
      </c>
      <c r="Q810" s="35" t="str" cm="1">
        <f t="array" ref="Q810">IF(AF810&lt;&gt;"",IFERROR(INDEX('Group List B'!B:B,MATCH(AI810,'Group List B'!A:A,0),0),"-"),"")</f>
        <v/>
      </c>
      <c r="R810" s="36">
        <f t="shared" si="189"/>
        <v>0</v>
      </c>
      <c r="S810" s="36">
        <f t="shared" si="190"/>
        <v>0</v>
      </c>
      <c r="T810" s="36">
        <f t="shared" si="191"/>
        <v>0</v>
      </c>
      <c r="U810" s="28"/>
      <c r="V810" s="37">
        <f t="shared" si="192"/>
        <v>0</v>
      </c>
      <c r="W810" s="41"/>
      <c r="X810" s="27"/>
      <c r="Y810" s="27"/>
      <c r="Z810" s="27"/>
      <c r="AA810" s="15"/>
      <c r="AB810" s="17"/>
      <c r="AC810" s="17"/>
      <c r="AD810" s="17"/>
      <c r="AE810" s="90"/>
      <c r="AF810" s="82" t="str">
        <f t="shared" si="193"/>
        <v/>
      </c>
      <c r="AG810" s="83" t="str">
        <f t="shared" si="194"/>
        <v/>
      </c>
      <c r="AH810" s="82" t="str">
        <f t="shared" si="195"/>
        <v/>
      </c>
      <c r="AI810" s="82" t="str">
        <f t="shared" si="196"/>
        <v/>
      </c>
      <c r="AJ810" s="90"/>
      <c r="AP810" s="88"/>
    </row>
    <row r="811" spans="1:42" x14ac:dyDescent="0.25">
      <c r="A811" s="2"/>
      <c r="C811" s="68" t="str" cm="1">
        <f t="array" ref="C811">IF(AF811&lt;&gt;"",
IFERROR(INDEX('LaunchPad Markbook'!A:A,MATCH(AH811,'LaunchPad Markbook'!D:D,0),0),"-"),"")</f>
        <v/>
      </c>
      <c r="D811" s="27"/>
      <c r="E811" s="27"/>
      <c r="F811" s="27"/>
      <c r="G811" s="14">
        <f>IF(OR(H811&gt;AB$2,I811&gt;AC$2,J811&gt;AD$2,
P811&gt;1,V811&gt;1,
L811&gt;'Group List A'!E$2,M811&gt;'Group List A'!F$2,N811&gt;'Group List A'!G$2,
R811&gt;'Group List B'!E$2,S811&gt;'Group List B'!F$2,T811&gt;'Group List B'!G$2),"Exceed",
IF(OR(H811=AB$2,I811=AC$2,J811=AD$2,
P811=1,V811=1,
L811='Group List A'!E$2,M811='Group List A'!F$2,N811='Group List A'!G$2,
R811='Group List B'!E$2,S811='Group List B'!F$2,T811='Group List B'!G$2),"Limit",0))</f>
        <v>0</v>
      </c>
      <c r="H811" s="29">
        <f t="shared" si="182"/>
        <v>0</v>
      </c>
      <c r="I811" s="29">
        <f t="shared" si="183"/>
        <v>0</v>
      </c>
      <c r="J811" s="29">
        <f t="shared" si="184"/>
        <v>0</v>
      </c>
      <c r="K811" s="32" t="str" cm="1">
        <f t="array" ref="K811">IF(AF811&lt;&gt;"",IFERROR(INDEX('Group List A'!B:B,MATCH(AI811,'Group List A'!A:A,0),0),"-"),"")</f>
        <v/>
      </c>
      <c r="L811" s="33">
        <f t="shared" si="185"/>
        <v>0</v>
      </c>
      <c r="M811" s="33">
        <f t="shared" si="186"/>
        <v>0</v>
      </c>
      <c r="N811" s="33">
        <f t="shared" si="187"/>
        <v>0</v>
      </c>
      <c r="O811" s="28"/>
      <c r="P811" s="33">
        <f t="shared" si="188"/>
        <v>0</v>
      </c>
      <c r="Q811" s="35" t="str" cm="1">
        <f t="array" ref="Q811">IF(AF811&lt;&gt;"",IFERROR(INDEX('Group List B'!B:B,MATCH(AI811,'Group List B'!A:A,0),0),"-"),"")</f>
        <v/>
      </c>
      <c r="R811" s="36">
        <f t="shared" si="189"/>
        <v>0</v>
      </c>
      <c r="S811" s="36">
        <f t="shared" si="190"/>
        <v>0</v>
      </c>
      <c r="T811" s="36">
        <f t="shared" si="191"/>
        <v>0</v>
      </c>
      <c r="U811" s="28"/>
      <c r="V811" s="37">
        <f t="shared" si="192"/>
        <v>0</v>
      </c>
      <c r="W811" s="41"/>
      <c r="X811" s="27"/>
      <c r="Y811" s="27"/>
      <c r="Z811" s="27"/>
      <c r="AA811" s="15"/>
      <c r="AB811" s="17"/>
      <c r="AC811" s="17"/>
      <c r="AD811" s="17"/>
      <c r="AE811" s="90"/>
      <c r="AF811" s="82" t="str">
        <f t="shared" si="193"/>
        <v/>
      </c>
      <c r="AG811" s="83" t="str">
        <f t="shared" si="194"/>
        <v/>
      </c>
      <c r="AH811" s="82" t="str">
        <f t="shared" si="195"/>
        <v/>
      </c>
      <c r="AI811" s="82" t="str">
        <f t="shared" si="196"/>
        <v/>
      </c>
      <c r="AJ811" s="90"/>
      <c r="AP811" s="88"/>
    </row>
    <row r="812" spans="1:42" x14ac:dyDescent="0.25">
      <c r="A812" s="2"/>
      <c r="C812" s="68" t="str" cm="1">
        <f t="array" ref="C812">IF(AF812&lt;&gt;"",
IFERROR(INDEX('LaunchPad Markbook'!A:A,MATCH(AH812,'LaunchPad Markbook'!D:D,0),0),"-"),"")</f>
        <v/>
      </c>
      <c r="D812" s="27"/>
      <c r="E812" s="27"/>
      <c r="F812" s="27"/>
      <c r="G812" s="14">
        <f>IF(OR(H812&gt;AB$2,I812&gt;AC$2,J812&gt;AD$2,
P812&gt;1,V812&gt;1,
L812&gt;'Group List A'!E$2,M812&gt;'Group List A'!F$2,N812&gt;'Group List A'!G$2,
R812&gt;'Group List B'!E$2,S812&gt;'Group List B'!F$2,T812&gt;'Group List B'!G$2),"Exceed",
IF(OR(H812=AB$2,I812=AC$2,J812=AD$2,
P812=1,V812=1,
L812='Group List A'!E$2,M812='Group List A'!F$2,N812='Group List A'!G$2,
R812='Group List B'!E$2,S812='Group List B'!F$2,T812='Group List B'!G$2),"Limit",0))</f>
        <v>0</v>
      </c>
      <c r="H812" s="29">
        <f t="shared" si="182"/>
        <v>0</v>
      </c>
      <c r="I812" s="29">
        <f t="shared" si="183"/>
        <v>0</v>
      </c>
      <c r="J812" s="29">
        <f t="shared" si="184"/>
        <v>0</v>
      </c>
      <c r="K812" s="32" t="str" cm="1">
        <f t="array" ref="K812">IF(AF812&lt;&gt;"",IFERROR(INDEX('Group List A'!B:B,MATCH(AI812,'Group List A'!A:A,0),0),"-"),"")</f>
        <v/>
      </c>
      <c r="L812" s="33">
        <f t="shared" si="185"/>
        <v>0</v>
      </c>
      <c r="M812" s="33">
        <f t="shared" si="186"/>
        <v>0</v>
      </c>
      <c r="N812" s="33">
        <f t="shared" si="187"/>
        <v>0</v>
      </c>
      <c r="O812" s="28"/>
      <c r="P812" s="33">
        <f t="shared" si="188"/>
        <v>0</v>
      </c>
      <c r="Q812" s="35" t="str" cm="1">
        <f t="array" ref="Q812">IF(AF812&lt;&gt;"",IFERROR(INDEX('Group List B'!B:B,MATCH(AI812,'Group List B'!A:A,0),0),"-"),"")</f>
        <v/>
      </c>
      <c r="R812" s="36">
        <f t="shared" si="189"/>
        <v>0</v>
      </c>
      <c r="S812" s="36">
        <f t="shared" si="190"/>
        <v>0</v>
      </c>
      <c r="T812" s="36">
        <f t="shared" si="191"/>
        <v>0</v>
      </c>
      <c r="U812" s="28"/>
      <c r="V812" s="37">
        <f t="shared" si="192"/>
        <v>0</v>
      </c>
      <c r="W812" s="41"/>
      <c r="X812" s="27"/>
      <c r="Y812" s="27"/>
      <c r="Z812" s="27"/>
      <c r="AA812" s="15"/>
      <c r="AB812" s="17"/>
      <c r="AC812" s="17"/>
      <c r="AD812" s="17"/>
      <c r="AE812" s="90"/>
      <c r="AF812" s="82" t="str">
        <f t="shared" si="193"/>
        <v/>
      </c>
      <c r="AG812" s="83" t="str">
        <f t="shared" si="194"/>
        <v/>
      </c>
      <c r="AH812" s="82" t="str">
        <f t="shared" si="195"/>
        <v/>
      </c>
      <c r="AI812" s="82" t="str">
        <f t="shared" si="196"/>
        <v/>
      </c>
      <c r="AJ812" s="90"/>
      <c r="AP812" s="88"/>
    </row>
    <row r="813" spans="1:42" x14ac:dyDescent="0.25">
      <c r="A813" s="2"/>
      <c r="C813" s="68" t="str" cm="1">
        <f t="array" ref="C813">IF(AF813&lt;&gt;"",
IFERROR(INDEX('LaunchPad Markbook'!A:A,MATCH(AH813,'LaunchPad Markbook'!D:D,0),0),"-"),"")</f>
        <v/>
      </c>
      <c r="D813" s="27"/>
      <c r="E813" s="27"/>
      <c r="F813" s="27"/>
      <c r="G813" s="14">
        <f>IF(OR(H813&gt;AB$2,I813&gt;AC$2,J813&gt;AD$2,
P813&gt;1,V813&gt;1,
L813&gt;'Group List A'!E$2,M813&gt;'Group List A'!F$2,N813&gt;'Group List A'!G$2,
R813&gt;'Group List B'!E$2,S813&gt;'Group List B'!F$2,T813&gt;'Group List B'!G$2),"Exceed",
IF(OR(H813=AB$2,I813=AC$2,J813=AD$2,
P813=1,V813=1,
L813='Group List A'!E$2,M813='Group List A'!F$2,N813='Group List A'!G$2,
R813='Group List B'!E$2,S813='Group List B'!F$2,T813='Group List B'!G$2),"Limit",0))</f>
        <v>0</v>
      </c>
      <c r="H813" s="29">
        <f t="shared" si="182"/>
        <v>0</v>
      </c>
      <c r="I813" s="29">
        <f t="shared" si="183"/>
        <v>0</v>
      </c>
      <c r="J813" s="29">
        <f t="shared" si="184"/>
        <v>0</v>
      </c>
      <c r="K813" s="32" t="str" cm="1">
        <f t="array" ref="K813">IF(AF813&lt;&gt;"",IFERROR(INDEX('Group List A'!B:B,MATCH(AI813,'Group List A'!A:A,0),0),"-"),"")</f>
        <v/>
      </c>
      <c r="L813" s="33">
        <f t="shared" si="185"/>
        <v>0</v>
      </c>
      <c r="M813" s="33">
        <f t="shared" si="186"/>
        <v>0</v>
      </c>
      <c r="N813" s="33">
        <f t="shared" si="187"/>
        <v>0</v>
      </c>
      <c r="O813" s="28"/>
      <c r="P813" s="33">
        <f t="shared" si="188"/>
        <v>0</v>
      </c>
      <c r="Q813" s="35" t="str" cm="1">
        <f t="array" ref="Q813">IF(AF813&lt;&gt;"",IFERROR(INDEX('Group List B'!B:B,MATCH(AI813,'Group List B'!A:A,0),0),"-"),"")</f>
        <v/>
      </c>
      <c r="R813" s="36">
        <f t="shared" si="189"/>
        <v>0</v>
      </c>
      <c r="S813" s="36">
        <f t="shared" si="190"/>
        <v>0</v>
      </c>
      <c r="T813" s="36">
        <f t="shared" si="191"/>
        <v>0</v>
      </c>
      <c r="U813" s="28"/>
      <c r="V813" s="37">
        <f t="shared" si="192"/>
        <v>0</v>
      </c>
      <c r="W813" s="41"/>
      <c r="X813" s="27"/>
      <c r="Y813" s="27"/>
      <c r="Z813" s="27"/>
      <c r="AA813" s="15"/>
      <c r="AB813" s="17"/>
      <c r="AC813" s="17"/>
      <c r="AD813" s="17"/>
      <c r="AE813" s="90"/>
      <c r="AF813" s="82" t="str">
        <f t="shared" si="193"/>
        <v/>
      </c>
      <c r="AG813" s="83" t="str">
        <f t="shared" si="194"/>
        <v/>
      </c>
      <c r="AH813" s="82" t="str">
        <f t="shared" si="195"/>
        <v/>
      </c>
      <c r="AI813" s="82" t="str">
        <f t="shared" si="196"/>
        <v/>
      </c>
      <c r="AJ813" s="90"/>
      <c r="AP813" s="88"/>
    </row>
    <row r="814" spans="1:42" x14ac:dyDescent="0.25">
      <c r="A814" s="2"/>
      <c r="C814" s="68" t="str" cm="1">
        <f t="array" ref="C814">IF(AF814&lt;&gt;"",
IFERROR(INDEX('LaunchPad Markbook'!A:A,MATCH(AH814,'LaunchPad Markbook'!D:D,0),0),"-"),"")</f>
        <v/>
      </c>
      <c r="D814" s="27"/>
      <c r="E814" s="27"/>
      <c r="F814" s="27"/>
      <c r="G814" s="14">
        <f>IF(OR(H814&gt;AB$2,I814&gt;AC$2,J814&gt;AD$2,
P814&gt;1,V814&gt;1,
L814&gt;'Group List A'!E$2,M814&gt;'Group List A'!F$2,N814&gt;'Group List A'!G$2,
R814&gt;'Group List B'!E$2,S814&gt;'Group List B'!F$2,T814&gt;'Group List B'!G$2),"Exceed",
IF(OR(H814=AB$2,I814=AC$2,J814=AD$2,
P814=1,V814=1,
L814='Group List A'!E$2,M814='Group List A'!F$2,N814='Group List A'!G$2,
R814='Group List B'!E$2,S814='Group List B'!F$2,T814='Group List B'!G$2),"Limit",0))</f>
        <v>0</v>
      </c>
      <c r="H814" s="29">
        <f t="shared" si="182"/>
        <v>0</v>
      </c>
      <c r="I814" s="29">
        <f t="shared" si="183"/>
        <v>0</v>
      </c>
      <c r="J814" s="29">
        <f t="shared" si="184"/>
        <v>0</v>
      </c>
      <c r="K814" s="32" t="str" cm="1">
        <f t="array" ref="K814">IF(AF814&lt;&gt;"",IFERROR(INDEX('Group List A'!B:B,MATCH(AI814,'Group List A'!A:A,0),0),"-"),"")</f>
        <v/>
      </c>
      <c r="L814" s="33">
        <f t="shared" si="185"/>
        <v>0</v>
      </c>
      <c r="M814" s="33">
        <f t="shared" si="186"/>
        <v>0</v>
      </c>
      <c r="N814" s="33">
        <f t="shared" si="187"/>
        <v>0</v>
      </c>
      <c r="O814" s="28"/>
      <c r="P814" s="33">
        <f t="shared" si="188"/>
        <v>0</v>
      </c>
      <c r="Q814" s="35" t="str" cm="1">
        <f t="array" ref="Q814">IF(AF814&lt;&gt;"",IFERROR(INDEX('Group List B'!B:B,MATCH(AI814,'Group List B'!A:A,0),0),"-"),"")</f>
        <v/>
      </c>
      <c r="R814" s="36">
        <f t="shared" si="189"/>
        <v>0</v>
      </c>
      <c r="S814" s="36">
        <f t="shared" si="190"/>
        <v>0</v>
      </c>
      <c r="T814" s="36">
        <f t="shared" si="191"/>
        <v>0</v>
      </c>
      <c r="U814" s="28"/>
      <c r="V814" s="37">
        <f t="shared" si="192"/>
        <v>0</v>
      </c>
      <c r="W814" s="41"/>
      <c r="X814" s="27"/>
      <c r="Y814" s="27"/>
      <c r="Z814" s="27"/>
      <c r="AA814" s="15"/>
      <c r="AB814" s="17"/>
      <c r="AC814" s="17"/>
      <c r="AD814" s="17"/>
      <c r="AE814" s="90"/>
      <c r="AF814" s="82" t="str">
        <f t="shared" si="193"/>
        <v/>
      </c>
      <c r="AG814" s="83" t="str">
        <f t="shared" si="194"/>
        <v/>
      </c>
      <c r="AH814" s="82" t="str">
        <f t="shared" si="195"/>
        <v/>
      </c>
      <c r="AI814" s="82" t="str">
        <f t="shared" si="196"/>
        <v/>
      </c>
      <c r="AJ814" s="90"/>
      <c r="AP814" s="88"/>
    </row>
    <row r="815" spans="1:42" x14ac:dyDescent="0.25">
      <c r="A815" s="2"/>
      <c r="C815" s="68" t="str" cm="1">
        <f t="array" ref="C815">IF(AF815&lt;&gt;"",
IFERROR(INDEX('LaunchPad Markbook'!A:A,MATCH(AH815,'LaunchPad Markbook'!D:D,0),0),"-"),"")</f>
        <v/>
      </c>
      <c r="D815" s="27"/>
      <c r="E815" s="27"/>
      <c r="F815" s="27"/>
      <c r="G815" s="14">
        <f>IF(OR(H815&gt;AB$2,I815&gt;AC$2,J815&gt;AD$2,
P815&gt;1,V815&gt;1,
L815&gt;'Group List A'!E$2,M815&gt;'Group List A'!F$2,N815&gt;'Group List A'!G$2,
R815&gt;'Group List B'!E$2,S815&gt;'Group List B'!F$2,T815&gt;'Group List B'!G$2),"Exceed",
IF(OR(H815=AB$2,I815=AC$2,J815=AD$2,
P815=1,V815=1,
L815='Group List A'!E$2,M815='Group List A'!F$2,N815='Group List A'!G$2,
R815='Group List B'!E$2,S815='Group List B'!F$2,T815='Group List B'!G$2),"Limit",0))</f>
        <v>0</v>
      </c>
      <c r="H815" s="29">
        <f t="shared" si="182"/>
        <v>0</v>
      </c>
      <c r="I815" s="29">
        <f t="shared" si="183"/>
        <v>0</v>
      </c>
      <c r="J815" s="29">
        <f t="shared" si="184"/>
        <v>0</v>
      </c>
      <c r="K815" s="32" t="str" cm="1">
        <f t="array" ref="K815">IF(AF815&lt;&gt;"",IFERROR(INDEX('Group List A'!B:B,MATCH(AI815,'Group List A'!A:A,0),0),"-"),"")</f>
        <v/>
      </c>
      <c r="L815" s="33">
        <f t="shared" si="185"/>
        <v>0</v>
      </c>
      <c r="M815" s="33">
        <f t="shared" si="186"/>
        <v>0</v>
      </c>
      <c r="N815" s="33">
        <f t="shared" si="187"/>
        <v>0</v>
      </c>
      <c r="O815" s="28"/>
      <c r="P815" s="33">
        <f t="shared" si="188"/>
        <v>0</v>
      </c>
      <c r="Q815" s="35" t="str" cm="1">
        <f t="array" ref="Q815">IF(AF815&lt;&gt;"",IFERROR(INDEX('Group List B'!B:B,MATCH(AI815,'Group List B'!A:A,0),0),"-"),"")</f>
        <v/>
      </c>
      <c r="R815" s="36">
        <f t="shared" si="189"/>
        <v>0</v>
      </c>
      <c r="S815" s="36">
        <f t="shared" si="190"/>
        <v>0</v>
      </c>
      <c r="T815" s="36">
        <f t="shared" si="191"/>
        <v>0</v>
      </c>
      <c r="U815" s="28"/>
      <c r="V815" s="37">
        <f t="shared" si="192"/>
        <v>0</v>
      </c>
      <c r="W815" s="41"/>
      <c r="X815" s="27"/>
      <c r="Y815" s="27"/>
      <c r="Z815" s="27"/>
      <c r="AA815" s="15"/>
      <c r="AB815" s="17"/>
      <c r="AC815" s="17"/>
      <c r="AD815" s="17"/>
      <c r="AE815" s="90"/>
      <c r="AF815" s="82" t="str">
        <f t="shared" si="193"/>
        <v/>
      </c>
      <c r="AG815" s="83" t="str">
        <f t="shared" si="194"/>
        <v/>
      </c>
      <c r="AH815" s="82" t="str">
        <f t="shared" si="195"/>
        <v/>
      </c>
      <c r="AI815" s="82" t="str">
        <f t="shared" si="196"/>
        <v/>
      </c>
      <c r="AJ815" s="90"/>
      <c r="AP815" s="88"/>
    </row>
    <row r="816" spans="1:42" x14ac:dyDescent="0.25">
      <c r="A816" s="2"/>
      <c r="C816" s="68" t="str" cm="1">
        <f t="array" ref="C816">IF(AF816&lt;&gt;"",
IFERROR(INDEX('LaunchPad Markbook'!A:A,MATCH(AH816,'LaunchPad Markbook'!D:D,0),0),"-"),"")</f>
        <v/>
      </c>
      <c r="D816" s="27"/>
      <c r="E816" s="27"/>
      <c r="F816" s="27"/>
      <c r="G816" s="14">
        <f>IF(OR(H816&gt;AB$2,I816&gt;AC$2,J816&gt;AD$2,
P816&gt;1,V816&gt;1,
L816&gt;'Group List A'!E$2,M816&gt;'Group List A'!F$2,N816&gt;'Group List A'!G$2,
R816&gt;'Group List B'!E$2,S816&gt;'Group List B'!F$2,T816&gt;'Group List B'!G$2),"Exceed",
IF(OR(H816=AB$2,I816=AC$2,J816=AD$2,
P816=1,V816=1,
L816='Group List A'!E$2,M816='Group List A'!F$2,N816='Group List A'!G$2,
R816='Group List B'!E$2,S816='Group List B'!F$2,T816='Group List B'!G$2),"Limit",0))</f>
        <v>0</v>
      </c>
      <c r="H816" s="29">
        <f t="shared" si="182"/>
        <v>0</v>
      </c>
      <c r="I816" s="29">
        <f t="shared" si="183"/>
        <v>0</v>
      </c>
      <c r="J816" s="29">
        <f t="shared" si="184"/>
        <v>0</v>
      </c>
      <c r="K816" s="32" t="str" cm="1">
        <f t="array" ref="K816">IF(AF816&lt;&gt;"",IFERROR(INDEX('Group List A'!B:B,MATCH(AI816,'Group List A'!A:A,0),0),"-"),"")</f>
        <v/>
      </c>
      <c r="L816" s="33">
        <f t="shared" si="185"/>
        <v>0</v>
      </c>
      <c r="M816" s="33">
        <f t="shared" si="186"/>
        <v>0</v>
      </c>
      <c r="N816" s="33">
        <f t="shared" si="187"/>
        <v>0</v>
      </c>
      <c r="O816" s="28"/>
      <c r="P816" s="33">
        <f t="shared" si="188"/>
        <v>0</v>
      </c>
      <c r="Q816" s="35" t="str" cm="1">
        <f t="array" ref="Q816">IF(AF816&lt;&gt;"",IFERROR(INDEX('Group List B'!B:B,MATCH(AI816,'Group List B'!A:A,0),0),"-"),"")</f>
        <v/>
      </c>
      <c r="R816" s="36">
        <f t="shared" si="189"/>
        <v>0</v>
      </c>
      <c r="S816" s="36">
        <f t="shared" si="190"/>
        <v>0</v>
      </c>
      <c r="T816" s="36">
        <f t="shared" si="191"/>
        <v>0</v>
      </c>
      <c r="U816" s="28"/>
      <c r="V816" s="37">
        <f t="shared" si="192"/>
        <v>0</v>
      </c>
      <c r="W816" s="41"/>
      <c r="X816" s="27"/>
      <c r="Y816" s="27"/>
      <c r="Z816" s="27"/>
      <c r="AA816" s="15"/>
      <c r="AB816" s="17"/>
      <c r="AC816" s="17"/>
      <c r="AD816" s="17"/>
      <c r="AE816" s="90"/>
      <c r="AF816" s="82" t="str">
        <f t="shared" si="193"/>
        <v/>
      </c>
      <c r="AG816" s="83" t="str">
        <f t="shared" si="194"/>
        <v/>
      </c>
      <c r="AH816" s="82" t="str">
        <f t="shared" si="195"/>
        <v/>
      </c>
      <c r="AI816" s="82" t="str">
        <f t="shared" si="196"/>
        <v/>
      </c>
      <c r="AJ816" s="90"/>
      <c r="AP816" s="88"/>
    </row>
    <row r="817" spans="1:42" x14ac:dyDescent="0.25">
      <c r="A817" s="2"/>
      <c r="C817" s="68" t="str" cm="1">
        <f t="array" ref="C817">IF(AF817&lt;&gt;"",
IFERROR(INDEX('LaunchPad Markbook'!A:A,MATCH(AH817,'LaunchPad Markbook'!D:D,0),0),"-"),"")</f>
        <v/>
      </c>
      <c r="D817" s="27"/>
      <c r="E817" s="27"/>
      <c r="F817" s="27"/>
      <c r="G817" s="14">
        <f>IF(OR(H817&gt;AB$2,I817&gt;AC$2,J817&gt;AD$2,
P817&gt;1,V817&gt;1,
L817&gt;'Group List A'!E$2,M817&gt;'Group List A'!F$2,N817&gt;'Group List A'!G$2,
R817&gt;'Group List B'!E$2,S817&gt;'Group List B'!F$2,T817&gt;'Group List B'!G$2),"Exceed",
IF(OR(H817=AB$2,I817=AC$2,J817=AD$2,
P817=1,V817=1,
L817='Group List A'!E$2,M817='Group List A'!F$2,N817='Group List A'!G$2,
R817='Group List B'!E$2,S817='Group List B'!F$2,T817='Group List B'!G$2),"Limit",0))</f>
        <v>0</v>
      </c>
      <c r="H817" s="29">
        <f t="shared" si="182"/>
        <v>0</v>
      </c>
      <c r="I817" s="29">
        <f t="shared" si="183"/>
        <v>0</v>
      </c>
      <c r="J817" s="29">
        <f t="shared" si="184"/>
        <v>0</v>
      </c>
      <c r="K817" s="32" t="str" cm="1">
        <f t="array" ref="K817">IF(AF817&lt;&gt;"",IFERROR(INDEX('Group List A'!B:B,MATCH(AI817,'Group List A'!A:A,0),0),"-"),"")</f>
        <v/>
      </c>
      <c r="L817" s="33">
        <f t="shared" si="185"/>
        <v>0</v>
      </c>
      <c r="M817" s="33">
        <f t="shared" si="186"/>
        <v>0</v>
      </c>
      <c r="N817" s="33">
        <f t="shared" si="187"/>
        <v>0</v>
      </c>
      <c r="O817" s="28"/>
      <c r="P817" s="33">
        <f t="shared" si="188"/>
        <v>0</v>
      </c>
      <c r="Q817" s="35" t="str" cm="1">
        <f t="array" ref="Q817">IF(AF817&lt;&gt;"",IFERROR(INDEX('Group List B'!B:B,MATCH(AI817,'Group List B'!A:A,0),0),"-"),"")</f>
        <v/>
      </c>
      <c r="R817" s="36">
        <f t="shared" si="189"/>
        <v>0</v>
      </c>
      <c r="S817" s="36">
        <f t="shared" si="190"/>
        <v>0</v>
      </c>
      <c r="T817" s="36">
        <f t="shared" si="191"/>
        <v>0</v>
      </c>
      <c r="U817" s="28"/>
      <c r="V817" s="37">
        <f t="shared" si="192"/>
        <v>0</v>
      </c>
      <c r="W817" s="41"/>
      <c r="X817" s="27"/>
      <c r="Y817" s="27"/>
      <c r="Z817" s="27"/>
      <c r="AA817" s="15"/>
      <c r="AB817" s="17"/>
      <c r="AC817" s="17"/>
      <c r="AD817" s="17"/>
      <c r="AE817" s="90"/>
      <c r="AF817" s="82" t="str">
        <f t="shared" si="193"/>
        <v/>
      </c>
      <c r="AG817" s="83" t="str">
        <f t="shared" si="194"/>
        <v/>
      </c>
      <c r="AH817" s="82" t="str">
        <f t="shared" si="195"/>
        <v/>
      </c>
      <c r="AI817" s="82" t="str">
        <f t="shared" si="196"/>
        <v/>
      </c>
      <c r="AJ817" s="90"/>
      <c r="AP817" s="88"/>
    </row>
    <row r="818" spans="1:42" x14ac:dyDescent="0.25">
      <c r="A818" s="2"/>
      <c r="C818" s="68" t="str" cm="1">
        <f t="array" ref="C818">IF(AF818&lt;&gt;"",
IFERROR(INDEX('LaunchPad Markbook'!A:A,MATCH(AH818,'LaunchPad Markbook'!D:D,0),0),"-"),"")</f>
        <v/>
      </c>
      <c r="D818" s="27"/>
      <c r="E818" s="27"/>
      <c r="F818" s="27"/>
      <c r="G818" s="14">
        <f>IF(OR(H818&gt;AB$2,I818&gt;AC$2,J818&gt;AD$2,
P818&gt;1,V818&gt;1,
L818&gt;'Group List A'!E$2,M818&gt;'Group List A'!F$2,N818&gt;'Group List A'!G$2,
R818&gt;'Group List B'!E$2,S818&gt;'Group List B'!F$2,T818&gt;'Group List B'!G$2),"Exceed",
IF(OR(H818=AB$2,I818=AC$2,J818=AD$2,
P818=1,V818=1,
L818='Group List A'!E$2,M818='Group List A'!F$2,N818='Group List A'!G$2,
R818='Group List B'!E$2,S818='Group List B'!F$2,T818='Group List B'!G$2),"Limit",0))</f>
        <v>0</v>
      </c>
      <c r="H818" s="29">
        <f t="shared" si="182"/>
        <v>0</v>
      </c>
      <c r="I818" s="29">
        <f t="shared" si="183"/>
        <v>0</v>
      </c>
      <c r="J818" s="29">
        <f t="shared" si="184"/>
        <v>0</v>
      </c>
      <c r="K818" s="32" t="str" cm="1">
        <f t="array" ref="K818">IF(AF818&lt;&gt;"",IFERROR(INDEX('Group List A'!B:B,MATCH(AI818,'Group List A'!A:A,0),0),"-"),"")</f>
        <v/>
      </c>
      <c r="L818" s="33">
        <f t="shared" si="185"/>
        <v>0</v>
      </c>
      <c r="M818" s="33">
        <f t="shared" si="186"/>
        <v>0</v>
      </c>
      <c r="N818" s="33">
        <f t="shared" si="187"/>
        <v>0</v>
      </c>
      <c r="O818" s="28"/>
      <c r="P818" s="33">
        <f t="shared" si="188"/>
        <v>0</v>
      </c>
      <c r="Q818" s="35" t="str" cm="1">
        <f t="array" ref="Q818">IF(AF818&lt;&gt;"",IFERROR(INDEX('Group List B'!B:B,MATCH(AI818,'Group List B'!A:A,0),0),"-"),"")</f>
        <v/>
      </c>
      <c r="R818" s="36">
        <f t="shared" si="189"/>
        <v>0</v>
      </c>
      <c r="S818" s="36">
        <f t="shared" si="190"/>
        <v>0</v>
      </c>
      <c r="T818" s="36">
        <f t="shared" si="191"/>
        <v>0</v>
      </c>
      <c r="U818" s="28"/>
      <c r="V818" s="37">
        <f t="shared" si="192"/>
        <v>0</v>
      </c>
      <c r="W818" s="41"/>
      <c r="X818" s="27"/>
      <c r="Y818" s="27"/>
      <c r="Z818" s="27"/>
      <c r="AA818" s="15"/>
      <c r="AB818" s="17"/>
      <c r="AC818" s="17"/>
      <c r="AD818" s="17"/>
      <c r="AE818" s="90"/>
      <c r="AF818" s="82" t="str">
        <f t="shared" si="193"/>
        <v/>
      </c>
      <c r="AG818" s="83" t="str">
        <f t="shared" si="194"/>
        <v/>
      </c>
      <c r="AH818" s="82" t="str">
        <f t="shared" si="195"/>
        <v/>
      </c>
      <c r="AI818" s="82" t="str">
        <f t="shared" si="196"/>
        <v/>
      </c>
      <c r="AJ818" s="90"/>
      <c r="AP818" s="88"/>
    </row>
    <row r="819" spans="1:42" x14ac:dyDescent="0.25">
      <c r="A819" s="2"/>
      <c r="C819" s="68" t="str" cm="1">
        <f t="array" ref="C819">IF(AF819&lt;&gt;"",
IFERROR(INDEX('LaunchPad Markbook'!A:A,MATCH(AH819,'LaunchPad Markbook'!D:D,0),0),"-"),"")</f>
        <v/>
      </c>
      <c r="D819" s="27"/>
      <c r="E819" s="27"/>
      <c r="F819" s="27"/>
      <c r="G819" s="14">
        <f>IF(OR(H819&gt;AB$2,I819&gt;AC$2,J819&gt;AD$2,
P819&gt;1,V819&gt;1,
L819&gt;'Group List A'!E$2,M819&gt;'Group List A'!F$2,N819&gt;'Group List A'!G$2,
R819&gt;'Group List B'!E$2,S819&gt;'Group List B'!F$2,T819&gt;'Group List B'!G$2),"Exceed",
IF(OR(H819=AB$2,I819=AC$2,J819=AD$2,
P819=1,V819=1,
L819='Group List A'!E$2,M819='Group List A'!F$2,N819='Group List A'!G$2,
R819='Group List B'!E$2,S819='Group List B'!F$2,T819='Group List B'!G$2),"Limit",0))</f>
        <v>0</v>
      </c>
      <c r="H819" s="29">
        <f t="shared" si="182"/>
        <v>0</v>
      </c>
      <c r="I819" s="29">
        <f t="shared" si="183"/>
        <v>0</v>
      </c>
      <c r="J819" s="29">
        <f t="shared" si="184"/>
        <v>0</v>
      </c>
      <c r="K819" s="32" t="str" cm="1">
        <f t="array" ref="K819">IF(AF819&lt;&gt;"",IFERROR(INDEX('Group List A'!B:B,MATCH(AI819,'Group List A'!A:A,0),0),"-"),"")</f>
        <v/>
      </c>
      <c r="L819" s="33">
        <f t="shared" si="185"/>
        <v>0</v>
      </c>
      <c r="M819" s="33">
        <f t="shared" si="186"/>
        <v>0</v>
      </c>
      <c r="N819" s="33">
        <f t="shared" si="187"/>
        <v>0</v>
      </c>
      <c r="O819" s="28"/>
      <c r="P819" s="33">
        <f t="shared" si="188"/>
        <v>0</v>
      </c>
      <c r="Q819" s="35" t="str" cm="1">
        <f t="array" ref="Q819">IF(AF819&lt;&gt;"",IFERROR(INDEX('Group List B'!B:B,MATCH(AI819,'Group List B'!A:A,0),0),"-"),"")</f>
        <v/>
      </c>
      <c r="R819" s="36">
        <f t="shared" si="189"/>
        <v>0</v>
      </c>
      <c r="S819" s="36">
        <f t="shared" si="190"/>
        <v>0</v>
      </c>
      <c r="T819" s="36">
        <f t="shared" si="191"/>
        <v>0</v>
      </c>
      <c r="U819" s="28"/>
      <c r="V819" s="37">
        <f t="shared" si="192"/>
        <v>0</v>
      </c>
      <c r="W819" s="41"/>
      <c r="X819" s="27"/>
      <c r="Y819" s="27"/>
      <c r="Z819" s="27"/>
      <c r="AA819" s="15"/>
      <c r="AB819" s="17"/>
      <c r="AC819" s="17"/>
      <c r="AD819" s="17"/>
      <c r="AE819" s="90"/>
      <c r="AF819" s="82" t="str">
        <f t="shared" si="193"/>
        <v/>
      </c>
      <c r="AG819" s="83" t="str">
        <f t="shared" si="194"/>
        <v/>
      </c>
      <c r="AH819" s="82" t="str">
        <f t="shared" si="195"/>
        <v/>
      </c>
      <c r="AI819" s="82" t="str">
        <f t="shared" si="196"/>
        <v/>
      </c>
      <c r="AJ819" s="90"/>
      <c r="AP819" s="88"/>
    </row>
    <row r="820" spans="1:42" x14ac:dyDescent="0.25">
      <c r="A820" s="2"/>
      <c r="C820" s="68" t="str" cm="1">
        <f t="array" ref="C820">IF(AF820&lt;&gt;"",
IFERROR(INDEX('LaunchPad Markbook'!A:A,MATCH(AH820,'LaunchPad Markbook'!D:D,0),0),"-"),"")</f>
        <v/>
      </c>
      <c r="D820" s="27"/>
      <c r="E820" s="27"/>
      <c r="F820" s="27"/>
      <c r="G820" s="14">
        <f>IF(OR(H820&gt;AB$2,I820&gt;AC$2,J820&gt;AD$2,
P820&gt;1,V820&gt;1,
L820&gt;'Group List A'!E$2,M820&gt;'Group List A'!F$2,N820&gt;'Group List A'!G$2,
R820&gt;'Group List B'!E$2,S820&gt;'Group List B'!F$2,T820&gt;'Group List B'!G$2),"Exceed",
IF(OR(H820=AB$2,I820=AC$2,J820=AD$2,
P820=1,V820=1,
L820='Group List A'!E$2,M820='Group List A'!F$2,N820='Group List A'!G$2,
R820='Group List B'!E$2,S820='Group List B'!F$2,T820='Group List B'!G$2),"Limit",0))</f>
        <v>0</v>
      </c>
      <c r="H820" s="29">
        <f t="shared" si="182"/>
        <v>0</v>
      </c>
      <c r="I820" s="29">
        <f t="shared" si="183"/>
        <v>0</v>
      </c>
      <c r="J820" s="29">
        <f t="shared" si="184"/>
        <v>0</v>
      </c>
      <c r="K820" s="32" t="str" cm="1">
        <f t="array" ref="K820">IF(AF820&lt;&gt;"",IFERROR(INDEX('Group List A'!B:B,MATCH(AI820,'Group List A'!A:A,0),0),"-"),"")</f>
        <v/>
      </c>
      <c r="L820" s="33">
        <f t="shared" si="185"/>
        <v>0</v>
      </c>
      <c r="M820" s="33">
        <f t="shared" si="186"/>
        <v>0</v>
      </c>
      <c r="N820" s="33">
        <f t="shared" si="187"/>
        <v>0</v>
      </c>
      <c r="O820" s="28"/>
      <c r="P820" s="33">
        <f t="shared" si="188"/>
        <v>0</v>
      </c>
      <c r="Q820" s="35" t="str" cm="1">
        <f t="array" ref="Q820">IF(AF820&lt;&gt;"",IFERROR(INDEX('Group List B'!B:B,MATCH(AI820,'Group List B'!A:A,0),0),"-"),"")</f>
        <v/>
      </c>
      <c r="R820" s="36">
        <f t="shared" si="189"/>
        <v>0</v>
      </c>
      <c r="S820" s="36">
        <f t="shared" si="190"/>
        <v>0</v>
      </c>
      <c r="T820" s="36">
        <f t="shared" si="191"/>
        <v>0</v>
      </c>
      <c r="U820" s="28"/>
      <c r="V820" s="37">
        <f t="shared" si="192"/>
        <v>0</v>
      </c>
      <c r="W820" s="41"/>
      <c r="X820" s="27"/>
      <c r="Y820" s="27"/>
      <c r="Z820" s="27"/>
      <c r="AA820" s="15"/>
      <c r="AB820" s="17"/>
      <c r="AC820" s="17"/>
      <c r="AD820" s="17"/>
      <c r="AE820" s="90"/>
      <c r="AF820" s="82" t="str">
        <f t="shared" si="193"/>
        <v/>
      </c>
      <c r="AG820" s="83" t="str">
        <f t="shared" si="194"/>
        <v/>
      </c>
      <c r="AH820" s="82" t="str">
        <f t="shared" si="195"/>
        <v/>
      </c>
      <c r="AI820" s="82" t="str">
        <f t="shared" si="196"/>
        <v/>
      </c>
      <c r="AJ820" s="90"/>
      <c r="AP820" s="88"/>
    </row>
    <row r="821" spans="1:42" x14ac:dyDescent="0.25">
      <c r="A821" s="2"/>
      <c r="C821" s="68" t="str" cm="1">
        <f t="array" ref="C821">IF(AF821&lt;&gt;"",
IFERROR(INDEX('LaunchPad Markbook'!A:A,MATCH(AH821,'LaunchPad Markbook'!D:D,0),0),"-"),"")</f>
        <v/>
      </c>
      <c r="D821" s="27"/>
      <c r="E821" s="27"/>
      <c r="F821" s="27"/>
      <c r="G821" s="14">
        <f>IF(OR(H821&gt;AB$2,I821&gt;AC$2,J821&gt;AD$2,
P821&gt;1,V821&gt;1,
L821&gt;'Group List A'!E$2,M821&gt;'Group List A'!F$2,N821&gt;'Group List A'!G$2,
R821&gt;'Group List B'!E$2,S821&gt;'Group List B'!F$2,T821&gt;'Group List B'!G$2),"Exceed",
IF(OR(H821=AB$2,I821=AC$2,J821=AD$2,
P821=1,V821=1,
L821='Group List A'!E$2,M821='Group List A'!F$2,N821='Group List A'!G$2,
R821='Group List B'!E$2,S821='Group List B'!F$2,T821='Group List B'!G$2),"Limit",0))</f>
        <v>0</v>
      </c>
      <c r="H821" s="29">
        <f t="shared" si="182"/>
        <v>0</v>
      </c>
      <c r="I821" s="29">
        <f t="shared" si="183"/>
        <v>0</v>
      </c>
      <c r="J821" s="29">
        <f t="shared" si="184"/>
        <v>0</v>
      </c>
      <c r="K821" s="32" t="str" cm="1">
        <f t="array" ref="K821">IF(AF821&lt;&gt;"",IFERROR(INDEX('Group List A'!B:B,MATCH(AI821,'Group List A'!A:A,0),0),"-"),"")</f>
        <v/>
      </c>
      <c r="L821" s="33">
        <f t="shared" si="185"/>
        <v>0</v>
      </c>
      <c r="M821" s="33">
        <f t="shared" si="186"/>
        <v>0</v>
      </c>
      <c r="N821" s="33">
        <f t="shared" si="187"/>
        <v>0</v>
      </c>
      <c r="O821" s="28"/>
      <c r="P821" s="33">
        <f t="shared" si="188"/>
        <v>0</v>
      </c>
      <c r="Q821" s="35" t="str" cm="1">
        <f t="array" ref="Q821">IF(AF821&lt;&gt;"",IFERROR(INDEX('Group List B'!B:B,MATCH(AI821,'Group List B'!A:A,0),0),"-"),"")</f>
        <v/>
      </c>
      <c r="R821" s="36">
        <f t="shared" si="189"/>
        <v>0</v>
      </c>
      <c r="S821" s="36">
        <f t="shared" si="190"/>
        <v>0</v>
      </c>
      <c r="T821" s="36">
        <f t="shared" si="191"/>
        <v>0</v>
      </c>
      <c r="U821" s="28"/>
      <c r="V821" s="37">
        <f t="shared" si="192"/>
        <v>0</v>
      </c>
      <c r="W821" s="41"/>
      <c r="X821" s="27"/>
      <c r="Y821" s="27"/>
      <c r="Z821" s="27"/>
      <c r="AA821" s="15"/>
      <c r="AB821" s="17"/>
      <c r="AC821" s="17"/>
      <c r="AD821" s="17"/>
      <c r="AE821" s="90"/>
      <c r="AF821" s="82" t="str">
        <f t="shared" si="193"/>
        <v/>
      </c>
      <c r="AG821" s="83" t="str">
        <f t="shared" si="194"/>
        <v/>
      </c>
      <c r="AH821" s="82" t="str">
        <f t="shared" si="195"/>
        <v/>
      </c>
      <c r="AI821" s="82" t="str">
        <f t="shared" si="196"/>
        <v/>
      </c>
      <c r="AJ821" s="90"/>
      <c r="AP821" s="88"/>
    </row>
    <row r="822" spans="1:42" x14ac:dyDescent="0.25">
      <c r="A822" s="2"/>
      <c r="C822" s="68" t="str" cm="1">
        <f t="array" ref="C822">IF(AF822&lt;&gt;"",
IFERROR(INDEX('LaunchPad Markbook'!A:A,MATCH(AH822,'LaunchPad Markbook'!D:D,0),0),"-"),"")</f>
        <v/>
      </c>
      <c r="D822" s="27"/>
      <c r="E822" s="27"/>
      <c r="F822" s="27"/>
      <c r="G822" s="14">
        <f>IF(OR(H822&gt;AB$2,I822&gt;AC$2,J822&gt;AD$2,
P822&gt;1,V822&gt;1,
L822&gt;'Group List A'!E$2,M822&gt;'Group List A'!F$2,N822&gt;'Group List A'!G$2,
R822&gt;'Group List B'!E$2,S822&gt;'Group List B'!F$2,T822&gt;'Group List B'!G$2),"Exceed",
IF(OR(H822=AB$2,I822=AC$2,J822=AD$2,
P822=1,V822=1,
L822='Group List A'!E$2,M822='Group List A'!F$2,N822='Group List A'!G$2,
R822='Group List B'!E$2,S822='Group List B'!F$2,T822='Group List B'!G$2),"Limit",0))</f>
        <v>0</v>
      </c>
      <c r="H822" s="29">
        <f t="shared" si="182"/>
        <v>0</v>
      </c>
      <c r="I822" s="29">
        <f t="shared" si="183"/>
        <v>0</v>
      </c>
      <c r="J822" s="29">
        <f t="shared" si="184"/>
        <v>0</v>
      </c>
      <c r="K822" s="32" t="str" cm="1">
        <f t="array" ref="K822">IF(AF822&lt;&gt;"",IFERROR(INDEX('Group List A'!B:B,MATCH(AI822,'Group List A'!A:A,0),0),"-"),"")</f>
        <v/>
      </c>
      <c r="L822" s="33">
        <f t="shared" si="185"/>
        <v>0</v>
      </c>
      <c r="M822" s="33">
        <f t="shared" si="186"/>
        <v>0</v>
      </c>
      <c r="N822" s="33">
        <f t="shared" si="187"/>
        <v>0</v>
      </c>
      <c r="O822" s="28"/>
      <c r="P822" s="33">
        <f t="shared" si="188"/>
        <v>0</v>
      </c>
      <c r="Q822" s="35" t="str" cm="1">
        <f t="array" ref="Q822">IF(AF822&lt;&gt;"",IFERROR(INDEX('Group List B'!B:B,MATCH(AI822,'Group List B'!A:A,0),0),"-"),"")</f>
        <v/>
      </c>
      <c r="R822" s="36">
        <f t="shared" si="189"/>
        <v>0</v>
      </c>
      <c r="S822" s="36">
        <f t="shared" si="190"/>
        <v>0</v>
      </c>
      <c r="T822" s="36">
        <f t="shared" si="191"/>
        <v>0</v>
      </c>
      <c r="U822" s="28"/>
      <c r="V822" s="37">
        <f t="shared" si="192"/>
        <v>0</v>
      </c>
      <c r="W822" s="41"/>
      <c r="X822" s="27"/>
      <c r="Y822" s="27"/>
      <c r="Z822" s="27"/>
      <c r="AA822" s="15"/>
      <c r="AB822" s="17"/>
      <c r="AC822" s="17"/>
      <c r="AD822" s="17"/>
      <c r="AE822" s="90"/>
      <c r="AF822" s="82" t="str">
        <f t="shared" si="193"/>
        <v/>
      </c>
      <c r="AG822" s="83" t="str">
        <f t="shared" si="194"/>
        <v/>
      </c>
      <c r="AH822" s="82" t="str">
        <f t="shared" si="195"/>
        <v/>
      </c>
      <c r="AI822" s="82" t="str">
        <f t="shared" si="196"/>
        <v/>
      </c>
      <c r="AJ822" s="90"/>
      <c r="AP822" s="88"/>
    </row>
    <row r="823" spans="1:42" x14ac:dyDescent="0.25">
      <c r="A823" s="2"/>
      <c r="C823" s="68" t="str" cm="1">
        <f t="array" ref="C823">IF(AF823&lt;&gt;"",
IFERROR(INDEX('LaunchPad Markbook'!A:A,MATCH(AH823,'LaunchPad Markbook'!D:D,0),0),"-"),"")</f>
        <v/>
      </c>
      <c r="D823" s="27"/>
      <c r="E823" s="27"/>
      <c r="F823" s="27"/>
      <c r="G823" s="14">
        <f>IF(OR(H823&gt;AB$2,I823&gt;AC$2,J823&gt;AD$2,
P823&gt;1,V823&gt;1,
L823&gt;'Group List A'!E$2,M823&gt;'Group List A'!F$2,N823&gt;'Group List A'!G$2,
R823&gt;'Group List B'!E$2,S823&gt;'Group List B'!F$2,T823&gt;'Group List B'!G$2),"Exceed",
IF(OR(H823=AB$2,I823=AC$2,J823=AD$2,
P823=1,V823=1,
L823='Group List A'!E$2,M823='Group List A'!F$2,N823='Group List A'!G$2,
R823='Group List B'!E$2,S823='Group List B'!F$2,T823='Group List B'!G$2),"Limit",0))</f>
        <v>0</v>
      </c>
      <c r="H823" s="29">
        <f t="shared" si="182"/>
        <v>0</v>
      </c>
      <c r="I823" s="29">
        <f t="shared" si="183"/>
        <v>0</v>
      </c>
      <c r="J823" s="29">
        <f t="shared" si="184"/>
        <v>0</v>
      </c>
      <c r="K823" s="32" t="str" cm="1">
        <f t="array" ref="K823">IF(AF823&lt;&gt;"",IFERROR(INDEX('Group List A'!B:B,MATCH(AI823,'Group List A'!A:A,0),0),"-"),"")</f>
        <v/>
      </c>
      <c r="L823" s="33">
        <f t="shared" si="185"/>
        <v>0</v>
      </c>
      <c r="M823" s="33">
        <f t="shared" si="186"/>
        <v>0</v>
      </c>
      <c r="N823" s="33">
        <f t="shared" si="187"/>
        <v>0</v>
      </c>
      <c r="O823" s="28"/>
      <c r="P823" s="33">
        <f t="shared" si="188"/>
        <v>0</v>
      </c>
      <c r="Q823" s="35" t="str" cm="1">
        <f t="array" ref="Q823">IF(AF823&lt;&gt;"",IFERROR(INDEX('Group List B'!B:B,MATCH(AI823,'Group List B'!A:A,0),0),"-"),"")</f>
        <v/>
      </c>
      <c r="R823" s="36">
        <f t="shared" si="189"/>
        <v>0</v>
      </c>
      <c r="S823" s="36">
        <f t="shared" si="190"/>
        <v>0</v>
      </c>
      <c r="T823" s="36">
        <f t="shared" si="191"/>
        <v>0</v>
      </c>
      <c r="U823" s="28"/>
      <c r="V823" s="37">
        <f t="shared" si="192"/>
        <v>0</v>
      </c>
      <c r="W823" s="41"/>
      <c r="X823" s="27"/>
      <c r="Y823" s="27"/>
      <c r="Z823" s="27"/>
      <c r="AA823" s="15"/>
      <c r="AB823" s="17"/>
      <c r="AC823" s="17"/>
      <c r="AD823" s="17"/>
      <c r="AE823" s="90"/>
      <c r="AF823" s="82" t="str">
        <f t="shared" si="193"/>
        <v/>
      </c>
      <c r="AG823" s="83" t="str">
        <f t="shared" si="194"/>
        <v/>
      </c>
      <c r="AH823" s="82" t="str">
        <f t="shared" si="195"/>
        <v/>
      </c>
      <c r="AI823" s="82" t="str">
        <f t="shared" si="196"/>
        <v/>
      </c>
      <c r="AJ823" s="90"/>
      <c r="AP823" s="88"/>
    </row>
    <row r="824" spans="1:42" x14ac:dyDescent="0.25">
      <c r="A824" s="2"/>
      <c r="C824" s="68" t="str" cm="1">
        <f t="array" ref="C824">IF(AF824&lt;&gt;"",
IFERROR(INDEX('LaunchPad Markbook'!A:A,MATCH(AH824,'LaunchPad Markbook'!D:D,0),0),"-"),"")</f>
        <v/>
      </c>
      <c r="D824" s="27"/>
      <c r="E824" s="27"/>
      <c r="F824" s="27"/>
      <c r="G824" s="14">
        <f>IF(OR(H824&gt;AB$2,I824&gt;AC$2,J824&gt;AD$2,
P824&gt;1,V824&gt;1,
L824&gt;'Group List A'!E$2,M824&gt;'Group List A'!F$2,N824&gt;'Group List A'!G$2,
R824&gt;'Group List B'!E$2,S824&gt;'Group List B'!F$2,T824&gt;'Group List B'!G$2),"Exceed",
IF(OR(H824=AB$2,I824=AC$2,J824=AD$2,
P824=1,V824=1,
L824='Group List A'!E$2,M824='Group List A'!F$2,N824='Group List A'!G$2,
R824='Group List B'!E$2,S824='Group List B'!F$2,T824='Group List B'!G$2),"Limit",0))</f>
        <v>0</v>
      </c>
      <c r="H824" s="29">
        <f t="shared" si="182"/>
        <v>0</v>
      </c>
      <c r="I824" s="29">
        <f t="shared" si="183"/>
        <v>0</v>
      </c>
      <c r="J824" s="29">
        <f t="shared" si="184"/>
        <v>0</v>
      </c>
      <c r="K824" s="32" t="str" cm="1">
        <f t="array" ref="K824">IF(AF824&lt;&gt;"",IFERROR(INDEX('Group List A'!B:B,MATCH(AI824,'Group List A'!A:A,0),0),"-"),"")</f>
        <v/>
      </c>
      <c r="L824" s="33">
        <f t="shared" si="185"/>
        <v>0</v>
      </c>
      <c r="M824" s="33">
        <f t="shared" si="186"/>
        <v>0</v>
      </c>
      <c r="N824" s="33">
        <f t="shared" si="187"/>
        <v>0</v>
      </c>
      <c r="O824" s="28"/>
      <c r="P824" s="33">
        <f t="shared" si="188"/>
        <v>0</v>
      </c>
      <c r="Q824" s="35" t="str" cm="1">
        <f t="array" ref="Q824">IF(AF824&lt;&gt;"",IFERROR(INDEX('Group List B'!B:B,MATCH(AI824,'Group List B'!A:A,0),0),"-"),"")</f>
        <v/>
      </c>
      <c r="R824" s="36">
        <f t="shared" si="189"/>
        <v>0</v>
      </c>
      <c r="S824" s="36">
        <f t="shared" si="190"/>
        <v>0</v>
      </c>
      <c r="T824" s="36">
        <f t="shared" si="191"/>
        <v>0</v>
      </c>
      <c r="U824" s="28"/>
      <c r="V824" s="37">
        <f t="shared" si="192"/>
        <v>0</v>
      </c>
      <c r="W824" s="41"/>
      <c r="X824" s="27"/>
      <c r="Y824" s="27"/>
      <c r="Z824" s="27"/>
      <c r="AA824" s="15"/>
      <c r="AB824" s="17"/>
      <c r="AC824" s="17"/>
      <c r="AD824" s="17"/>
      <c r="AE824" s="90"/>
      <c r="AF824" s="82" t="str">
        <f t="shared" si="193"/>
        <v/>
      </c>
      <c r="AG824" s="83" t="str">
        <f t="shared" si="194"/>
        <v/>
      </c>
      <c r="AH824" s="82" t="str">
        <f t="shared" si="195"/>
        <v/>
      </c>
      <c r="AI824" s="82" t="str">
        <f t="shared" si="196"/>
        <v/>
      </c>
      <c r="AJ824" s="90"/>
      <c r="AP824" s="88"/>
    </row>
    <row r="825" spans="1:42" x14ac:dyDescent="0.25">
      <c r="A825" s="2"/>
      <c r="C825" s="68" t="str" cm="1">
        <f t="array" ref="C825">IF(AF825&lt;&gt;"",
IFERROR(INDEX('LaunchPad Markbook'!A:A,MATCH(AH825,'LaunchPad Markbook'!D:D,0),0),"-"),"")</f>
        <v/>
      </c>
      <c r="D825" s="27"/>
      <c r="E825" s="27"/>
      <c r="F825" s="27"/>
      <c r="G825" s="14">
        <f>IF(OR(H825&gt;AB$2,I825&gt;AC$2,J825&gt;AD$2,
P825&gt;1,V825&gt;1,
L825&gt;'Group List A'!E$2,M825&gt;'Group List A'!F$2,N825&gt;'Group List A'!G$2,
R825&gt;'Group List B'!E$2,S825&gt;'Group List B'!F$2,T825&gt;'Group List B'!G$2),"Exceed",
IF(OR(H825=AB$2,I825=AC$2,J825=AD$2,
P825=1,V825=1,
L825='Group List A'!E$2,M825='Group List A'!F$2,N825='Group List A'!G$2,
R825='Group List B'!E$2,S825='Group List B'!F$2,T825='Group List B'!G$2),"Limit",0))</f>
        <v>0</v>
      </c>
      <c r="H825" s="29">
        <f t="shared" si="182"/>
        <v>0</v>
      </c>
      <c r="I825" s="29">
        <f t="shared" si="183"/>
        <v>0</v>
      </c>
      <c r="J825" s="29">
        <f t="shared" si="184"/>
        <v>0</v>
      </c>
      <c r="K825" s="32" t="str" cm="1">
        <f t="array" ref="K825">IF(AF825&lt;&gt;"",IFERROR(INDEX('Group List A'!B:B,MATCH(AI825,'Group List A'!A:A,0),0),"-"),"")</f>
        <v/>
      </c>
      <c r="L825" s="33">
        <f t="shared" si="185"/>
        <v>0</v>
      </c>
      <c r="M825" s="33">
        <f t="shared" si="186"/>
        <v>0</v>
      </c>
      <c r="N825" s="33">
        <f t="shared" si="187"/>
        <v>0</v>
      </c>
      <c r="O825" s="28"/>
      <c r="P825" s="33">
        <f t="shared" si="188"/>
        <v>0</v>
      </c>
      <c r="Q825" s="35" t="str" cm="1">
        <f t="array" ref="Q825">IF(AF825&lt;&gt;"",IFERROR(INDEX('Group List B'!B:B,MATCH(AI825,'Group List B'!A:A,0),0),"-"),"")</f>
        <v/>
      </c>
      <c r="R825" s="36">
        <f t="shared" si="189"/>
        <v>0</v>
      </c>
      <c r="S825" s="36">
        <f t="shared" si="190"/>
        <v>0</v>
      </c>
      <c r="T825" s="36">
        <f t="shared" si="191"/>
        <v>0</v>
      </c>
      <c r="U825" s="28"/>
      <c r="V825" s="37">
        <f t="shared" si="192"/>
        <v>0</v>
      </c>
      <c r="W825" s="41"/>
      <c r="X825" s="27"/>
      <c r="Y825" s="27"/>
      <c r="Z825" s="27"/>
      <c r="AA825" s="15"/>
      <c r="AB825" s="17"/>
      <c r="AC825" s="17"/>
      <c r="AD825" s="17"/>
      <c r="AE825" s="90"/>
      <c r="AF825" s="82" t="str">
        <f t="shared" si="193"/>
        <v/>
      </c>
      <c r="AG825" s="83" t="str">
        <f t="shared" si="194"/>
        <v/>
      </c>
      <c r="AH825" s="82" t="str">
        <f t="shared" si="195"/>
        <v/>
      </c>
      <c r="AI825" s="82" t="str">
        <f t="shared" si="196"/>
        <v/>
      </c>
      <c r="AJ825" s="90"/>
      <c r="AP825" s="88"/>
    </row>
    <row r="826" spans="1:42" x14ac:dyDescent="0.25">
      <c r="A826" s="2"/>
      <c r="C826" s="68" t="str" cm="1">
        <f t="array" ref="C826">IF(AF826&lt;&gt;"",
IFERROR(INDEX('LaunchPad Markbook'!A:A,MATCH(AH826,'LaunchPad Markbook'!D:D,0),0),"-"),"")</f>
        <v/>
      </c>
      <c r="D826" s="27"/>
      <c r="E826" s="27"/>
      <c r="F826" s="27"/>
      <c r="G826" s="14">
        <f>IF(OR(H826&gt;AB$2,I826&gt;AC$2,J826&gt;AD$2,
P826&gt;1,V826&gt;1,
L826&gt;'Group List A'!E$2,M826&gt;'Group List A'!F$2,N826&gt;'Group List A'!G$2,
R826&gt;'Group List B'!E$2,S826&gt;'Group List B'!F$2,T826&gt;'Group List B'!G$2),"Exceed",
IF(OR(H826=AB$2,I826=AC$2,J826=AD$2,
P826=1,V826=1,
L826='Group List A'!E$2,M826='Group List A'!F$2,N826='Group List A'!G$2,
R826='Group List B'!E$2,S826='Group List B'!F$2,T826='Group List B'!G$2),"Limit",0))</f>
        <v>0</v>
      </c>
      <c r="H826" s="29">
        <f t="shared" si="182"/>
        <v>0</v>
      </c>
      <c r="I826" s="29">
        <f t="shared" si="183"/>
        <v>0</v>
      </c>
      <c r="J826" s="29">
        <f t="shared" si="184"/>
        <v>0</v>
      </c>
      <c r="K826" s="32" t="str" cm="1">
        <f t="array" ref="K826">IF(AF826&lt;&gt;"",IFERROR(INDEX('Group List A'!B:B,MATCH(AI826,'Group List A'!A:A,0),0),"-"),"")</f>
        <v/>
      </c>
      <c r="L826" s="33">
        <f t="shared" si="185"/>
        <v>0</v>
      </c>
      <c r="M826" s="33">
        <f t="shared" si="186"/>
        <v>0</v>
      </c>
      <c r="N826" s="33">
        <f t="shared" si="187"/>
        <v>0</v>
      </c>
      <c r="O826" s="28"/>
      <c r="P826" s="33">
        <f t="shared" si="188"/>
        <v>0</v>
      </c>
      <c r="Q826" s="35" t="str" cm="1">
        <f t="array" ref="Q826">IF(AF826&lt;&gt;"",IFERROR(INDEX('Group List B'!B:B,MATCH(AI826,'Group List B'!A:A,0),0),"-"),"")</f>
        <v/>
      </c>
      <c r="R826" s="36">
        <f t="shared" si="189"/>
        <v>0</v>
      </c>
      <c r="S826" s="36">
        <f t="shared" si="190"/>
        <v>0</v>
      </c>
      <c r="T826" s="36">
        <f t="shared" si="191"/>
        <v>0</v>
      </c>
      <c r="U826" s="28"/>
      <c r="V826" s="37">
        <f t="shared" si="192"/>
        <v>0</v>
      </c>
      <c r="W826" s="41"/>
      <c r="X826" s="27"/>
      <c r="Y826" s="27"/>
      <c r="Z826" s="27"/>
      <c r="AA826" s="15"/>
      <c r="AB826" s="17"/>
      <c r="AC826" s="17"/>
      <c r="AD826" s="17"/>
      <c r="AE826" s="90"/>
      <c r="AF826" s="82" t="str">
        <f t="shared" si="193"/>
        <v/>
      </c>
      <c r="AG826" s="83" t="str">
        <f t="shared" si="194"/>
        <v/>
      </c>
      <c r="AH826" s="82" t="str">
        <f t="shared" si="195"/>
        <v/>
      </c>
      <c r="AI826" s="82" t="str">
        <f t="shared" si="196"/>
        <v/>
      </c>
      <c r="AJ826" s="90"/>
      <c r="AP826" s="88"/>
    </row>
    <row r="827" spans="1:42" x14ac:dyDescent="0.25">
      <c r="A827" s="2"/>
      <c r="C827" s="68" t="str" cm="1">
        <f t="array" ref="C827">IF(AF827&lt;&gt;"",
IFERROR(INDEX('LaunchPad Markbook'!A:A,MATCH(AH827,'LaunchPad Markbook'!D:D,0),0),"-"),"")</f>
        <v/>
      </c>
      <c r="D827" s="27"/>
      <c r="E827" s="27"/>
      <c r="F827" s="27"/>
      <c r="G827" s="14">
        <f>IF(OR(H827&gt;AB$2,I827&gt;AC$2,J827&gt;AD$2,
P827&gt;1,V827&gt;1,
L827&gt;'Group List A'!E$2,M827&gt;'Group List A'!F$2,N827&gt;'Group List A'!G$2,
R827&gt;'Group List B'!E$2,S827&gt;'Group List B'!F$2,T827&gt;'Group List B'!G$2),"Exceed",
IF(OR(H827=AB$2,I827=AC$2,J827=AD$2,
P827=1,V827=1,
L827='Group List A'!E$2,M827='Group List A'!F$2,N827='Group List A'!G$2,
R827='Group List B'!E$2,S827='Group List B'!F$2,T827='Group List B'!G$2),"Limit",0))</f>
        <v>0</v>
      </c>
      <c r="H827" s="29">
        <f t="shared" si="182"/>
        <v>0</v>
      </c>
      <c r="I827" s="29">
        <f t="shared" si="183"/>
        <v>0</v>
      </c>
      <c r="J827" s="29">
        <f t="shared" si="184"/>
        <v>0</v>
      </c>
      <c r="K827" s="32" t="str" cm="1">
        <f t="array" ref="K827">IF(AF827&lt;&gt;"",IFERROR(INDEX('Group List A'!B:B,MATCH(AI827,'Group List A'!A:A,0),0),"-"),"")</f>
        <v/>
      </c>
      <c r="L827" s="33">
        <f t="shared" si="185"/>
        <v>0</v>
      </c>
      <c r="M827" s="33">
        <f t="shared" si="186"/>
        <v>0</v>
      </c>
      <c r="N827" s="33">
        <f t="shared" si="187"/>
        <v>0</v>
      </c>
      <c r="O827" s="28"/>
      <c r="P827" s="33">
        <f t="shared" si="188"/>
        <v>0</v>
      </c>
      <c r="Q827" s="35" t="str" cm="1">
        <f t="array" ref="Q827">IF(AF827&lt;&gt;"",IFERROR(INDEX('Group List B'!B:B,MATCH(AI827,'Group List B'!A:A,0),0),"-"),"")</f>
        <v/>
      </c>
      <c r="R827" s="36">
        <f t="shared" si="189"/>
        <v>0</v>
      </c>
      <c r="S827" s="36">
        <f t="shared" si="190"/>
        <v>0</v>
      </c>
      <c r="T827" s="36">
        <f t="shared" si="191"/>
        <v>0</v>
      </c>
      <c r="U827" s="28"/>
      <c r="V827" s="37">
        <f t="shared" si="192"/>
        <v>0</v>
      </c>
      <c r="W827" s="41"/>
      <c r="X827" s="27"/>
      <c r="Y827" s="27"/>
      <c r="Z827" s="27"/>
      <c r="AA827" s="15"/>
      <c r="AB827" s="17"/>
      <c r="AC827" s="17"/>
      <c r="AD827" s="17"/>
      <c r="AE827" s="90"/>
      <c r="AF827" s="82" t="str">
        <f t="shared" si="193"/>
        <v/>
      </c>
      <c r="AG827" s="83" t="str">
        <f t="shared" si="194"/>
        <v/>
      </c>
      <c r="AH827" s="82" t="str">
        <f t="shared" si="195"/>
        <v/>
      </c>
      <c r="AI827" s="82" t="str">
        <f t="shared" si="196"/>
        <v/>
      </c>
      <c r="AJ827" s="90"/>
      <c r="AP827" s="88"/>
    </row>
    <row r="828" spans="1:42" x14ac:dyDescent="0.25">
      <c r="A828" s="2"/>
      <c r="C828" s="68" t="str" cm="1">
        <f t="array" ref="C828">IF(AF828&lt;&gt;"",
IFERROR(INDEX('LaunchPad Markbook'!A:A,MATCH(AH828,'LaunchPad Markbook'!D:D,0),0),"-"),"")</f>
        <v/>
      </c>
      <c r="D828" s="27"/>
      <c r="E828" s="27"/>
      <c r="F828" s="27"/>
      <c r="G828" s="14">
        <f>IF(OR(H828&gt;AB$2,I828&gt;AC$2,J828&gt;AD$2,
P828&gt;1,V828&gt;1,
L828&gt;'Group List A'!E$2,M828&gt;'Group List A'!F$2,N828&gt;'Group List A'!G$2,
R828&gt;'Group List B'!E$2,S828&gt;'Group List B'!F$2,T828&gt;'Group List B'!G$2),"Exceed",
IF(OR(H828=AB$2,I828=AC$2,J828=AD$2,
P828=1,V828=1,
L828='Group List A'!E$2,M828='Group List A'!F$2,N828='Group List A'!G$2,
R828='Group List B'!E$2,S828='Group List B'!F$2,T828='Group List B'!G$2),"Limit",0))</f>
        <v>0</v>
      </c>
      <c r="H828" s="29">
        <f t="shared" si="182"/>
        <v>0</v>
      </c>
      <c r="I828" s="29">
        <f t="shared" si="183"/>
        <v>0</v>
      </c>
      <c r="J828" s="29">
        <f t="shared" si="184"/>
        <v>0</v>
      </c>
      <c r="K828" s="32" t="str" cm="1">
        <f t="array" ref="K828">IF(AF828&lt;&gt;"",IFERROR(INDEX('Group List A'!B:B,MATCH(AI828,'Group List A'!A:A,0),0),"-"),"")</f>
        <v/>
      </c>
      <c r="L828" s="33">
        <f t="shared" si="185"/>
        <v>0</v>
      </c>
      <c r="M828" s="33">
        <f t="shared" si="186"/>
        <v>0</v>
      </c>
      <c r="N828" s="33">
        <f t="shared" si="187"/>
        <v>0</v>
      </c>
      <c r="O828" s="28"/>
      <c r="P828" s="33">
        <f t="shared" si="188"/>
        <v>0</v>
      </c>
      <c r="Q828" s="35" t="str" cm="1">
        <f t="array" ref="Q828">IF(AF828&lt;&gt;"",IFERROR(INDEX('Group List B'!B:B,MATCH(AI828,'Group List B'!A:A,0),0),"-"),"")</f>
        <v/>
      </c>
      <c r="R828" s="36">
        <f t="shared" si="189"/>
        <v>0</v>
      </c>
      <c r="S828" s="36">
        <f t="shared" si="190"/>
        <v>0</v>
      </c>
      <c r="T828" s="36">
        <f t="shared" si="191"/>
        <v>0</v>
      </c>
      <c r="U828" s="28"/>
      <c r="V828" s="37">
        <f t="shared" si="192"/>
        <v>0</v>
      </c>
      <c r="W828" s="41"/>
      <c r="X828" s="27"/>
      <c r="Y828" s="27"/>
      <c r="Z828" s="27"/>
      <c r="AA828" s="15"/>
      <c r="AB828" s="17"/>
      <c r="AC828" s="17"/>
      <c r="AD828" s="17"/>
      <c r="AE828" s="90"/>
      <c r="AF828" s="82" t="str">
        <f t="shared" si="193"/>
        <v/>
      </c>
      <c r="AG828" s="83" t="str">
        <f t="shared" si="194"/>
        <v/>
      </c>
      <c r="AH828" s="82" t="str">
        <f t="shared" si="195"/>
        <v/>
      </c>
      <c r="AI828" s="82" t="str">
        <f t="shared" si="196"/>
        <v/>
      </c>
      <c r="AJ828" s="90"/>
      <c r="AP828" s="88"/>
    </row>
    <row r="829" spans="1:42" x14ac:dyDescent="0.25">
      <c r="A829" s="2"/>
      <c r="C829" s="68" t="str" cm="1">
        <f t="array" ref="C829">IF(AF829&lt;&gt;"",
IFERROR(INDEX('LaunchPad Markbook'!A:A,MATCH(AH829,'LaunchPad Markbook'!D:D,0),0),"-"),"")</f>
        <v/>
      </c>
      <c r="D829" s="27"/>
      <c r="E829" s="27"/>
      <c r="F829" s="27"/>
      <c r="G829" s="14">
        <f>IF(OR(H829&gt;AB$2,I829&gt;AC$2,J829&gt;AD$2,
P829&gt;1,V829&gt;1,
L829&gt;'Group List A'!E$2,M829&gt;'Group List A'!F$2,N829&gt;'Group List A'!G$2,
R829&gt;'Group List B'!E$2,S829&gt;'Group List B'!F$2,T829&gt;'Group List B'!G$2),"Exceed",
IF(OR(H829=AB$2,I829=AC$2,J829=AD$2,
P829=1,V829=1,
L829='Group List A'!E$2,M829='Group List A'!F$2,N829='Group List A'!G$2,
R829='Group List B'!E$2,S829='Group List B'!F$2,T829='Group List B'!G$2),"Limit",0))</f>
        <v>0</v>
      </c>
      <c r="H829" s="29">
        <f t="shared" si="182"/>
        <v>0</v>
      </c>
      <c r="I829" s="29">
        <f t="shared" si="183"/>
        <v>0</v>
      </c>
      <c r="J829" s="29">
        <f t="shared" si="184"/>
        <v>0</v>
      </c>
      <c r="K829" s="32" t="str" cm="1">
        <f t="array" ref="K829">IF(AF829&lt;&gt;"",IFERROR(INDEX('Group List A'!B:B,MATCH(AI829,'Group List A'!A:A,0),0),"-"),"")</f>
        <v/>
      </c>
      <c r="L829" s="33">
        <f t="shared" si="185"/>
        <v>0</v>
      </c>
      <c r="M829" s="33">
        <f t="shared" si="186"/>
        <v>0</v>
      </c>
      <c r="N829" s="33">
        <f t="shared" si="187"/>
        <v>0</v>
      </c>
      <c r="O829" s="28"/>
      <c r="P829" s="33">
        <f t="shared" si="188"/>
        <v>0</v>
      </c>
      <c r="Q829" s="35" t="str" cm="1">
        <f t="array" ref="Q829">IF(AF829&lt;&gt;"",IFERROR(INDEX('Group List B'!B:B,MATCH(AI829,'Group List B'!A:A,0),0),"-"),"")</f>
        <v/>
      </c>
      <c r="R829" s="36">
        <f t="shared" si="189"/>
        <v>0</v>
      </c>
      <c r="S829" s="36">
        <f t="shared" si="190"/>
        <v>0</v>
      </c>
      <c r="T829" s="36">
        <f t="shared" si="191"/>
        <v>0</v>
      </c>
      <c r="U829" s="28"/>
      <c r="V829" s="37">
        <f t="shared" si="192"/>
        <v>0</v>
      </c>
      <c r="W829" s="41"/>
      <c r="X829" s="27"/>
      <c r="Y829" s="27"/>
      <c r="Z829" s="27"/>
      <c r="AA829" s="15"/>
      <c r="AB829" s="17"/>
      <c r="AC829" s="17"/>
      <c r="AD829" s="17"/>
      <c r="AE829" s="90"/>
      <c r="AF829" s="82" t="str">
        <f t="shared" si="193"/>
        <v/>
      </c>
      <c r="AG829" s="83" t="str">
        <f t="shared" si="194"/>
        <v/>
      </c>
      <c r="AH829" s="82" t="str">
        <f t="shared" si="195"/>
        <v/>
      </c>
      <c r="AI829" s="82" t="str">
        <f t="shared" si="196"/>
        <v/>
      </c>
      <c r="AJ829" s="90"/>
      <c r="AP829" s="88"/>
    </row>
    <row r="830" spans="1:42" x14ac:dyDescent="0.25">
      <c r="A830" s="2"/>
      <c r="C830" s="68" t="str" cm="1">
        <f t="array" ref="C830">IF(AF830&lt;&gt;"",
IFERROR(INDEX('LaunchPad Markbook'!A:A,MATCH(AH830,'LaunchPad Markbook'!D:D,0),0),"-"),"")</f>
        <v/>
      </c>
      <c r="D830" s="27"/>
      <c r="E830" s="27"/>
      <c r="F830" s="27"/>
      <c r="G830" s="14">
        <f>IF(OR(H830&gt;AB$2,I830&gt;AC$2,J830&gt;AD$2,
P830&gt;1,V830&gt;1,
L830&gt;'Group List A'!E$2,M830&gt;'Group List A'!F$2,N830&gt;'Group List A'!G$2,
R830&gt;'Group List B'!E$2,S830&gt;'Group List B'!F$2,T830&gt;'Group List B'!G$2),"Exceed",
IF(OR(H830=AB$2,I830=AC$2,J830=AD$2,
P830=1,V830=1,
L830='Group List A'!E$2,M830='Group List A'!F$2,N830='Group List A'!G$2,
R830='Group List B'!E$2,S830='Group List B'!F$2,T830='Group List B'!G$2),"Limit",0))</f>
        <v>0</v>
      </c>
      <c r="H830" s="29">
        <f t="shared" si="182"/>
        <v>0</v>
      </c>
      <c r="I830" s="29">
        <f t="shared" si="183"/>
        <v>0</v>
      </c>
      <c r="J830" s="29">
        <f t="shared" si="184"/>
        <v>0</v>
      </c>
      <c r="K830" s="32" t="str" cm="1">
        <f t="array" ref="K830">IF(AF830&lt;&gt;"",IFERROR(INDEX('Group List A'!B:B,MATCH(AI830,'Group List A'!A:A,0),0),"-"),"")</f>
        <v/>
      </c>
      <c r="L830" s="33">
        <f t="shared" si="185"/>
        <v>0</v>
      </c>
      <c r="M830" s="33">
        <f t="shared" si="186"/>
        <v>0</v>
      </c>
      <c r="N830" s="33">
        <f t="shared" si="187"/>
        <v>0</v>
      </c>
      <c r="O830" s="28"/>
      <c r="P830" s="33">
        <f t="shared" si="188"/>
        <v>0</v>
      </c>
      <c r="Q830" s="35" t="str" cm="1">
        <f t="array" ref="Q830">IF(AF830&lt;&gt;"",IFERROR(INDEX('Group List B'!B:B,MATCH(AI830,'Group List B'!A:A,0),0),"-"),"")</f>
        <v/>
      </c>
      <c r="R830" s="36">
        <f t="shared" si="189"/>
        <v>0</v>
      </c>
      <c r="S830" s="36">
        <f t="shared" si="190"/>
        <v>0</v>
      </c>
      <c r="T830" s="36">
        <f t="shared" si="191"/>
        <v>0</v>
      </c>
      <c r="U830" s="28"/>
      <c r="V830" s="37">
        <f t="shared" si="192"/>
        <v>0</v>
      </c>
      <c r="W830" s="41"/>
      <c r="X830" s="27"/>
      <c r="Y830" s="27"/>
      <c r="Z830" s="27"/>
      <c r="AA830" s="15"/>
      <c r="AB830" s="17"/>
      <c r="AC830" s="17"/>
      <c r="AD830" s="17"/>
      <c r="AE830" s="90"/>
      <c r="AF830" s="82" t="str">
        <f t="shared" si="193"/>
        <v/>
      </c>
      <c r="AG830" s="83" t="str">
        <f t="shared" si="194"/>
        <v/>
      </c>
      <c r="AH830" s="82" t="str">
        <f t="shared" si="195"/>
        <v/>
      </c>
      <c r="AI830" s="82" t="str">
        <f t="shared" si="196"/>
        <v/>
      </c>
      <c r="AJ830" s="90"/>
      <c r="AP830" s="88"/>
    </row>
    <row r="831" spans="1:42" x14ac:dyDescent="0.25">
      <c r="A831" s="2"/>
      <c r="C831" s="68" t="str" cm="1">
        <f t="array" ref="C831">IF(AF831&lt;&gt;"",
IFERROR(INDEX('LaunchPad Markbook'!A:A,MATCH(AH831,'LaunchPad Markbook'!D:D,0),0),"-"),"")</f>
        <v/>
      </c>
      <c r="D831" s="27"/>
      <c r="E831" s="27"/>
      <c r="F831" s="27"/>
      <c r="G831" s="14">
        <f>IF(OR(H831&gt;AB$2,I831&gt;AC$2,J831&gt;AD$2,
P831&gt;1,V831&gt;1,
L831&gt;'Group List A'!E$2,M831&gt;'Group List A'!F$2,N831&gt;'Group List A'!G$2,
R831&gt;'Group List B'!E$2,S831&gt;'Group List B'!F$2,T831&gt;'Group List B'!G$2),"Exceed",
IF(OR(H831=AB$2,I831=AC$2,J831=AD$2,
P831=1,V831=1,
L831='Group List A'!E$2,M831='Group List A'!F$2,N831='Group List A'!G$2,
R831='Group List B'!E$2,S831='Group List B'!F$2,T831='Group List B'!G$2),"Limit",0))</f>
        <v>0</v>
      </c>
      <c r="H831" s="29">
        <f t="shared" si="182"/>
        <v>0</v>
      </c>
      <c r="I831" s="29">
        <f t="shared" si="183"/>
        <v>0</v>
      </c>
      <c r="J831" s="29">
        <f t="shared" si="184"/>
        <v>0</v>
      </c>
      <c r="K831" s="32" t="str" cm="1">
        <f t="array" ref="K831">IF(AF831&lt;&gt;"",IFERROR(INDEX('Group List A'!B:B,MATCH(AI831,'Group List A'!A:A,0),0),"-"),"")</f>
        <v/>
      </c>
      <c r="L831" s="33">
        <f t="shared" si="185"/>
        <v>0</v>
      </c>
      <c r="M831" s="33">
        <f t="shared" si="186"/>
        <v>0</v>
      </c>
      <c r="N831" s="33">
        <f t="shared" si="187"/>
        <v>0</v>
      </c>
      <c r="O831" s="28"/>
      <c r="P831" s="33">
        <f t="shared" si="188"/>
        <v>0</v>
      </c>
      <c r="Q831" s="35" t="str" cm="1">
        <f t="array" ref="Q831">IF(AF831&lt;&gt;"",IFERROR(INDEX('Group List B'!B:B,MATCH(AI831,'Group List B'!A:A,0),0),"-"),"")</f>
        <v/>
      </c>
      <c r="R831" s="36">
        <f t="shared" si="189"/>
        <v>0</v>
      </c>
      <c r="S831" s="36">
        <f t="shared" si="190"/>
        <v>0</v>
      </c>
      <c r="T831" s="36">
        <f t="shared" si="191"/>
        <v>0</v>
      </c>
      <c r="U831" s="28"/>
      <c r="V831" s="37">
        <f t="shared" si="192"/>
        <v>0</v>
      </c>
      <c r="W831" s="41"/>
      <c r="X831" s="27"/>
      <c r="Y831" s="27"/>
      <c r="Z831" s="27"/>
      <c r="AA831" s="15"/>
      <c r="AB831" s="17"/>
      <c r="AC831" s="17"/>
      <c r="AD831" s="17"/>
      <c r="AE831" s="90"/>
      <c r="AF831" s="82" t="str">
        <f t="shared" si="193"/>
        <v/>
      </c>
      <c r="AG831" s="83" t="str">
        <f t="shared" si="194"/>
        <v/>
      </c>
      <c r="AH831" s="82" t="str">
        <f t="shared" si="195"/>
        <v/>
      </c>
      <c r="AI831" s="82" t="str">
        <f t="shared" si="196"/>
        <v/>
      </c>
      <c r="AJ831" s="90"/>
      <c r="AP831" s="88"/>
    </row>
    <row r="832" spans="1:42" x14ac:dyDescent="0.25">
      <c r="A832" s="2"/>
      <c r="C832" s="68" t="str" cm="1">
        <f t="array" ref="C832">IF(AF832&lt;&gt;"",
IFERROR(INDEX('LaunchPad Markbook'!A:A,MATCH(AH832,'LaunchPad Markbook'!D:D,0),0),"-"),"")</f>
        <v/>
      </c>
      <c r="D832" s="27"/>
      <c r="E832" s="27"/>
      <c r="F832" s="27"/>
      <c r="G832" s="14">
        <f>IF(OR(H832&gt;AB$2,I832&gt;AC$2,J832&gt;AD$2,
P832&gt;1,V832&gt;1,
L832&gt;'Group List A'!E$2,M832&gt;'Group List A'!F$2,N832&gt;'Group List A'!G$2,
R832&gt;'Group List B'!E$2,S832&gt;'Group List B'!F$2,T832&gt;'Group List B'!G$2),"Exceed",
IF(OR(H832=AB$2,I832=AC$2,J832=AD$2,
P832=1,V832=1,
L832='Group List A'!E$2,M832='Group List A'!F$2,N832='Group List A'!G$2,
R832='Group List B'!E$2,S832='Group List B'!F$2,T832='Group List B'!G$2),"Limit",0))</f>
        <v>0</v>
      </c>
      <c r="H832" s="29">
        <f t="shared" si="182"/>
        <v>0</v>
      </c>
      <c r="I832" s="29">
        <f t="shared" si="183"/>
        <v>0</v>
      </c>
      <c r="J832" s="29">
        <f t="shared" si="184"/>
        <v>0</v>
      </c>
      <c r="K832" s="32" t="str" cm="1">
        <f t="array" ref="K832">IF(AF832&lt;&gt;"",IFERROR(INDEX('Group List A'!B:B,MATCH(AI832,'Group List A'!A:A,0),0),"-"),"")</f>
        <v/>
      </c>
      <c r="L832" s="33">
        <f t="shared" si="185"/>
        <v>0</v>
      </c>
      <c r="M832" s="33">
        <f t="shared" si="186"/>
        <v>0</v>
      </c>
      <c r="N832" s="33">
        <f t="shared" si="187"/>
        <v>0</v>
      </c>
      <c r="O832" s="28"/>
      <c r="P832" s="33">
        <f t="shared" si="188"/>
        <v>0</v>
      </c>
      <c r="Q832" s="35" t="str" cm="1">
        <f t="array" ref="Q832">IF(AF832&lt;&gt;"",IFERROR(INDEX('Group List B'!B:B,MATCH(AI832,'Group List B'!A:A,0),0),"-"),"")</f>
        <v/>
      </c>
      <c r="R832" s="36">
        <f t="shared" si="189"/>
        <v>0</v>
      </c>
      <c r="S832" s="36">
        <f t="shared" si="190"/>
        <v>0</v>
      </c>
      <c r="T832" s="36">
        <f t="shared" si="191"/>
        <v>0</v>
      </c>
      <c r="U832" s="28"/>
      <c r="V832" s="37">
        <f t="shared" si="192"/>
        <v>0</v>
      </c>
      <c r="W832" s="41"/>
      <c r="X832" s="27"/>
      <c r="Y832" s="27"/>
      <c r="Z832" s="27"/>
      <c r="AA832" s="15"/>
      <c r="AB832" s="17"/>
      <c r="AC832" s="17"/>
      <c r="AD832" s="17"/>
      <c r="AE832" s="90"/>
      <c r="AF832" s="82" t="str">
        <f t="shared" si="193"/>
        <v/>
      </c>
      <c r="AG832" s="83" t="str">
        <f t="shared" si="194"/>
        <v/>
      </c>
      <c r="AH832" s="82" t="str">
        <f t="shared" si="195"/>
        <v/>
      </c>
      <c r="AI832" s="82" t="str">
        <f t="shared" si="196"/>
        <v/>
      </c>
      <c r="AJ832" s="90"/>
      <c r="AP832" s="88"/>
    </row>
    <row r="833" spans="1:42" x14ac:dyDescent="0.25">
      <c r="A833" s="2"/>
      <c r="C833" s="68" t="str" cm="1">
        <f t="array" ref="C833">IF(AF833&lt;&gt;"",
IFERROR(INDEX('LaunchPad Markbook'!A:A,MATCH(AH833,'LaunchPad Markbook'!D:D,0),0),"-"),"")</f>
        <v/>
      </c>
      <c r="D833" s="27"/>
      <c r="E833" s="27"/>
      <c r="F833" s="27"/>
      <c r="G833" s="14">
        <f>IF(OR(H833&gt;AB$2,I833&gt;AC$2,J833&gt;AD$2,
P833&gt;1,V833&gt;1,
L833&gt;'Group List A'!E$2,M833&gt;'Group List A'!F$2,N833&gt;'Group List A'!G$2,
R833&gt;'Group List B'!E$2,S833&gt;'Group List B'!F$2,T833&gt;'Group List B'!G$2),"Exceed",
IF(OR(H833=AB$2,I833=AC$2,J833=AD$2,
P833=1,V833=1,
L833='Group List A'!E$2,M833='Group List A'!F$2,N833='Group List A'!G$2,
R833='Group List B'!E$2,S833='Group List B'!F$2,T833='Group List B'!G$2),"Limit",0))</f>
        <v>0</v>
      </c>
      <c r="H833" s="29">
        <f t="shared" si="182"/>
        <v>0</v>
      </c>
      <c r="I833" s="29">
        <f t="shared" si="183"/>
        <v>0</v>
      </c>
      <c r="J833" s="29">
        <f t="shared" si="184"/>
        <v>0</v>
      </c>
      <c r="K833" s="32" t="str" cm="1">
        <f t="array" ref="K833">IF(AF833&lt;&gt;"",IFERROR(INDEX('Group List A'!B:B,MATCH(AI833,'Group List A'!A:A,0),0),"-"),"")</f>
        <v/>
      </c>
      <c r="L833" s="33">
        <f t="shared" si="185"/>
        <v>0</v>
      </c>
      <c r="M833" s="33">
        <f t="shared" si="186"/>
        <v>0</v>
      </c>
      <c r="N833" s="33">
        <f t="shared" si="187"/>
        <v>0</v>
      </c>
      <c r="O833" s="28"/>
      <c r="P833" s="33">
        <f t="shared" si="188"/>
        <v>0</v>
      </c>
      <c r="Q833" s="35" t="str" cm="1">
        <f t="array" ref="Q833">IF(AF833&lt;&gt;"",IFERROR(INDEX('Group List B'!B:B,MATCH(AI833,'Group List B'!A:A,0),0),"-"),"")</f>
        <v/>
      </c>
      <c r="R833" s="36">
        <f t="shared" si="189"/>
        <v>0</v>
      </c>
      <c r="S833" s="36">
        <f t="shared" si="190"/>
        <v>0</v>
      </c>
      <c r="T833" s="36">
        <f t="shared" si="191"/>
        <v>0</v>
      </c>
      <c r="U833" s="28"/>
      <c r="V833" s="37">
        <f t="shared" si="192"/>
        <v>0</v>
      </c>
      <c r="W833" s="41"/>
      <c r="X833" s="27"/>
      <c r="Y833" s="27"/>
      <c r="Z833" s="27"/>
      <c r="AA833" s="15"/>
      <c r="AB833" s="17"/>
      <c r="AC833" s="17"/>
      <c r="AD833" s="17"/>
      <c r="AE833" s="90"/>
      <c r="AF833" s="82" t="str">
        <f t="shared" si="193"/>
        <v/>
      </c>
      <c r="AG833" s="83" t="str">
        <f t="shared" si="194"/>
        <v/>
      </c>
      <c r="AH833" s="82" t="str">
        <f t="shared" si="195"/>
        <v/>
      </c>
      <c r="AI833" s="82" t="str">
        <f t="shared" si="196"/>
        <v/>
      </c>
      <c r="AJ833" s="90"/>
      <c r="AP833" s="88"/>
    </row>
    <row r="834" spans="1:42" x14ac:dyDescent="0.25">
      <c r="A834" s="2"/>
      <c r="C834" s="68" t="str" cm="1">
        <f t="array" ref="C834">IF(AF834&lt;&gt;"",
IFERROR(INDEX('LaunchPad Markbook'!A:A,MATCH(AH834,'LaunchPad Markbook'!D:D,0),0),"-"),"")</f>
        <v/>
      </c>
      <c r="D834" s="27"/>
      <c r="E834" s="27"/>
      <c r="F834" s="27"/>
      <c r="G834" s="14">
        <f>IF(OR(H834&gt;AB$2,I834&gt;AC$2,J834&gt;AD$2,
P834&gt;1,V834&gt;1,
L834&gt;'Group List A'!E$2,M834&gt;'Group List A'!F$2,N834&gt;'Group List A'!G$2,
R834&gt;'Group List B'!E$2,S834&gt;'Group List B'!F$2,T834&gt;'Group List B'!G$2),"Exceed",
IF(OR(H834=AB$2,I834=AC$2,J834=AD$2,
P834=1,V834=1,
L834='Group List A'!E$2,M834='Group List A'!F$2,N834='Group List A'!G$2,
R834='Group List B'!E$2,S834='Group List B'!F$2,T834='Group List B'!G$2),"Limit",0))</f>
        <v>0</v>
      </c>
      <c r="H834" s="29">
        <f t="shared" si="182"/>
        <v>0</v>
      </c>
      <c r="I834" s="29">
        <f t="shared" si="183"/>
        <v>0</v>
      </c>
      <c r="J834" s="29">
        <f t="shared" si="184"/>
        <v>0</v>
      </c>
      <c r="K834" s="32" t="str" cm="1">
        <f t="array" ref="K834">IF(AF834&lt;&gt;"",IFERROR(INDEX('Group List A'!B:B,MATCH(AI834,'Group List A'!A:A,0),0),"-"),"")</f>
        <v/>
      </c>
      <c r="L834" s="33">
        <f t="shared" si="185"/>
        <v>0</v>
      </c>
      <c r="M834" s="33">
        <f t="shared" si="186"/>
        <v>0</v>
      </c>
      <c r="N834" s="33">
        <f t="shared" si="187"/>
        <v>0</v>
      </c>
      <c r="O834" s="28"/>
      <c r="P834" s="33">
        <f t="shared" si="188"/>
        <v>0</v>
      </c>
      <c r="Q834" s="35" t="str" cm="1">
        <f t="array" ref="Q834">IF(AF834&lt;&gt;"",IFERROR(INDEX('Group List B'!B:B,MATCH(AI834,'Group List B'!A:A,0),0),"-"),"")</f>
        <v/>
      </c>
      <c r="R834" s="36">
        <f t="shared" si="189"/>
        <v>0</v>
      </c>
      <c r="S834" s="36">
        <f t="shared" si="190"/>
        <v>0</v>
      </c>
      <c r="T834" s="36">
        <f t="shared" si="191"/>
        <v>0</v>
      </c>
      <c r="U834" s="28"/>
      <c r="V834" s="37">
        <f t="shared" si="192"/>
        <v>0</v>
      </c>
      <c r="W834" s="41"/>
      <c r="X834" s="27"/>
      <c r="Y834" s="27"/>
      <c r="Z834" s="27"/>
      <c r="AA834" s="15"/>
      <c r="AB834" s="17"/>
      <c r="AC834" s="17"/>
      <c r="AD834" s="17"/>
      <c r="AE834" s="90"/>
      <c r="AF834" s="82" t="str">
        <f t="shared" si="193"/>
        <v/>
      </c>
      <c r="AG834" s="83" t="str">
        <f t="shared" si="194"/>
        <v/>
      </c>
      <c r="AH834" s="82" t="str">
        <f t="shared" si="195"/>
        <v/>
      </c>
      <c r="AI834" s="82" t="str">
        <f t="shared" si="196"/>
        <v/>
      </c>
      <c r="AJ834" s="90"/>
      <c r="AP834" s="88"/>
    </row>
    <row r="835" spans="1:42" x14ac:dyDescent="0.25">
      <c r="A835" s="2"/>
      <c r="C835" s="68" t="str" cm="1">
        <f t="array" ref="C835">IF(AF835&lt;&gt;"",
IFERROR(INDEX('LaunchPad Markbook'!A:A,MATCH(AH835,'LaunchPad Markbook'!D:D,0),0),"-"),"")</f>
        <v/>
      </c>
      <c r="D835" s="27"/>
      <c r="E835" s="27"/>
      <c r="F835" s="27"/>
      <c r="G835" s="14">
        <f>IF(OR(H835&gt;AB$2,I835&gt;AC$2,J835&gt;AD$2,
P835&gt;1,V835&gt;1,
L835&gt;'Group List A'!E$2,M835&gt;'Group List A'!F$2,N835&gt;'Group List A'!G$2,
R835&gt;'Group List B'!E$2,S835&gt;'Group List B'!F$2,T835&gt;'Group List B'!G$2),"Exceed",
IF(OR(H835=AB$2,I835=AC$2,J835=AD$2,
P835=1,V835=1,
L835='Group List A'!E$2,M835='Group List A'!F$2,N835='Group List A'!G$2,
R835='Group List B'!E$2,S835='Group List B'!F$2,T835='Group List B'!G$2),"Limit",0))</f>
        <v>0</v>
      </c>
      <c r="H835" s="29">
        <f t="shared" ref="H835:H898" si="197">IF(AND(K835="-",Q835="-"),
SUMIFS(D$2:D$2000,$AH$2:$AH$2000,$AH835),0)</f>
        <v>0</v>
      </c>
      <c r="I835" s="29">
        <f t="shared" ref="I835:I898" si="198">IF(AND(K835="-",Q835="-"),
SUMIFS(E$2:E$2000,$AH$2:$AH$2000,$AH835),0)</f>
        <v>0</v>
      </c>
      <c r="J835" s="29">
        <f t="shared" ref="J835:J898" si="199">IF(AND(K835="-",Q835="-"),
SUMIFS(F$2:F$2000,$AH$2:$AH$2000,$AH835),0)</f>
        <v>0</v>
      </c>
      <c r="K835" s="32" t="str" cm="1">
        <f t="array" ref="K835">IF(AF835&lt;&gt;"",IFERROR(INDEX('Group List A'!B:B,MATCH(AI835,'Group List A'!A:A,0),0),"-"),"")</f>
        <v/>
      </c>
      <c r="L835" s="33">
        <f t="shared" ref="L835:L898" si="200">IF($K835&lt;&gt;"-",SUMIFS(D$2:D$2000,$K$2:$K$2000,$K835),0)</f>
        <v>0</v>
      </c>
      <c r="M835" s="33">
        <f t="shared" ref="M835:M898" si="201">IF($K835&lt;&gt;"-",SUMIFS(E$2:E$2000,$K$2:$K$2000,$K835),0)</f>
        <v>0</v>
      </c>
      <c r="N835" s="33">
        <f t="shared" ref="N835:N898" si="202">IF($K835&lt;&gt;"-",SUMIFS(F$2:F$2000,$K$2:$K$2000,$K835),0)</f>
        <v>0</v>
      </c>
      <c r="O835" s="28"/>
      <c r="P835" s="33">
        <f t="shared" ref="P835:P898" si="203">SUMIFS(O$2:O$2000,$AH$2:$AH$2000,$AH835)</f>
        <v>0</v>
      </c>
      <c r="Q835" s="35" t="str" cm="1">
        <f t="array" ref="Q835">IF(AF835&lt;&gt;"",IFERROR(INDEX('Group List B'!B:B,MATCH(AI835,'Group List B'!A:A,0),0),"-"),"")</f>
        <v/>
      </c>
      <c r="R835" s="36">
        <f t="shared" ref="R835:R898" si="204">IF($Q835&lt;&gt;"-",SUMIFS(D$2:D$2000,$Q$2:$Q$2000,$Q835),0)</f>
        <v>0</v>
      </c>
      <c r="S835" s="36">
        <f t="shared" ref="S835:S898" si="205">IF($Q835&lt;&gt;"-",SUMIFS(E$2:E$2000,$Q$2:$Q$2000,$Q835),0)</f>
        <v>0</v>
      </c>
      <c r="T835" s="36">
        <f t="shared" ref="T835:T898" si="206">IF($Q835&lt;&gt;"-",SUMIFS(F$2:F$2000,$Q$2:$Q$2000,$Q835),0)</f>
        <v>0</v>
      </c>
      <c r="U835" s="28"/>
      <c r="V835" s="37">
        <f t="shared" ref="V835:V898" si="207">SUMIFS(U$2:U$2000,$AH$2:$AH$2000,$AH835)</f>
        <v>0</v>
      </c>
      <c r="W835" s="41"/>
      <c r="X835" s="27"/>
      <c r="Y835" s="27"/>
      <c r="Z835" s="27"/>
      <c r="AA835" s="15"/>
      <c r="AB835" s="17"/>
      <c r="AC835" s="17"/>
      <c r="AD835" s="17"/>
      <c r="AE835" s="90"/>
      <c r="AF835" s="82" t="str">
        <f t="shared" ref="AF835:AF898" si="208">IF(A835&lt;&gt;"",A835,"")</f>
        <v/>
      </c>
      <c r="AG835" s="83" t="str">
        <f t="shared" ref="AG835:AG898" si="209">IF(MID(AF835,1,1)="N","STUDENT",
IF(MID(AF835,1,1)="S","STAFF",
IF(MID(AF835,1,1)="V","VISITOR",
IF(AF835&lt;&gt;"","ERROR",""))))</f>
        <v/>
      </c>
      <c r="AH835" s="82" t="str">
        <f t="shared" ref="AH835:AH898" si="210">IF(AG835="STUDENT","N"&amp;(MID(AF835,2,8)-0),
IF(AG835="STAFF","S"&amp;MID(AF835,2,8),""))</f>
        <v/>
      </c>
      <c r="AI835" s="82" t="str">
        <f t="shared" ref="AI835:AI898" si="211">IF(AG835="STUDENT",(MID(AF835,2,8)-0),
IF(AG835="STAFF","STAFF",""))</f>
        <v/>
      </c>
      <c r="AJ835" s="90"/>
      <c r="AP835" s="88"/>
    </row>
    <row r="836" spans="1:42" x14ac:dyDescent="0.25">
      <c r="A836" s="2"/>
      <c r="C836" s="68" t="str" cm="1">
        <f t="array" ref="C836">IF(AF836&lt;&gt;"",
IFERROR(INDEX('LaunchPad Markbook'!A:A,MATCH(AH836,'LaunchPad Markbook'!D:D,0),0),"-"),"")</f>
        <v/>
      </c>
      <c r="D836" s="27"/>
      <c r="E836" s="27"/>
      <c r="F836" s="27"/>
      <c r="G836" s="14">
        <f>IF(OR(H836&gt;AB$2,I836&gt;AC$2,J836&gt;AD$2,
P836&gt;1,V836&gt;1,
L836&gt;'Group List A'!E$2,M836&gt;'Group List A'!F$2,N836&gt;'Group List A'!G$2,
R836&gt;'Group List B'!E$2,S836&gt;'Group List B'!F$2,T836&gt;'Group List B'!G$2),"Exceed",
IF(OR(H836=AB$2,I836=AC$2,J836=AD$2,
P836=1,V836=1,
L836='Group List A'!E$2,M836='Group List A'!F$2,N836='Group List A'!G$2,
R836='Group List B'!E$2,S836='Group List B'!F$2,T836='Group List B'!G$2),"Limit",0))</f>
        <v>0</v>
      </c>
      <c r="H836" s="29">
        <f t="shared" si="197"/>
        <v>0</v>
      </c>
      <c r="I836" s="29">
        <f t="shared" si="198"/>
        <v>0</v>
      </c>
      <c r="J836" s="29">
        <f t="shared" si="199"/>
        <v>0</v>
      </c>
      <c r="K836" s="32" t="str" cm="1">
        <f t="array" ref="K836">IF(AF836&lt;&gt;"",IFERROR(INDEX('Group List A'!B:B,MATCH(AI836,'Group List A'!A:A,0),0),"-"),"")</f>
        <v/>
      </c>
      <c r="L836" s="33">
        <f t="shared" si="200"/>
        <v>0</v>
      </c>
      <c r="M836" s="33">
        <f t="shared" si="201"/>
        <v>0</v>
      </c>
      <c r="N836" s="33">
        <f t="shared" si="202"/>
        <v>0</v>
      </c>
      <c r="O836" s="28"/>
      <c r="P836" s="33">
        <f t="shared" si="203"/>
        <v>0</v>
      </c>
      <c r="Q836" s="35" t="str" cm="1">
        <f t="array" ref="Q836">IF(AF836&lt;&gt;"",IFERROR(INDEX('Group List B'!B:B,MATCH(AI836,'Group List B'!A:A,0),0),"-"),"")</f>
        <v/>
      </c>
      <c r="R836" s="36">
        <f t="shared" si="204"/>
        <v>0</v>
      </c>
      <c r="S836" s="36">
        <f t="shared" si="205"/>
        <v>0</v>
      </c>
      <c r="T836" s="36">
        <f t="shared" si="206"/>
        <v>0</v>
      </c>
      <c r="U836" s="28"/>
      <c r="V836" s="37">
        <f t="shared" si="207"/>
        <v>0</v>
      </c>
      <c r="W836" s="41"/>
      <c r="X836" s="27"/>
      <c r="Y836" s="27"/>
      <c r="Z836" s="27"/>
      <c r="AA836" s="15"/>
      <c r="AB836" s="17"/>
      <c r="AC836" s="17"/>
      <c r="AD836" s="17"/>
      <c r="AE836" s="90"/>
      <c r="AF836" s="82" t="str">
        <f t="shared" si="208"/>
        <v/>
      </c>
      <c r="AG836" s="83" t="str">
        <f t="shared" si="209"/>
        <v/>
      </c>
      <c r="AH836" s="82" t="str">
        <f t="shared" si="210"/>
        <v/>
      </c>
      <c r="AI836" s="82" t="str">
        <f t="shared" si="211"/>
        <v/>
      </c>
      <c r="AJ836" s="90"/>
      <c r="AP836" s="88"/>
    </row>
    <row r="837" spans="1:42" x14ac:dyDescent="0.25">
      <c r="A837" s="2"/>
      <c r="C837" s="68" t="str" cm="1">
        <f t="array" ref="C837">IF(AF837&lt;&gt;"",
IFERROR(INDEX('LaunchPad Markbook'!A:A,MATCH(AH837,'LaunchPad Markbook'!D:D,0),0),"-"),"")</f>
        <v/>
      </c>
      <c r="D837" s="27"/>
      <c r="E837" s="27"/>
      <c r="F837" s="27"/>
      <c r="G837" s="14">
        <f>IF(OR(H837&gt;AB$2,I837&gt;AC$2,J837&gt;AD$2,
P837&gt;1,V837&gt;1,
L837&gt;'Group List A'!E$2,M837&gt;'Group List A'!F$2,N837&gt;'Group List A'!G$2,
R837&gt;'Group List B'!E$2,S837&gt;'Group List B'!F$2,T837&gt;'Group List B'!G$2),"Exceed",
IF(OR(H837=AB$2,I837=AC$2,J837=AD$2,
P837=1,V837=1,
L837='Group List A'!E$2,M837='Group List A'!F$2,N837='Group List A'!G$2,
R837='Group List B'!E$2,S837='Group List B'!F$2,T837='Group List B'!G$2),"Limit",0))</f>
        <v>0</v>
      </c>
      <c r="H837" s="29">
        <f t="shared" si="197"/>
        <v>0</v>
      </c>
      <c r="I837" s="29">
        <f t="shared" si="198"/>
        <v>0</v>
      </c>
      <c r="J837" s="29">
        <f t="shared" si="199"/>
        <v>0</v>
      </c>
      <c r="K837" s="32" t="str" cm="1">
        <f t="array" ref="K837">IF(AF837&lt;&gt;"",IFERROR(INDEX('Group List A'!B:B,MATCH(AI837,'Group List A'!A:A,0),0),"-"),"")</f>
        <v/>
      </c>
      <c r="L837" s="33">
        <f t="shared" si="200"/>
        <v>0</v>
      </c>
      <c r="M837" s="33">
        <f t="shared" si="201"/>
        <v>0</v>
      </c>
      <c r="N837" s="33">
        <f t="shared" si="202"/>
        <v>0</v>
      </c>
      <c r="O837" s="28"/>
      <c r="P837" s="33">
        <f t="shared" si="203"/>
        <v>0</v>
      </c>
      <c r="Q837" s="35" t="str" cm="1">
        <f t="array" ref="Q837">IF(AF837&lt;&gt;"",IFERROR(INDEX('Group List B'!B:B,MATCH(AI837,'Group List B'!A:A,0),0),"-"),"")</f>
        <v/>
      </c>
      <c r="R837" s="36">
        <f t="shared" si="204"/>
        <v>0</v>
      </c>
      <c r="S837" s="36">
        <f t="shared" si="205"/>
        <v>0</v>
      </c>
      <c r="T837" s="36">
        <f t="shared" si="206"/>
        <v>0</v>
      </c>
      <c r="U837" s="28"/>
      <c r="V837" s="37">
        <f t="shared" si="207"/>
        <v>0</v>
      </c>
      <c r="W837" s="41"/>
      <c r="X837" s="27"/>
      <c r="Y837" s="27"/>
      <c r="Z837" s="27"/>
      <c r="AA837" s="15"/>
      <c r="AB837" s="17"/>
      <c r="AC837" s="17"/>
      <c r="AD837" s="17"/>
      <c r="AE837" s="90"/>
      <c r="AF837" s="82" t="str">
        <f t="shared" si="208"/>
        <v/>
      </c>
      <c r="AG837" s="83" t="str">
        <f t="shared" si="209"/>
        <v/>
      </c>
      <c r="AH837" s="82" t="str">
        <f t="shared" si="210"/>
        <v/>
      </c>
      <c r="AI837" s="82" t="str">
        <f t="shared" si="211"/>
        <v/>
      </c>
      <c r="AJ837" s="90"/>
      <c r="AP837" s="88"/>
    </row>
    <row r="838" spans="1:42" x14ac:dyDescent="0.25">
      <c r="A838" s="2"/>
      <c r="C838" s="68" t="str" cm="1">
        <f t="array" ref="C838">IF(AF838&lt;&gt;"",
IFERROR(INDEX('LaunchPad Markbook'!A:A,MATCH(AH838,'LaunchPad Markbook'!D:D,0),0),"-"),"")</f>
        <v/>
      </c>
      <c r="D838" s="27"/>
      <c r="E838" s="27"/>
      <c r="F838" s="27"/>
      <c r="G838" s="14">
        <f>IF(OR(H838&gt;AB$2,I838&gt;AC$2,J838&gt;AD$2,
P838&gt;1,V838&gt;1,
L838&gt;'Group List A'!E$2,M838&gt;'Group List A'!F$2,N838&gt;'Group List A'!G$2,
R838&gt;'Group List B'!E$2,S838&gt;'Group List B'!F$2,T838&gt;'Group List B'!G$2),"Exceed",
IF(OR(H838=AB$2,I838=AC$2,J838=AD$2,
P838=1,V838=1,
L838='Group List A'!E$2,M838='Group List A'!F$2,N838='Group List A'!G$2,
R838='Group List B'!E$2,S838='Group List B'!F$2,T838='Group List B'!G$2),"Limit",0))</f>
        <v>0</v>
      </c>
      <c r="H838" s="29">
        <f t="shared" si="197"/>
        <v>0</v>
      </c>
      <c r="I838" s="29">
        <f t="shared" si="198"/>
        <v>0</v>
      </c>
      <c r="J838" s="29">
        <f t="shared" si="199"/>
        <v>0</v>
      </c>
      <c r="K838" s="32" t="str" cm="1">
        <f t="array" ref="K838">IF(AF838&lt;&gt;"",IFERROR(INDEX('Group List A'!B:B,MATCH(AI838,'Group List A'!A:A,0),0),"-"),"")</f>
        <v/>
      </c>
      <c r="L838" s="33">
        <f t="shared" si="200"/>
        <v>0</v>
      </c>
      <c r="M838" s="33">
        <f t="shared" si="201"/>
        <v>0</v>
      </c>
      <c r="N838" s="33">
        <f t="shared" si="202"/>
        <v>0</v>
      </c>
      <c r="O838" s="28"/>
      <c r="P838" s="33">
        <f t="shared" si="203"/>
        <v>0</v>
      </c>
      <c r="Q838" s="35" t="str" cm="1">
        <f t="array" ref="Q838">IF(AF838&lt;&gt;"",IFERROR(INDEX('Group List B'!B:B,MATCH(AI838,'Group List B'!A:A,0),0),"-"),"")</f>
        <v/>
      </c>
      <c r="R838" s="36">
        <f t="shared" si="204"/>
        <v>0</v>
      </c>
      <c r="S838" s="36">
        <f t="shared" si="205"/>
        <v>0</v>
      </c>
      <c r="T838" s="36">
        <f t="shared" si="206"/>
        <v>0</v>
      </c>
      <c r="U838" s="28"/>
      <c r="V838" s="37">
        <f t="shared" si="207"/>
        <v>0</v>
      </c>
      <c r="W838" s="41"/>
      <c r="X838" s="27"/>
      <c r="Y838" s="27"/>
      <c r="Z838" s="27"/>
      <c r="AA838" s="15"/>
      <c r="AB838" s="17"/>
      <c r="AC838" s="17"/>
      <c r="AD838" s="17"/>
      <c r="AE838" s="90"/>
      <c r="AF838" s="82" t="str">
        <f t="shared" si="208"/>
        <v/>
      </c>
      <c r="AG838" s="83" t="str">
        <f t="shared" si="209"/>
        <v/>
      </c>
      <c r="AH838" s="82" t="str">
        <f t="shared" si="210"/>
        <v/>
      </c>
      <c r="AI838" s="82" t="str">
        <f t="shared" si="211"/>
        <v/>
      </c>
      <c r="AJ838" s="90"/>
      <c r="AP838" s="88"/>
    </row>
    <row r="839" spans="1:42" x14ac:dyDescent="0.25">
      <c r="A839" s="2"/>
      <c r="C839" s="68" t="str" cm="1">
        <f t="array" ref="C839">IF(AF839&lt;&gt;"",
IFERROR(INDEX('LaunchPad Markbook'!A:A,MATCH(AH839,'LaunchPad Markbook'!D:D,0),0),"-"),"")</f>
        <v/>
      </c>
      <c r="D839" s="27"/>
      <c r="E839" s="27"/>
      <c r="F839" s="27"/>
      <c r="G839" s="14">
        <f>IF(OR(H839&gt;AB$2,I839&gt;AC$2,J839&gt;AD$2,
P839&gt;1,V839&gt;1,
L839&gt;'Group List A'!E$2,M839&gt;'Group List A'!F$2,N839&gt;'Group List A'!G$2,
R839&gt;'Group List B'!E$2,S839&gt;'Group List B'!F$2,T839&gt;'Group List B'!G$2),"Exceed",
IF(OR(H839=AB$2,I839=AC$2,J839=AD$2,
P839=1,V839=1,
L839='Group List A'!E$2,M839='Group List A'!F$2,N839='Group List A'!G$2,
R839='Group List B'!E$2,S839='Group List B'!F$2,T839='Group List B'!G$2),"Limit",0))</f>
        <v>0</v>
      </c>
      <c r="H839" s="29">
        <f t="shared" si="197"/>
        <v>0</v>
      </c>
      <c r="I839" s="29">
        <f t="shared" si="198"/>
        <v>0</v>
      </c>
      <c r="J839" s="29">
        <f t="shared" si="199"/>
        <v>0</v>
      </c>
      <c r="K839" s="32" t="str" cm="1">
        <f t="array" ref="K839">IF(AF839&lt;&gt;"",IFERROR(INDEX('Group List A'!B:B,MATCH(AI839,'Group List A'!A:A,0),0),"-"),"")</f>
        <v/>
      </c>
      <c r="L839" s="33">
        <f t="shared" si="200"/>
        <v>0</v>
      </c>
      <c r="M839" s="33">
        <f t="shared" si="201"/>
        <v>0</v>
      </c>
      <c r="N839" s="33">
        <f t="shared" si="202"/>
        <v>0</v>
      </c>
      <c r="O839" s="28"/>
      <c r="P839" s="33">
        <f t="shared" si="203"/>
        <v>0</v>
      </c>
      <c r="Q839" s="35" t="str" cm="1">
        <f t="array" ref="Q839">IF(AF839&lt;&gt;"",IFERROR(INDEX('Group List B'!B:B,MATCH(AI839,'Group List B'!A:A,0),0),"-"),"")</f>
        <v/>
      </c>
      <c r="R839" s="36">
        <f t="shared" si="204"/>
        <v>0</v>
      </c>
      <c r="S839" s="36">
        <f t="shared" si="205"/>
        <v>0</v>
      </c>
      <c r="T839" s="36">
        <f t="shared" si="206"/>
        <v>0</v>
      </c>
      <c r="U839" s="28"/>
      <c r="V839" s="37">
        <f t="shared" si="207"/>
        <v>0</v>
      </c>
      <c r="W839" s="41"/>
      <c r="X839" s="27"/>
      <c r="Y839" s="27"/>
      <c r="Z839" s="27"/>
      <c r="AA839" s="15"/>
      <c r="AB839" s="17"/>
      <c r="AC839" s="17"/>
      <c r="AD839" s="17"/>
      <c r="AE839" s="90"/>
      <c r="AF839" s="82" t="str">
        <f t="shared" si="208"/>
        <v/>
      </c>
      <c r="AG839" s="83" t="str">
        <f t="shared" si="209"/>
        <v/>
      </c>
      <c r="AH839" s="82" t="str">
        <f t="shared" si="210"/>
        <v/>
      </c>
      <c r="AI839" s="82" t="str">
        <f t="shared" si="211"/>
        <v/>
      </c>
      <c r="AJ839" s="90"/>
      <c r="AP839" s="88"/>
    </row>
    <row r="840" spans="1:42" x14ac:dyDescent="0.25">
      <c r="A840" s="2"/>
      <c r="C840" s="68" t="str" cm="1">
        <f t="array" ref="C840">IF(AF840&lt;&gt;"",
IFERROR(INDEX('LaunchPad Markbook'!A:A,MATCH(AH840,'LaunchPad Markbook'!D:D,0),0),"-"),"")</f>
        <v/>
      </c>
      <c r="D840" s="27"/>
      <c r="E840" s="27"/>
      <c r="F840" s="27"/>
      <c r="G840" s="14">
        <f>IF(OR(H840&gt;AB$2,I840&gt;AC$2,J840&gt;AD$2,
P840&gt;1,V840&gt;1,
L840&gt;'Group List A'!E$2,M840&gt;'Group List A'!F$2,N840&gt;'Group List A'!G$2,
R840&gt;'Group List B'!E$2,S840&gt;'Group List B'!F$2,T840&gt;'Group List B'!G$2),"Exceed",
IF(OR(H840=AB$2,I840=AC$2,J840=AD$2,
P840=1,V840=1,
L840='Group List A'!E$2,M840='Group List A'!F$2,N840='Group List A'!G$2,
R840='Group List B'!E$2,S840='Group List B'!F$2,T840='Group List B'!G$2),"Limit",0))</f>
        <v>0</v>
      </c>
      <c r="H840" s="29">
        <f t="shared" si="197"/>
        <v>0</v>
      </c>
      <c r="I840" s="29">
        <f t="shared" si="198"/>
        <v>0</v>
      </c>
      <c r="J840" s="29">
        <f t="shared" si="199"/>
        <v>0</v>
      </c>
      <c r="K840" s="32" t="str" cm="1">
        <f t="array" ref="K840">IF(AF840&lt;&gt;"",IFERROR(INDEX('Group List A'!B:B,MATCH(AI840,'Group List A'!A:A,0),0),"-"),"")</f>
        <v/>
      </c>
      <c r="L840" s="33">
        <f t="shared" si="200"/>
        <v>0</v>
      </c>
      <c r="M840" s="33">
        <f t="shared" si="201"/>
        <v>0</v>
      </c>
      <c r="N840" s="33">
        <f t="shared" si="202"/>
        <v>0</v>
      </c>
      <c r="O840" s="28"/>
      <c r="P840" s="33">
        <f t="shared" si="203"/>
        <v>0</v>
      </c>
      <c r="Q840" s="35" t="str" cm="1">
        <f t="array" ref="Q840">IF(AF840&lt;&gt;"",IFERROR(INDEX('Group List B'!B:B,MATCH(AI840,'Group List B'!A:A,0),0),"-"),"")</f>
        <v/>
      </c>
      <c r="R840" s="36">
        <f t="shared" si="204"/>
        <v>0</v>
      </c>
      <c r="S840" s="36">
        <f t="shared" si="205"/>
        <v>0</v>
      </c>
      <c r="T840" s="36">
        <f t="shared" si="206"/>
        <v>0</v>
      </c>
      <c r="U840" s="28"/>
      <c r="V840" s="37">
        <f t="shared" si="207"/>
        <v>0</v>
      </c>
      <c r="W840" s="41"/>
      <c r="X840" s="27"/>
      <c r="Y840" s="27"/>
      <c r="Z840" s="27"/>
      <c r="AA840" s="15"/>
      <c r="AB840" s="17"/>
      <c r="AC840" s="17"/>
      <c r="AD840" s="17"/>
      <c r="AE840" s="90"/>
      <c r="AF840" s="82" t="str">
        <f t="shared" si="208"/>
        <v/>
      </c>
      <c r="AG840" s="83" t="str">
        <f t="shared" si="209"/>
        <v/>
      </c>
      <c r="AH840" s="82" t="str">
        <f t="shared" si="210"/>
        <v/>
      </c>
      <c r="AI840" s="82" t="str">
        <f t="shared" si="211"/>
        <v/>
      </c>
      <c r="AJ840" s="90"/>
      <c r="AP840" s="88"/>
    </row>
    <row r="841" spans="1:42" x14ac:dyDescent="0.25">
      <c r="A841" s="2"/>
      <c r="C841" s="68" t="str" cm="1">
        <f t="array" ref="C841">IF(AF841&lt;&gt;"",
IFERROR(INDEX('LaunchPad Markbook'!A:A,MATCH(AH841,'LaunchPad Markbook'!D:D,0),0),"-"),"")</f>
        <v/>
      </c>
      <c r="D841" s="27"/>
      <c r="E841" s="27"/>
      <c r="F841" s="27"/>
      <c r="G841" s="14">
        <f>IF(OR(H841&gt;AB$2,I841&gt;AC$2,J841&gt;AD$2,
P841&gt;1,V841&gt;1,
L841&gt;'Group List A'!E$2,M841&gt;'Group List A'!F$2,N841&gt;'Group List A'!G$2,
R841&gt;'Group List B'!E$2,S841&gt;'Group List B'!F$2,T841&gt;'Group List B'!G$2),"Exceed",
IF(OR(H841=AB$2,I841=AC$2,J841=AD$2,
P841=1,V841=1,
L841='Group List A'!E$2,M841='Group List A'!F$2,N841='Group List A'!G$2,
R841='Group List B'!E$2,S841='Group List B'!F$2,T841='Group List B'!G$2),"Limit",0))</f>
        <v>0</v>
      </c>
      <c r="H841" s="29">
        <f t="shared" si="197"/>
        <v>0</v>
      </c>
      <c r="I841" s="29">
        <f t="shared" si="198"/>
        <v>0</v>
      </c>
      <c r="J841" s="29">
        <f t="shared" si="199"/>
        <v>0</v>
      </c>
      <c r="K841" s="32" t="str" cm="1">
        <f t="array" ref="K841">IF(AF841&lt;&gt;"",IFERROR(INDEX('Group List A'!B:B,MATCH(AI841,'Group List A'!A:A,0),0),"-"),"")</f>
        <v/>
      </c>
      <c r="L841" s="33">
        <f t="shared" si="200"/>
        <v>0</v>
      </c>
      <c r="M841" s="33">
        <f t="shared" si="201"/>
        <v>0</v>
      </c>
      <c r="N841" s="33">
        <f t="shared" si="202"/>
        <v>0</v>
      </c>
      <c r="O841" s="28"/>
      <c r="P841" s="33">
        <f t="shared" si="203"/>
        <v>0</v>
      </c>
      <c r="Q841" s="35" t="str" cm="1">
        <f t="array" ref="Q841">IF(AF841&lt;&gt;"",IFERROR(INDEX('Group List B'!B:B,MATCH(AI841,'Group List B'!A:A,0),0),"-"),"")</f>
        <v/>
      </c>
      <c r="R841" s="36">
        <f t="shared" si="204"/>
        <v>0</v>
      </c>
      <c r="S841" s="36">
        <f t="shared" si="205"/>
        <v>0</v>
      </c>
      <c r="T841" s="36">
        <f t="shared" si="206"/>
        <v>0</v>
      </c>
      <c r="U841" s="28"/>
      <c r="V841" s="37">
        <f t="shared" si="207"/>
        <v>0</v>
      </c>
      <c r="W841" s="41"/>
      <c r="X841" s="27"/>
      <c r="Y841" s="27"/>
      <c r="Z841" s="27"/>
      <c r="AA841" s="15"/>
      <c r="AB841" s="17"/>
      <c r="AC841" s="17"/>
      <c r="AD841" s="17"/>
      <c r="AE841" s="90"/>
      <c r="AF841" s="82" t="str">
        <f t="shared" si="208"/>
        <v/>
      </c>
      <c r="AG841" s="83" t="str">
        <f t="shared" si="209"/>
        <v/>
      </c>
      <c r="AH841" s="82" t="str">
        <f t="shared" si="210"/>
        <v/>
      </c>
      <c r="AI841" s="82" t="str">
        <f t="shared" si="211"/>
        <v/>
      </c>
      <c r="AJ841" s="90"/>
      <c r="AP841" s="88"/>
    </row>
    <row r="842" spans="1:42" x14ac:dyDescent="0.25">
      <c r="A842" s="2"/>
      <c r="C842" s="68" t="str" cm="1">
        <f t="array" ref="C842">IF(AF842&lt;&gt;"",
IFERROR(INDEX('LaunchPad Markbook'!A:A,MATCH(AH842,'LaunchPad Markbook'!D:D,0),0),"-"),"")</f>
        <v/>
      </c>
      <c r="D842" s="27"/>
      <c r="E842" s="27"/>
      <c r="F842" s="27"/>
      <c r="G842" s="14">
        <f>IF(OR(H842&gt;AB$2,I842&gt;AC$2,J842&gt;AD$2,
P842&gt;1,V842&gt;1,
L842&gt;'Group List A'!E$2,M842&gt;'Group List A'!F$2,N842&gt;'Group List A'!G$2,
R842&gt;'Group List B'!E$2,S842&gt;'Group List B'!F$2,T842&gt;'Group List B'!G$2),"Exceed",
IF(OR(H842=AB$2,I842=AC$2,J842=AD$2,
P842=1,V842=1,
L842='Group List A'!E$2,M842='Group List A'!F$2,N842='Group List A'!G$2,
R842='Group List B'!E$2,S842='Group List B'!F$2,T842='Group List B'!G$2),"Limit",0))</f>
        <v>0</v>
      </c>
      <c r="H842" s="29">
        <f t="shared" si="197"/>
        <v>0</v>
      </c>
      <c r="I842" s="29">
        <f t="shared" si="198"/>
        <v>0</v>
      </c>
      <c r="J842" s="29">
        <f t="shared" si="199"/>
        <v>0</v>
      </c>
      <c r="K842" s="32" t="str" cm="1">
        <f t="array" ref="K842">IF(AF842&lt;&gt;"",IFERROR(INDEX('Group List A'!B:B,MATCH(AI842,'Group List A'!A:A,0),0),"-"),"")</f>
        <v/>
      </c>
      <c r="L842" s="33">
        <f t="shared" si="200"/>
        <v>0</v>
      </c>
      <c r="M842" s="33">
        <f t="shared" si="201"/>
        <v>0</v>
      </c>
      <c r="N842" s="33">
        <f t="shared" si="202"/>
        <v>0</v>
      </c>
      <c r="O842" s="28"/>
      <c r="P842" s="33">
        <f t="shared" si="203"/>
        <v>0</v>
      </c>
      <c r="Q842" s="35" t="str" cm="1">
        <f t="array" ref="Q842">IF(AF842&lt;&gt;"",IFERROR(INDEX('Group List B'!B:B,MATCH(AI842,'Group List B'!A:A,0),0),"-"),"")</f>
        <v/>
      </c>
      <c r="R842" s="36">
        <f t="shared" si="204"/>
        <v>0</v>
      </c>
      <c r="S842" s="36">
        <f t="shared" si="205"/>
        <v>0</v>
      </c>
      <c r="T842" s="36">
        <f t="shared" si="206"/>
        <v>0</v>
      </c>
      <c r="U842" s="28"/>
      <c r="V842" s="37">
        <f t="shared" si="207"/>
        <v>0</v>
      </c>
      <c r="W842" s="41"/>
      <c r="X842" s="27"/>
      <c r="Y842" s="27"/>
      <c r="Z842" s="27"/>
      <c r="AA842" s="15"/>
      <c r="AB842" s="17"/>
      <c r="AC842" s="17"/>
      <c r="AD842" s="17"/>
      <c r="AE842" s="90"/>
      <c r="AF842" s="82" t="str">
        <f t="shared" si="208"/>
        <v/>
      </c>
      <c r="AG842" s="83" t="str">
        <f t="shared" si="209"/>
        <v/>
      </c>
      <c r="AH842" s="82" t="str">
        <f t="shared" si="210"/>
        <v/>
      </c>
      <c r="AI842" s="82" t="str">
        <f t="shared" si="211"/>
        <v/>
      </c>
      <c r="AJ842" s="90"/>
      <c r="AP842" s="88"/>
    </row>
    <row r="843" spans="1:42" x14ac:dyDescent="0.25">
      <c r="A843" s="2"/>
      <c r="C843" s="68" t="str" cm="1">
        <f t="array" ref="C843">IF(AF843&lt;&gt;"",
IFERROR(INDEX('LaunchPad Markbook'!A:A,MATCH(AH843,'LaunchPad Markbook'!D:D,0),0),"-"),"")</f>
        <v/>
      </c>
      <c r="D843" s="27"/>
      <c r="E843" s="27"/>
      <c r="F843" s="27"/>
      <c r="G843" s="14">
        <f>IF(OR(H843&gt;AB$2,I843&gt;AC$2,J843&gt;AD$2,
P843&gt;1,V843&gt;1,
L843&gt;'Group List A'!E$2,M843&gt;'Group List A'!F$2,N843&gt;'Group List A'!G$2,
R843&gt;'Group List B'!E$2,S843&gt;'Group List B'!F$2,T843&gt;'Group List B'!G$2),"Exceed",
IF(OR(H843=AB$2,I843=AC$2,J843=AD$2,
P843=1,V843=1,
L843='Group List A'!E$2,M843='Group List A'!F$2,N843='Group List A'!G$2,
R843='Group List B'!E$2,S843='Group List B'!F$2,T843='Group List B'!G$2),"Limit",0))</f>
        <v>0</v>
      </c>
      <c r="H843" s="29">
        <f t="shared" si="197"/>
        <v>0</v>
      </c>
      <c r="I843" s="29">
        <f t="shared" si="198"/>
        <v>0</v>
      </c>
      <c r="J843" s="29">
        <f t="shared" si="199"/>
        <v>0</v>
      </c>
      <c r="K843" s="32" t="str" cm="1">
        <f t="array" ref="K843">IF(AF843&lt;&gt;"",IFERROR(INDEX('Group List A'!B:B,MATCH(AI843,'Group List A'!A:A,0),0),"-"),"")</f>
        <v/>
      </c>
      <c r="L843" s="33">
        <f t="shared" si="200"/>
        <v>0</v>
      </c>
      <c r="M843" s="33">
        <f t="shared" si="201"/>
        <v>0</v>
      </c>
      <c r="N843" s="33">
        <f t="shared" si="202"/>
        <v>0</v>
      </c>
      <c r="O843" s="28"/>
      <c r="P843" s="33">
        <f t="shared" si="203"/>
        <v>0</v>
      </c>
      <c r="Q843" s="35" t="str" cm="1">
        <f t="array" ref="Q843">IF(AF843&lt;&gt;"",IFERROR(INDEX('Group List B'!B:B,MATCH(AI843,'Group List B'!A:A,0),0),"-"),"")</f>
        <v/>
      </c>
      <c r="R843" s="36">
        <f t="shared" si="204"/>
        <v>0</v>
      </c>
      <c r="S843" s="36">
        <f t="shared" si="205"/>
        <v>0</v>
      </c>
      <c r="T843" s="36">
        <f t="shared" si="206"/>
        <v>0</v>
      </c>
      <c r="U843" s="28"/>
      <c r="V843" s="37">
        <f t="shared" si="207"/>
        <v>0</v>
      </c>
      <c r="W843" s="41"/>
      <c r="X843" s="27"/>
      <c r="Y843" s="27"/>
      <c r="Z843" s="27"/>
      <c r="AA843" s="15"/>
      <c r="AB843" s="17"/>
      <c r="AC843" s="17"/>
      <c r="AD843" s="17"/>
      <c r="AE843" s="90"/>
      <c r="AF843" s="82" t="str">
        <f t="shared" si="208"/>
        <v/>
      </c>
      <c r="AG843" s="83" t="str">
        <f t="shared" si="209"/>
        <v/>
      </c>
      <c r="AH843" s="82" t="str">
        <f t="shared" si="210"/>
        <v/>
      </c>
      <c r="AI843" s="82" t="str">
        <f t="shared" si="211"/>
        <v/>
      </c>
      <c r="AJ843" s="90"/>
      <c r="AP843" s="88"/>
    </row>
    <row r="844" spans="1:42" x14ac:dyDescent="0.25">
      <c r="A844" s="2"/>
      <c r="C844" s="68" t="str" cm="1">
        <f t="array" ref="C844">IF(AF844&lt;&gt;"",
IFERROR(INDEX('LaunchPad Markbook'!A:A,MATCH(AH844,'LaunchPad Markbook'!D:D,0),0),"-"),"")</f>
        <v/>
      </c>
      <c r="D844" s="27"/>
      <c r="E844" s="27"/>
      <c r="F844" s="27"/>
      <c r="G844" s="14">
        <f>IF(OR(H844&gt;AB$2,I844&gt;AC$2,J844&gt;AD$2,
P844&gt;1,V844&gt;1,
L844&gt;'Group List A'!E$2,M844&gt;'Group List A'!F$2,N844&gt;'Group List A'!G$2,
R844&gt;'Group List B'!E$2,S844&gt;'Group List B'!F$2,T844&gt;'Group List B'!G$2),"Exceed",
IF(OR(H844=AB$2,I844=AC$2,J844=AD$2,
P844=1,V844=1,
L844='Group List A'!E$2,M844='Group List A'!F$2,N844='Group List A'!G$2,
R844='Group List B'!E$2,S844='Group List B'!F$2,T844='Group List B'!G$2),"Limit",0))</f>
        <v>0</v>
      </c>
      <c r="H844" s="29">
        <f t="shared" si="197"/>
        <v>0</v>
      </c>
      <c r="I844" s="29">
        <f t="shared" si="198"/>
        <v>0</v>
      </c>
      <c r="J844" s="29">
        <f t="shared" si="199"/>
        <v>0</v>
      </c>
      <c r="K844" s="32" t="str" cm="1">
        <f t="array" ref="K844">IF(AF844&lt;&gt;"",IFERROR(INDEX('Group List A'!B:B,MATCH(AI844,'Group List A'!A:A,0),0),"-"),"")</f>
        <v/>
      </c>
      <c r="L844" s="33">
        <f t="shared" si="200"/>
        <v>0</v>
      </c>
      <c r="M844" s="33">
        <f t="shared" si="201"/>
        <v>0</v>
      </c>
      <c r="N844" s="33">
        <f t="shared" si="202"/>
        <v>0</v>
      </c>
      <c r="O844" s="28"/>
      <c r="P844" s="33">
        <f t="shared" si="203"/>
        <v>0</v>
      </c>
      <c r="Q844" s="35" t="str" cm="1">
        <f t="array" ref="Q844">IF(AF844&lt;&gt;"",IFERROR(INDEX('Group List B'!B:B,MATCH(AI844,'Group List B'!A:A,0),0),"-"),"")</f>
        <v/>
      </c>
      <c r="R844" s="36">
        <f t="shared" si="204"/>
        <v>0</v>
      </c>
      <c r="S844" s="36">
        <f t="shared" si="205"/>
        <v>0</v>
      </c>
      <c r="T844" s="36">
        <f t="shared" si="206"/>
        <v>0</v>
      </c>
      <c r="U844" s="28"/>
      <c r="V844" s="37">
        <f t="shared" si="207"/>
        <v>0</v>
      </c>
      <c r="W844" s="41"/>
      <c r="X844" s="27"/>
      <c r="Y844" s="27"/>
      <c r="Z844" s="27"/>
      <c r="AA844" s="15"/>
      <c r="AB844" s="17"/>
      <c r="AC844" s="17"/>
      <c r="AD844" s="17"/>
      <c r="AE844" s="90"/>
      <c r="AF844" s="82" t="str">
        <f t="shared" si="208"/>
        <v/>
      </c>
      <c r="AG844" s="83" t="str">
        <f t="shared" si="209"/>
        <v/>
      </c>
      <c r="AH844" s="82" t="str">
        <f t="shared" si="210"/>
        <v/>
      </c>
      <c r="AI844" s="82" t="str">
        <f t="shared" si="211"/>
        <v/>
      </c>
      <c r="AJ844" s="90"/>
      <c r="AP844" s="88"/>
    </row>
    <row r="845" spans="1:42" x14ac:dyDescent="0.25">
      <c r="A845" s="2"/>
      <c r="C845" s="68" t="str" cm="1">
        <f t="array" ref="C845">IF(AF845&lt;&gt;"",
IFERROR(INDEX('LaunchPad Markbook'!A:A,MATCH(AH845,'LaunchPad Markbook'!D:D,0),0),"-"),"")</f>
        <v/>
      </c>
      <c r="D845" s="27"/>
      <c r="E845" s="27"/>
      <c r="F845" s="27"/>
      <c r="G845" s="14">
        <f>IF(OR(H845&gt;AB$2,I845&gt;AC$2,J845&gt;AD$2,
P845&gt;1,V845&gt;1,
L845&gt;'Group List A'!E$2,M845&gt;'Group List A'!F$2,N845&gt;'Group List A'!G$2,
R845&gt;'Group List B'!E$2,S845&gt;'Group List B'!F$2,T845&gt;'Group List B'!G$2),"Exceed",
IF(OR(H845=AB$2,I845=AC$2,J845=AD$2,
P845=1,V845=1,
L845='Group List A'!E$2,M845='Group List A'!F$2,N845='Group List A'!G$2,
R845='Group List B'!E$2,S845='Group List B'!F$2,T845='Group List B'!G$2),"Limit",0))</f>
        <v>0</v>
      </c>
      <c r="H845" s="29">
        <f t="shared" si="197"/>
        <v>0</v>
      </c>
      <c r="I845" s="29">
        <f t="shared" si="198"/>
        <v>0</v>
      </c>
      <c r="J845" s="29">
        <f t="shared" si="199"/>
        <v>0</v>
      </c>
      <c r="K845" s="32" t="str" cm="1">
        <f t="array" ref="K845">IF(AF845&lt;&gt;"",IFERROR(INDEX('Group List A'!B:B,MATCH(AI845,'Group List A'!A:A,0),0),"-"),"")</f>
        <v/>
      </c>
      <c r="L845" s="33">
        <f t="shared" si="200"/>
        <v>0</v>
      </c>
      <c r="M845" s="33">
        <f t="shared" si="201"/>
        <v>0</v>
      </c>
      <c r="N845" s="33">
        <f t="shared" si="202"/>
        <v>0</v>
      </c>
      <c r="O845" s="28"/>
      <c r="P845" s="33">
        <f t="shared" si="203"/>
        <v>0</v>
      </c>
      <c r="Q845" s="35" t="str" cm="1">
        <f t="array" ref="Q845">IF(AF845&lt;&gt;"",IFERROR(INDEX('Group List B'!B:B,MATCH(AI845,'Group List B'!A:A,0),0),"-"),"")</f>
        <v/>
      </c>
      <c r="R845" s="36">
        <f t="shared" si="204"/>
        <v>0</v>
      </c>
      <c r="S845" s="36">
        <f t="shared" si="205"/>
        <v>0</v>
      </c>
      <c r="T845" s="36">
        <f t="shared" si="206"/>
        <v>0</v>
      </c>
      <c r="U845" s="28"/>
      <c r="V845" s="37">
        <f t="shared" si="207"/>
        <v>0</v>
      </c>
      <c r="W845" s="41"/>
      <c r="X845" s="27"/>
      <c r="Y845" s="27"/>
      <c r="Z845" s="27"/>
      <c r="AA845" s="15"/>
      <c r="AB845" s="17"/>
      <c r="AC845" s="17"/>
      <c r="AD845" s="17"/>
      <c r="AE845" s="90"/>
      <c r="AF845" s="82" t="str">
        <f t="shared" si="208"/>
        <v/>
      </c>
      <c r="AG845" s="83" t="str">
        <f t="shared" si="209"/>
        <v/>
      </c>
      <c r="AH845" s="82" t="str">
        <f t="shared" si="210"/>
        <v/>
      </c>
      <c r="AI845" s="82" t="str">
        <f t="shared" si="211"/>
        <v/>
      </c>
      <c r="AJ845" s="90"/>
      <c r="AP845" s="88"/>
    </row>
    <row r="846" spans="1:42" x14ac:dyDescent="0.25">
      <c r="A846" s="2"/>
      <c r="C846" s="68" t="str" cm="1">
        <f t="array" ref="C846">IF(AF846&lt;&gt;"",
IFERROR(INDEX('LaunchPad Markbook'!A:A,MATCH(AH846,'LaunchPad Markbook'!D:D,0),0),"-"),"")</f>
        <v/>
      </c>
      <c r="D846" s="27"/>
      <c r="E846" s="27"/>
      <c r="F846" s="27"/>
      <c r="G846" s="14">
        <f>IF(OR(H846&gt;AB$2,I846&gt;AC$2,J846&gt;AD$2,
P846&gt;1,V846&gt;1,
L846&gt;'Group List A'!E$2,M846&gt;'Group List A'!F$2,N846&gt;'Group List A'!G$2,
R846&gt;'Group List B'!E$2,S846&gt;'Group List B'!F$2,T846&gt;'Group List B'!G$2),"Exceed",
IF(OR(H846=AB$2,I846=AC$2,J846=AD$2,
P846=1,V846=1,
L846='Group List A'!E$2,M846='Group List A'!F$2,N846='Group List A'!G$2,
R846='Group List B'!E$2,S846='Group List B'!F$2,T846='Group List B'!G$2),"Limit",0))</f>
        <v>0</v>
      </c>
      <c r="H846" s="29">
        <f t="shared" si="197"/>
        <v>0</v>
      </c>
      <c r="I846" s="29">
        <f t="shared" si="198"/>
        <v>0</v>
      </c>
      <c r="J846" s="29">
        <f t="shared" si="199"/>
        <v>0</v>
      </c>
      <c r="K846" s="32" t="str" cm="1">
        <f t="array" ref="K846">IF(AF846&lt;&gt;"",IFERROR(INDEX('Group List A'!B:B,MATCH(AI846,'Group List A'!A:A,0),0),"-"),"")</f>
        <v/>
      </c>
      <c r="L846" s="33">
        <f t="shared" si="200"/>
        <v>0</v>
      </c>
      <c r="M846" s="33">
        <f t="shared" si="201"/>
        <v>0</v>
      </c>
      <c r="N846" s="33">
        <f t="shared" si="202"/>
        <v>0</v>
      </c>
      <c r="O846" s="28"/>
      <c r="P846" s="33">
        <f t="shared" si="203"/>
        <v>0</v>
      </c>
      <c r="Q846" s="35" t="str" cm="1">
        <f t="array" ref="Q846">IF(AF846&lt;&gt;"",IFERROR(INDEX('Group List B'!B:B,MATCH(AI846,'Group List B'!A:A,0),0),"-"),"")</f>
        <v/>
      </c>
      <c r="R846" s="36">
        <f t="shared" si="204"/>
        <v>0</v>
      </c>
      <c r="S846" s="36">
        <f t="shared" si="205"/>
        <v>0</v>
      </c>
      <c r="T846" s="36">
        <f t="shared" si="206"/>
        <v>0</v>
      </c>
      <c r="U846" s="28"/>
      <c r="V846" s="37">
        <f t="shared" si="207"/>
        <v>0</v>
      </c>
      <c r="W846" s="41"/>
      <c r="X846" s="27"/>
      <c r="Y846" s="27"/>
      <c r="Z846" s="27"/>
      <c r="AA846" s="15"/>
      <c r="AB846" s="17"/>
      <c r="AC846" s="17"/>
      <c r="AD846" s="17"/>
      <c r="AE846" s="90"/>
      <c r="AF846" s="82" t="str">
        <f t="shared" si="208"/>
        <v/>
      </c>
      <c r="AG846" s="83" t="str">
        <f t="shared" si="209"/>
        <v/>
      </c>
      <c r="AH846" s="82" t="str">
        <f t="shared" si="210"/>
        <v/>
      </c>
      <c r="AI846" s="82" t="str">
        <f t="shared" si="211"/>
        <v/>
      </c>
      <c r="AJ846" s="90"/>
      <c r="AP846" s="88"/>
    </row>
    <row r="847" spans="1:42" x14ac:dyDescent="0.25">
      <c r="A847" s="2"/>
      <c r="C847" s="68" t="str" cm="1">
        <f t="array" ref="C847">IF(AF847&lt;&gt;"",
IFERROR(INDEX('LaunchPad Markbook'!A:A,MATCH(AH847,'LaunchPad Markbook'!D:D,0),0),"-"),"")</f>
        <v/>
      </c>
      <c r="D847" s="27"/>
      <c r="E847" s="27"/>
      <c r="F847" s="27"/>
      <c r="G847" s="14">
        <f>IF(OR(H847&gt;AB$2,I847&gt;AC$2,J847&gt;AD$2,
P847&gt;1,V847&gt;1,
L847&gt;'Group List A'!E$2,M847&gt;'Group List A'!F$2,N847&gt;'Group List A'!G$2,
R847&gt;'Group List B'!E$2,S847&gt;'Group List B'!F$2,T847&gt;'Group List B'!G$2),"Exceed",
IF(OR(H847=AB$2,I847=AC$2,J847=AD$2,
P847=1,V847=1,
L847='Group List A'!E$2,M847='Group List A'!F$2,N847='Group List A'!G$2,
R847='Group List B'!E$2,S847='Group List B'!F$2,T847='Group List B'!G$2),"Limit",0))</f>
        <v>0</v>
      </c>
      <c r="H847" s="29">
        <f t="shared" si="197"/>
        <v>0</v>
      </c>
      <c r="I847" s="29">
        <f t="shared" si="198"/>
        <v>0</v>
      </c>
      <c r="J847" s="29">
        <f t="shared" si="199"/>
        <v>0</v>
      </c>
      <c r="K847" s="32" t="str" cm="1">
        <f t="array" ref="K847">IF(AF847&lt;&gt;"",IFERROR(INDEX('Group List A'!B:B,MATCH(AI847,'Group List A'!A:A,0),0),"-"),"")</f>
        <v/>
      </c>
      <c r="L847" s="33">
        <f t="shared" si="200"/>
        <v>0</v>
      </c>
      <c r="M847" s="33">
        <f t="shared" si="201"/>
        <v>0</v>
      </c>
      <c r="N847" s="33">
        <f t="shared" si="202"/>
        <v>0</v>
      </c>
      <c r="O847" s="28"/>
      <c r="P847" s="33">
        <f t="shared" si="203"/>
        <v>0</v>
      </c>
      <c r="Q847" s="35" t="str" cm="1">
        <f t="array" ref="Q847">IF(AF847&lt;&gt;"",IFERROR(INDEX('Group List B'!B:B,MATCH(AI847,'Group List B'!A:A,0),0),"-"),"")</f>
        <v/>
      </c>
      <c r="R847" s="36">
        <f t="shared" si="204"/>
        <v>0</v>
      </c>
      <c r="S847" s="36">
        <f t="shared" si="205"/>
        <v>0</v>
      </c>
      <c r="T847" s="36">
        <f t="shared" si="206"/>
        <v>0</v>
      </c>
      <c r="U847" s="28"/>
      <c r="V847" s="37">
        <f t="shared" si="207"/>
        <v>0</v>
      </c>
      <c r="W847" s="41"/>
      <c r="X847" s="27"/>
      <c r="Y847" s="27"/>
      <c r="Z847" s="27"/>
      <c r="AA847" s="15"/>
      <c r="AB847" s="17"/>
      <c r="AC847" s="17"/>
      <c r="AD847" s="17"/>
      <c r="AE847" s="90"/>
      <c r="AF847" s="82" t="str">
        <f t="shared" si="208"/>
        <v/>
      </c>
      <c r="AG847" s="83" t="str">
        <f t="shared" si="209"/>
        <v/>
      </c>
      <c r="AH847" s="82" t="str">
        <f t="shared" si="210"/>
        <v/>
      </c>
      <c r="AI847" s="82" t="str">
        <f t="shared" si="211"/>
        <v/>
      </c>
      <c r="AJ847" s="90"/>
      <c r="AP847" s="88"/>
    </row>
    <row r="848" spans="1:42" x14ac:dyDescent="0.25">
      <c r="A848" s="2"/>
      <c r="C848" s="68" t="str" cm="1">
        <f t="array" ref="C848">IF(AF848&lt;&gt;"",
IFERROR(INDEX('LaunchPad Markbook'!A:A,MATCH(AH848,'LaunchPad Markbook'!D:D,0),0),"-"),"")</f>
        <v/>
      </c>
      <c r="D848" s="27"/>
      <c r="E848" s="27"/>
      <c r="F848" s="27"/>
      <c r="G848" s="14">
        <f>IF(OR(H848&gt;AB$2,I848&gt;AC$2,J848&gt;AD$2,
P848&gt;1,V848&gt;1,
L848&gt;'Group List A'!E$2,M848&gt;'Group List A'!F$2,N848&gt;'Group List A'!G$2,
R848&gt;'Group List B'!E$2,S848&gt;'Group List B'!F$2,T848&gt;'Group List B'!G$2),"Exceed",
IF(OR(H848=AB$2,I848=AC$2,J848=AD$2,
P848=1,V848=1,
L848='Group List A'!E$2,M848='Group List A'!F$2,N848='Group List A'!G$2,
R848='Group List B'!E$2,S848='Group List B'!F$2,T848='Group List B'!G$2),"Limit",0))</f>
        <v>0</v>
      </c>
      <c r="H848" s="29">
        <f t="shared" si="197"/>
        <v>0</v>
      </c>
      <c r="I848" s="29">
        <f t="shared" si="198"/>
        <v>0</v>
      </c>
      <c r="J848" s="29">
        <f t="shared" si="199"/>
        <v>0</v>
      </c>
      <c r="K848" s="32" t="str" cm="1">
        <f t="array" ref="K848">IF(AF848&lt;&gt;"",IFERROR(INDEX('Group List A'!B:B,MATCH(AI848,'Group List A'!A:A,0),0),"-"),"")</f>
        <v/>
      </c>
      <c r="L848" s="33">
        <f t="shared" si="200"/>
        <v>0</v>
      </c>
      <c r="M848" s="33">
        <f t="shared" si="201"/>
        <v>0</v>
      </c>
      <c r="N848" s="33">
        <f t="shared" si="202"/>
        <v>0</v>
      </c>
      <c r="O848" s="28"/>
      <c r="P848" s="33">
        <f t="shared" si="203"/>
        <v>0</v>
      </c>
      <c r="Q848" s="35" t="str" cm="1">
        <f t="array" ref="Q848">IF(AF848&lt;&gt;"",IFERROR(INDEX('Group List B'!B:B,MATCH(AI848,'Group List B'!A:A,0),0),"-"),"")</f>
        <v/>
      </c>
      <c r="R848" s="36">
        <f t="shared" si="204"/>
        <v>0</v>
      </c>
      <c r="S848" s="36">
        <f t="shared" si="205"/>
        <v>0</v>
      </c>
      <c r="T848" s="36">
        <f t="shared" si="206"/>
        <v>0</v>
      </c>
      <c r="U848" s="28"/>
      <c r="V848" s="37">
        <f t="shared" si="207"/>
        <v>0</v>
      </c>
      <c r="W848" s="41"/>
      <c r="X848" s="27"/>
      <c r="Y848" s="27"/>
      <c r="Z848" s="27"/>
      <c r="AA848" s="15"/>
      <c r="AB848" s="17"/>
      <c r="AC848" s="17"/>
      <c r="AD848" s="17"/>
      <c r="AE848" s="90"/>
      <c r="AF848" s="82" t="str">
        <f t="shared" si="208"/>
        <v/>
      </c>
      <c r="AG848" s="83" t="str">
        <f t="shared" si="209"/>
        <v/>
      </c>
      <c r="AH848" s="82" t="str">
        <f t="shared" si="210"/>
        <v/>
      </c>
      <c r="AI848" s="82" t="str">
        <f t="shared" si="211"/>
        <v/>
      </c>
      <c r="AJ848" s="90"/>
      <c r="AP848" s="88"/>
    </row>
    <row r="849" spans="1:42" x14ac:dyDescent="0.25">
      <c r="A849" s="2"/>
      <c r="C849" s="68" t="str" cm="1">
        <f t="array" ref="C849">IF(AF849&lt;&gt;"",
IFERROR(INDEX('LaunchPad Markbook'!A:A,MATCH(AH849,'LaunchPad Markbook'!D:D,0),0),"-"),"")</f>
        <v/>
      </c>
      <c r="D849" s="27"/>
      <c r="E849" s="27"/>
      <c r="F849" s="27"/>
      <c r="G849" s="14">
        <f>IF(OR(H849&gt;AB$2,I849&gt;AC$2,J849&gt;AD$2,
P849&gt;1,V849&gt;1,
L849&gt;'Group List A'!E$2,M849&gt;'Group List A'!F$2,N849&gt;'Group List A'!G$2,
R849&gt;'Group List B'!E$2,S849&gt;'Group List B'!F$2,T849&gt;'Group List B'!G$2),"Exceed",
IF(OR(H849=AB$2,I849=AC$2,J849=AD$2,
P849=1,V849=1,
L849='Group List A'!E$2,M849='Group List A'!F$2,N849='Group List A'!G$2,
R849='Group List B'!E$2,S849='Group List B'!F$2,T849='Group List B'!G$2),"Limit",0))</f>
        <v>0</v>
      </c>
      <c r="H849" s="29">
        <f t="shared" si="197"/>
        <v>0</v>
      </c>
      <c r="I849" s="29">
        <f t="shared" si="198"/>
        <v>0</v>
      </c>
      <c r="J849" s="29">
        <f t="shared" si="199"/>
        <v>0</v>
      </c>
      <c r="K849" s="32" t="str" cm="1">
        <f t="array" ref="K849">IF(AF849&lt;&gt;"",IFERROR(INDEX('Group List A'!B:B,MATCH(AI849,'Group List A'!A:A,0),0),"-"),"")</f>
        <v/>
      </c>
      <c r="L849" s="33">
        <f t="shared" si="200"/>
        <v>0</v>
      </c>
      <c r="M849" s="33">
        <f t="shared" si="201"/>
        <v>0</v>
      </c>
      <c r="N849" s="33">
        <f t="shared" si="202"/>
        <v>0</v>
      </c>
      <c r="O849" s="28"/>
      <c r="P849" s="33">
        <f t="shared" si="203"/>
        <v>0</v>
      </c>
      <c r="Q849" s="35" t="str" cm="1">
        <f t="array" ref="Q849">IF(AF849&lt;&gt;"",IFERROR(INDEX('Group List B'!B:B,MATCH(AI849,'Group List B'!A:A,0),0),"-"),"")</f>
        <v/>
      </c>
      <c r="R849" s="36">
        <f t="shared" si="204"/>
        <v>0</v>
      </c>
      <c r="S849" s="36">
        <f t="shared" si="205"/>
        <v>0</v>
      </c>
      <c r="T849" s="36">
        <f t="shared" si="206"/>
        <v>0</v>
      </c>
      <c r="U849" s="28"/>
      <c r="V849" s="37">
        <f t="shared" si="207"/>
        <v>0</v>
      </c>
      <c r="W849" s="41"/>
      <c r="X849" s="27"/>
      <c r="Y849" s="27"/>
      <c r="Z849" s="27"/>
      <c r="AA849" s="15"/>
      <c r="AB849" s="17"/>
      <c r="AC849" s="17"/>
      <c r="AD849" s="17"/>
      <c r="AE849" s="90"/>
      <c r="AF849" s="82" t="str">
        <f t="shared" si="208"/>
        <v/>
      </c>
      <c r="AG849" s="83" t="str">
        <f t="shared" si="209"/>
        <v/>
      </c>
      <c r="AH849" s="82" t="str">
        <f t="shared" si="210"/>
        <v/>
      </c>
      <c r="AI849" s="82" t="str">
        <f t="shared" si="211"/>
        <v/>
      </c>
      <c r="AJ849" s="90"/>
      <c r="AP849" s="88"/>
    </row>
    <row r="850" spans="1:42" x14ac:dyDescent="0.25">
      <c r="A850" s="2"/>
      <c r="C850" s="68" t="str" cm="1">
        <f t="array" ref="C850">IF(AF850&lt;&gt;"",
IFERROR(INDEX('LaunchPad Markbook'!A:A,MATCH(AH850,'LaunchPad Markbook'!D:D,0),0),"-"),"")</f>
        <v/>
      </c>
      <c r="D850" s="27"/>
      <c r="E850" s="27"/>
      <c r="F850" s="27"/>
      <c r="G850" s="14">
        <f>IF(OR(H850&gt;AB$2,I850&gt;AC$2,J850&gt;AD$2,
P850&gt;1,V850&gt;1,
L850&gt;'Group List A'!E$2,M850&gt;'Group List A'!F$2,N850&gt;'Group List A'!G$2,
R850&gt;'Group List B'!E$2,S850&gt;'Group List B'!F$2,T850&gt;'Group List B'!G$2),"Exceed",
IF(OR(H850=AB$2,I850=AC$2,J850=AD$2,
P850=1,V850=1,
L850='Group List A'!E$2,M850='Group List A'!F$2,N850='Group List A'!G$2,
R850='Group List B'!E$2,S850='Group List B'!F$2,T850='Group List B'!G$2),"Limit",0))</f>
        <v>0</v>
      </c>
      <c r="H850" s="29">
        <f t="shared" si="197"/>
        <v>0</v>
      </c>
      <c r="I850" s="29">
        <f t="shared" si="198"/>
        <v>0</v>
      </c>
      <c r="J850" s="29">
        <f t="shared" si="199"/>
        <v>0</v>
      </c>
      <c r="K850" s="32" t="str" cm="1">
        <f t="array" ref="K850">IF(AF850&lt;&gt;"",IFERROR(INDEX('Group List A'!B:B,MATCH(AI850,'Group List A'!A:A,0),0),"-"),"")</f>
        <v/>
      </c>
      <c r="L850" s="33">
        <f t="shared" si="200"/>
        <v>0</v>
      </c>
      <c r="M850" s="33">
        <f t="shared" si="201"/>
        <v>0</v>
      </c>
      <c r="N850" s="33">
        <f t="shared" si="202"/>
        <v>0</v>
      </c>
      <c r="O850" s="28"/>
      <c r="P850" s="33">
        <f t="shared" si="203"/>
        <v>0</v>
      </c>
      <c r="Q850" s="35" t="str" cm="1">
        <f t="array" ref="Q850">IF(AF850&lt;&gt;"",IFERROR(INDEX('Group List B'!B:B,MATCH(AI850,'Group List B'!A:A,0),0),"-"),"")</f>
        <v/>
      </c>
      <c r="R850" s="36">
        <f t="shared" si="204"/>
        <v>0</v>
      </c>
      <c r="S850" s="36">
        <f t="shared" si="205"/>
        <v>0</v>
      </c>
      <c r="T850" s="36">
        <f t="shared" si="206"/>
        <v>0</v>
      </c>
      <c r="U850" s="28"/>
      <c r="V850" s="37">
        <f t="shared" si="207"/>
        <v>0</v>
      </c>
      <c r="W850" s="41"/>
      <c r="X850" s="27"/>
      <c r="Y850" s="27"/>
      <c r="Z850" s="27"/>
      <c r="AA850" s="15"/>
      <c r="AB850" s="17"/>
      <c r="AC850" s="17"/>
      <c r="AD850" s="17"/>
      <c r="AE850" s="90"/>
      <c r="AF850" s="82" t="str">
        <f t="shared" si="208"/>
        <v/>
      </c>
      <c r="AG850" s="83" t="str">
        <f t="shared" si="209"/>
        <v/>
      </c>
      <c r="AH850" s="82" t="str">
        <f t="shared" si="210"/>
        <v/>
      </c>
      <c r="AI850" s="82" t="str">
        <f t="shared" si="211"/>
        <v/>
      </c>
      <c r="AJ850" s="90"/>
      <c r="AP850" s="88"/>
    </row>
    <row r="851" spans="1:42" x14ac:dyDescent="0.25">
      <c r="A851" s="2"/>
      <c r="C851" s="68" t="str" cm="1">
        <f t="array" ref="C851">IF(AF851&lt;&gt;"",
IFERROR(INDEX('LaunchPad Markbook'!A:A,MATCH(AH851,'LaunchPad Markbook'!D:D,0),0),"-"),"")</f>
        <v/>
      </c>
      <c r="D851" s="27"/>
      <c r="E851" s="27"/>
      <c r="F851" s="27"/>
      <c r="G851" s="14">
        <f>IF(OR(H851&gt;AB$2,I851&gt;AC$2,J851&gt;AD$2,
P851&gt;1,V851&gt;1,
L851&gt;'Group List A'!E$2,M851&gt;'Group List A'!F$2,N851&gt;'Group List A'!G$2,
R851&gt;'Group List B'!E$2,S851&gt;'Group List B'!F$2,T851&gt;'Group List B'!G$2),"Exceed",
IF(OR(H851=AB$2,I851=AC$2,J851=AD$2,
P851=1,V851=1,
L851='Group List A'!E$2,M851='Group List A'!F$2,N851='Group List A'!G$2,
R851='Group List B'!E$2,S851='Group List B'!F$2,T851='Group List B'!G$2),"Limit",0))</f>
        <v>0</v>
      </c>
      <c r="H851" s="29">
        <f t="shared" si="197"/>
        <v>0</v>
      </c>
      <c r="I851" s="29">
        <f t="shared" si="198"/>
        <v>0</v>
      </c>
      <c r="J851" s="29">
        <f t="shared" si="199"/>
        <v>0</v>
      </c>
      <c r="K851" s="32" t="str" cm="1">
        <f t="array" ref="K851">IF(AF851&lt;&gt;"",IFERROR(INDEX('Group List A'!B:B,MATCH(AI851,'Group List A'!A:A,0),0),"-"),"")</f>
        <v/>
      </c>
      <c r="L851" s="33">
        <f t="shared" si="200"/>
        <v>0</v>
      </c>
      <c r="M851" s="33">
        <f t="shared" si="201"/>
        <v>0</v>
      </c>
      <c r="N851" s="33">
        <f t="shared" si="202"/>
        <v>0</v>
      </c>
      <c r="O851" s="28"/>
      <c r="P851" s="33">
        <f t="shared" si="203"/>
        <v>0</v>
      </c>
      <c r="Q851" s="35" t="str" cm="1">
        <f t="array" ref="Q851">IF(AF851&lt;&gt;"",IFERROR(INDEX('Group List B'!B:B,MATCH(AI851,'Group List B'!A:A,0),0),"-"),"")</f>
        <v/>
      </c>
      <c r="R851" s="36">
        <f t="shared" si="204"/>
        <v>0</v>
      </c>
      <c r="S851" s="36">
        <f t="shared" si="205"/>
        <v>0</v>
      </c>
      <c r="T851" s="36">
        <f t="shared" si="206"/>
        <v>0</v>
      </c>
      <c r="U851" s="28"/>
      <c r="V851" s="37">
        <f t="shared" si="207"/>
        <v>0</v>
      </c>
      <c r="W851" s="41"/>
      <c r="X851" s="27"/>
      <c r="Y851" s="27"/>
      <c r="Z851" s="27"/>
      <c r="AA851" s="15"/>
      <c r="AB851" s="17"/>
      <c r="AC851" s="17"/>
      <c r="AD851" s="17"/>
      <c r="AE851" s="90"/>
      <c r="AF851" s="82" t="str">
        <f t="shared" si="208"/>
        <v/>
      </c>
      <c r="AG851" s="83" t="str">
        <f t="shared" si="209"/>
        <v/>
      </c>
      <c r="AH851" s="82" t="str">
        <f t="shared" si="210"/>
        <v/>
      </c>
      <c r="AI851" s="82" t="str">
        <f t="shared" si="211"/>
        <v/>
      </c>
      <c r="AJ851" s="90"/>
      <c r="AP851" s="88"/>
    </row>
    <row r="852" spans="1:42" x14ac:dyDescent="0.25">
      <c r="A852" s="2"/>
      <c r="C852" s="68" t="str" cm="1">
        <f t="array" ref="C852">IF(AF852&lt;&gt;"",
IFERROR(INDEX('LaunchPad Markbook'!A:A,MATCH(AH852,'LaunchPad Markbook'!D:D,0),0),"-"),"")</f>
        <v/>
      </c>
      <c r="D852" s="27"/>
      <c r="E852" s="27"/>
      <c r="F852" s="27"/>
      <c r="G852" s="14">
        <f>IF(OR(H852&gt;AB$2,I852&gt;AC$2,J852&gt;AD$2,
P852&gt;1,V852&gt;1,
L852&gt;'Group List A'!E$2,M852&gt;'Group List A'!F$2,N852&gt;'Group List A'!G$2,
R852&gt;'Group List B'!E$2,S852&gt;'Group List B'!F$2,T852&gt;'Group List B'!G$2),"Exceed",
IF(OR(H852=AB$2,I852=AC$2,J852=AD$2,
P852=1,V852=1,
L852='Group List A'!E$2,M852='Group List A'!F$2,N852='Group List A'!G$2,
R852='Group List B'!E$2,S852='Group List B'!F$2,T852='Group List B'!G$2),"Limit",0))</f>
        <v>0</v>
      </c>
      <c r="H852" s="29">
        <f t="shared" si="197"/>
        <v>0</v>
      </c>
      <c r="I852" s="29">
        <f t="shared" si="198"/>
        <v>0</v>
      </c>
      <c r="J852" s="29">
        <f t="shared" si="199"/>
        <v>0</v>
      </c>
      <c r="K852" s="32" t="str" cm="1">
        <f t="array" ref="K852">IF(AF852&lt;&gt;"",IFERROR(INDEX('Group List A'!B:B,MATCH(AI852,'Group List A'!A:A,0),0),"-"),"")</f>
        <v/>
      </c>
      <c r="L852" s="33">
        <f t="shared" si="200"/>
        <v>0</v>
      </c>
      <c r="M852" s="33">
        <f t="shared" si="201"/>
        <v>0</v>
      </c>
      <c r="N852" s="33">
        <f t="shared" si="202"/>
        <v>0</v>
      </c>
      <c r="O852" s="28"/>
      <c r="P852" s="33">
        <f t="shared" si="203"/>
        <v>0</v>
      </c>
      <c r="Q852" s="35" t="str" cm="1">
        <f t="array" ref="Q852">IF(AF852&lt;&gt;"",IFERROR(INDEX('Group List B'!B:B,MATCH(AI852,'Group List B'!A:A,0),0),"-"),"")</f>
        <v/>
      </c>
      <c r="R852" s="36">
        <f t="shared" si="204"/>
        <v>0</v>
      </c>
      <c r="S852" s="36">
        <f t="shared" si="205"/>
        <v>0</v>
      </c>
      <c r="T852" s="36">
        <f t="shared" si="206"/>
        <v>0</v>
      </c>
      <c r="U852" s="28"/>
      <c r="V852" s="37">
        <f t="shared" si="207"/>
        <v>0</v>
      </c>
      <c r="W852" s="41"/>
      <c r="X852" s="27"/>
      <c r="Y852" s="27"/>
      <c r="Z852" s="27"/>
      <c r="AA852" s="15"/>
      <c r="AB852" s="17"/>
      <c r="AC852" s="17"/>
      <c r="AD852" s="17"/>
      <c r="AE852" s="90"/>
      <c r="AF852" s="82" t="str">
        <f t="shared" si="208"/>
        <v/>
      </c>
      <c r="AG852" s="83" t="str">
        <f t="shared" si="209"/>
        <v/>
      </c>
      <c r="AH852" s="82" t="str">
        <f t="shared" si="210"/>
        <v/>
      </c>
      <c r="AI852" s="82" t="str">
        <f t="shared" si="211"/>
        <v/>
      </c>
      <c r="AJ852" s="90"/>
      <c r="AP852" s="88"/>
    </row>
    <row r="853" spans="1:42" x14ac:dyDescent="0.25">
      <c r="A853" s="2"/>
      <c r="C853" s="68" t="str" cm="1">
        <f t="array" ref="C853">IF(AF853&lt;&gt;"",
IFERROR(INDEX('LaunchPad Markbook'!A:A,MATCH(AH853,'LaunchPad Markbook'!D:D,0),0),"-"),"")</f>
        <v/>
      </c>
      <c r="D853" s="27"/>
      <c r="E853" s="27"/>
      <c r="F853" s="27"/>
      <c r="G853" s="14">
        <f>IF(OR(H853&gt;AB$2,I853&gt;AC$2,J853&gt;AD$2,
P853&gt;1,V853&gt;1,
L853&gt;'Group List A'!E$2,M853&gt;'Group List A'!F$2,N853&gt;'Group List A'!G$2,
R853&gt;'Group List B'!E$2,S853&gt;'Group List B'!F$2,T853&gt;'Group List B'!G$2),"Exceed",
IF(OR(H853=AB$2,I853=AC$2,J853=AD$2,
P853=1,V853=1,
L853='Group List A'!E$2,M853='Group List A'!F$2,N853='Group List A'!G$2,
R853='Group List B'!E$2,S853='Group List B'!F$2,T853='Group List B'!G$2),"Limit",0))</f>
        <v>0</v>
      </c>
      <c r="H853" s="29">
        <f t="shared" si="197"/>
        <v>0</v>
      </c>
      <c r="I853" s="29">
        <f t="shared" si="198"/>
        <v>0</v>
      </c>
      <c r="J853" s="29">
        <f t="shared" si="199"/>
        <v>0</v>
      </c>
      <c r="K853" s="32" t="str" cm="1">
        <f t="array" ref="K853">IF(AF853&lt;&gt;"",IFERROR(INDEX('Group List A'!B:B,MATCH(AI853,'Group List A'!A:A,0),0),"-"),"")</f>
        <v/>
      </c>
      <c r="L853" s="33">
        <f t="shared" si="200"/>
        <v>0</v>
      </c>
      <c r="M853" s="33">
        <f t="shared" si="201"/>
        <v>0</v>
      </c>
      <c r="N853" s="33">
        <f t="shared" si="202"/>
        <v>0</v>
      </c>
      <c r="O853" s="28"/>
      <c r="P853" s="33">
        <f t="shared" si="203"/>
        <v>0</v>
      </c>
      <c r="Q853" s="35" t="str" cm="1">
        <f t="array" ref="Q853">IF(AF853&lt;&gt;"",IFERROR(INDEX('Group List B'!B:B,MATCH(AI853,'Group List B'!A:A,0),0),"-"),"")</f>
        <v/>
      </c>
      <c r="R853" s="36">
        <f t="shared" si="204"/>
        <v>0</v>
      </c>
      <c r="S853" s="36">
        <f t="shared" si="205"/>
        <v>0</v>
      </c>
      <c r="T853" s="36">
        <f t="shared" si="206"/>
        <v>0</v>
      </c>
      <c r="U853" s="28"/>
      <c r="V853" s="37">
        <f t="shared" si="207"/>
        <v>0</v>
      </c>
      <c r="W853" s="41"/>
      <c r="X853" s="27"/>
      <c r="Y853" s="27"/>
      <c r="Z853" s="27"/>
      <c r="AA853" s="15"/>
      <c r="AB853" s="17"/>
      <c r="AC853" s="17"/>
      <c r="AD853" s="17"/>
      <c r="AE853" s="90"/>
      <c r="AF853" s="82" t="str">
        <f t="shared" si="208"/>
        <v/>
      </c>
      <c r="AG853" s="83" t="str">
        <f t="shared" si="209"/>
        <v/>
      </c>
      <c r="AH853" s="82" t="str">
        <f t="shared" si="210"/>
        <v/>
      </c>
      <c r="AI853" s="82" t="str">
        <f t="shared" si="211"/>
        <v/>
      </c>
      <c r="AJ853" s="90"/>
      <c r="AP853" s="88"/>
    </row>
    <row r="854" spans="1:42" x14ac:dyDescent="0.25">
      <c r="A854" s="2"/>
      <c r="C854" s="68" t="str" cm="1">
        <f t="array" ref="C854">IF(AF854&lt;&gt;"",
IFERROR(INDEX('LaunchPad Markbook'!A:A,MATCH(AH854,'LaunchPad Markbook'!D:D,0),0),"-"),"")</f>
        <v/>
      </c>
      <c r="D854" s="27"/>
      <c r="E854" s="27"/>
      <c r="F854" s="27"/>
      <c r="G854" s="14">
        <f>IF(OR(H854&gt;AB$2,I854&gt;AC$2,J854&gt;AD$2,
P854&gt;1,V854&gt;1,
L854&gt;'Group List A'!E$2,M854&gt;'Group List A'!F$2,N854&gt;'Group List A'!G$2,
R854&gt;'Group List B'!E$2,S854&gt;'Group List B'!F$2,T854&gt;'Group List B'!G$2),"Exceed",
IF(OR(H854=AB$2,I854=AC$2,J854=AD$2,
P854=1,V854=1,
L854='Group List A'!E$2,M854='Group List A'!F$2,N854='Group List A'!G$2,
R854='Group List B'!E$2,S854='Group List B'!F$2,T854='Group List B'!G$2),"Limit",0))</f>
        <v>0</v>
      </c>
      <c r="H854" s="29">
        <f t="shared" si="197"/>
        <v>0</v>
      </c>
      <c r="I854" s="29">
        <f t="shared" si="198"/>
        <v>0</v>
      </c>
      <c r="J854" s="29">
        <f t="shared" si="199"/>
        <v>0</v>
      </c>
      <c r="K854" s="32" t="str" cm="1">
        <f t="array" ref="K854">IF(AF854&lt;&gt;"",IFERROR(INDEX('Group List A'!B:B,MATCH(AI854,'Group List A'!A:A,0),0),"-"),"")</f>
        <v/>
      </c>
      <c r="L854" s="33">
        <f t="shared" si="200"/>
        <v>0</v>
      </c>
      <c r="M854" s="33">
        <f t="shared" si="201"/>
        <v>0</v>
      </c>
      <c r="N854" s="33">
        <f t="shared" si="202"/>
        <v>0</v>
      </c>
      <c r="O854" s="28"/>
      <c r="P854" s="33">
        <f t="shared" si="203"/>
        <v>0</v>
      </c>
      <c r="Q854" s="35" t="str" cm="1">
        <f t="array" ref="Q854">IF(AF854&lt;&gt;"",IFERROR(INDEX('Group List B'!B:B,MATCH(AI854,'Group List B'!A:A,0),0),"-"),"")</f>
        <v/>
      </c>
      <c r="R854" s="36">
        <f t="shared" si="204"/>
        <v>0</v>
      </c>
      <c r="S854" s="36">
        <f t="shared" si="205"/>
        <v>0</v>
      </c>
      <c r="T854" s="36">
        <f t="shared" si="206"/>
        <v>0</v>
      </c>
      <c r="U854" s="28"/>
      <c r="V854" s="37">
        <f t="shared" si="207"/>
        <v>0</v>
      </c>
      <c r="W854" s="41"/>
      <c r="X854" s="27"/>
      <c r="Y854" s="27"/>
      <c r="Z854" s="27"/>
      <c r="AA854" s="15"/>
      <c r="AB854" s="17"/>
      <c r="AC854" s="17"/>
      <c r="AD854" s="17"/>
      <c r="AE854" s="90"/>
      <c r="AF854" s="82" t="str">
        <f t="shared" si="208"/>
        <v/>
      </c>
      <c r="AG854" s="83" t="str">
        <f t="shared" si="209"/>
        <v/>
      </c>
      <c r="AH854" s="82" t="str">
        <f t="shared" si="210"/>
        <v/>
      </c>
      <c r="AI854" s="82" t="str">
        <f t="shared" si="211"/>
        <v/>
      </c>
      <c r="AJ854" s="90"/>
      <c r="AP854" s="88"/>
    </row>
    <row r="855" spans="1:42" x14ac:dyDescent="0.25">
      <c r="A855" s="2"/>
      <c r="C855" s="68" t="str" cm="1">
        <f t="array" ref="C855">IF(AF855&lt;&gt;"",
IFERROR(INDEX('LaunchPad Markbook'!A:A,MATCH(AH855,'LaunchPad Markbook'!D:D,0),0),"-"),"")</f>
        <v/>
      </c>
      <c r="D855" s="27"/>
      <c r="E855" s="27"/>
      <c r="F855" s="27"/>
      <c r="G855" s="14">
        <f>IF(OR(H855&gt;AB$2,I855&gt;AC$2,J855&gt;AD$2,
P855&gt;1,V855&gt;1,
L855&gt;'Group List A'!E$2,M855&gt;'Group List A'!F$2,N855&gt;'Group List A'!G$2,
R855&gt;'Group List B'!E$2,S855&gt;'Group List B'!F$2,T855&gt;'Group List B'!G$2),"Exceed",
IF(OR(H855=AB$2,I855=AC$2,J855=AD$2,
P855=1,V855=1,
L855='Group List A'!E$2,M855='Group List A'!F$2,N855='Group List A'!G$2,
R855='Group List B'!E$2,S855='Group List B'!F$2,T855='Group List B'!G$2),"Limit",0))</f>
        <v>0</v>
      </c>
      <c r="H855" s="29">
        <f t="shared" si="197"/>
        <v>0</v>
      </c>
      <c r="I855" s="29">
        <f t="shared" si="198"/>
        <v>0</v>
      </c>
      <c r="J855" s="29">
        <f t="shared" si="199"/>
        <v>0</v>
      </c>
      <c r="K855" s="32" t="str" cm="1">
        <f t="array" ref="K855">IF(AF855&lt;&gt;"",IFERROR(INDEX('Group List A'!B:B,MATCH(AI855,'Group List A'!A:A,0),0),"-"),"")</f>
        <v/>
      </c>
      <c r="L855" s="33">
        <f t="shared" si="200"/>
        <v>0</v>
      </c>
      <c r="M855" s="33">
        <f t="shared" si="201"/>
        <v>0</v>
      </c>
      <c r="N855" s="33">
        <f t="shared" si="202"/>
        <v>0</v>
      </c>
      <c r="O855" s="28"/>
      <c r="P855" s="33">
        <f t="shared" si="203"/>
        <v>0</v>
      </c>
      <c r="Q855" s="35" t="str" cm="1">
        <f t="array" ref="Q855">IF(AF855&lt;&gt;"",IFERROR(INDEX('Group List B'!B:B,MATCH(AI855,'Group List B'!A:A,0),0),"-"),"")</f>
        <v/>
      </c>
      <c r="R855" s="36">
        <f t="shared" si="204"/>
        <v>0</v>
      </c>
      <c r="S855" s="36">
        <f t="shared" si="205"/>
        <v>0</v>
      </c>
      <c r="T855" s="36">
        <f t="shared" si="206"/>
        <v>0</v>
      </c>
      <c r="U855" s="28"/>
      <c r="V855" s="37">
        <f t="shared" si="207"/>
        <v>0</v>
      </c>
      <c r="W855" s="41"/>
      <c r="X855" s="27"/>
      <c r="Y855" s="27"/>
      <c r="Z855" s="27"/>
      <c r="AA855" s="15"/>
      <c r="AB855" s="17"/>
      <c r="AC855" s="17"/>
      <c r="AD855" s="17"/>
      <c r="AE855" s="90"/>
      <c r="AF855" s="82" t="str">
        <f t="shared" si="208"/>
        <v/>
      </c>
      <c r="AG855" s="83" t="str">
        <f t="shared" si="209"/>
        <v/>
      </c>
      <c r="AH855" s="82" t="str">
        <f t="shared" si="210"/>
        <v/>
      </c>
      <c r="AI855" s="82" t="str">
        <f t="shared" si="211"/>
        <v/>
      </c>
      <c r="AJ855" s="90"/>
      <c r="AP855" s="88"/>
    </row>
    <row r="856" spans="1:42" x14ac:dyDescent="0.25">
      <c r="A856" s="2"/>
      <c r="C856" s="68" t="str" cm="1">
        <f t="array" ref="C856">IF(AF856&lt;&gt;"",
IFERROR(INDEX('LaunchPad Markbook'!A:A,MATCH(AH856,'LaunchPad Markbook'!D:D,0),0),"-"),"")</f>
        <v/>
      </c>
      <c r="D856" s="27"/>
      <c r="E856" s="27"/>
      <c r="F856" s="27"/>
      <c r="G856" s="14">
        <f>IF(OR(H856&gt;AB$2,I856&gt;AC$2,J856&gt;AD$2,
P856&gt;1,V856&gt;1,
L856&gt;'Group List A'!E$2,M856&gt;'Group List A'!F$2,N856&gt;'Group List A'!G$2,
R856&gt;'Group List B'!E$2,S856&gt;'Group List B'!F$2,T856&gt;'Group List B'!G$2),"Exceed",
IF(OR(H856=AB$2,I856=AC$2,J856=AD$2,
P856=1,V856=1,
L856='Group List A'!E$2,M856='Group List A'!F$2,N856='Group List A'!G$2,
R856='Group List B'!E$2,S856='Group List B'!F$2,T856='Group List B'!G$2),"Limit",0))</f>
        <v>0</v>
      </c>
      <c r="H856" s="29">
        <f t="shared" si="197"/>
        <v>0</v>
      </c>
      <c r="I856" s="29">
        <f t="shared" si="198"/>
        <v>0</v>
      </c>
      <c r="J856" s="29">
        <f t="shared" si="199"/>
        <v>0</v>
      </c>
      <c r="K856" s="32" t="str" cm="1">
        <f t="array" ref="K856">IF(AF856&lt;&gt;"",IFERROR(INDEX('Group List A'!B:B,MATCH(AI856,'Group List A'!A:A,0),0),"-"),"")</f>
        <v/>
      </c>
      <c r="L856" s="33">
        <f t="shared" si="200"/>
        <v>0</v>
      </c>
      <c r="M856" s="33">
        <f t="shared" si="201"/>
        <v>0</v>
      </c>
      <c r="N856" s="33">
        <f t="shared" si="202"/>
        <v>0</v>
      </c>
      <c r="O856" s="28"/>
      <c r="P856" s="33">
        <f t="shared" si="203"/>
        <v>0</v>
      </c>
      <c r="Q856" s="35" t="str" cm="1">
        <f t="array" ref="Q856">IF(AF856&lt;&gt;"",IFERROR(INDEX('Group List B'!B:B,MATCH(AI856,'Group List B'!A:A,0),0),"-"),"")</f>
        <v/>
      </c>
      <c r="R856" s="36">
        <f t="shared" si="204"/>
        <v>0</v>
      </c>
      <c r="S856" s="36">
        <f t="shared" si="205"/>
        <v>0</v>
      </c>
      <c r="T856" s="36">
        <f t="shared" si="206"/>
        <v>0</v>
      </c>
      <c r="U856" s="28"/>
      <c r="V856" s="37">
        <f t="shared" si="207"/>
        <v>0</v>
      </c>
      <c r="W856" s="41"/>
      <c r="X856" s="27"/>
      <c r="Y856" s="27"/>
      <c r="Z856" s="27"/>
      <c r="AA856" s="15"/>
      <c r="AB856" s="17"/>
      <c r="AC856" s="17"/>
      <c r="AD856" s="17"/>
      <c r="AE856" s="90"/>
      <c r="AF856" s="82" t="str">
        <f t="shared" si="208"/>
        <v/>
      </c>
      <c r="AG856" s="83" t="str">
        <f t="shared" si="209"/>
        <v/>
      </c>
      <c r="AH856" s="82" t="str">
        <f t="shared" si="210"/>
        <v/>
      </c>
      <c r="AI856" s="82" t="str">
        <f t="shared" si="211"/>
        <v/>
      </c>
      <c r="AJ856" s="90"/>
      <c r="AP856" s="88"/>
    </row>
    <row r="857" spans="1:42" x14ac:dyDescent="0.25">
      <c r="A857" s="2"/>
      <c r="C857" s="68" t="str" cm="1">
        <f t="array" ref="C857">IF(AF857&lt;&gt;"",
IFERROR(INDEX('LaunchPad Markbook'!A:A,MATCH(AH857,'LaunchPad Markbook'!D:D,0),0),"-"),"")</f>
        <v/>
      </c>
      <c r="D857" s="27"/>
      <c r="E857" s="27"/>
      <c r="F857" s="27"/>
      <c r="G857" s="14">
        <f>IF(OR(H857&gt;AB$2,I857&gt;AC$2,J857&gt;AD$2,
P857&gt;1,V857&gt;1,
L857&gt;'Group List A'!E$2,M857&gt;'Group List A'!F$2,N857&gt;'Group List A'!G$2,
R857&gt;'Group List B'!E$2,S857&gt;'Group List B'!F$2,T857&gt;'Group List B'!G$2),"Exceed",
IF(OR(H857=AB$2,I857=AC$2,J857=AD$2,
P857=1,V857=1,
L857='Group List A'!E$2,M857='Group List A'!F$2,N857='Group List A'!G$2,
R857='Group List B'!E$2,S857='Group List B'!F$2,T857='Group List B'!G$2),"Limit",0))</f>
        <v>0</v>
      </c>
      <c r="H857" s="29">
        <f t="shared" si="197"/>
        <v>0</v>
      </c>
      <c r="I857" s="29">
        <f t="shared" si="198"/>
        <v>0</v>
      </c>
      <c r="J857" s="29">
        <f t="shared" si="199"/>
        <v>0</v>
      </c>
      <c r="K857" s="32" t="str" cm="1">
        <f t="array" ref="K857">IF(AF857&lt;&gt;"",IFERROR(INDEX('Group List A'!B:B,MATCH(AI857,'Group List A'!A:A,0),0),"-"),"")</f>
        <v/>
      </c>
      <c r="L857" s="33">
        <f t="shared" si="200"/>
        <v>0</v>
      </c>
      <c r="M857" s="33">
        <f t="shared" si="201"/>
        <v>0</v>
      </c>
      <c r="N857" s="33">
        <f t="shared" si="202"/>
        <v>0</v>
      </c>
      <c r="O857" s="28"/>
      <c r="P857" s="33">
        <f t="shared" si="203"/>
        <v>0</v>
      </c>
      <c r="Q857" s="35" t="str" cm="1">
        <f t="array" ref="Q857">IF(AF857&lt;&gt;"",IFERROR(INDEX('Group List B'!B:B,MATCH(AI857,'Group List B'!A:A,0),0),"-"),"")</f>
        <v/>
      </c>
      <c r="R857" s="36">
        <f t="shared" si="204"/>
        <v>0</v>
      </c>
      <c r="S857" s="36">
        <f t="shared" si="205"/>
        <v>0</v>
      </c>
      <c r="T857" s="36">
        <f t="shared" si="206"/>
        <v>0</v>
      </c>
      <c r="U857" s="28"/>
      <c r="V857" s="37">
        <f t="shared" si="207"/>
        <v>0</v>
      </c>
      <c r="W857" s="41"/>
      <c r="X857" s="27"/>
      <c r="Y857" s="27"/>
      <c r="Z857" s="27"/>
      <c r="AA857" s="15"/>
      <c r="AB857" s="17"/>
      <c r="AC857" s="17"/>
      <c r="AD857" s="17"/>
      <c r="AE857" s="90"/>
      <c r="AF857" s="82" t="str">
        <f t="shared" si="208"/>
        <v/>
      </c>
      <c r="AG857" s="83" t="str">
        <f t="shared" si="209"/>
        <v/>
      </c>
      <c r="AH857" s="82" t="str">
        <f t="shared" si="210"/>
        <v/>
      </c>
      <c r="AI857" s="82" t="str">
        <f t="shared" si="211"/>
        <v/>
      </c>
      <c r="AJ857" s="90"/>
      <c r="AP857" s="88"/>
    </row>
    <row r="858" spans="1:42" x14ac:dyDescent="0.25">
      <c r="A858" s="2"/>
      <c r="C858" s="68" t="str" cm="1">
        <f t="array" ref="C858">IF(AF858&lt;&gt;"",
IFERROR(INDEX('LaunchPad Markbook'!A:A,MATCH(AH858,'LaunchPad Markbook'!D:D,0),0),"-"),"")</f>
        <v/>
      </c>
      <c r="D858" s="27"/>
      <c r="E858" s="27"/>
      <c r="F858" s="27"/>
      <c r="G858" s="14">
        <f>IF(OR(H858&gt;AB$2,I858&gt;AC$2,J858&gt;AD$2,
P858&gt;1,V858&gt;1,
L858&gt;'Group List A'!E$2,M858&gt;'Group List A'!F$2,N858&gt;'Group List A'!G$2,
R858&gt;'Group List B'!E$2,S858&gt;'Group List B'!F$2,T858&gt;'Group List B'!G$2),"Exceed",
IF(OR(H858=AB$2,I858=AC$2,J858=AD$2,
P858=1,V858=1,
L858='Group List A'!E$2,M858='Group List A'!F$2,N858='Group List A'!G$2,
R858='Group List B'!E$2,S858='Group List B'!F$2,T858='Group List B'!G$2),"Limit",0))</f>
        <v>0</v>
      </c>
      <c r="H858" s="29">
        <f t="shared" si="197"/>
        <v>0</v>
      </c>
      <c r="I858" s="29">
        <f t="shared" si="198"/>
        <v>0</v>
      </c>
      <c r="J858" s="29">
        <f t="shared" si="199"/>
        <v>0</v>
      </c>
      <c r="K858" s="32" t="str" cm="1">
        <f t="array" ref="K858">IF(AF858&lt;&gt;"",IFERROR(INDEX('Group List A'!B:B,MATCH(AI858,'Group List A'!A:A,0),0),"-"),"")</f>
        <v/>
      </c>
      <c r="L858" s="33">
        <f t="shared" si="200"/>
        <v>0</v>
      </c>
      <c r="M858" s="33">
        <f t="shared" si="201"/>
        <v>0</v>
      </c>
      <c r="N858" s="33">
        <f t="shared" si="202"/>
        <v>0</v>
      </c>
      <c r="O858" s="28"/>
      <c r="P858" s="33">
        <f t="shared" si="203"/>
        <v>0</v>
      </c>
      <c r="Q858" s="35" t="str" cm="1">
        <f t="array" ref="Q858">IF(AF858&lt;&gt;"",IFERROR(INDEX('Group List B'!B:B,MATCH(AI858,'Group List B'!A:A,0),0),"-"),"")</f>
        <v/>
      </c>
      <c r="R858" s="36">
        <f t="shared" si="204"/>
        <v>0</v>
      </c>
      <c r="S858" s="36">
        <f t="shared" si="205"/>
        <v>0</v>
      </c>
      <c r="T858" s="36">
        <f t="shared" si="206"/>
        <v>0</v>
      </c>
      <c r="U858" s="28"/>
      <c r="V858" s="37">
        <f t="shared" si="207"/>
        <v>0</v>
      </c>
      <c r="W858" s="41"/>
      <c r="X858" s="27"/>
      <c r="Y858" s="27"/>
      <c r="Z858" s="27"/>
      <c r="AA858" s="15"/>
      <c r="AB858" s="17"/>
      <c r="AC858" s="17"/>
      <c r="AD858" s="17"/>
      <c r="AE858" s="90"/>
      <c r="AF858" s="82" t="str">
        <f t="shared" si="208"/>
        <v/>
      </c>
      <c r="AG858" s="83" t="str">
        <f t="shared" si="209"/>
        <v/>
      </c>
      <c r="AH858" s="82" t="str">
        <f t="shared" si="210"/>
        <v/>
      </c>
      <c r="AI858" s="82" t="str">
        <f t="shared" si="211"/>
        <v/>
      </c>
      <c r="AJ858" s="90"/>
      <c r="AP858" s="88"/>
    </row>
    <row r="859" spans="1:42" x14ac:dyDescent="0.25">
      <c r="A859" s="2"/>
      <c r="C859" s="68" t="str" cm="1">
        <f t="array" ref="C859">IF(AF859&lt;&gt;"",
IFERROR(INDEX('LaunchPad Markbook'!A:A,MATCH(AH859,'LaunchPad Markbook'!D:D,0),0),"-"),"")</f>
        <v/>
      </c>
      <c r="D859" s="27"/>
      <c r="E859" s="27"/>
      <c r="F859" s="27"/>
      <c r="G859" s="14">
        <f>IF(OR(H859&gt;AB$2,I859&gt;AC$2,J859&gt;AD$2,
P859&gt;1,V859&gt;1,
L859&gt;'Group List A'!E$2,M859&gt;'Group List A'!F$2,N859&gt;'Group List A'!G$2,
R859&gt;'Group List B'!E$2,S859&gt;'Group List B'!F$2,T859&gt;'Group List B'!G$2),"Exceed",
IF(OR(H859=AB$2,I859=AC$2,J859=AD$2,
P859=1,V859=1,
L859='Group List A'!E$2,M859='Group List A'!F$2,N859='Group List A'!G$2,
R859='Group List B'!E$2,S859='Group List B'!F$2,T859='Group List B'!G$2),"Limit",0))</f>
        <v>0</v>
      </c>
      <c r="H859" s="29">
        <f t="shared" si="197"/>
        <v>0</v>
      </c>
      <c r="I859" s="29">
        <f t="shared" si="198"/>
        <v>0</v>
      </c>
      <c r="J859" s="29">
        <f t="shared" si="199"/>
        <v>0</v>
      </c>
      <c r="K859" s="32" t="str" cm="1">
        <f t="array" ref="K859">IF(AF859&lt;&gt;"",IFERROR(INDEX('Group List A'!B:B,MATCH(AI859,'Group List A'!A:A,0),0),"-"),"")</f>
        <v/>
      </c>
      <c r="L859" s="33">
        <f t="shared" si="200"/>
        <v>0</v>
      </c>
      <c r="M859" s="33">
        <f t="shared" si="201"/>
        <v>0</v>
      </c>
      <c r="N859" s="33">
        <f t="shared" si="202"/>
        <v>0</v>
      </c>
      <c r="O859" s="28"/>
      <c r="P859" s="33">
        <f t="shared" si="203"/>
        <v>0</v>
      </c>
      <c r="Q859" s="35" t="str" cm="1">
        <f t="array" ref="Q859">IF(AF859&lt;&gt;"",IFERROR(INDEX('Group List B'!B:B,MATCH(AI859,'Group List B'!A:A,0),0),"-"),"")</f>
        <v/>
      </c>
      <c r="R859" s="36">
        <f t="shared" si="204"/>
        <v>0</v>
      </c>
      <c r="S859" s="36">
        <f t="shared" si="205"/>
        <v>0</v>
      </c>
      <c r="T859" s="36">
        <f t="shared" si="206"/>
        <v>0</v>
      </c>
      <c r="U859" s="28"/>
      <c r="V859" s="37">
        <f t="shared" si="207"/>
        <v>0</v>
      </c>
      <c r="W859" s="41"/>
      <c r="X859" s="27"/>
      <c r="Y859" s="27"/>
      <c r="Z859" s="27"/>
      <c r="AA859" s="15"/>
      <c r="AB859" s="17"/>
      <c r="AC859" s="17"/>
      <c r="AD859" s="17"/>
      <c r="AE859" s="90"/>
      <c r="AF859" s="82" t="str">
        <f t="shared" si="208"/>
        <v/>
      </c>
      <c r="AG859" s="83" t="str">
        <f t="shared" si="209"/>
        <v/>
      </c>
      <c r="AH859" s="82" t="str">
        <f t="shared" si="210"/>
        <v/>
      </c>
      <c r="AI859" s="82" t="str">
        <f t="shared" si="211"/>
        <v/>
      </c>
      <c r="AJ859" s="90"/>
      <c r="AP859" s="88"/>
    </row>
    <row r="860" spans="1:42" x14ac:dyDescent="0.25">
      <c r="A860" s="2"/>
      <c r="C860" s="68" t="str" cm="1">
        <f t="array" ref="C860">IF(AF860&lt;&gt;"",
IFERROR(INDEX('LaunchPad Markbook'!A:A,MATCH(AH860,'LaunchPad Markbook'!D:D,0),0),"-"),"")</f>
        <v/>
      </c>
      <c r="D860" s="27"/>
      <c r="E860" s="27"/>
      <c r="F860" s="27"/>
      <c r="G860" s="14">
        <f>IF(OR(H860&gt;AB$2,I860&gt;AC$2,J860&gt;AD$2,
P860&gt;1,V860&gt;1,
L860&gt;'Group List A'!E$2,M860&gt;'Group List A'!F$2,N860&gt;'Group List A'!G$2,
R860&gt;'Group List B'!E$2,S860&gt;'Group List B'!F$2,T860&gt;'Group List B'!G$2),"Exceed",
IF(OR(H860=AB$2,I860=AC$2,J860=AD$2,
P860=1,V860=1,
L860='Group List A'!E$2,M860='Group List A'!F$2,N860='Group List A'!G$2,
R860='Group List B'!E$2,S860='Group List B'!F$2,T860='Group List B'!G$2),"Limit",0))</f>
        <v>0</v>
      </c>
      <c r="H860" s="29">
        <f t="shared" si="197"/>
        <v>0</v>
      </c>
      <c r="I860" s="29">
        <f t="shared" si="198"/>
        <v>0</v>
      </c>
      <c r="J860" s="29">
        <f t="shared" si="199"/>
        <v>0</v>
      </c>
      <c r="K860" s="32" t="str" cm="1">
        <f t="array" ref="K860">IF(AF860&lt;&gt;"",IFERROR(INDEX('Group List A'!B:B,MATCH(AI860,'Group List A'!A:A,0),0),"-"),"")</f>
        <v/>
      </c>
      <c r="L860" s="33">
        <f t="shared" si="200"/>
        <v>0</v>
      </c>
      <c r="M860" s="33">
        <f t="shared" si="201"/>
        <v>0</v>
      </c>
      <c r="N860" s="33">
        <f t="shared" si="202"/>
        <v>0</v>
      </c>
      <c r="O860" s="28"/>
      <c r="P860" s="33">
        <f t="shared" si="203"/>
        <v>0</v>
      </c>
      <c r="Q860" s="35" t="str" cm="1">
        <f t="array" ref="Q860">IF(AF860&lt;&gt;"",IFERROR(INDEX('Group List B'!B:B,MATCH(AI860,'Group List B'!A:A,0),0),"-"),"")</f>
        <v/>
      </c>
      <c r="R860" s="36">
        <f t="shared" si="204"/>
        <v>0</v>
      </c>
      <c r="S860" s="36">
        <f t="shared" si="205"/>
        <v>0</v>
      </c>
      <c r="T860" s="36">
        <f t="shared" si="206"/>
        <v>0</v>
      </c>
      <c r="U860" s="28"/>
      <c r="V860" s="37">
        <f t="shared" si="207"/>
        <v>0</v>
      </c>
      <c r="W860" s="41"/>
      <c r="X860" s="27"/>
      <c r="Y860" s="27"/>
      <c r="Z860" s="27"/>
      <c r="AA860" s="15"/>
      <c r="AB860" s="17"/>
      <c r="AC860" s="17"/>
      <c r="AD860" s="17"/>
      <c r="AE860" s="90"/>
      <c r="AF860" s="82" t="str">
        <f t="shared" si="208"/>
        <v/>
      </c>
      <c r="AG860" s="83" t="str">
        <f t="shared" si="209"/>
        <v/>
      </c>
      <c r="AH860" s="82" t="str">
        <f t="shared" si="210"/>
        <v/>
      </c>
      <c r="AI860" s="82" t="str">
        <f t="shared" si="211"/>
        <v/>
      </c>
      <c r="AJ860" s="90"/>
      <c r="AP860" s="88"/>
    </row>
    <row r="861" spans="1:42" x14ac:dyDescent="0.25">
      <c r="A861" s="2"/>
      <c r="C861" s="68" t="str" cm="1">
        <f t="array" ref="C861">IF(AF861&lt;&gt;"",
IFERROR(INDEX('LaunchPad Markbook'!A:A,MATCH(AH861,'LaunchPad Markbook'!D:D,0),0),"-"),"")</f>
        <v/>
      </c>
      <c r="D861" s="27"/>
      <c r="E861" s="27"/>
      <c r="F861" s="27"/>
      <c r="G861" s="14">
        <f>IF(OR(H861&gt;AB$2,I861&gt;AC$2,J861&gt;AD$2,
P861&gt;1,V861&gt;1,
L861&gt;'Group List A'!E$2,M861&gt;'Group List A'!F$2,N861&gt;'Group List A'!G$2,
R861&gt;'Group List B'!E$2,S861&gt;'Group List B'!F$2,T861&gt;'Group List B'!G$2),"Exceed",
IF(OR(H861=AB$2,I861=AC$2,J861=AD$2,
P861=1,V861=1,
L861='Group List A'!E$2,M861='Group List A'!F$2,N861='Group List A'!G$2,
R861='Group List B'!E$2,S861='Group List B'!F$2,T861='Group List B'!G$2),"Limit",0))</f>
        <v>0</v>
      </c>
      <c r="H861" s="29">
        <f t="shared" si="197"/>
        <v>0</v>
      </c>
      <c r="I861" s="29">
        <f t="shared" si="198"/>
        <v>0</v>
      </c>
      <c r="J861" s="29">
        <f t="shared" si="199"/>
        <v>0</v>
      </c>
      <c r="K861" s="32" t="str" cm="1">
        <f t="array" ref="K861">IF(AF861&lt;&gt;"",IFERROR(INDEX('Group List A'!B:B,MATCH(AI861,'Group List A'!A:A,0),0),"-"),"")</f>
        <v/>
      </c>
      <c r="L861" s="33">
        <f t="shared" si="200"/>
        <v>0</v>
      </c>
      <c r="M861" s="33">
        <f t="shared" si="201"/>
        <v>0</v>
      </c>
      <c r="N861" s="33">
        <f t="shared" si="202"/>
        <v>0</v>
      </c>
      <c r="O861" s="28"/>
      <c r="P861" s="33">
        <f t="shared" si="203"/>
        <v>0</v>
      </c>
      <c r="Q861" s="35" t="str" cm="1">
        <f t="array" ref="Q861">IF(AF861&lt;&gt;"",IFERROR(INDEX('Group List B'!B:B,MATCH(AI861,'Group List B'!A:A,0),0),"-"),"")</f>
        <v/>
      </c>
      <c r="R861" s="36">
        <f t="shared" si="204"/>
        <v>0</v>
      </c>
      <c r="S861" s="36">
        <f t="shared" si="205"/>
        <v>0</v>
      </c>
      <c r="T861" s="36">
        <f t="shared" si="206"/>
        <v>0</v>
      </c>
      <c r="U861" s="28"/>
      <c r="V861" s="37">
        <f t="shared" si="207"/>
        <v>0</v>
      </c>
      <c r="W861" s="41"/>
      <c r="X861" s="27"/>
      <c r="Y861" s="27"/>
      <c r="Z861" s="27"/>
      <c r="AA861" s="15"/>
      <c r="AB861" s="17"/>
      <c r="AC861" s="17"/>
      <c r="AD861" s="17"/>
      <c r="AE861" s="90"/>
      <c r="AF861" s="82" t="str">
        <f t="shared" si="208"/>
        <v/>
      </c>
      <c r="AG861" s="83" t="str">
        <f t="shared" si="209"/>
        <v/>
      </c>
      <c r="AH861" s="82" t="str">
        <f t="shared" si="210"/>
        <v/>
      </c>
      <c r="AI861" s="82" t="str">
        <f t="shared" si="211"/>
        <v/>
      </c>
      <c r="AJ861" s="90"/>
      <c r="AP861" s="88"/>
    </row>
    <row r="862" spans="1:42" x14ac:dyDescent="0.25">
      <c r="A862" s="2"/>
      <c r="C862" s="68" t="str" cm="1">
        <f t="array" ref="C862">IF(AF862&lt;&gt;"",
IFERROR(INDEX('LaunchPad Markbook'!A:A,MATCH(AH862,'LaunchPad Markbook'!D:D,0),0),"-"),"")</f>
        <v/>
      </c>
      <c r="D862" s="27"/>
      <c r="E862" s="27"/>
      <c r="F862" s="27"/>
      <c r="G862" s="14">
        <f>IF(OR(H862&gt;AB$2,I862&gt;AC$2,J862&gt;AD$2,
P862&gt;1,V862&gt;1,
L862&gt;'Group List A'!E$2,M862&gt;'Group List A'!F$2,N862&gt;'Group List A'!G$2,
R862&gt;'Group List B'!E$2,S862&gt;'Group List B'!F$2,T862&gt;'Group List B'!G$2),"Exceed",
IF(OR(H862=AB$2,I862=AC$2,J862=AD$2,
P862=1,V862=1,
L862='Group List A'!E$2,M862='Group List A'!F$2,N862='Group List A'!G$2,
R862='Group List B'!E$2,S862='Group List B'!F$2,T862='Group List B'!G$2),"Limit",0))</f>
        <v>0</v>
      </c>
      <c r="H862" s="29">
        <f t="shared" si="197"/>
        <v>0</v>
      </c>
      <c r="I862" s="29">
        <f t="shared" si="198"/>
        <v>0</v>
      </c>
      <c r="J862" s="29">
        <f t="shared" si="199"/>
        <v>0</v>
      </c>
      <c r="K862" s="32" t="str" cm="1">
        <f t="array" ref="K862">IF(AF862&lt;&gt;"",IFERROR(INDEX('Group List A'!B:B,MATCH(AI862,'Group List A'!A:A,0),0),"-"),"")</f>
        <v/>
      </c>
      <c r="L862" s="33">
        <f t="shared" si="200"/>
        <v>0</v>
      </c>
      <c r="M862" s="33">
        <f t="shared" si="201"/>
        <v>0</v>
      </c>
      <c r="N862" s="33">
        <f t="shared" si="202"/>
        <v>0</v>
      </c>
      <c r="O862" s="28"/>
      <c r="P862" s="33">
        <f t="shared" si="203"/>
        <v>0</v>
      </c>
      <c r="Q862" s="35" t="str" cm="1">
        <f t="array" ref="Q862">IF(AF862&lt;&gt;"",IFERROR(INDEX('Group List B'!B:B,MATCH(AI862,'Group List B'!A:A,0),0),"-"),"")</f>
        <v/>
      </c>
      <c r="R862" s="36">
        <f t="shared" si="204"/>
        <v>0</v>
      </c>
      <c r="S862" s="36">
        <f t="shared" si="205"/>
        <v>0</v>
      </c>
      <c r="T862" s="36">
        <f t="shared" si="206"/>
        <v>0</v>
      </c>
      <c r="U862" s="28"/>
      <c r="V862" s="37">
        <f t="shared" si="207"/>
        <v>0</v>
      </c>
      <c r="W862" s="41"/>
      <c r="X862" s="27"/>
      <c r="Y862" s="27"/>
      <c r="Z862" s="27"/>
      <c r="AA862" s="15"/>
      <c r="AB862" s="17"/>
      <c r="AC862" s="17"/>
      <c r="AD862" s="17"/>
      <c r="AE862" s="90"/>
      <c r="AF862" s="82" t="str">
        <f t="shared" si="208"/>
        <v/>
      </c>
      <c r="AG862" s="83" t="str">
        <f t="shared" si="209"/>
        <v/>
      </c>
      <c r="AH862" s="82" t="str">
        <f t="shared" si="210"/>
        <v/>
      </c>
      <c r="AI862" s="82" t="str">
        <f t="shared" si="211"/>
        <v/>
      </c>
      <c r="AJ862" s="90"/>
      <c r="AP862" s="88"/>
    </row>
    <row r="863" spans="1:42" x14ac:dyDescent="0.25">
      <c r="A863" s="2"/>
      <c r="C863" s="68" t="str" cm="1">
        <f t="array" ref="C863">IF(AF863&lt;&gt;"",
IFERROR(INDEX('LaunchPad Markbook'!A:A,MATCH(AH863,'LaunchPad Markbook'!D:D,0),0),"-"),"")</f>
        <v/>
      </c>
      <c r="D863" s="27"/>
      <c r="E863" s="27"/>
      <c r="F863" s="27"/>
      <c r="G863" s="14">
        <f>IF(OR(H863&gt;AB$2,I863&gt;AC$2,J863&gt;AD$2,
P863&gt;1,V863&gt;1,
L863&gt;'Group List A'!E$2,M863&gt;'Group List A'!F$2,N863&gt;'Group List A'!G$2,
R863&gt;'Group List B'!E$2,S863&gt;'Group List B'!F$2,T863&gt;'Group List B'!G$2),"Exceed",
IF(OR(H863=AB$2,I863=AC$2,J863=AD$2,
P863=1,V863=1,
L863='Group List A'!E$2,M863='Group List A'!F$2,N863='Group List A'!G$2,
R863='Group List B'!E$2,S863='Group List B'!F$2,T863='Group List B'!G$2),"Limit",0))</f>
        <v>0</v>
      </c>
      <c r="H863" s="29">
        <f t="shared" si="197"/>
        <v>0</v>
      </c>
      <c r="I863" s="29">
        <f t="shared" si="198"/>
        <v>0</v>
      </c>
      <c r="J863" s="29">
        <f t="shared" si="199"/>
        <v>0</v>
      </c>
      <c r="K863" s="32" t="str" cm="1">
        <f t="array" ref="K863">IF(AF863&lt;&gt;"",IFERROR(INDEX('Group List A'!B:B,MATCH(AI863,'Group List A'!A:A,0),0),"-"),"")</f>
        <v/>
      </c>
      <c r="L863" s="33">
        <f t="shared" si="200"/>
        <v>0</v>
      </c>
      <c r="M863" s="33">
        <f t="shared" si="201"/>
        <v>0</v>
      </c>
      <c r="N863" s="33">
        <f t="shared" si="202"/>
        <v>0</v>
      </c>
      <c r="O863" s="28"/>
      <c r="P863" s="33">
        <f t="shared" si="203"/>
        <v>0</v>
      </c>
      <c r="Q863" s="35" t="str" cm="1">
        <f t="array" ref="Q863">IF(AF863&lt;&gt;"",IFERROR(INDEX('Group List B'!B:B,MATCH(AI863,'Group List B'!A:A,0),0),"-"),"")</f>
        <v/>
      </c>
      <c r="R863" s="36">
        <f t="shared" si="204"/>
        <v>0</v>
      </c>
      <c r="S863" s="36">
        <f t="shared" si="205"/>
        <v>0</v>
      </c>
      <c r="T863" s="36">
        <f t="shared" si="206"/>
        <v>0</v>
      </c>
      <c r="U863" s="28"/>
      <c r="V863" s="37">
        <f t="shared" si="207"/>
        <v>0</v>
      </c>
      <c r="W863" s="41"/>
      <c r="X863" s="27"/>
      <c r="Y863" s="27"/>
      <c r="Z863" s="27"/>
      <c r="AA863" s="15"/>
      <c r="AB863" s="17"/>
      <c r="AC863" s="17"/>
      <c r="AD863" s="17"/>
      <c r="AE863" s="90"/>
      <c r="AF863" s="82" t="str">
        <f t="shared" si="208"/>
        <v/>
      </c>
      <c r="AG863" s="83" t="str">
        <f t="shared" si="209"/>
        <v/>
      </c>
      <c r="AH863" s="82" t="str">
        <f t="shared" si="210"/>
        <v/>
      </c>
      <c r="AI863" s="82" t="str">
        <f t="shared" si="211"/>
        <v/>
      </c>
      <c r="AJ863" s="90"/>
      <c r="AP863" s="88"/>
    </row>
    <row r="864" spans="1:42" x14ac:dyDescent="0.25">
      <c r="A864" s="2"/>
      <c r="C864" s="68" t="str" cm="1">
        <f t="array" ref="C864">IF(AF864&lt;&gt;"",
IFERROR(INDEX('LaunchPad Markbook'!A:A,MATCH(AH864,'LaunchPad Markbook'!D:D,0),0),"-"),"")</f>
        <v/>
      </c>
      <c r="D864" s="27"/>
      <c r="E864" s="27"/>
      <c r="F864" s="27"/>
      <c r="G864" s="14">
        <f>IF(OR(H864&gt;AB$2,I864&gt;AC$2,J864&gt;AD$2,
P864&gt;1,V864&gt;1,
L864&gt;'Group List A'!E$2,M864&gt;'Group List A'!F$2,N864&gt;'Group List A'!G$2,
R864&gt;'Group List B'!E$2,S864&gt;'Group List B'!F$2,T864&gt;'Group List B'!G$2),"Exceed",
IF(OR(H864=AB$2,I864=AC$2,J864=AD$2,
P864=1,V864=1,
L864='Group List A'!E$2,M864='Group List A'!F$2,N864='Group List A'!G$2,
R864='Group List B'!E$2,S864='Group List B'!F$2,T864='Group List B'!G$2),"Limit",0))</f>
        <v>0</v>
      </c>
      <c r="H864" s="29">
        <f t="shared" si="197"/>
        <v>0</v>
      </c>
      <c r="I864" s="29">
        <f t="shared" si="198"/>
        <v>0</v>
      </c>
      <c r="J864" s="29">
        <f t="shared" si="199"/>
        <v>0</v>
      </c>
      <c r="K864" s="32" t="str" cm="1">
        <f t="array" ref="K864">IF(AF864&lt;&gt;"",IFERROR(INDEX('Group List A'!B:B,MATCH(AI864,'Group List A'!A:A,0),0),"-"),"")</f>
        <v/>
      </c>
      <c r="L864" s="33">
        <f t="shared" si="200"/>
        <v>0</v>
      </c>
      <c r="M864" s="33">
        <f t="shared" si="201"/>
        <v>0</v>
      </c>
      <c r="N864" s="33">
        <f t="shared" si="202"/>
        <v>0</v>
      </c>
      <c r="O864" s="28"/>
      <c r="P864" s="33">
        <f t="shared" si="203"/>
        <v>0</v>
      </c>
      <c r="Q864" s="35" t="str" cm="1">
        <f t="array" ref="Q864">IF(AF864&lt;&gt;"",IFERROR(INDEX('Group List B'!B:B,MATCH(AI864,'Group List B'!A:A,0),0),"-"),"")</f>
        <v/>
      </c>
      <c r="R864" s="36">
        <f t="shared" si="204"/>
        <v>0</v>
      </c>
      <c r="S864" s="36">
        <f t="shared" si="205"/>
        <v>0</v>
      </c>
      <c r="T864" s="36">
        <f t="shared" si="206"/>
        <v>0</v>
      </c>
      <c r="U864" s="28"/>
      <c r="V864" s="37">
        <f t="shared" si="207"/>
        <v>0</v>
      </c>
      <c r="W864" s="41"/>
      <c r="X864" s="27"/>
      <c r="Y864" s="27"/>
      <c r="Z864" s="27"/>
      <c r="AA864" s="15"/>
      <c r="AB864" s="17"/>
      <c r="AC864" s="17"/>
      <c r="AD864" s="17"/>
      <c r="AE864" s="90"/>
      <c r="AF864" s="82" t="str">
        <f t="shared" si="208"/>
        <v/>
      </c>
      <c r="AG864" s="83" t="str">
        <f t="shared" si="209"/>
        <v/>
      </c>
      <c r="AH864" s="82" t="str">
        <f t="shared" si="210"/>
        <v/>
      </c>
      <c r="AI864" s="82" t="str">
        <f t="shared" si="211"/>
        <v/>
      </c>
      <c r="AJ864" s="90"/>
      <c r="AP864" s="88"/>
    </row>
    <row r="865" spans="1:42" x14ac:dyDescent="0.25">
      <c r="A865" s="2"/>
      <c r="C865" s="68" t="str" cm="1">
        <f t="array" ref="C865">IF(AF865&lt;&gt;"",
IFERROR(INDEX('LaunchPad Markbook'!A:A,MATCH(AH865,'LaunchPad Markbook'!D:D,0),0),"-"),"")</f>
        <v/>
      </c>
      <c r="D865" s="27"/>
      <c r="E865" s="27"/>
      <c r="F865" s="27"/>
      <c r="G865" s="14">
        <f>IF(OR(H865&gt;AB$2,I865&gt;AC$2,J865&gt;AD$2,
P865&gt;1,V865&gt;1,
L865&gt;'Group List A'!E$2,M865&gt;'Group List A'!F$2,N865&gt;'Group List A'!G$2,
R865&gt;'Group List B'!E$2,S865&gt;'Group List B'!F$2,T865&gt;'Group List B'!G$2),"Exceed",
IF(OR(H865=AB$2,I865=AC$2,J865=AD$2,
P865=1,V865=1,
L865='Group List A'!E$2,M865='Group List A'!F$2,N865='Group List A'!G$2,
R865='Group List B'!E$2,S865='Group List B'!F$2,T865='Group List B'!G$2),"Limit",0))</f>
        <v>0</v>
      </c>
      <c r="H865" s="29">
        <f t="shared" si="197"/>
        <v>0</v>
      </c>
      <c r="I865" s="29">
        <f t="shared" si="198"/>
        <v>0</v>
      </c>
      <c r="J865" s="29">
        <f t="shared" si="199"/>
        <v>0</v>
      </c>
      <c r="K865" s="32" t="str" cm="1">
        <f t="array" ref="K865">IF(AF865&lt;&gt;"",IFERROR(INDEX('Group List A'!B:B,MATCH(AI865,'Group List A'!A:A,0),0),"-"),"")</f>
        <v/>
      </c>
      <c r="L865" s="33">
        <f t="shared" si="200"/>
        <v>0</v>
      </c>
      <c r="M865" s="33">
        <f t="shared" si="201"/>
        <v>0</v>
      </c>
      <c r="N865" s="33">
        <f t="shared" si="202"/>
        <v>0</v>
      </c>
      <c r="O865" s="28"/>
      <c r="P865" s="33">
        <f t="shared" si="203"/>
        <v>0</v>
      </c>
      <c r="Q865" s="35" t="str" cm="1">
        <f t="array" ref="Q865">IF(AF865&lt;&gt;"",IFERROR(INDEX('Group List B'!B:B,MATCH(AI865,'Group List B'!A:A,0),0),"-"),"")</f>
        <v/>
      </c>
      <c r="R865" s="36">
        <f t="shared" si="204"/>
        <v>0</v>
      </c>
      <c r="S865" s="36">
        <f t="shared" si="205"/>
        <v>0</v>
      </c>
      <c r="T865" s="36">
        <f t="shared" si="206"/>
        <v>0</v>
      </c>
      <c r="U865" s="28"/>
      <c r="V865" s="37">
        <f t="shared" si="207"/>
        <v>0</v>
      </c>
      <c r="W865" s="41"/>
      <c r="X865" s="27"/>
      <c r="Y865" s="27"/>
      <c r="Z865" s="27"/>
      <c r="AA865" s="15"/>
      <c r="AB865" s="17"/>
      <c r="AC865" s="17"/>
      <c r="AD865" s="17"/>
      <c r="AE865" s="90"/>
      <c r="AF865" s="82" t="str">
        <f t="shared" si="208"/>
        <v/>
      </c>
      <c r="AG865" s="83" t="str">
        <f t="shared" si="209"/>
        <v/>
      </c>
      <c r="AH865" s="82" t="str">
        <f t="shared" si="210"/>
        <v/>
      </c>
      <c r="AI865" s="82" t="str">
        <f t="shared" si="211"/>
        <v/>
      </c>
      <c r="AJ865" s="90"/>
      <c r="AP865" s="88"/>
    </row>
    <row r="866" spans="1:42" x14ac:dyDescent="0.25">
      <c r="A866" s="2"/>
      <c r="C866" s="68" t="str" cm="1">
        <f t="array" ref="C866">IF(AF866&lt;&gt;"",
IFERROR(INDEX('LaunchPad Markbook'!A:A,MATCH(AH866,'LaunchPad Markbook'!D:D,0),0),"-"),"")</f>
        <v/>
      </c>
      <c r="D866" s="27"/>
      <c r="E866" s="27"/>
      <c r="F866" s="27"/>
      <c r="G866" s="14">
        <f>IF(OR(H866&gt;AB$2,I866&gt;AC$2,J866&gt;AD$2,
P866&gt;1,V866&gt;1,
L866&gt;'Group List A'!E$2,M866&gt;'Group List A'!F$2,N866&gt;'Group List A'!G$2,
R866&gt;'Group List B'!E$2,S866&gt;'Group List B'!F$2,T866&gt;'Group List B'!G$2),"Exceed",
IF(OR(H866=AB$2,I866=AC$2,J866=AD$2,
P866=1,V866=1,
L866='Group List A'!E$2,M866='Group List A'!F$2,N866='Group List A'!G$2,
R866='Group List B'!E$2,S866='Group List B'!F$2,T866='Group List B'!G$2),"Limit",0))</f>
        <v>0</v>
      </c>
      <c r="H866" s="29">
        <f t="shared" si="197"/>
        <v>0</v>
      </c>
      <c r="I866" s="29">
        <f t="shared" si="198"/>
        <v>0</v>
      </c>
      <c r="J866" s="29">
        <f t="shared" si="199"/>
        <v>0</v>
      </c>
      <c r="K866" s="32" t="str" cm="1">
        <f t="array" ref="K866">IF(AF866&lt;&gt;"",IFERROR(INDEX('Group List A'!B:B,MATCH(AI866,'Group List A'!A:A,0),0),"-"),"")</f>
        <v/>
      </c>
      <c r="L866" s="33">
        <f t="shared" si="200"/>
        <v>0</v>
      </c>
      <c r="M866" s="33">
        <f t="shared" si="201"/>
        <v>0</v>
      </c>
      <c r="N866" s="33">
        <f t="shared" si="202"/>
        <v>0</v>
      </c>
      <c r="O866" s="28"/>
      <c r="P866" s="33">
        <f t="shared" si="203"/>
        <v>0</v>
      </c>
      <c r="Q866" s="35" t="str" cm="1">
        <f t="array" ref="Q866">IF(AF866&lt;&gt;"",IFERROR(INDEX('Group List B'!B:B,MATCH(AI866,'Group List B'!A:A,0),0),"-"),"")</f>
        <v/>
      </c>
      <c r="R866" s="36">
        <f t="shared" si="204"/>
        <v>0</v>
      </c>
      <c r="S866" s="36">
        <f t="shared" si="205"/>
        <v>0</v>
      </c>
      <c r="T866" s="36">
        <f t="shared" si="206"/>
        <v>0</v>
      </c>
      <c r="U866" s="28"/>
      <c r="V866" s="37">
        <f t="shared" si="207"/>
        <v>0</v>
      </c>
      <c r="W866" s="41"/>
      <c r="X866" s="27"/>
      <c r="Y866" s="27"/>
      <c r="Z866" s="27"/>
      <c r="AA866" s="15"/>
      <c r="AB866" s="17"/>
      <c r="AC866" s="17"/>
      <c r="AD866" s="17"/>
      <c r="AE866" s="90"/>
      <c r="AF866" s="82" t="str">
        <f t="shared" si="208"/>
        <v/>
      </c>
      <c r="AG866" s="83" t="str">
        <f t="shared" si="209"/>
        <v/>
      </c>
      <c r="AH866" s="82" t="str">
        <f t="shared" si="210"/>
        <v/>
      </c>
      <c r="AI866" s="82" t="str">
        <f t="shared" si="211"/>
        <v/>
      </c>
      <c r="AJ866" s="90"/>
      <c r="AP866" s="88"/>
    </row>
    <row r="867" spans="1:42" x14ac:dyDescent="0.25">
      <c r="A867" s="2"/>
      <c r="C867" s="68" t="str" cm="1">
        <f t="array" ref="C867">IF(AF867&lt;&gt;"",
IFERROR(INDEX('LaunchPad Markbook'!A:A,MATCH(AH867,'LaunchPad Markbook'!D:D,0),0),"-"),"")</f>
        <v/>
      </c>
      <c r="D867" s="27"/>
      <c r="E867" s="27"/>
      <c r="F867" s="27"/>
      <c r="G867" s="14">
        <f>IF(OR(H867&gt;AB$2,I867&gt;AC$2,J867&gt;AD$2,
P867&gt;1,V867&gt;1,
L867&gt;'Group List A'!E$2,M867&gt;'Group List A'!F$2,N867&gt;'Group List A'!G$2,
R867&gt;'Group List B'!E$2,S867&gt;'Group List B'!F$2,T867&gt;'Group List B'!G$2),"Exceed",
IF(OR(H867=AB$2,I867=AC$2,J867=AD$2,
P867=1,V867=1,
L867='Group List A'!E$2,M867='Group List A'!F$2,N867='Group List A'!G$2,
R867='Group List B'!E$2,S867='Group List B'!F$2,T867='Group List B'!G$2),"Limit",0))</f>
        <v>0</v>
      </c>
      <c r="H867" s="29">
        <f t="shared" si="197"/>
        <v>0</v>
      </c>
      <c r="I867" s="29">
        <f t="shared" si="198"/>
        <v>0</v>
      </c>
      <c r="J867" s="29">
        <f t="shared" si="199"/>
        <v>0</v>
      </c>
      <c r="K867" s="32" t="str" cm="1">
        <f t="array" ref="K867">IF(AF867&lt;&gt;"",IFERROR(INDEX('Group List A'!B:B,MATCH(AI867,'Group List A'!A:A,0),0),"-"),"")</f>
        <v/>
      </c>
      <c r="L867" s="33">
        <f t="shared" si="200"/>
        <v>0</v>
      </c>
      <c r="M867" s="33">
        <f t="shared" si="201"/>
        <v>0</v>
      </c>
      <c r="N867" s="33">
        <f t="shared" si="202"/>
        <v>0</v>
      </c>
      <c r="O867" s="28"/>
      <c r="P867" s="33">
        <f t="shared" si="203"/>
        <v>0</v>
      </c>
      <c r="Q867" s="35" t="str" cm="1">
        <f t="array" ref="Q867">IF(AF867&lt;&gt;"",IFERROR(INDEX('Group List B'!B:B,MATCH(AI867,'Group List B'!A:A,0),0),"-"),"")</f>
        <v/>
      </c>
      <c r="R867" s="36">
        <f t="shared" si="204"/>
        <v>0</v>
      </c>
      <c r="S867" s="36">
        <f t="shared" si="205"/>
        <v>0</v>
      </c>
      <c r="T867" s="36">
        <f t="shared" si="206"/>
        <v>0</v>
      </c>
      <c r="U867" s="28"/>
      <c r="V867" s="37">
        <f t="shared" si="207"/>
        <v>0</v>
      </c>
      <c r="W867" s="41"/>
      <c r="X867" s="27"/>
      <c r="Y867" s="27"/>
      <c r="Z867" s="27"/>
      <c r="AA867" s="15"/>
      <c r="AB867" s="17"/>
      <c r="AC867" s="17"/>
      <c r="AD867" s="17"/>
      <c r="AE867" s="90"/>
      <c r="AF867" s="82" t="str">
        <f t="shared" si="208"/>
        <v/>
      </c>
      <c r="AG867" s="83" t="str">
        <f t="shared" si="209"/>
        <v/>
      </c>
      <c r="AH867" s="82" t="str">
        <f t="shared" si="210"/>
        <v/>
      </c>
      <c r="AI867" s="82" t="str">
        <f t="shared" si="211"/>
        <v/>
      </c>
      <c r="AJ867" s="90"/>
      <c r="AP867" s="88"/>
    </row>
    <row r="868" spans="1:42" x14ac:dyDescent="0.25">
      <c r="A868" s="2"/>
      <c r="C868" s="68" t="str" cm="1">
        <f t="array" ref="C868">IF(AF868&lt;&gt;"",
IFERROR(INDEX('LaunchPad Markbook'!A:A,MATCH(AH868,'LaunchPad Markbook'!D:D,0),0),"-"),"")</f>
        <v/>
      </c>
      <c r="D868" s="27"/>
      <c r="E868" s="27"/>
      <c r="F868" s="27"/>
      <c r="G868" s="14">
        <f>IF(OR(H868&gt;AB$2,I868&gt;AC$2,J868&gt;AD$2,
P868&gt;1,V868&gt;1,
L868&gt;'Group List A'!E$2,M868&gt;'Group List A'!F$2,N868&gt;'Group List A'!G$2,
R868&gt;'Group List B'!E$2,S868&gt;'Group List B'!F$2,T868&gt;'Group List B'!G$2),"Exceed",
IF(OR(H868=AB$2,I868=AC$2,J868=AD$2,
P868=1,V868=1,
L868='Group List A'!E$2,M868='Group List A'!F$2,N868='Group List A'!G$2,
R868='Group List B'!E$2,S868='Group List B'!F$2,T868='Group List B'!G$2),"Limit",0))</f>
        <v>0</v>
      </c>
      <c r="H868" s="29">
        <f t="shared" si="197"/>
        <v>0</v>
      </c>
      <c r="I868" s="29">
        <f t="shared" si="198"/>
        <v>0</v>
      </c>
      <c r="J868" s="29">
        <f t="shared" si="199"/>
        <v>0</v>
      </c>
      <c r="K868" s="32" t="str" cm="1">
        <f t="array" ref="K868">IF(AF868&lt;&gt;"",IFERROR(INDEX('Group List A'!B:B,MATCH(AI868,'Group List A'!A:A,0),0),"-"),"")</f>
        <v/>
      </c>
      <c r="L868" s="33">
        <f t="shared" si="200"/>
        <v>0</v>
      </c>
      <c r="M868" s="33">
        <f t="shared" si="201"/>
        <v>0</v>
      </c>
      <c r="N868" s="33">
        <f t="shared" si="202"/>
        <v>0</v>
      </c>
      <c r="O868" s="28"/>
      <c r="P868" s="33">
        <f t="shared" si="203"/>
        <v>0</v>
      </c>
      <c r="Q868" s="35" t="str" cm="1">
        <f t="array" ref="Q868">IF(AF868&lt;&gt;"",IFERROR(INDEX('Group List B'!B:B,MATCH(AI868,'Group List B'!A:A,0),0),"-"),"")</f>
        <v/>
      </c>
      <c r="R868" s="36">
        <f t="shared" si="204"/>
        <v>0</v>
      </c>
      <c r="S868" s="36">
        <f t="shared" si="205"/>
        <v>0</v>
      </c>
      <c r="T868" s="36">
        <f t="shared" si="206"/>
        <v>0</v>
      </c>
      <c r="U868" s="28"/>
      <c r="V868" s="37">
        <f t="shared" si="207"/>
        <v>0</v>
      </c>
      <c r="W868" s="41"/>
      <c r="X868" s="27"/>
      <c r="Y868" s="27"/>
      <c r="Z868" s="27"/>
      <c r="AA868" s="15"/>
      <c r="AB868" s="17"/>
      <c r="AC868" s="17"/>
      <c r="AD868" s="17"/>
      <c r="AE868" s="90"/>
      <c r="AF868" s="82" t="str">
        <f t="shared" si="208"/>
        <v/>
      </c>
      <c r="AG868" s="83" t="str">
        <f t="shared" si="209"/>
        <v/>
      </c>
      <c r="AH868" s="82" t="str">
        <f t="shared" si="210"/>
        <v/>
      </c>
      <c r="AI868" s="82" t="str">
        <f t="shared" si="211"/>
        <v/>
      </c>
      <c r="AJ868" s="90"/>
      <c r="AP868" s="88"/>
    </row>
    <row r="869" spans="1:42" x14ac:dyDescent="0.25">
      <c r="A869" s="2"/>
      <c r="C869" s="68" t="str" cm="1">
        <f t="array" ref="C869">IF(AF869&lt;&gt;"",
IFERROR(INDEX('LaunchPad Markbook'!A:A,MATCH(AH869,'LaunchPad Markbook'!D:D,0),0),"-"),"")</f>
        <v/>
      </c>
      <c r="D869" s="27"/>
      <c r="E869" s="27"/>
      <c r="F869" s="27"/>
      <c r="G869" s="14">
        <f>IF(OR(H869&gt;AB$2,I869&gt;AC$2,J869&gt;AD$2,
P869&gt;1,V869&gt;1,
L869&gt;'Group List A'!E$2,M869&gt;'Group List A'!F$2,N869&gt;'Group List A'!G$2,
R869&gt;'Group List B'!E$2,S869&gt;'Group List B'!F$2,T869&gt;'Group List B'!G$2),"Exceed",
IF(OR(H869=AB$2,I869=AC$2,J869=AD$2,
P869=1,V869=1,
L869='Group List A'!E$2,M869='Group List A'!F$2,N869='Group List A'!G$2,
R869='Group List B'!E$2,S869='Group List B'!F$2,T869='Group List B'!G$2),"Limit",0))</f>
        <v>0</v>
      </c>
      <c r="H869" s="29">
        <f t="shared" si="197"/>
        <v>0</v>
      </c>
      <c r="I869" s="29">
        <f t="shared" si="198"/>
        <v>0</v>
      </c>
      <c r="J869" s="29">
        <f t="shared" si="199"/>
        <v>0</v>
      </c>
      <c r="K869" s="32" t="str" cm="1">
        <f t="array" ref="K869">IF(AF869&lt;&gt;"",IFERROR(INDEX('Group List A'!B:B,MATCH(AI869,'Group List A'!A:A,0),0),"-"),"")</f>
        <v/>
      </c>
      <c r="L869" s="33">
        <f t="shared" si="200"/>
        <v>0</v>
      </c>
      <c r="M869" s="33">
        <f t="shared" si="201"/>
        <v>0</v>
      </c>
      <c r="N869" s="33">
        <f t="shared" si="202"/>
        <v>0</v>
      </c>
      <c r="O869" s="28"/>
      <c r="P869" s="33">
        <f t="shared" si="203"/>
        <v>0</v>
      </c>
      <c r="Q869" s="35" t="str" cm="1">
        <f t="array" ref="Q869">IF(AF869&lt;&gt;"",IFERROR(INDEX('Group List B'!B:B,MATCH(AI869,'Group List B'!A:A,0),0),"-"),"")</f>
        <v/>
      </c>
      <c r="R869" s="36">
        <f t="shared" si="204"/>
        <v>0</v>
      </c>
      <c r="S869" s="36">
        <f t="shared" si="205"/>
        <v>0</v>
      </c>
      <c r="T869" s="36">
        <f t="shared" si="206"/>
        <v>0</v>
      </c>
      <c r="U869" s="28"/>
      <c r="V869" s="37">
        <f t="shared" si="207"/>
        <v>0</v>
      </c>
      <c r="W869" s="41"/>
      <c r="X869" s="27"/>
      <c r="Y869" s="27"/>
      <c r="Z869" s="27"/>
      <c r="AA869" s="15"/>
      <c r="AB869" s="17"/>
      <c r="AC869" s="17"/>
      <c r="AD869" s="17"/>
      <c r="AE869" s="90"/>
      <c r="AF869" s="82" t="str">
        <f t="shared" si="208"/>
        <v/>
      </c>
      <c r="AG869" s="83" t="str">
        <f t="shared" si="209"/>
        <v/>
      </c>
      <c r="AH869" s="82" t="str">
        <f t="shared" si="210"/>
        <v/>
      </c>
      <c r="AI869" s="82" t="str">
        <f t="shared" si="211"/>
        <v/>
      </c>
      <c r="AJ869" s="90"/>
      <c r="AP869" s="88"/>
    </row>
    <row r="870" spans="1:42" x14ac:dyDescent="0.25">
      <c r="A870" s="2"/>
      <c r="C870" s="68" t="str" cm="1">
        <f t="array" ref="C870">IF(AF870&lt;&gt;"",
IFERROR(INDEX('LaunchPad Markbook'!A:A,MATCH(AH870,'LaunchPad Markbook'!D:D,0),0),"-"),"")</f>
        <v/>
      </c>
      <c r="D870" s="27"/>
      <c r="E870" s="27"/>
      <c r="F870" s="27"/>
      <c r="G870" s="14">
        <f>IF(OR(H870&gt;AB$2,I870&gt;AC$2,J870&gt;AD$2,
P870&gt;1,V870&gt;1,
L870&gt;'Group List A'!E$2,M870&gt;'Group List A'!F$2,N870&gt;'Group List A'!G$2,
R870&gt;'Group List B'!E$2,S870&gt;'Group List B'!F$2,T870&gt;'Group List B'!G$2),"Exceed",
IF(OR(H870=AB$2,I870=AC$2,J870=AD$2,
P870=1,V870=1,
L870='Group List A'!E$2,M870='Group List A'!F$2,N870='Group List A'!G$2,
R870='Group List B'!E$2,S870='Group List B'!F$2,T870='Group List B'!G$2),"Limit",0))</f>
        <v>0</v>
      </c>
      <c r="H870" s="29">
        <f t="shared" si="197"/>
        <v>0</v>
      </c>
      <c r="I870" s="29">
        <f t="shared" si="198"/>
        <v>0</v>
      </c>
      <c r="J870" s="29">
        <f t="shared" si="199"/>
        <v>0</v>
      </c>
      <c r="K870" s="32" t="str" cm="1">
        <f t="array" ref="K870">IF(AF870&lt;&gt;"",IFERROR(INDEX('Group List A'!B:B,MATCH(AI870,'Group List A'!A:A,0),0),"-"),"")</f>
        <v/>
      </c>
      <c r="L870" s="33">
        <f t="shared" si="200"/>
        <v>0</v>
      </c>
      <c r="M870" s="33">
        <f t="shared" si="201"/>
        <v>0</v>
      </c>
      <c r="N870" s="33">
        <f t="shared" si="202"/>
        <v>0</v>
      </c>
      <c r="O870" s="28"/>
      <c r="P870" s="33">
        <f t="shared" si="203"/>
        <v>0</v>
      </c>
      <c r="Q870" s="35" t="str" cm="1">
        <f t="array" ref="Q870">IF(AF870&lt;&gt;"",IFERROR(INDEX('Group List B'!B:B,MATCH(AI870,'Group List B'!A:A,0),0),"-"),"")</f>
        <v/>
      </c>
      <c r="R870" s="36">
        <f t="shared" si="204"/>
        <v>0</v>
      </c>
      <c r="S870" s="36">
        <f t="shared" si="205"/>
        <v>0</v>
      </c>
      <c r="T870" s="36">
        <f t="shared" si="206"/>
        <v>0</v>
      </c>
      <c r="U870" s="28"/>
      <c r="V870" s="37">
        <f t="shared" si="207"/>
        <v>0</v>
      </c>
      <c r="W870" s="41"/>
      <c r="X870" s="27"/>
      <c r="Y870" s="27"/>
      <c r="Z870" s="27"/>
      <c r="AA870" s="15"/>
      <c r="AB870" s="17"/>
      <c r="AC870" s="17"/>
      <c r="AD870" s="17"/>
      <c r="AE870" s="90"/>
      <c r="AF870" s="82" t="str">
        <f t="shared" si="208"/>
        <v/>
      </c>
      <c r="AG870" s="83" t="str">
        <f t="shared" si="209"/>
        <v/>
      </c>
      <c r="AH870" s="82" t="str">
        <f t="shared" si="210"/>
        <v/>
      </c>
      <c r="AI870" s="82" t="str">
        <f t="shared" si="211"/>
        <v/>
      </c>
      <c r="AJ870" s="90"/>
      <c r="AP870" s="88"/>
    </row>
    <row r="871" spans="1:42" x14ac:dyDescent="0.25">
      <c r="A871" s="2"/>
      <c r="C871" s="68" t="str" cm="1">
        <f t="array" ref="C871">IF(AF871&lt;&gt;"",
IFERROR(INDEX('LaunchPad Markbook'!A:A,MATCH(AH871,'LaunchPad Markbook'!D:D,0),0),"-"),"")</f>
        <v/>
      </c>
      <c r="D871" s="27"/>
      <c r="E871" s="27"/>
      <c r="F871" s="27"/>
      <c r="G871" s="14">
        <f>IF(OR(H871&gt;AB$2,I871&gt;AC$2,J871&gt;AD$2,
P871&gt;1,V871&gt;1,
L871&gt;'Group List A'!E$2,M871&gt;'Group List A'!F$2,N871&gt;'Group List A'!G$2,
R871&gt;'Group List B'!E$2,S871&gt;'Group List B'!F$2,T871&gt;'Group List B'!G$2),"Exceed",
IF(OR(H871=AB$2,I871=AC$2,J871=AD$2,
P871=1,V871=1,
L871='Group List A'!E$2,M871='Group List A'!F$2,N871='Group List A'!G$2,
R871='Group List B'!E$2,S871='Group List B'!F$2,T871='Group List B'!G$2),"Limit",0))</f>
        <v>0</v>
      </c>
      <c r="H871" s="29">
        <f t="shared" si="197"/>
        <v>0</v>
      </c>
      <c r="I871" s="29">
        <f t="shared" si="198"/>
        <v>0</v>
      </c>
      <c r="J871" s="29">
        <f t="shared" si="199"/>
        <v>0</v>
      </c>
      <c r="K871" s="32" t="str" cm="1">
        <f t="array" ref="K871">IF(AF871&lt;&gt;"",IFERROR(INDEX('Group List A'!B:B,MATCH(AI871,'Group List A'!A:A,0),0),"-"),"")</f>
        <v/>
      </c>
      <c r="L871" s="33">
        <f t="shared" si="200"/>
        <v>0</v>
      </c>
      <c r="M871" s="33">
        <f t="shared" si="201"/>
        <v>0</v>
      </c>
      <c r="N871" s="33">
        <f t="shared" si="202"/>
        <v>0</v>
      </c>
      <c r="O871" s="28"/>
      <c r="P871" s="33">
        <f t="shared" si="203"/>
        <v>0</v>
      </c>
      <c r="Q871" s="35" t="str" cm="1">
        <f t="array" ref="Q871">IF(AF871&lt;&gt;"",IFERROR(INDEX('Group List B'!B:B,MATCH(AI871,'Group List B'!A:A,0),0),"-"),"")</f>
        <v/>
      </c>
      <c r="R871" s="36">
        <f t="shared" si="204"/>
        <v>0</v>
      </c>
      <c r="S871" s="36">
        <f t="shared" si="205"/>
        <v>0</v>
      </c>
      <c r="T871" s="36">
        <f t="shared" si="206"/>
        <v>0</v>
      </c>
      <c r="U871" s="28"/>
      <c r="V871" s="37">
        <f t="shared" si="207"/>
        <v>0</v>
      </c>
      <c r="W871" s="41"/>
      <c r="X871" s="27"/>
      <c r="Y871" s="27"/>
      <c r="Z871" s="27"/>
      <c r="AA871" s="15"/>
      <c r="AB871" s="17"/>
      <c r="AC871" s="17"/>
      <c r="AD871" s="17"/>
      <c r="AE871" s="90"/>
      <c r="AF871" s="82" t="str">
        <f t="shared" si="208"/>
        <v/>
      </c>
      <c r="AG871" s="83" t="str">
        <f t="shared" si="209"/>
        <v/>
      </c>
      <c r="AH871" s="82" t="str">
        <f t="shared" si="210"/>
        <v/>
      </c>
      <c r="AI871" s="82" t="str">
        <f t="shared" si="211"/>
        <v/>
      </c>
      <c r="AJ871" s="90"/>
      <c r="AP871" s="88"/>
    </row>
    <row r="872" spans="1:42" x14ac:dyDescent="0.25">
      <c r="A872" s="2"/>
      <c r="C872" s="68" t="str" cm="1">
        <f t="array" ref="C872">IF(AF872&lt;&gt;"",
IFERROR(INDEX('LaunchPad Markbook'!A:A,MATCH(AH872,'LaunchPad Markbook'!D:D,0),0),"-"),"")</f>
        <v/>
      </c>
      <c r="D872" s="27"/>
      <c r="E872" s="27"/>
      <c r="F872" s="27"/>
      <c r="G872" s="14">
        <f>IF(OR(H872&gt;AB$2,I872&gt;AC$2,J872&gt;AD$2,
P872&gt;1,V872&gt;1,
L872&gt;'Group List A'!E$2,M872&gt;'Group List A'!F$2,N872&gt;'Group List A'!G$2,
R872&gt;'Group List B'!E$2,S872&gt;'Group List B'!F$2,T872&gt;'Group List B'!G$2),"Exceed",
IF(OR(H872=AB$2,I872=AC$2,J872=AD$2,
P872=1,V872=1,
L872='Group List A'!E$2,M872='Group List A'!F$2,N872='Group List A'!G$2,
R872='Group List B'!E$2,S872='Group List B'!F$2,T872='Group List B'!G$2),"Limit",0))</f>
        <v>0</v>
      </c>
      <c r="H872" s="29">
        <f t="shared" si="197"/>
        <v>0</v>
      </c>
      <c r="I872" s="29">
        <f t="shared" si="198"/>
        <v>0</v>
      </c>
      <c r="J872" s="29">
        <f t="shared" si="199"/>
        <v>0</v>
      </c>
      <c r="K872" s="32" t="str" cm="1">
        <f t="array" ref="K872">IF(AF872&lt;&gt;"",IFERROR(INDEX('Group List A'!B:B,MATCH(AI872,'Group List A'!A:A,0),0),"-"),"")</f>
        <v/>
      </c>
      <c r="L872" s="33">
        <f t="shared" si="200"/>
        <v>0</v>
      </c>
      <c r="M872" s="33">
        <f t="shared" si="201"/>
        <v>0</v>
      </c>
      <c r="N872" s="33">
        <f t="shared" si="202"/>
        <v>0</v>
      </c>
      <c r="O872" s="28"/>
      <c r="P872" s="33">
        <f t="shared" si="203"/>
        <v>0</v>
      </c>
      <c r="Q872" s="35" t="str" cm="1">
        <f t="array" ref="Q872">IF(AF872&lt;&gt;"",IFERROR(INDEX('Group List B'!B:B,MATCH(AI872,'Group List B'!A:A,0),0),"-"),"")</f>
        <v/>
      </c>
      <c r="R872" s="36">
        <f t="shared" si="204"/>
        <v>0</v>
      </c>
      <c r="S872" s="36">
        <f t="shared" si="205"/>
        <v>0</v>
      </c>
      <c r="T872" s="36">
        <f t="shared" si="206"/>
        <v>0</v>
      </c>
      <c r="U872" s="28"/>
      <c r="V872" s="37">
        <f t="shared" si="207"/>
        <v>0</v>
      </c>
      <c r="W872" s="41"/>
      <c r="X872" s="27"/>
      <c r="Y872" s="27"/>
      <c r="Z872" s="27"/>
      <c r="AA872" s="15"/>
      <c r="AB872" s="17"/>
      <c r="AC872" s="17"/>
      <c r="AD872" s="17"/>
      <c r="AE872" s="90"/>
      <c r="AF872" s="82" t="str">
        <f t="shared" si="208"/>
        <v/>
      </c>
      <c r="AG872" s="83" t="str">
        <f t="shared" si="209"/>
        <v/>
      </c>
      <c r="AH872" s="82" t="str">
        <f t="shared" si="210"/>
        <v/>
      </c>
      <c r="AI872" s="82" t="str">
        <f t="shared" si="211"/>
        <v/>
      </c>
      <c r="AJ872" s="90"/>
      <c r="AP872" s="88"/>
    </row>
    <row r="873" spans="1:42" x14ac:dyDescent="0.25">
      <c r="A873" s="2"/>
      <c r="C873" s="68" t="str" cm="1">
        <f t="array" ref="C873">IF(AF873&lt;&gt;"",
IFERROR(INDEX('LaunchPad Markbook'!A:A,MATCH(AH873,'LaunchPad Markbook'!D:D,0),0),"-"),"")</f>
        <v/>
      </c>
      <c r="D873" s="27"/>
      <c r="E873" s="27"/>
      <c r="F873" s="27"/>
      <c r="G873" s="14">
        <f>IF(OR(H873&gt;AB$2,I873&gt;AC$2,J873&gt;AD$2,
P873&gt;1,V873&gt;1,
L873&gt;'Group List A'!E$2,M873&gt;'Group List A'!F$2,N873&gt;'Group List A'!G$2,
R873&gt;'Group List B'!E$2,S873&gt;'Group List B'!F$2,T873&gt;'Group List B'!G$2),"Exceed",
IF(OR(H873=AB$2,I873=AC$2,J873=AD$2,
P873=1,V873=1,
L873='Group List A'!E$2,M873='Group List A'!F$2,N873='Group List A'!G$2,
R873='Group List B'!E$2,S873='Group List B'!F$2,T873='Group List B'!G$2),"Limit",0))</f>
        <v>0</v>
      </c>
      <c r="H873" s="29">
        <f t="shared" si="197"/>
        <v>0</v>
      </c>
      <c r="I873" s="29">
        <f t="shared" si="198"/>
        <v>0</v>
      </c>
      <c r="J873" s="29">
        <f t="shared" si="199"/>
        <v>0</v>
      </c>
      <c r="K873" s="32" t="str" cm="1">
        <f t="array" ref="K873">IF(AF873&lt;&gt;"",IFERROR(INDEX('Group List A'!B:B,MATCH(AI873,'Group List A'!A:A,0),0),"-"),"")</f>
        <v/>
      </c>
      <c r="L873" s="33">
        <f t="shared" si="200"/>
        <v>0</v>
      </c>
      <c r="M873" s="33">
        <f t="shared" si="201"/>
        <v>0</v>
      </c>
      <c r="N873" s="33">
        <f t="shared" si="202"/>
        <v>0</v>
      </c>
      <c r="O873" s="28"/>
      <c r="P873" s="33">
        <f t="shared" si="203"/>
        <v>0</v>
      </c>
      <c r="Q873" s="35" t="str" cm="1">
        <f t="array" ref="Q873">IF(AF873&lt;&gt;"",IFERROR(INDEX('Group List B'!B:B,MATCH(AI873,'Group List B'!A:A,0),0),"-"),"")</f>
        <v/>
      </c>
      <c r="R873" s="36">
        <f t="shared" si="204"/>
        <v>0</v>
      </c>
      <c r="S873" s="36">
        <f t="shared" si="205"/>
        <v>0</v>
      </c>
      <c r="T873" s="36">
        <f t="shared" si="206"/>
        <v>0</v>
      </c>
      <c r="U873" s="28"/>
      <c r="V873" s="37">
        <f t="shared" si="207"/>
        <v>0</v>
      </c>
      <c r="W873" s="41"/>
      <c r="X873" s="27"/>
      <c r="Y873" s="27"/>
      <c r="Z873" s="27"/>
      <c r="AA873" s="15"/>
      <c r="AB873" s="17"/>
      <c r="AC873" s="17"/>
      <c r="AD873" s="17"/>
      <c r="AE873" s="90"/>
      <c r="AF873" s="82" t="str">
        <f t="shared" si="208"/>
        <v/>
      </c>
      <c r="AG873" s="83" t="str">
        <f t="shared" si="209"/>
        <v/>
      </c>
      <c r="AH873" s="82" t="str">
        <f t="shared" si="210"/>
        <v/>
      </c>
      <c r="AI873" s="82" t="str">
        <f t="shared" si="211"/>
        <v/>
      </c>
      <c r="AJ873" s="90"/>
      <c r="AP873" s="88"/>
    </row>
    <row r="874" spans="1:42" x14ac:dyDescent="0.25">
      <c r="A874" s="2"/>
      <c r="C874" s="68" t="str" cm="1">
        <f t="array" ref="C874">IF(AF874&lt;&gt;"",
IFERROR(INDEX('LaunchPad Markbook'!A:A,MATCH(AH874,'LaunchPad Markbook'!D:D,0),0),"-"),"")</f>
        <v/>
      </c>
      <c r="D874" s="27"/>
      <c r="E874" s="27"/>
      <c r="F874" s="27"/>
      <c r="G874" s="14">
        <f>IF(OR(H874&gt;AB$2,I874&gt;AC$2,J874&gt;AD$2,
P874&gt;1,V874&gt;1,
L874&gt;'Group List A'!E$2,M874&gt;'Group List A'!F$2,N874&gt;'Group List A'!G$2,
R874&gt;'Group List B'!E$2,S874&gt;'Group List B'!F$2,T874&gt;'Group List B'!G$2),"Exceed",
IF(OR(H874=AB$2,I874=AC$2,J874=AD$2,
P874=1,V874=1,
L874='Group List A'!E$2,M874='Group List A'!F$2,N874='Group List A'!G$2,
R874='Group List B'!E$2,S874='Group List B'!F$2,T874='Group List B'!G$2),"Limit",0))</f>
        <v>0</v>
      </c>
      <c r="H874" s="29">
        <f t="shared" si="197"/>
        <v>0</v>
      </c>
      <c r="I874" s="29">
        <f t="shared" si="198"/>
        <v>0</v>
      </c>
      <c r="J874" s="29">
        <f t="shared" si="199"/>
        <v>0</v>
      </c>
      <c r="K874" s="32" t="str" cm="1">
        <f t="array" ref="K874">IF(AF874&lt;&gt;"",IFERROR(INDEX('Group List A'!B:B,MATCH(AI874,'Group List A'!A:A,0),0),"-"),"")</f>
        <v/>
      </c>
      <c r="L874" s="33">
        <f t="shared" si="200"/>
        <v>0</v>
      </c>
      <c r="M874" s="33">
        <f t="shared" si="201"/>
        <v>0</v>
      </c>
      <c r="N874" s="33">
        <f t="shared" si="202"/>
        <v>0</v>
      </c>
      <c r="O874" s="28"/>
      <c r="P874" s="33">
        <f t="shared" si="203"/>
        <v>0</v>
      </c>
      <c r="Q874" s="35" t="str" cm="1">
        <f t="array" ref="Q874">IF(AF874&lt;&gt;"",IFERROR(INDEX('Group List B'!B:B,MATCH(AI874,'Group List B'!A:A,0),0),"-"),"")</f>
        <v/>
      </c>
      <c r="R874" s="36">
        <f t="shared" si="204"/>
        <v>0</v>
      </c>
      <c r="S874" s="36">
        <f t="shared" si="205"/>
        <v>0</v>
      </c>
      <c r="T874" s="36">
        <f t="shared" si="206"/>
        <v>0</v>
      </c>
      <c r="U874" s="28"/>
      <c r="V874" s="37">
        <f t="shared" si="207"/>
        <v>0</v>
      </c>
      <c r="W874" s="41"/>
      <c r="X874" s="27"/>
      <c r="Y874" s="27"/>
      <c r="Z874" s="27"/>
      <c r="AA874" s="15"/>
      <c r="AB874" s="17"/>
      <c r="AC874" s="17"/>
      <c r="AD874" s="17"/>
      <c r="AE874" s="90"/>
      <c r="AF874" s="82" t="str">
        <f t="shared" si="208"/>
        <v/>
      </c>
      <c r="AG874" s="83" t="str">
        <f t="shared" si="209"/>
        <v/>
      </c>
      <c r="AH874" s="82" t="str">
        <f t="shared" si="210"/>
        <v/>
      </c>
      <c r="AI874" s="82" t="str">
        <f t="shared" si="211"/>
        <v/>
      </c>
      <c r="AJ874" s="90"/>
      <c r="AP874" s="88"/>
    </row>
    <row r="875" spans="1:42" x14ac:dyDescent="0.25">
      <c r="A875" s="2"/>
      <c r="C875" s="68" t="str" cm="1">
        <f t="array" ref="C875">IF(AF875&lt;&gt;"",
IFERROR(INDEX('LaunchPad Markbook'!A:A,MATCH(AH875,'LaunchPad Markbook'!D:D,0),0),"-"),"")</f>
        <v/>
      </c>
      <c r="D875" s="27"/>
      <c r="E875" s="27"/>
      <c r="F875" s="27"/>
      <c r="G875" s="14">
        <f>IF(OR(H875&gt;AB$2,I875&gt;AC$2,J875&gt;AD$2,
P875&gt;1,V875&gt;1,
L875&gt;'Group List A'!E$2,M875&gt;'Group List A'!F$2,N875&gt;'Group List A'!G$2,
R875&gt;'Group List B'!E$2,S875&gt;'Group List B'!F$2,T875&gt;'Group List B'!G$2),"Exceed",
IF(OR(H875=AB$2,I875=AC$2,J875=AD$2,
P875=1,V875=1,
L875='Group List A'!E$2,M875='Group List A'!F$2,N875='Group List A'!G$2,
R875='Group List B'!E$2,S875='Group List B'!F$2,T875='Group List B'!G$2),"Limit",0))</f>
        <v>0</v>
      </c>
      <c r="H875" s="29">
        <f t="shared" si="197"/>
        <v>0</v>
      </c>
      <c r="I875" s="29">
        <f t="shared" si="198"/>
        <v>0</v>
      </c>
      <c r="J875" s="29">
        <f t="shared" si="199"/>
        <v>0</v>
      </c>
      <c r="K875" s="32" t="str" cm="1">
        <f t="array" ref="K875">IF(AF875&lt;&gt;"",IFERROR(INDEX('Group List A'!B:B,MATCH(AI875,'Group List A'!A:A,0),0),"-"),"")</f>
        <v/>
      </c>
      <c r="L875" s="33">
        <f t="shared" si="200"/>
        <v>0</v>
      </c>
      <c r="M875" s="33">
        <f t="shared" si="201"/>
        <v>0</v>
      </c>
      <c r="N875" s="33">
        <f t="shared" si="202"/>
        <v>0</v>
      </c>
      <c r="O875" s="28"/>
      <c r="P875" s="33">
        <f t="shared" si="203"/>
        <v>0</v>
      </c>
      <c r="Q875" s="35" t="str" cm="1">
        <f t="array" ref="Q875">IF(AF875&lt;&gt;"",IFERROR(INDEX('Group List B'!B:B,MATCH(AI875,'Group List B'!A:A,0),0),"-"),"")</f>
        <v/>
      </c>
      <c r="R875" s="36">
        <f t="shared" si="204"/>
        <v>0</v>
      </c>
      <c r="S875" s="36">
        <f t="shared" si="205"/>
        <v>0</v>
      </c>
      <c r="T875" s="36">
        <f t="shared" si="206"/>
        <v>0</v>
      </c>
      <c r="U875" s="28"/>
      <c r="V875" s="37">
        <f t="shared" si="207"/>
        <v>0</v>
      </c>
      <c r="W875" s="41"/>
      <c r="X875" s="27"/>
      <c r="Y875" s="27"/>
      <c r="Z875" s="27"/>
      <c r="AA875" s="15"/>
      <c r="AB875" s="17"/>
      <c r="AC875" s="17"/>
      <c r="AD875" s="17"/>
      <c r="AE875" s="90"/>
      <c r="AF875" s="82" t="str">
        <f t="shared" si="208"/>
        <v/>
      </c>
      <c r="AG875" s="83" t="str">
        <f t="shared" si="209"/>
        <v/>
      </c>
      <c r="AH875" s="82" t="str">
        <f t="shared" si="210"/>
        <v/>
      </c>
      <c r="AI875" s="82" t="str">
        <f t="shared" si="211"/>
        <v/>
      </c>
      <c r="AJ875" s="90"/>
      <c r="AP875" s="88"/>
    </row>
    <row r="876" spans="1:42" x14ac:dyDescent="0.25">
      <c r="A876" s="2"/>
      <c r="C876" s="68" t="str" cm="1">
        <f t="array" ref="C876">IF(AF876&lt;&gt;"",
IFERROR(INDEX('LaunchPad Markbook'!A:A,MATCH(AH876,'LaunchPad Markbook'!D:D,0),0),"-"),"")</f>
        <v/>
      </c>
      <c r="D876" s="27"/>
      <c r="E876" s="27"/>
      <c r="F876" s="27"/>
      <c r="G876" s="14">
        <f>IF(OR(H876&gt;AB$2,I876&gt;AC$2,J876&gt;AD$2,
P876&gt;1,V876&gt;1,
L876&gt;'Group List A'!E$2,M876&gt;'Group List A'!F$2,N876&gt;'Group List A'!G$2,
R876&gt;'Group List B'!E$2,S876&gt;'Group List B'!F$2,T876&gt;'Group List B'!G$2),"Exceed",
IF(OR(H876=AB$2,I876=AC$2,J876=AD$2,
P876=1,V876=1,
L876='Group List A'!E$2,M876='Group List A'!F$2,N876='Group List A'!G$2,
R876='Group List B'!E$2,S876='Group List B'!F$2,T876='Group List B'!G$2),"Limit",0))</f>
        <v>0</v>
      </c>
      <c r="H876" s="29">
        <f t="shared" si="197"/>
        <v>0</v>
      </c>
      <c r="I876" s="29">
        <f t="shared" si="198"/>
        <v>0</v>
      </c>
      <c r="J876" s="29">
        <f t="shared" si="199"/>
        <v>0</v>
      </c>
      <c r="K876" s="32" t="str" cm="1">
        <f t="array" ref="K876">IF(AF876&lt;&gt;"",IFERROR(INDEX('Group List A'!B:B,MATCH(AI876,'Group List A'!A:A,0),0),"-"),"")</f>
        <v/>
      </c>
      <c r="L876" s="33">
        <f t="shared" si="200"/>
        <v>0</v>
      </c>
      <c r="M876" s="33">
        <f t="shared" si="201"/>
        <v>0</v>
      </c>
      <c r="N876" s="33">
        <f t="shared" si="202"/>
        <v>0</v>
      </c>
      <c r="O876" s="28"/>
      <c r="P876" s="33">
        <f t="shared" si="203"/>
        <v>0</v>
      </c>
      <c r="Q876" s="35" t="str" cm="1">
        <f t="array" ref="Q876">IF(AF876&lt;&gt;"",IFERROR(INDEX('Group List B'!B:B,MATCH(AI876,'Group List B'!A:A,0),0),"-"),"")</f>
        <v/>
      </c>
      <c r="R876" s="36">
        <f t="shared" si="204"/>
        <v>0</v>
      </c>
      <c r="S876" s="36">
        <f t="shared" si="205"/>
        <v>0</v>
      </c>
      <c r="T876" s="36">
        <f t="shared" si="206"/>
        <v>0</v>
      </c>
      <c r="U876" s="28"/>
      <c r="V876" s="37">
        <f t="shared" si="207"/>
        <v>0</v>
      </c>
      <c r="W876" s="41"/>
      <c r="X876" s="27"/>
      <c r="Y876" s="27"/>
      <c r="Z876" s="27"/>
      <c r="AA876" s="15"/>
      <c r="AB876" s="17"/>
      <c r="AC876" s="17"/>
      <c r="AD876" s="17"/>
      <c r="AE876" s="90"/>
      <c r="AF876" s="82" t="str">
        <f t="shared" si="208"/>
        <v/>
      </c>
      <c r="AG876" s="83" t="str">
        <f t="shared" si="209"/>
        <v/>
      </c>
      <c r="AH876" s="82" t="str">
        <f t="shared" si="210"/>
        <v/>
      </c>
      <c r="AI876" s="82" t="str">
        <f t="shared" si="211"/>
        <v/>
      </c>
      <c r="AJ876" s="90"/>
      <c r="AP876" s="88"/>
    </row>
    <row r="877" spans="1:42" x14ac:dyDescent="0.25">
      <c r="A877" s="2"/>
      <c r="C877" s="68" t="str" cm="1">
        <f t="array" ref="C877">IF(AF877&lt;&gt;"",
IFERROR(INDEX('LaunchPad Markbook'!A:A,MATCH(AH877,'LaunchPad Markbook'!D:D,0),0),"-"),"")</f>
        <v/>
      </c>
      <c r="D877" s="27"/>
      <c r="E877" s="27"/>
      <c r="F877" s="27"/>
      <c r="G877" s="14">
        <f>IF(OR(H877&gt;AB$2,I877&gt;AC$2,J877&gt;AD$2,
P877&gt;1,V877&gt;1,
L877&gt;'Group List A'!E$2,M877&gt;'Group List A'!F$2,N877&gt;'Group List A'!G$2,
R877&gt;'Group List B'!E$2,S877&gt;'Group List B'!F$2,T877&gt;'Group List B'!G$2),"Exceed",
IF(OR(H877=AB$2,I877=AC$2,J877=AD$2,
P877=1,V877=1,
L877='Group List A'!E$2,M877='Group List A'!F$2,N877='Group List A'!G$2,
R877='Group List B'!E$2,S877='Group List B'!F$2,T877='Group List B'!G$2),"Limit",0))</f>
        <v>0</v>
      </c>
      <c r="H877" s="29">
        <f t="shared" si="197"/>
        <v>0</v>
      </c>
      <c r="I877" s="29">
        <f t="shared" si="198"/>
        <v>0</v>
      </c>
      <c r="J877" s="29">
        <f t="shared" si="199"/>
        <v>0</v>
      </c>
      <c r="K877" s="32" t="str" cm="1">
        <f t="array" ref="K877">IF(AF877&lt;&gt;"",IFERROR(INDEX('Group List A'!B:B,MATCH(AI877,'Group List A'!A:A,0),0),"-"),"")</f>
        <v/>
      </c>
      <c r="L877" s="33">
        <f t="shared" si="200"/>
        <v>0</v>
      </c>
      <c r="M877" s="33">
        <f t="shared" si="201"/>
        <v>0</v>
      </c>
      <c r="N877" s="33">
        <f t="shared" si="202"/>
        <v>0</v>
      </c>
      <c r="O877" s="28"/>
      <c r="P877" s="33">
        <f t="shared" si="203"/>
        <v>0</v>
      </c>
      <c r="Q877" s="35" t="str" cm="1">
        <f t="array" ref="Q877">IF(AF877&lt;&gt;"",IFERROR(INDEX('Group List B'!B:B,MATCH(AI877,'Group List B'!A:A,0),0),"-"),"")</f>
        <v/>
      </c>
      <c r="R877" s="36">
        <f t="shared" si="204"/>
        <v>0</v>
      </c>
      <c r="S877" s="36">
        <f t="shared" si="205"/>
        <v>0</v>
      </c>
      <c r="T877" s="36">
        <f t="shared" si="206"/>
        <v>0</v>
      </c>
      <c r="U877" s="28"/>
      <c r="V877" s="37">
        <f t="shared" si="207"/>
        <v>0</v>
      </c>
      <c r="W877" s="41"/>
      <c r="X877" s="27"/>
      <c r="Y877" s="27"/>
      <c r="Z877" s="27"/>
      <c r="AA877" s="15"/>
      <c r="AB877" s="17"/>
      <c r="AC877" s="17"/>
      <c r="AD877" s="17"/>
      <c r="AE877" s="90"/>
      <c r="AF877" s="82" t="str">
        <f t="shared" si="208"/>
        <v/>
      </c>
      <c r="AG877" s="83" t="str">
        <f t="shared" si="209"/>
        <v/>
      </c>
      <c r="AH877" s="82" t="str">
        <f t="shared" si="210"/>
        <v/>
      </c>
      <c r="AI877" s="82" t="str">
        <f t="shared" si="211"/>
        <v/>
      </c>
      <c r="AJ877" s="90"/>
      <c r="AP877" s="88"/>
    </row>
    <row r="878" spans="1:42" x14ac:dyDescent="0.25">
      <c r="A878" s="2"/>
      <c r="C878" s="68" t="str" cm="1">
        <f t="array" ref="C878">IF(AF878&lt;&gt;"",
IFERROR(INDEX('LaunchPad Markbook'!A:A,MATCH(AH878,'LaunchPad Markbook'!D:D,0),0),"-"),"")</f>
        <v/>
      </c>
      <c r="D878" s="27"/>
      <c r="E878" s="27"/>
      <c r="F878" s="27"/>
      <c r="G878" s="14">
        <f>IF(OR(H878&gt;AB$2,I878&gt;AC$2,J878&gt;AD$2,
P878&gt;1,V878&gt;1,
L878&gt;'Group List A'!E$2,M878&gt;'Group List A'!F$2,N878&gt;'Group List A'!G$2,
R878&gt;'Group List B'!E$2,S878&gt;'Group List B'!F$2,T878&gt;'Group List B'!G$2),"Exceed",
IF(OR(H878=AB$2,I878=AC$2,J878=AD$2,
P878=1,V878=1,
L878='Group List A'!E$2,M878='Group List A'!F$2,N878='Group List A'!G$2,
R878='Group List B'!E$2,S878='Group List B'!F$2,T878='Group List B'!G$2),"Limit",0))</f>
        <v>0</v>
      </c>
      <c r="H878" s="29">
        <f t="shared" si="197"/>
        <v>0</v>
      </c>
      <c r="I878" s="29">
        <f t="shared" si="198"/>
        <v>0</v>
      </c>
      <c r="J878" s="29">
        <f t="shared" si="199"/>
        <v>0</v>
      </c>
      <c r="K878" s="32" t="str" cm="1">
        <f t="array" ref="K878">IF(AF878&lt;&gt;"",IFERROR(INDEX('Group List A'!B:B,MATCH(AI878,'Group List A'!A:A,0),0),"-"),"")</f>
        <v/>
      </c>
      <c r="L878" s="33">
        <f t="shared" si="200"/>
        <v>0</v>
      </c>
      <c r="M878" s="33">
        <f t="shared" si="201"/>
        <v>0</v>
      </c>
      <c r="N878" s="33">
        <f t="shared" si="202"/>
        <v>0</v>
      </c>
      <c r="O878" s="28"/>
      <c r="P878" s="33">
        <f t="shared" si="203"/>
        <v>0</v>
      </c>
      <c r="Q878" s="35" t="str" cm="1">
        <f t="array" ref="Q878">IF(AF878&lt;&gt;"",IFERROR(INDEX('Group List B'!B:B,MATCH(AI878,'Group List B'!A:A,0),0),"-"),"")</f>
        <v/>
      </c>
      <c r="R878" s="36">
        <f t="shared" si="204"/>
        <v>0</v>
      </c>
      <c r="S878" s="36">
        <f t="shared" si="205"/>
        <v>0</v>
      </c>
      <c r="T878" s="36">
        <f t="shared" si="206"/>
        <v>0</v>
      </c>
      <c r="U878" s="28"/>
      <c r="V878" s="37">
        <f t="shared" si="207"/>
        <v>0</v>
      </c>
      <c r="W878" s="41"/>
      <c r="X878" s="27"/>
      <c r="Y878" s="27"/>
      <c r="Z878" s="27"/>
      <c r="AA878" s="15"/>
      <c r="AB878" s="17"/>
      <c r="AC878" s="17"/>
      <c r="AD878" s="17"/>
      <c r="AE878" s="90"/>
      <c r="AF878" s="82" t="str">
        <f t="shared" si="208"/>
        <v/>
      </c>
      <c r="AG878" s="83" t="str">
        <f t="shared" si="209"/>
        <v/>
      </c>
      <c r="AH878" s="82" t="str">
        <f t="shared" si="210"/>
        <v/>
      </c>
      <c r="AI878" s="82" t="str">
        <f t="shared" si="211"/>
        <v/>
      </c>
      <c r="AJ878" s="90"/>
      <c r="AP878" s="88"/>
    </row>
    <row r="879" spans="1:42" x14ac:dyDescent="0.25">
      <c r="A879" s="2"/>
      <c r="C879" s="68" t="str" cm="1">
        <f t="array" ref="C879">IF(AF879&lt;&gt;"",
IFERROR(INDEX('LaunchPad Markbook'!A:A,MATCH(AH879,'LaunchPad Markbook'!D:D,0),0),"-"),"")</f>
        <v/>
      </c>
      <c r="D879" s="27"/>
      <c r="E879" s="27"/>
      <c r="F879" s="27"/>
      <c r="G879" s="14">
        <f>IF(OR(H879&gt;AB$2,I879&gt;AC$2,J879&gt;AD$2,
P879&gt;1,V879&gt;1,
L879&gt;'Group List A'!E$2,M879&gt;'Group List A'!F$2,N879&gt;'Group List A'!G$2,
R879&gt;'Group List B'!E$2,S879&gt;'Group List B'!F$2,T879&gt;'Group List B'!G$2),"Exceed",
IF(OR(H879=AB$2,I879=AC$2,J879=AD$2,
P879=1,V879=1,
L879='Group List A'!E$2,M879='Group List A'!F$2,N879='Group List A'!G$2,
R879='Group List B'!E$2,S879='Group List B'!F$2,T879='Group List B'!G$2),"Limit",0))</f>
        <v>0</v>
      </c>
      <c r="H879" s="29">
        <f t="shared" si="197"/>
        <v>0</v>
      </c>
      <c r="I879" s="29">
        <f t="shared" si="198"/>
        <v>0</v>
      </c>
      <c r="J879" s="29">
        <f t="shared" si="199"/>
        <v>0</v>
      </c>
      <c r="K879" s="32" t="str" cm="1">
        <f t="array" ref="K879">IF(AF879&lt;&gt;"",IFERROR(INDEX('Group List A'!B:B,MATCH(AI879,'Group List A'!A:A,0),0),"-"),"")</f>
        <v/>
      </c>
      <c r="L879" s="33">
        <f t="shared" si="200"/>
        <v>0</v>
      </c>
      <c r="M879" s="33">
        <f t="shared" si="201"/>
        <v>0</v>
      </c>
      <c r="N879" s="33">
        <f t="shared" si="202"/>
        <v>0</v>
      </c>
      <c r="O879" s="28"/>
      <c r="P879" s="33">
        <f t="shared" si="203"/>
        <v>0</v>
      </c>
      <c r="Q879" s="35" t="str" cm="1">
        <f t="array" ref="Q879">IF(AF879&lt;&gt;"",IFERROR(INDEX('Group List B'!B:B,MATCH(AI879,'Group List B'!A:A,0),0),"-"),"")</f>
        <v/>
      </c>
      <c r="R879" s="36">
        <f t="shared" si="204"/>
        <v>0</v>
      </c>
      <c r="S879" s="36">
        <f t="shared" si="205"/>
        <v>0</v>
      </c>
      <c r="T879" s="36">
        <f t="shared" si="206"/>
        <v>0</v>
      </c>
      <c r="U879" s="28"/>
      <c r="V879" s="37">
        <f t="shared" si="207"/>
        <v>0</v>
      </c>
      <c r="W879" s="41"/>
      <c r="X879" s="27"/>
      <c r="Y879" s="27"/>
      <c r="Z879" s="27"/>
      <c r="AA879" s="15"/>
      <c r="AB879" s="17"/>
      <c r="AC879" s="17"/>
      <c r="AD879" s="17"/>
      <c r="AE879" s="90"/>
      <c r="AF879" s="82" t="str">
        <f t="shared" si="208"/>
        <v/>
      </c>
      <c r="AG879" s="83" t="str">
        <f t="shared" si="209"/>
        <v/>
      </c>
      <c r="AH879" s="82" t="str">
        <f t="shared" si="210"/>
        <v/>
      </c>
      <c r="AI879" s="82" t="str">
        <f t="shared" si="211"/>
        <v/>
      </c>
      <c r="AJ879" s="90"/>
      <c r="AP879" s="88"/>
    </row>
    <row r="880" spans="1:42" x14ac:dyDescent="0.25">
      <c r="A880" s="2"/>
      <c r="C880" s="68" t="str" cm="1">
        <f t="array" ref="C880">IF(AF880&lt;&gt;"",
IFERROR(INDEX('LaunchPad Markbook'!A:A,MATCH(AH880,'LaunchPad Markbook'!D:D,0),0),"-"),"")</f>
        <v/>
      </c>
      <c r="D880" s="27"/>
      <c r="E880" s="27"/>
      <c r="F880" s="27"/>
      <c r="G880" s="14">
        <f>IF(OR(H880&gt;AB$2,I880&gt;AC$2,J880&gt;AD$2,
P880&gt;1,V880&gt;1,
L880&gt;'Group List A'!E$2,M880&gt;'Group List A'!F$2,N880&gt;'Group List A'!G$2,
R880&gt;'Group List B'!E$2,S880&gt;'Group List B'!F$2,T880&gt;'Group List B'!G$2),"Exceed",
IF(OR(H880=AB$2,I880=AC$2,J880=AD$2,
P880=1,V880=1,
L880='Group List A'!E$2,M880='Group List A'!F$2,N880='Group List A'!G$2,
R880='Group List B'!E$2,S880='Group List B'!F$2,T880='Group List B'!G$2),"Limit",0))</f>
        <v>0</v>
      </c>
      <c r="H880" s="29">
        <f t="shared" si="197"/>
        <v>0</v>
      </c>
      <c r="I880" s="29">
        <f t="shared" si="198"/>
        <v>0</v>
      </c>
      <c r="J880" s="29">
        <f t="shared" si="199"/>
        <v>0</v>
      </c>
      <c r="K880" s="32" t="str" cm="1">
        <f t="array" ref="K880">IF(AF880&lt;&gt;"",IFERROR(INDEX('Group List A'!B:B,MATCH(AI880,'Group List A'!A:A,0),0),"-"),"")</f>
        <v/>
      </c>
      <c r="L880" s="33">
        <f t="shared" si="200"/>
        <v>0</v>
      </c>
      <c r="M880" s="33">
        <f t="shared" si="201"/>
        <v>0</v>
      </c>
      <c r="N880" s="33">
        <f t="shared" si="202"/>
        <v>0</v>
      </c>
      <c r="O880" s="28"/>
      <c r="P880" s="33">
        <f t="shared" si="203"/>
        <v>0</v>
      </c>
      <c r="Q880" s="35" t="str" cm="1">
        <f t="array" ref="Q880">IF(AF880&lt;&gt;"",IFERROR(INDEX('Group List B'!B:B,MATCH(AI880,'Group List B'!A:A,0),0),"-"),"")</f>
        <v/>
      </c>
      <c r="R880" s="36">
        <f t="shared" si="204"/>
        <v>0</v>
      </c>
      <c r="S880" s="36">
        <f t="shared" si="205"/>
        <v>0</v>
      </c>
      <c r="T880" s="36">
        <f t="shared" si="206"/>
        <v>0</v>
      </c>
      <c r="U880" s="28"/>
      <c r="V880" s="37">
        <f t="shared" si="207"/>
        <v>0</v>
      </c>
      <c r="W880" s="41"/>
      <c r="X880" s="27"/>
      <c r="Y880" s="27"/>
      <c r="Z880" s="27"/>
      <c r="AA880" s="15"/>
      <c r="AB880" s="17"/>
      <c r="AC880" s="17"/>
      <c r="AD880" s="17"/>
      <c r="AE880" s="90"/>
      <c r="AF880" s="82" t="str">
        <f t="shared" si="208"/>
        <v/>
      </c>
      <c r="AG880" s="83" t="str">
        <f t="shared" si="209"/>
        <v/>
      </c>
      <c r="AH880" s="82" t="str">
        <f t="shared" si="210"/>
        <v/>
      </c>
      <c r="AI880" s="82" t="str">
        <f t="shared" si="211"/>
        <v/>
      </c>
      <c r="AJ880" s="90"/>
      <c r="AP880" s="88"/>
    </row>
    <row r="881" spans="1:42" x14ac:dyDescent="0.25">
      <c r="A881" s="2"/>
      <c r="C881" s="68" t="str" cm="1">
        <f t="array" ref="C881">IF(AF881&lt;&gt;"",
IFERROR(INDEX('LaunchPad Markbook'!A:A,MATCH(AH881,'LaunchPad Markbook'!D:D,0),0),"-"),"")</f>
        <v/>
      </c>
      <c r="D881" s="27"/>
      <c r="E881" s="27"/>
      <c r="F881" s="27"/>
      <c r="G881" s="14">
        <f>IF(OR(H881&gt;AB$2,I881&gt;AC$2,J881&gt;AD$2,
P881&gt;1,V881&gt;1,
L881&gt;'Group List A'!E$2,M881&gt;'Group List A'!F$2,N881&gt;'Group List A'!G$2,
R881&gt;'Group List B'!E$2,S881&gt;'Group List B'!F$2,T881&gt;'Group List B'!G$2),"Exceed",
IF(OR(H881=AB$2,I881=AC$2,J881=AD$2,
P881=1,V881=1,
L881='Group List A'!E$2,M881='Group List A'!F$2,N881='Group List A'!G$2,
R881='Group List B'!E$2,S881='Group List B'!F$2,T881='Group List B'!G$2),"Limit",0))</f>
        <v>0</v>
      </c>
      <c r="H881" s="29">
        <f t="shared" si="197"/>
        <v>0</v>
      </c>
      <c r="I881" s="29">
        <f t="shared" si="198"/>
        <v>0</v>
      </c>
      <c r="J881" s="29">
        <f t="shared" si="199"/>
        <v>0</v>
      </c>
      <c r="K881" s="32" t="str" cm="1">
        <f t="array" ref="K881">IF(AF881&lt;&gt;"",IFERROR(INDEX('Group List A'!B:B,MATCH(AI881,'Group List A'!A:A,0),0),"-"),"")</f>
        <v/>
      </c>
      <c r="L881" s="33">
        <f t="shared" si="200"/>
        <v>0</v>
      </c>
      <c r="M881" s="33">
        <f t="shared" si="201"/>
        <v>0</v>
      </c>
      <c r="N881" s="33">
        <f t="shared" si="202"/>
        <v>0</v>
      </c>
      <c r="O881" s="28"/>
      <c r="P881" s="33">
        <f t="shared" si="203"/>
        <v>0</v>
      </c>
      <c r="Q881" s="35" t="str" cm="1">
        <f t="array" ref="Q881">IF(AF881&lt;&gt;"",IFERROR(INDEX('Group List B'!B:B,MATCH(AI881,'Group List B'!A:A,0),0),"-"),"")</f>
        <v/>
      </c>
      <c r="R881" s="36">
        <f t="shared" si="204"/>
        <v>0</v>
      </c>
      <c r="S881" s="36">
        <f t="shared" si="205"/>
        <v>0</v>
      </c>
      <c r="T881" s="36">
        <f t="shared" si="206"/>
        <v>0</v>
      </c>
      <c r="U881" s="28"/>
      <c r="V881" s="37">
        <f t="shared" si="207"/>
        <v>0</v>
      </c>
      <c r="W881" s="41"/>
      <c r="X881" s="27"/>
      <c r="Y881" s="27"/>
      <c r="Z881" s="27"/>
      <c r="AA881" s="15"/>
      <c r="AB881" s="17"/>
      <c r="AC881" s="17"/>
      <c r="AD881" s="17"/>
      <c r="AE881" s="90"/>
      <c r="AF881" s="82" t="str">
        <f t="shared" si="208"/>
        <v/>
      </c>
      <c r="AG881" s="83" t="str">
        <f t="shared" si="209"/>
        <v/>
      </c>
      <c r="AH881" s="82" t="str">
        <f t="shared" si="210"/>
        <v/>
      </c>
      <c r="AI881" s="82" t="str">
        <f t="shared" si="211"/>
        <v/>
      </c>
      <c r="AJ881" s="90"/>
      <c r="AP881" s="88"/>
    </row>
    <row r="882" spans="1:42" x14ac:dyDescent="0.25">
      <c r="A882" s="2"/>
      <c r="C882" s="68" t="str" cm="1">
        <f t="array" ref="C882">IF(AF882&lt;&gt;"",
IFERROR(INDEX('LaunchPad Markbook'!A:A,MATCH(AH882,'LaunchPad Markbook'!D:D,0),0),"-"),"")</f>
        <v/>
      </c>
      <c r="D882" s="27"/>
      <c r="E882" s="27"/>
      <c r="F882" s="27"/>
      <c r="G882" s="14">
        <f>IF(OR(H882&gt;AB$2,I882&gt;AC$2,J882&gt;AD$2,
P882&gt;1,V882&gt;1,
L882&gt;'Group List A'!E$2,M882&gt;'Group List A'!F$2,N882&gt;'Group List A'!G$2,
R882&gt;'Group List B'!E$2,S882&gt;'Group List B'!F$2,T882&gt;'Group List B'!G$2),"Exceed",
IF(OR(H882=AB$2,I882=AC$2,J882=AD$2,
P882=1,V882=1,
L882='Group List A'!E$2,M882='Group List A'!F$2,N882='Group List A'!G$2,
R882='Group List B'!E$2,S882='Group List B'!F$2,T882='Group List B'!G$2),"Limit",0))</f>
        <v>0</v>
      </c>
      <c r="H882" s="29">
        <f t="shared" si="197"/>
        <v>0</v>
      </c>
      <c r="I882" s="29">
        <f t="shared" si="198"/>
        <v>0</v>
      </c>
      <c r="J882" s="29">
        <f t="shared" si="199"/>
        <v>0</v>
      </c>
      <c r="K882" s="32" t="str" cm="1">
        <f t="array" ref="K882">IF(AF882&lt;&gt;"",IFERROR(INDEX('Group List A'!B:B,MATCH(AI882,'Group List A'!A:A,0),0),"-"),"")</f>
        <v/>
      </c>
      <c r="L882" s="33">
        <f t="shared" si="200"/>
        <v>0</v>
      </c>
      <c r="M882" s="33">
        <f t="shared" si="201"/>
        <v>0</v>
      </c>
      <c r="N882" s="33">
        <f t="shared" si="202"/>
        <v>0</v>
      </c>
      <c r="O882" s="28"/>
      <c r="P882" s="33">
        <f t="shared" si="203"/>
        <v>0</v>
      </c>
      <c r="Q882" s="35" t="str" cm="1">
        <f t="array" ref="Q882">IF(AF882&lt;&gt;"",IFERROR(INDEX('Group List B'!B:B,MATCH(AI882,'Group List B'!A:A,0),0),"-"),"")</f>
        <v/>
      </c>
      <c r="R882" s="36">
        <f t="shared" si="204"/>
        <v>0</v>
      </c>
      <c r="S882" s="36">
        <f t="shared" si="205"/>
        <v>0</v>
      </c>
      <c r="T882" s="36">
        <f t="shared" si="206"/>
        <v>0</v>
      </c>
      <c r="U882" s="28"/>
      <c r="V882" s="37">
        <f t="shared" si="207"/>
        <v>0</v>
      </c>
      <c r="W882" s="41"/>
      <c r="X882" s="27"/>
      <c r="Y882" s="27"/>
      <c r="Z882" s="27"/>
      <c r="AA882" s="15"/>
      <c r="AB882" s="17"/>
      <c r="AC882" s="17"/>
      <c r="AD882" s="17"/>
      <c r="AE882" s="90"/>
      <c r="AF882" s="82" t="str">
        <f t="shared" si="208"/>
        <v/>
      </c>
      <c r="AG882" s="83" t="str">
        <f t="shared" si="209"/>
        <v/>
      </c>
      <c r="AH882" s="82" t="str">
        <f t="shared" si="210"/>
        <v/>
      </c>
      <c r="AI882" s="82" t="str">
        <f t="shared" si="211"/>
        <v/>
      </c>
      <c r="AJ882" s="90"/>
      <c r="AP882" s="88"/>
    </row>
    <row r="883" spans="1:42" x14ac:dyDescent="0.25">
      <c r="A883" s="2"/>
      <c r="C883" s="68" t="str" cm="1">
        <f t="array" ref="C883">IF(AF883&lt;&gt;"",
IFERROR(INDEX('LaunchPad Markbook'!A:A,MATCH(AH883,'LaunchPad Markbook'!D:D,0),0),"-"),"")</f>
        <v/>
      </c>
      <c r="D883" s="27"/>
      <c r="E883" s="27"/>
      <c r="F883" s="27"/>
      <c r="G883" s="14">
        <f>IF(OR(H883&gt;AB$2,I883&gt;AC$2,J883&gt;AD$2,
P883&gt;1,V883&gt;1,
L883&gt;'Group List A'!E$2,M883&gt;'Group List A'!F$2,N883&gt;'Group List A'!G$2,
R883&gt;'Group List B'!E$2,S883&gt;'Group List B'!F$2,T883&gt;'Group List B'!G$2),"Exceed",
IF(OR(H883=AB$2,I883=AC$2,J883=AD$2,
P883=1,V883=1,
L883='Group List A'!E$2,M883='Group List A'!F$2,N883='Group List A'!G$2,
R883='Group List B'!E$2,S883='Group List B'!F$2,T883='Group List B'!G$2),"Limit",0))</f>
        <v>0</v>
      </c>
      <c r="H883" s="29">
        <f t="shared" si="197"/>
        <v>0</v>
      </c>
      <c r="I883" s="29">
        <f t="shared" si="198"/>
        <v>0</v>
      </c>
      <c r="J883" s="29">
        <f t="shared" si="199"/>
        <v>0</v>
      </c>
      <c r="K883" s="32" t="str" cm="1">
        <f t="array" ref="K883">IF(AF883&lt;&gt;"",IFERROR(INDEX('Group List A'!B:B,MATCH(AI883,'Group List A'!A:A,0),0),"-"),"")</f>
        <v/>
      </c>
      <c r="L883" s="33">
        <f t="shared" si="200"/>
        <v>0</v>
      </c>
      <c r="M883" s="33">
        <f t="shared" si="201"/>
        <v>0</v>
      </c>
      <c r="N883" s="33">
        <f t="shared" si="202"/>
        <v>0</v>
      </c>
      <c r="O883" s="28"/>
      <c r="P883" s="33">
        <f t="shared" si="203"/>
        <v>0</v>
      </c>
      <c r="Q883" s="35" t="str" cm="1">
        <f t="array" ref="Q883">IF(AF883&lt;&gt;"",IFERROR(INDEX('Group List B'!B:B,MATCH(AI883,'Group List B'!A:A,0),0),"-"),"")</f>
        <v/>
      </c>
      <c r="R883" s="36">
        <f t="shared" si="204"/>
        <v>0</v>
      </c>
      <c r="S883" s="36">
        <f t="shared" si="205"/>
        <v>0</v>
      </c>
      <c r="T883" s="36">
        <f t="shared" si="206"/>
        <v>0</v>
      </c>
      <c r="U883" s="28"/>
      <c r="V883" s="37">
        <f t="shared" si="207"/>
        <v>0</v>
      </c>
      <c r="W883" s="41"/>
      <c r="X883" s="27"/>
      <c r="Y883" s="27"/>
      <c r="Z883" s="27"/>
      <c r="AA883" s="15"/>
      <c r="AB883" s="17"/>
      <c r="AC883" s="17"/>
      <c r="AD883" s="17"/>
      <c r="AE883" s="90"/>
      <c r="AF883" s="82" t="str">
        <f t="shared" si="208"/>
        <v/>
      </c>
      <c r="AG883" s="83" t="str">
        <f t="shared" si="209"/>
        <v/>
      </c>
      <c r="AH883" s="82" t="str">
        <f t="shared" si="210"/>
        <v/>
      </c>
      <c r="AI883" s="82" t="str">
        <f t="shared" si="211"/>
        <v/>
      </c>
      <c r="AJ883" s="90"/>
      <c r="AP883" s="88"/>
    </row>
    <row r="884" spans="1:42" x14ac:dyDescent="0.25">
      <c r="A884" s="2"/>
      <c r="C884" s="68" t="str" cm="1">
        <f t="array" ref="C884">IF(AF884&lt;&gt;"",
IFERROR(INDEX('LaunchPad Markbook'!A:A,MATCH(AH884,'LaunchPad Markbook'!D:D,0),0),"-"),"")</f>
        <v/>
      </c>
      <c r="D884" s="27"/>
      <c r="E884" s="27"/>
      <c r="F884" s="27"/>
      <c r="G884" s="14">
        <f>IF(OR(H884&gt;AB$2,I884&gt;AC$2,J884&gt;AD$2,
P884&gt;1,V884&gt;1,
L884&gt;'Group List A'!E$2,M884&gt;'Group List A'!F$2,N884&gt;'Group List A'!G$2,
R884&gt;'Group List B'!E$2,S884&gt;'Group List B'!F$2,T884&gt;'Group List B'!G$2),"Exceed",
IF(OR(H884=AB$2,I884=AC$2,J884=AD$2,
P884=1,V884=1,
L884='Group List A'!E$2,M884='Group List A'!F$2,N884='Group List A'!G$2,
R884='Group List B'!E$2,S884='Group List B'!F$2,T884='Group List B'!G$2),"Limit",0))</f>
        <v>0</v>
      </c>
      <c r="H884" s="29">
        <f t="shared" si="197"/>
        <v>0</v>
      </c>
      <c r="I884" s="29">
        <f t="shared" si="198"/>
        <v>0</v>
      </c>
      <c r="J884" s="29">
        <f t="shared" si="199"/>
        <v>0</v>
      </c>
      <c r="K884" s="32" t="str" cm="1">
        <f t="array" ref="K884">IF(AF884&lt;&gt;"",IFERROR(INDEX('Group List A'!B:B,MATCH(AI884,'Group List A'!A:A,0),0),"-"),"")</f>
        <v/>
      </c>
      <c r="L884" s="33">
        <f t="shared" si="200"/>
        <v>0</v>
      </c>
      <c r="M884" s="33">
        <f t="shared" si="201"/>
        <v>0</v>
      </c>
      <c r="N884" s="33">
        <f t="shared" si="202"/>
        <v>0</v>
      </c>
      <c r="O884" s="28"/>
      <c r="P884" s="33">
        <f t="shared" si="203"/>
        <v>0</v>
      </c>
      <c r="Q884" s="35" t="str" cm="1">
        <f t="array" ref="Q884">IF(AF884&lt;&gt;"",IFERROR(INDEX('Group List B'!B:B,MATCH(AI884,'Group List B'!A:A,0),0),"-"),"")</f>
        <v/>
      </c>
      <c r="R884" s="36">
        <f t="shared" si="204"/>
        <v>0</v>
      </c>
      <c r="S884" s="36">
        <f t="shared" si="205"/>
        <v>0</v>
      </c>
      <c r="T884" s="36">
        <f t="shared" si="206"/>
        <v>0</v>
      </c>
      <c r="U884" s="28"/>
      <c r="V884" s="37">
        <f t="shared" si="207"/>
        <v>0</v>
      </c>
      <c r="W884" s="41"/>
      <c r="X884" s="27"/>
      <c r="Y884" s="27"/>
      <c r="Z884" s="27"/>
      <c r="AA884" s="15"/>
      <c r="AB884" s="17"/>
      <c r="AC884" s="17"/>
      <c r="AD884" s="17"/>
      <c r="AE884" s="90"/>
      <c r="AF884" s="82" t="str">
        <f t="shared" si="208"/>
        <v/>
      </c>
      <c r="AG884" s="83" t="str">
        <f t="shared" si="209"/>
        <v/>
      </c>
      <c r="AH884" s="82" t="str">
        <f t="shared" si="210"/>
        <v/>
      </c>
      <c r="AI884" s="82" t="str">
        <f t="shared" si="211"/>
        <v/>
      </c>
      <c r="AJ884" s="90"/>
      <c r="AP884" s="88"/>
    </row>
    <row r="885" spans="1:42" x14ac:dyDescent="0.25">
      <c r="A885" s="2"/>
      <c r="C885" s="68" t="str" cm="1">
        <f t="array" ref="C885">IF(AF885&lt;&gt;"",
IFERROR(INDEX('LaunchPad Markbook'!A:A,MATCH(AH885,'LaunchPad Markbook'!D:D,0),0),"-"),"")</f>
        <v/>
      </c>
      <c r="D885" s="27"/>
      <c r="E885" s="27"/>
      <c r="F885" s="27"/>
      <c r="G885" s="14">
        <f>IF(OR(H885&gt;AB$2,I885&gt;AC$2,J885&gt;AD$2,
P885&gt;1,V885&gt;1,
L885&gt;'Group List A'!E$2,M885&gt;'Group List A'!F$2,N885&gt;'Group List A'!G$2,
R885&gt;'Group List B'!E$2,S885&gt;'Group List B'!F$2,T885&gt;'Group List B'!G$2),"Exceed",
IF(OR(H885=AB$2,I885=AC$2,J885=AD$2,
P885=1,V885=1,
L885='Group List A'!E$2,M885='Group List A'!F$2,N885='Group List A'!G$2,
R885='Group List B'!E$2,S885='Group List B'!F$2,T885='Group List B'!G$2),"Limit",0))</f>
        <v>0</v>
      </c>
      <c r="H885" s="29">
        <f t="shared" si="197"/>
        <v>0</v>
      </c>
      <c r="I885" s="29">
        <f t="shared" si="198"/>
        <v>0</v>
      </c>
      <c r="J885" s="29">
        <f t="shared" si="199"/>
        <v>0</v>
      </c>
      <c r="K885" s="32" t="str" cm="1">
        <f t="array" ref="K885">IF(AF885&lt;&gt;"",IFERROR(INDEX('Group List A'!B:B,MATCH(AI885,'Group List A'!A:A,0),0),"-"),"")</f>
        <v/>
      </c>
      <c r="L885" s="33">
        <f t="shared" si="200"/>
        <v>0</v>
      </c>
      <c r="M885" s="33">
        <f t="shared" si="201"/>
        <v>0</v>
      </c>
      <c r="N885" s="33">
        <f t="shared" si="202"/>
        <v>0</v>
      </c>
      <c r="O885" s="28"/>
      <c r="P885" s="33">
        <f t="shared" si="203"/>
        <v>0</v>
      </c>
      <c r="Q885" s="35" t="str" cm="1">
        <f t="array" ref="Q885">IF(AF885&lt;&gt;"",IFERROR(INDEX('Group List B'!B:B,MATCH(AI885,'Group List B'!A:A,0),0),"-"),"")</f>
        <v/>
      </c>
      <c r="R885" s="36">
        <f t="shared" si="204"/>
        <v>0</v>
      </c>
      <c r="S885" s="36">
        <f t="shared" si="205"/>
        <v>0</v>
      </c>
      <c r="T885" s="36">
        <f t="shared" si="206"/>
        <v>0</v>
      </c>
      <c r="U885" s="28"/>
      <c r="V885" s="37">
        <f t="shared" si="207"/>
        <v>0</v>
      </c>
      <c r="W885" s="41"/>
      <c r="X885" s="27"/>
      <c r="Y885" s="27"/>
      <c r="Z885" s="27"/>
      <c r="AA885" s="15"/>
      <c r="AB885" s="17"/>
      <c r="AC885" s="17"/>
      <c r="AD885" s="17"/>
      <c r="AE885" s="90"/>
      <c r="AF885" s="82" t="str">
        <f t="shared" si="208"/>
        <v/>
      </c>
      <c r="AG885" s="83" t="str">
        <f t="shared" si="209"/>
        <v/>
      </c>
      <c r="AH885" s="82" t="str">
        <f t="shared" si="210"/>
        <v/>
      </c>
      <c r="AI885" s="82" t="str">
        <f t="shared" si="211"/>
        <v/>
      </c>
      <c r="AJ885" s="90"/>
      <c r="AP885" s="88"/>
    </row>
    <row r="886" spans="1:42" x14ac:dyDescent="0.25">
      <c r="A886" s="2"/>
      <c r="C886" s="68" t="str" cm="1">
        <f t="array" ref="C886">IF(AF886&lt;&gt;"",
IFERROR(INDEX('LaunchPad Markbook'!A:A,MATCH(AH886,'LaunchPad Markbook'!D:D,0),0),"-"),"")</f>
        <v/>
      </c>
      <c r="D886" s="27"/>
      <c r="E886" s="27"/>
      <c r="F886" s="27"/>
      <c r="G886" s="14">
        <f>IF(OR(H886&gt;AB$2,I886&gt;AC$2,J886&gt;AD$2,
P886&gt;1,V886&gt;1,
L886&gt;'Group List A'!E$2,M886&gt;'Group List A'!F$2,N886&gt;'Group List A'!G$2,
R886&gt;'Group List B'!E$2,S886&gt;'Group List B'!F$2,T886&gt;'Group List B'!G$2),"Exceed",
IF(OR(H886=AB$2,I886=AC$2,J886=AD$2,
P886=1,V886=1,
L886='Group List A'!E$2,M886='Group List A'!F$2,N886='Group List A'!G$2,
R886='Group List B'!E$2,S886='Group List B'!F$2,T886='Group List B'!G$2),"Limit",0))</f>
        <v>0</v>
      </c>
      <c r="H886" s="29">
        <f t="shared" si="197"/>
        <v>0</v>
      </c>
      <c r="I886" s="29">
        <f t="shared" si="198"/>
        <v>0</v>
      </c>
      <c r="J886" s="29">
        <f t="shared" si="199"/>
        <v>0</v>
      </c>
      <c r="K886" s="32" t="str" cm="1">
        <f t="array" ref="K886">IF(AF886&lt;&gt;"",IFERROR(INDEX('Group List A'!B:B,MATCH(AI886,'Group List A'!A:A,0),0),"-"),"")</f>
        <v/>
      </c>
      <c r="L886" s="33">
        <f t="shared" si="200"/>
        <v>0</v>
      </c>
      <c r="M886" s="33">
        <f t="shared" si="201"/>
        <v>0</v>
      </c>
      <c r="N886" s="33">
        <f t="shared" si="202"/>
        <v>0</v>
      </c>
      <c r="O886" s="28"/>
      <c r="P886" s="33">
        <f t="shared" si="203"/>
        <v>0</v>
      </c>
      <c r="Q886" s="35" t="str" cm="1">
        <f t="array" ref="Q886">IF(AF886&lt;&gt;"",IFERROR(INDEX('Group List B'!B:B,MATCH(AI886,'Group List B'!A:A,0),0),"-"),"")</f>
        <v/>
      </c>
      <c r="R886" s="36">
        <f t="shared" si="204"/>
        <v>0</v>
      </c>
      <c r="S886" s="36">
        <f t="shared" si="205"/>
        <v>0</v>
      </c>
      <c r="T886" s="36">
        <f t="shared" si="206"/>
        <v>0</v>
      </c>
      <c r="U886" s="28"/>
      <c r="V886" s="37">
        <f t="shared" si="207"/>
        <v>0</v>
      </c>
      <c r="W886" s="41"/>
      <c r="X886" s="27"/>
      <c r="Y886" s="27"/>
      <c r="Z886" s="27"/>
      <c r="AA886" s="15"/>
      <c r="AB886" s="17"/>
      <c r="AC886" s="17"/>
      <c r="AD886" s="17"/>
      <c r="AE886" s="90"/>
      <c r="AF886" s="82" t="str">
        <f t="shared" si="208"/>
        <v/>
      </c>
      <c r="AG886" s="83" t="str">
        <f t="shared" si="209"/>
        <v/>
      </c>
      <c r="AH886" s="82" t="str">
        <f t="shared" si="210"/>
        <v/>
      </c>
      <c r="AI886" s="82" t="str">
        <f t="shared" si="211"/>
        <v/>
      </c>
      <c r="AJ886" s="90"/>
      <c r="AP886" s="88"/>
    </row>
    <row r="887" spans="1:42" x14ac:dyDescent="0.25">
      <c r="A887" s="2"/>
      <c r="C887" s="68" t="str" cm="1">
        <f t="array" ref="C887">IF(AF887&lt;&gt;"",
IFERROR(INDEX('LaunchPad Markbook'!A:A,MATCH(AH887,'LaunchPad Markbook'!D:D,0),0),"-"),"")</f>
        <v/>
      </c>
      <c r="D887" s="27"/>
      <c r="E887" s="27"/>
      <c r="F887" s="27"/>
      <c r="G887" s="14">
        <f>IF(OR(H887&gt;AB$2,I887&gt;AC$2,J887&gt;AD$2,
P887&gt;1,V887&gt;1,
L887&gt;'Group List A'!E$2,M887&gt;'Group List A'!F$2,N887&gt;'Group List A'!G$2,
R887&gt;'Group List B'!E$2,S887&gt;'Group List B'!F$2,T887&gt;'Group List B'!G$2),"Exceed",
IF(OR(H887=AB$2,I887=AC$2,J887=AD$2,
P887=1,V887=1,
L887='Group List A'!E$2,M887='Group List A'!F$2,N887='Group List A'!G$2,
R887='Group List B'!E$2,S887='Group List B'!F$2,T887='Group List B'!G$2),"Limit",0))</f>
        <v>0</v>
      </c>
      <c r="H887" s="29">
        <f t="shared" si="197"/>
        <v>0</v>
      </c>
      <c r="I887" s="29">
        <f t="shared" si="198"/>
        <v>0</v>
      </c>
      <c r="J887" s="29">
        <f t="shared" si="199"/>
        <v>0</v>
      </c>
      <c r="K887" s="32" t="str" cm="1">
        <f t="array" ref="K887">IF(AF887&lt;&gt;"",IFERROR(INDEX('Group List A'!B:B,MATCH(AI887,'Group List A'!A:A,0),0),"-"),"")</f>
        <v/>
      </c>
      <c r="L887" s="33">
        <f t="shared" si="200"/>
        <v>0</v>
      </c>
      <c r="M887" s="33">
        <f t="shared" si="201"/>
        <v>0</v>
      </c>
      <c r="N887" s="33">
        <f t="shared" si="202"/>
        <v>0</v>
      </c>
      <c r="O887" s="28"/>
      <c r="P887" s="33">
        <f t="shared" si="203"/>
        <v>0</v>
      </c>
      <c r="Q887" s="35" t="str" cm="1">
        <f t="array" ref="Q887">IF(AF887&lt;&gt;"",IFERROR(INDEX('Group List B'!B:B,MATCH(AI887,'Group List B'!A:A,0),0),"-"),"")</f>
        <v/>
      </c>
      <c r="R887" s="36">
        <f t="shared" si="204"/>
        <v>0</v>
      </c>
      <c r="S887" s="36">
        <f t="shared" si="205"/>
        <v>0</v>
      </c>
      <c r="T887" s="36">
        <f t="shared" si="206"/>
        <v>0</v>
      </c>
      <c r="U887" s="28"/>
      <c r="V887" s="37">
        <f t="shared" si="207"/>
        <v>0</v>
      </c>
      <c r="W887" s="41"/>
      <c r="X887" s="27"/>
      <c r="Y887" s="27"/>
      <c r="Z887" s="27"/>
      <c r="AA887" s="15"/>
      <c r="AB887" s="17"/>
      <c r="AC887" s="17"/>
      <c r="AD887" s="17"/>
      <c r="AE887" s="90"/>
      <c r="AF887" s="82" t="str">
        <f t="shared" si="208"/>
        <v/>
      </c>
      <c r="AG887" s="83" t="str">
        <f t="shared" si="209"/>
        <v/>
      </c>
      <c r="AH887" s="82" t="str">
        <f t="shared" si="210"/>
        <v/>
      </c>
      <c r="AI887" s="82" t="str">
        <f t="shared" si="211"/>
        <v/>
      </c>
      <c r="AJ887" s="90"/>
      <c r="AP887" s="88"/>
    </row>
    <row r="888" spans="1:42" x14ac:dyDescent="0.25">
      <c r="A888" s="2"/>
      <c r="C888" s="68" t="str" cm="1">
        <f t="array" ref="C888">IF(AF888&lt;&gt;"",
IFERROR(INDEX('LaunchPad Markbook'!A:A,MATCH(AH888,'LaunchPad Markbook'!D:D,0),0),"-"),"")</f>
        <v/>
      </c>
      <c r="D888" s="27"/>
      <c r="E888" s="27"/>
      <c r="F888" s="27"/>
      <c r="G888" s="14">
        <f>IF(OR(H888&gt;AB$2,I888&gt;AC$2,J888&gt;AD$2,
P888&gt;1,V888&gt;1,
L888&gt;'Group List A'!E$2,M888&gt;'Group List A'!F$2,N888&gt;'Group List A'!G$2,
R888&gt;'Group List B'!E$2,S888&gt;'Group List B'!F$2,T888&gt;'Group List B'!G$2),"Exceed",
IF(OR(H888=AB$2,I888=AC$2,J888=AD$2,
P888=1,V888=1,
L888='Group List A'!E$2,M888='Group List A'!F$2,N888='Group List A'!G$2,
R888='Group List B'!E$2,S888='Group List B'!F$2,T888='Group List B'!G$2),"Limit",0))</f>
        <v>0</v>
      </c>
      <c r="H888" s="29">
        <f t="shared" si="197"/>
        <v>0</v>
      </c>
      <c r="I888" s="29">
        <f t="shared" si="198"/>
        <v>0</v>
      </c>
      <c r="J888" s="29">
        <f t="shared" si="199"/>
        <v>0</v>
      </c>
      <c r="K888" s="32" t="str" cm="1">
        <f t="array" ref="K888">IF(AF888&lt;&gt;"",IFERROR(INDEX('Group List A'!B:B,MATCH(AI888,'Group List A'!A:A,0),0),"-"),"")</f>
        <v/>
      </c>
      <c r="L888" s="33">
        <f t="shared" si="200"/>
        <v>0</v>
      </c>
      <c r="M888" s="33">
        <f t="shared" si="201"/>
        <v>0</v>
      </c>
      <c r="N888" s="33">
        <f t="shared" si="202"/>
        <v>0</v>
      </c>
      <c r="O888" s="28"/>
      <c r="P888" s="33">
        <f t="shared" si="203"/>
        <v>0</v>
      </c>
      <c r="Q888" s="35" t="str" cm="1">
        <f t="array" ref="Q888">IF(AF888&lt;&gt;"",IFERROR(INDEX('Group List B'!B:B,MATCH(AI888,'Group List B'!A:A,0),0),"-"),"")</f>
        <v/>
      </c>
      <c r="R888" s="36">
        <f t="shared" si="204"/>
        <v>0</v>
      </c>
      <c r="S888" s="36">
        <f t="shared" si="205"/>
        <v>0</v>
      </c>
      <c r="T888" s="36">
        <f t="shared" si="206"/>
        <v>0</v>
      </c>
      <c r="U888" s="28"/>
      <c r="V888" s="37">
        <f t="shared" si="207"/>
        <v>0</v>
      </c>
      <c r="W888" s="41"/>
      <c r="X888" s="27"/>
      <c r="Y888" s="27"/>
      <c r="Z888" s="27"/>
      <c r="AA888" s="15"/>
      <c r="AB888" s="17"/>
      <c r="AC888" s="17"/>
      <c r="AD888" s="17"/>
      <c r="AE888" s="90"/>
      <c r="AF888" s="82" t="str">
        <f t="shared" si="208"/>
        <v/>
      </c>
      <c r="AG888" s="83" t="str">
        <f t="shared" si="209"/>
        <v/>
      </c>
      <c r="AH888" s="82" t="str">
        <f t="shared" si="210"/>
        <v/>
      </c>
      <c r="AI888" s="82" t="str">
        <f t="shared" si="211"/>
        <v/>
      </c>
      <c r="AJ888" s="90"/>
      <c r="AP888" s="88"/>
    </row>
    <row r="889" spans="1:42" x14ac:dyDescent="0.25">
      <c r="A889" s="2"/>
      <c r="C889" s="68" t="str" cm="1">
        <f t="array" ref="C889">IF(AF889&lt;&gt;"",
IFERROR(INDEX('LaunchPad Markbook'!A:A,MATCH(AH889,'LaunchPad Markbook'!D:D,0),0),"-"),"")</f>
        <v/>
      </c>
      <c r="D889" s="27"/>
      <c r="E889" s="27"/>
      <c r="F889" s="27"/>
      <c r="G889" s="14">
        <f>IF(OR(H889&gt;AB$2,I889&gt;AC$2,J889&gt;AD$2,
P889&gt;1,V889&gt;1,
L889&gt;'Group List A'!E$2,M889&gt;'Group List A'!F$2,N889&gt;'Group List A'!G$2,
R889&gt;'Group List B'!E$2,S889&gt;'Group List B'!F$2,T889&gt;'Group List B'!G$2),"Exceed",
IF(OR(H889=AB$2,I889=AC$2,J889=AD$2,
P889=1,V889=1,
L889='Group List A'!E$2,M889='Group List A'!F$2,N889='Group List A'!G$2,
R889='Group List B'!E$2,S889='Group List B'!F$2,T889='Group List B'!G$2),"Limit",0))</f>
        <v>0</v>
      </c>
      <c r="H889" s="29">
        <f t="shared" si="197"/>
        <v>0</v>
      </c>
      <c r="I889" s="29">
        <f t="shared" si="198"/>
        <v>0</v>
      </c>
      <c r="J889" s="29">
        <f t="shared" si="199"/>
        <v>0</v>
      </c>
      <c r="K889" s="32" t="str" cm="1">
        <f t="array" ref="K889">IF(AF889&lt;&gt;"",IFERROR(INDEX('Group List A'!B:B,MATCH(AI889,'Group List A'!A:A,0),0),"-"),"")</f>
        <v/>
      </c>
      <c r="L889" s="33">
        <f t="shared" si="200"/>
        <v>0</v>
      </c>
      <c r="M889" s="33">
        <f t="shared" si="201"/>
        <v>0</v>
      </c>
      <c r="N889" s="33">
        <f t="shared" si="202"/>
        <v>0</v>
      </c>
      <c r="O889" s="28"/>
      <c r="P889" s="33">
        <f t="shared" si="203"/>
        <v>0</v>
      </c>
      <c r="Q889" s="35" t="str" cm="1">
        <f t="array" ref="Q889">IF(AF889&lt;&gt;"",IFERROR(INDEX('Group List B'!B:B,MATCH(AI889,'Group List B'!A:A,0),0),"-"),"")</f>
        <v/>
      </c>
      <c r="R889" s="36">
        <f t="shared" si="204"/>
        <v>0</v>
      </c>
      <c r="S889" s="36">
        <f t="shared" si="205"/>
        <v>0</v>
      </c>
      <c r="T889" s="36">
        <f t="shared" si="206"/>
        <v>0</v>
      </c>
      <c r="U889" s="28"/>
      <c r="V889" s="37">
        <f t="shared" si="207"/>
        <v>0</v>
      </c>
      <c r="W889" s="41"/>
      <c r="X889" s="27"/>
      <c r="Y889" s="27"/>
      <c r="Z889" s="27"/>
      <c r="AA889" s="15"/>
      <c r="AB889" s="17"/>
      <c r="AC889" s="17"/>
      <c r="AD889" s="17"/>
      <c r="AE889" s="90"/>
      <c r="AF889" s="82" t="str">
        <f t="shared" si="208"/>
        <v/>
      </c>
      <c r="AG889" s="83" t="str">
        <f t="shared" si="209"/>
        <v/>
      </c>
      <c r="AH889" s="82" t="str">
        <f t="shared" si="210"/>
        <v/>
      </c>
      <c r="AI889" s="82" t="str">
        <f t="shared" si="211"/>
        <v/>
      </c>
      <c r="AJ889" s="90"/>
      <c r="AP889" s="88"/>
    </row>
    <row r="890" spans="1:42" x14ac:dyDescent="0.25">
      <c r="A890" s="2"/>
      <c r="C890" s="68" t="str" cm="1">
        <f t="array" ref="C890">IF(AF890&lt;&gt;"",
IFERROR(INDEX('LaunchPad Markbook'!A:A,MATCH(AH890,'LaunchPad Markbook'!D:D,0),0),"-"),"")</f>
        <v/>
      </c>
      <c r="D890" s="27"/>
      <c r="E890" s="27"/>
      <c r="F890" s="27"/>
      <c r="G890" s="14">
        <f>IF(OR(H890&gt;AB$2,I890&gt;AC$2,J890&gt;AD$2,
P890&gt;1,V890&gt;1,
L890&gt;'Group List A'!E$2,M890&gt;'Group List A'!F$2,N890&gt;'Group List A'!G$2,
R890&gt;'Group List B'!E$2,S890&gt;'Group List B'!F$2,T890&gt;'Group List B'!G$2),"Exceed",
IF(OR(H890=AB$2,I890=AC$2,J890=AD$2,
P890=1,V890=1,
L890='Group List A'!E$2,M890='Group List A'!F$2,N890='Group List A'!G$2,
R890='Group List B'!E$2,S890='Group List B'!F$2,T890='Group List B'!G$2),"Limit",0))</f>
        <v>0</v>
      </c>
      <c r="H890" s="29">
        <f t="shared" si="197"/>
        <v>0</v>
      </c>
      <c r="I890" s="29">
        <f t="shared" si="198"/>
        <v>0</v>
      </c>
      <c r="J890" s="29">
        <f t="shared" si="199"/>
        <v>0</v>
      </c>
      <c r="K890" s="32" t="str" cm="1">
        <f t="array" ref="K890">IF(AF890&lt;&gt;"",IFERROR(INDEX('Group List A'!B:B,MATCH(AI890,'Group List A'!A:A,0),0),"-"),"")</f>
        <v/>
      </c>
      <c r="L890" s="33">
        <f t="shared" si="200"/>
        <v>0</v>
      </c>
      <c r="M890" s="33">
        <f t="shared" si="201"/>
        <v>0</v>
      </c>
      <c r="N890" s="33">
        <f t="shared" si="202"/>
        <v>0</v>
      </c>
      <c r="O890" s="28"/>
      <c r="P890" s="33">
        <f t="shared" si="203"/>
        <v>0</v>
      </c>
      <c r="Q890" s="35" t="str" cm="1">
        <f t="array" ref="Q890">IF(AF890&lt;&gt;"",IFERROR(INDEX('Group List B'!B:B,MATCH(AI890,'Group List B'!A:A,0),0),"-"),"")</f>
        <v/>
      </c>
      <c r="R890" s="36">
        <f t="shared" si="204"/>
        <v>0</v>
      </c>
      <c r="S890" s="36">
        <f t="shared" si="205"/>
        <v>0</v>
      </c>
      <c r="T890" s="36">
        <f t="shared" si="206"/>
        <v>0</v>
      </c>
      <c r="U890" s="28"/>
      <c r="V890" s="37">
        <f t="shared" si="207"/>
        <v>0</v>
      </c>
      <c r="W890" s="41"/>
      <c r="X890" s="27"/>
      <c r="Y890" s="27"/>
      <c r="Z890" s="27"/>
      <c r="AA890" s="15"/>
      <c r="AB890" s="17"/>
      <c r="AC890" s="17"/>
      <c r="AD890" s="17"/>
      <c r="AE890" s="90"/>
      <c r="AF890" s="82" t="str">
        <f t="shared" si="208"/>
        <v/>
      </c>
      <c r="AG890" s="83" t="str">
        <f t="shared" si="209"/>
        <v/>
      </c>
      <c r="AH890" s="82" t="str">
        <f t="shared" si="210"/>
        <v/>
      </c>
      <c r="AI890" s="82" t="str">
        <f t="shared" si="211"/>
        <v/>
      </c>
      <c r="AJ890" s="90"/>
      <c r="AP890" s="88"/>
    </row>
    <row r="891" spans="1:42" x14ac:dyDescent="0.25">
      <c r="A891" s="2"/>
      <c r="C891" s="68" t="str" cm="1">
        <f t="array" ref="C891">IF(AF891&lt;&gt;"",
IFERROR(INDEX('LaunchPad Markbook'!A:A,MATCH(AH891,'LaunchPad Markbook'!D:D,0),0),"-"),"")</f>
        <v/>
      </c>
      <c r="D891" s="27"/>
      <c r="E891" s="27"/>
      <c r="F891" s="27"/>
      <c r="G891" s="14">
        <f>IF(OR(H891&gt;AB$2,I891&gt;AC$2,J891&gt;AD$2,
P891&gt;1,V891&gt;1,
L891&gt;'Group List A'!E$2,M891&gt;'Group List A'!F$2,N891&gt;'Group List A'!G$2,
R891&gt;'Group List B'!E$2,S891&gt;'Group List B'!F$2,T891&gt;'Group List B'!G$2),"Exceed",
IF(OR(H891=AB$2,I891=AC$2,J891=AD$2,
P891=1,V891=1,
L891='Group List A'!E$2,M891='Group List A'!F$2,N891='Group List A'!G$2,
R891='Group List B'!E$2,S891='Group List B'!F$2,T891='Group List B'!G$2),"Limit",0))</f>
        <v>0</v>
      </c>
      <c r="H891" s="29">
        <f t="shared" si="197"/>
        <v>0</v>
      </c>
      <c r="I891" s="29">
        <f t="shared" si="198"/>
        <v>0</v>
      </c>
      <c r="J891" s="29">
        <f t="shared" si="199"/>
        <v>0</v>
      </c>
      <c r="K891" s="32" t="str" cm="1">
        <f t="array" ref="K891">IF(AF891&lt;&gt;"",IFERROR(INDEX('Group List A'!B:B,MATCH(AI891,'Group List A'!A:A,0),0),"-"),"")</f>
        <v/>
      </c>
      <c r="L891" s="33">
        <f t="shared" si="200"/>
        <v>0</v>
      </c>
      <c r="M891" s="33">
        <f t="shared" si="201"/>
        <v>0</v>
      </c>
      <c r="N891" s="33">
        <f t="shared" si="202"/>
        <v>0</v>
      </c>
      <c r="O891" s="28"/>
      <c r="P891" s="33">
        <f t="shared" si="203"/>
        <v>0</v>
      </c>
      <c r="Q891" s="35" t="str" cm="1">
        <f t="array" ref="Q891">IF(AF891&lt;&gt;"",IFERROR(INDEX('Group List B'!B:B,MATCH(AI891,'Group List B'!A:A,0),0),"-"),"")</f>
        <v/>
      </c>
      <c r="R891" s="36">
        <f t="shared" si="204"/>
        <v>0</v>
      </c>
      <c r="S891" s="36">
        <f t="shared" si="205"/>
        <v>0</v>
      </c>
      <c r="T891" s="36">
        <f t="shared" si="206"/>
        <v>0</v>
      </c>
      <c r="U891" s="28"/>
      <c r="V891" s="37">
        <f t="shared" si="207"/>
        <v>0</v>
      </c>
      <c r="W891" s="41"/>
      <c r="X891" s="27"/>
      <c r="Y891" s="27"/>
      <c r="Z891" s="27"/>
      <c r="AA891" s="15"/>
      <c r="AB891" s="17"/>
      <c r="AC891" s="17"/>
      <c r="AD891" s="17"/>
      <c r="AE891" s="90"/>
      <c r="AF891" s="82" t="str">
        <f t="shared" si="208"/>
        <v/>
      </c>
      <c r="AG891" s="83" t="str">
        <f t="shared" si="209"/>
        <v/>
      </c>
      <c r="AH891" s="82" t="str">
        <f t="shared" si="210"/>
        <v/>
      </c>
      <c r="AI891" s="82" t="str">
        <f t="shared" si="211"/>
        <v/>
      </c>
      <c r="AJ891" s="90"/>
      <c r="AP891" s="88"/>
    </row>
    <row r="892" spans="1:42" x14ac:dyDescent="0.25">
      <c r="A892" s="2"/>
      <c r="C892" s="68" t="str" cm="1">
        <f t="array" ref="C892">IF(AF892&lt;&gt;"",
IFERROR(INDEX('LaunchPad Markbook'!A:A,MATCH(AH892,'LaunchPad Markbook'!D:D,0),0),"-"),"")</f>
        <v/>
      </c>
      <c r="D892" s="27"/>
      <c r="E892" s="27"/>
      <c r="F892" s="27"/>
      <c r="G892" s="14">
        <f>IF(OR(H892&gt;AB$2,I892&gt;AC$2,J892&gt;AD$2,
P892&gt;1,V892&gt;1,
L892&gt;'Group List A'!E$2,M892&gt;'Group List A'!F$2,N892&gt;'Group List A'!G$2,
R892&gt;'Group List B'!E$2,S892&gt;'Group List B'!F$2,T892&gt;'Group List B'!G$2),"Exceed",
IF(OR(H892=AB$2,I892=AC$2,J892=AD$2,
P892=1,V892=1,
L892='Group List A'!E$2,M892='Group List A'!F$2,N892='Group List A'!G$2,
R892='Group List B'!E$2,S892='Group List B'!F$2,T892='Group List B'!G$2),"Limit",0))</f>
        <v>0</v>
      </c>
      <c r="H892" s="29">
        <f t="shared" si="197"/>
        <v>0</v>
      </c>
      <c r="I892" s="29">
        <f t="shared" si="198"/>
        <v>0</v>
      </c>
      <c r="J892" s="29">
        <f t="shared" si="199"/>
        <v>0</v>
      </c>
      <c r="K892" s="32" t="str" cm="1">
        <f t="array" ref="K892">IF(AF892&lt;&gt;"",IFERROR(INDEX('Group List A'!B:B,MATCH(AI892,'Group List A'!A:A,0),0),"-"),"")</f>
        <v/>
      </c>
      <c r="L892" s="33">
        <f t="shared" si="200"/>
        <v>0</v>
      </c>
      <c r="M892" s="33">
        <f t="shared" si="201"/>
        <v>0</v>
      </c>
      <c r="N892" s="33">
        <f t="shared" si="202"/>
        <v>0</v>
      </c>
      <c r="O892" s="28"/>
      <c r="P892" s="33">
        <f t="shared" si="203"/>
        <v>0</v>
      </c>
      <c r="Q892" s="35" t="str" cm="1">
        <f t="array" ref="Q892">IF(AF892&lt;&gt;"",IFERROR(INDEX('Group List B'!B:B,MATCH(AI892,'Group List B'!A:A,0),0),"-"),"")</f>
        <v/>
      </c>
      <c r="R892" s="36">
        <f t="shared" si="204"/>
        <v>0</v>
      </c>
      <c r="S892" s="36">
        <f t="shared" si="205"/>
        <v>0</v>
      </c>
      <c r="T892" s="36">
        <f t="shared" si="206"/>
        <v>0</v>
      </c>
      <c r="U892" s="28"/>
      <c r="V892" s="37">
        <f t="shared" si="207"/>
        <v>0</v>
      </c>
      <c r="W892" s="41"/>
      <c r="X892" s="27"/>
      <c r="Y892" s="27"/>
      <c r="Z892" s="27"/>
      <c r="AA892" s="15"/>
      <c r="AB892" s="17"/>
      <c r="AC892" s="17"/>
      <c r="AD892" s="17"/>
      <c r="AE892" s="90"/>
      <c r="AF892" s="82" t="str">
        <f t="shared" si="208"/>
        <v/>
      </c>
      <c r="AG892" s="83" t="str">
        <f t="shared" si="209"/>
        <v/>
      </c>
      <c r="AH892" s="82" t="str">
        <f t="shared" si="210"/>
        <v/>
      </c>
      <c r="AI892" s="82" t="str">
        <f t="shared" si="211"/>
        <v/>
      </c>
      <c r="AJ892" s="90"/>
      <c r="AP892" s="88"/>
    </row>
    <row r="893" spans="1:42" x14ac:dyDescent="0.25">
      <c r="A893" s="2"/>
      <c r="C893" s="68" t="str" cm="1">
        <f t="array" ref="C893">IF(AF893&lt;&gt;"",
IFERROR(INDEX('LaunchPad Markbook'!A:A,MATCH(AH893,'LaunchPad Markbook'!D:D,0),0),"-"),"")</f>
        <v/>
      </c>
      <c r="D893" s="27"/>
      <c r="E893" s="27"/>
      <c r="F893" s="27"/>
      <c r="G893" s="14">
        <f>IF(OR(H893&gt;AB$2,I893&gt;AC$2,J893&gt;AD$2,
P893&gt;1,V893&gt;1,
L893&gt;'Group List A'!E$2,M893&gt;'Group List A'!F$2,N893&gt;'Group List A'!G$2,
R893&gt;'Group List B'!E$2,S893&gt;'Group List B'!F$2,T893&gt;'Group List B'!G$2),"Exceed",
IF(OR(H893=AB$2,I893=AC$2,J893=AD$2,
P893=1,V893=1,
L893='Group List A'!E$2,M893='Group List A'!F$2,N893='Group List A'!G$2,
R893='Group List B'!E$2,S893='Group List B'!F$2,T893='Group List B'!G$2),"Limit",0))</f>
        <v>0</v>
      </c>
      <c r="H893" s="29">
        <f t="shared" si="197"/>
        <v>0</v>
      </c>
      <c r="I893" s="29">
        <f t="shared" si="198"/>
        <v>0</v>
      </c>
      <c r="J893" s="29">
        <f t="shared" si="199"/>
        <v>0</v>
      </c>
      <c r="K893" s="32" t="str" cm="1">
        <f t="array" ref="K893">IF(AF893&lt;&gt;"",IFERROR(INDEX('Group List A'!B:B,MATCH(AI893,'Group List A'!A:A,0),0),"-"),"")</f>
        <v/>
      </c>
      <c r="L893" s="33">
        <f t="shared" si="200"/>
        <v>0</v>
      </c>
      <c r="M893" s="33">
        <f t="shared" si="201"/>
        <v>0</v>
      </c>
      <c r="N893" s="33">
        <f t="shared" si="202"/>
        <v>0</v>
      </c>
      <c r="O893" s="28"/>
      <c r="P893" s="33">
        <f t="shared" si="203"/>
        <v>0</v>
      </c>
      <c r="Q893" s="35" t="str" cm="1">
        <f t="array" ref="Q893">IF(AF893&lt;&gt;"",IFERROR(INDEX('Group List B'!B:B,MATCH(AI893,'Group List B'!A:A,0),0),"-"),"")</f>
        <v/>
      </c>
      <c r="R893" s="36">
        <f t="shared" si="204"/>
        <v>0</v>
      </c>
      <c r="S893" s="36">
        <f t="shared" si="205"/>
        <v>0</v>
      </c>
      <c r="T893" s="36">
        <f t="shared" si="206"/>
        <v>0</v>
      </c>
      <c r="U893" s="28"/>
      <c r="V893" s="37">
        <f t="shared" si="207"/>
        <v>0</v>
      </c>
      <c r="W893" s="41"/>
      <c r="X893" s="27"/>
      <c r="Y893" s="27"/>
      <c r="Z893" s="27"/>
      <c r="AA893" s="15"/>
      <c r="AB893" s="17"/>
      <c r="AC893" s="17"/>
      <c r="AD893" s="17"/>
      <c r="AE893" s="90"/>
      <c r="AF893" s="82" t="str">
        <f t="shared" si="208"/>
        <v/>
      </c>
      <c r="AG893" s="83" t="str">
        <f t="shared" si="209"/>
        <v/>
      </c>
      <c r="AH893" s="82" t="str">
        <f t="shared" si="210"/>
        <v/>
      </c>
      <c r="AI893" s="82" t="str">
        <f t="shared" si="211"/>
        <v/>
      </c>
      <c r="AJ893" s="90"/>
      <c r="AP893" s="88"/>
    </row>
    <row r="894" spans="1:42" x14ac:dyDescent="0.25">
      <c r="A894" s="2"/>
      <c r="C894" s="68" t="str" cm="1">
        <f t="array" ref="C894">IF(AF894&lt;&gt;"",
IFERROR(INDEX('LaunchPad Markbook'!A:A,MATCH(AH894,'LaunchPad Markbook'!D:D,0),0),"-"),"")</f>
        <v/>
      </c>
      <c r="D894" s="27"/>
      <c r="E894" s="27"/>
      <c r="F894" s="27"/>
      <c r="G894" s="14">
        <f>IF(OR(H894&gt;AB$2,I894&gt;AC$2,J894&gt;AD$2,
P894&gt;1,V894&gt;1,
L894&gt;'Group List A'!E$2,M894&gt;'Group List A'!F$2,N894&gt;'Group List A'!G$2,
R894&gt;'Group List B'!E$2,S894&gt;'Group List B'!F$2,T894&gt;'Group List B'!G$2),"Exceed",
IF(OR(H894=AB$2,I894=AC$2,J894=AD$2,
P894=1,V894=1,
L894='Group List A'!E$2,M894='Group List A'!F$2,N894='Group List A'!G$2,
R894='Group List B'!E$2,S894='Group List B'!F$2,T894='Group List B'!G$2),"Limit",0))</f>
        <v>0</v>
      </c>
      <c r="H894" s="29">
        <f t="shared" si="197"/>
        <v>0</v>
      </c>
      <c r="I894" s="29">
        <f t="shared" si="198"/>
        <v>0</v>
      </c>
      <c r="J894" s="29">
        <f t="shared" si="199"/>
        <v>0</v>
      </c>
      <c r="K894" s="32" t="str" cm="1">
        <f t="array" ref="K894">IF(AF894&lt;&gt;"",IFERROR(INDEX('Group List A'!B:B,MATCH(AI894,'Group List A'!A:A,0),0),"-"),"")</f>
        <v/>
      </c>
      <c r="L894" s="33">
        <f t="shared" si="200"/>
        <v>0</v>
      </c>
      <c r="M894" s="33">
        <f t="shared" si="201"/>
        <v>0</v>
      </c>
      <c r="N894" s="33">
        <f t="shared" si="202"/>
        <v>0</v>
      </c>
      <c r="O894" s="28"/>
      <c r="P894" s="33">
        <f t="shared" si="203"/>
        <v>0</v>
      </c>
      <c r="Q894" s="35" t="str" cm="1">
        <f t="array" ref="Q894">IF(AF894&lt;&gt;"",IFERROR(INDEX('Group List B'!B:B,MATCH(AI894,'Group List B'!A:A,0),0),"-"),"")</f>
        <v/>
      </c>
      <c r="R894" s="36">
        <f t="shared" si="204"/>
        <v>0</v>
      </c>
      <c r="S894" s="36">
        <f t="shared" si="205"/>
        <v>0</v>
      </c>
      <c r="T894" s="36">
        <f t="shared" si="206"/>
        <v>0</v>
      </c>
      <c r="U894" s="28"/>
      <c r="V894" s="37">
        <f t="shared" si="207"/>
        <v>0</v>
      </c>
      <c r="W894" s="41"/>
      <c r="X894" s="27"/>
      <c r="Y894" s="27"/>
      <c r="Z894" s="27"/>
      <c r="AA894" s="15"/>
      <c r="AB894" s="17"/>
      <c r="AC894" s="17"/>
      <c r="AD894" s="17"/>
      <c r="AE894" s="90"/>
      <c r="AF894" s="82" t="str">
        <f t="shared" si="208"/>
        <v/>
      </c>
      <c r="AG894" s="83" t="str">
        <f t="shared" si="209"/>
        <v/>
      </c>
      <c r="AH894" s="82" t="str">
        <f t="shared" si="210"/>
        <v/>
      </c>
      <c r="AI894" s="82" t="str">
        <f t="shared" si="211"/>
        <v/>
      </c>
      <c r="AJ894" s="90"/>
      <c r="AP894" s="88"/>
    </row>
    <row r="895" spans="1:42" x14ac:dyDescent="0.25">
      <c r="A895" s="2"/>
      <c r="C895" s="68" t="str" cm="1">
        <f t="array" ref="C895">IF(AF895&lt;&gt;"",
IFERROR(INDEX('LaunchPad Markbook'!A:A,MATCH(AH895,'LaunchPad Markbook'!D:D,0),0),"-"),"")</f>
        <v/>
      </c>
      <c r="D895" s="27"/>
      <c r="E895" s="27"/>
      <c r="F895" s="27"/>
      <c r="G895" s="14">
        <f>IF(OR(H895&gt;AB$2,I895&gt;AC$2,J895&gt;AD$2,
P895&gt;1,V895&gt;1,
L895&gt;'Group List A'!E$2,M895&gt;'Group List A'!F$2,N895&gt;'Group List A'!G$2,
R895&gt;'Group List B'!E$2,S895&gt;'Group List B'!F$2,T895&gt;'Group List B'!G$2),"Exceed",
IF(OR(H895=AB$2,I895=AC$2,J895=AD$2,
P895=1,V895=1,
L895='Group List A'!E$2,M895='Group List A'!F$2,N895='Group List A'!G$2,
R895='Group List B'!E$2,S895='Group List B'!F$2,T895='Group List B'!G$2),"Limit",0))</f>
        <v>0</v>
      </c>
      <c r="H895" s="29">
        <f t="shared" si="197"/>
        <v>0</v>
      </c>
      <c r="I895" s="29">
        <f t="shared" si="198"/>
        <v>0</v>
      </c>
      <c r="J895" s="29">
        <f t="shared" si="199"/>
        <v>0</v>
      </c>
      <c r="K895" s="32" t="str" cm="1">
        <f t="array" ref="K895">IF(AF895&lt;&gt;"",IFERROR(INDEX('Group List A'!B:B,MATCH(AI895,'Group List A'!A:A,0),0),"-"),"")</f>
        <v/>
      </c>
      <c r="L895" s="33">
        <f t="shared" si="200"/>
        <v>0</v>
      </c>
      <c r="M895" s="33">
        <f t="shared" si="201"/>
        <v>0</v>
      </c>
      <c r="N895" s="33">
        <f t="shared" si="202"/>
        <v>0</v>
      </c>
      <c r="O895" s="28"/>
      <c r="P895" s="33">
        <f t="shared" si="203"/>
        <v>0</v>
      </c>
      <c r="Q895" s="35" t="str" cm="1">
        <f t="array" ref="Q895">IF(AF895&lt;&gt;"",IFERROR(INDEX('Group List B'!B:B,MATCH(AI895,'Group List B'!A:A,0),0),"-"),"")</f>
        <v/>
      </c>
      <c r="R895" s="36">
        <f t="shared" si="204"/>
        <v>0</v>
      </c>
      <c r="S895" s="36">
        <f t="shared" si="205"/>
        <v>0</v>
      </c>
      <c r="T895" s="36">
        <f t="shared" si="206"/>
        <v>0</v>
      </c>
      <c r="U895" s="28"/>
      <c r="V895" s="37">
        <f t="shared" si="207"/>
        <v>0</v>
      </c>
      <c r="W895" s="41"/>
      <c r="X895" s="27"/>
      <c r="Y895" s="27"/>
      <c r="Z895" s="27"/>
      <c r="AA895" s="15"/>
      <c r="AB895" s="17"/>
      <c r="AC895" s="17"/>
      <c r="AD895" s="17"/>
      <c r="AE895" s="90"/>
      <c r="AF895" s="82" t="str">
        <f t="shared" si="208"/>
        <v/>
      </c>
      <c r="AG895" s="83" t="str">
        <f t="shared" si="209"/>
        <v/>
      </c>
      <c r="AH895" s="82" t="str">
        <f t="shared" si="210"/>
        <v/>
      </c>
      <c r="AI895" s="82" t="str">
        <f t="shared" si="211"/>
        <v/>
      </c>
      <c r="AJ895" s="90"/>
      <c r="AP895" s="88"/>
    </row>
    <row r="896" spans="1:42" x14ac:dyDescent="0.25">
      <c r="A896" s="2"/>
      <c r="C896" s="68" t="str" cm="1">
        <f t="array" ref="C896">IF(AF896&lt;&gt;"",
IFERROR(INDEX('LaunchPad Markbook'!A:A,MATCH(AH896,'LaunchPad Markbook'!D:D,0),0),"-"),"")</f>
        <v/>
      </c>
      <c r="D896" s="27"/>
      <c r="E896" s="27"/>
      <c r="F896" s="27"/>
      <c r="G896" s="14">
        <f>IF(OR(H896&gt;AB$2,I896&gt;AC$2,J896&gt;AD$2,
P896&gt;1,V896&gt;1,
L896&gt;'Group List A'!E$2,M896&gt;'Group List A'!F$2,N896&gt;'Group List A'!G$2,
R896&gt;'Group List B'!E$2,S896&gt;'Group List B'!F$2,T896&gt;'Group List B'!G$2),"Exceed",
IF(OR(H896=AB$2,I896=AC$2,J896=AD$2,
P896=1,V896=1,
L896='Group List A'!E$2,M896='Group List A'!F$2,N896='Group List A'!G$2,
R896='Group List B'!E$2,S896='Group List B'!F$2,T896='Group List B'!G$2),"Limit",0))</f>
        <v>0</v>
      </c>
      <c r="H896" s="29">
        <f t="shared" si="197"/>
        <v>0</v>
      </c>
      <c r="I896" s="29">
        <f t="shared" si="198"/>
        <v>0</v>
      </c>
      <c r="J896" s="29">
        <f t="shared" si="199"/>
        <v>0</v>
      </c>
      <c r="K896" s="32" t="str" cm="1">
        <f t="array" ref="K896">IF(AF896&lt;&gt;"",IFERROR(INDEX('Group List A'!B:B,MATCH(AI896,'Group List A'!A:A,0),0),"-"),"")</f>
        <v/>
      </c>
      <c r="L896" s="33">
        <f t="shared" si="200"/>
        <v>0</v>
      </c>
      <c r="M896" s="33">
        <f t="shared" si="201"/>
        <v>0</v>
      </c>
      <c r="N896" s="33">
        <f t="shared" si="202"/>
        <v>0</v>
      </c>
      <c r="O896" s="28"/>
      <c r="P896" s="33">
        <f t="shared" si="203"/>
        <v>0</v>
      </c>
      <c r="Q896" s="35" t="str" cm="1">
        <f t="array" ref="Q896">IF(AF896&lt;&gt;"",IFERROR(INDEX('Group List B'!B:B,MATCH(AI896,'Group List B'!A:A,0),0),"-"),"")</f>
        <v/>
      </c>
      <c r="R896" s="36">
        <f t="shared" si="204"/>
        <v>0</v>
      </c>
      <c r="S896" s="36">
        <f t="shared" si="205"/>
        <v>0</v>
      </c>
      <c r="T896" s="36">
        <f t="shared" si="206"/>
        <v>0</v>
      </c>
      <c r="U896" s="28"/>
      <c r="V896" s="37">
        <f t="shared" si="207"/>
        <v>0</v>
      </c>
      <c r="W896" s="41"/>
      <c r="X896" s="27"/>
      <c r="Y896" s="27"/>
      <c r="Z896" s="27"/>
      <c r="AA896" s="15"/>
      <c r="AB896" s="17"/>
      <c r="AC896" s="17"/>
      <c r="AD896" s="17"/>
      <c r="AE896" s="90"/>
      <c r="AF896" s="82" t="str">
        <f t="shared" si="208"/>
        <v/>
      </c>
      <c r="AG896" s="83" t="str">
        <f t="shared" si="209"/>
        <v/>
      </c>
      <c r="AH896" s="82" t="str">
        <f t="shared" si="210"/>
        <v/>
      </c>
      <c r="AI896" s="82" t="str">
        <f t="shared" si="211"/>
        <v/>
      </c>
      <c r="AJ896" s="90"/>
      <c r="AP896" s="88"/>
    </row>
    <row r="897" spans="1:42" x14ac:dyDescent="0.25">
      <c r="A897" s="2"/>
      <c r="C897" s="68" t="str" cm="1">
        <f t="array" ref="C897">IF(AF897&lt;&gt;"",
IFERROR(INDEX('LaunchPad Markbook'!A:A,MATCH(AH897,'LaunchPad Markbook'!D:D,0),0),"-"),"")</f>
        <v/>
      </c>
      <c r="D897" s="27"/>
      <c r="E897" s="27"/>
      <c r="F897" s="27"/>
      <c r="G897" s="14">
        <f>IF(OR(H897&gt;AB$2,I897&gt;AC$2,J897&gt;AD$2,
P897&gt;1,V897&gt;1,
L897&gt;'Group List A'!E$2,M897&gt;'Group List A'!F$2,N897&gt;'Group List A'!G$2,
R897&gt;'Group List B'!E$2,S897&gt;'Group List B'!F$2,T897&gt;'Group List B'!G$2),"Exceed",
IF(OR(H897=AB$2,I897=AC$2,J897=AD$2,
P897=1,V897=1,
L897='Group List A'!E$2,M897='Group List A'!F$2,N897='Group List A'!G$2,
R897='Group List B'!E$2,S897='Group List B'!F$2,T897='Group List B'!G$2),"Limit",0))</f>
        <v>0</v>
      </c>
      <c r="H897" s="29">
        <f t="shared" si="197"/>
        <v>0</v>
      </c>
      <c r="I897" s="29">
        <f t="shared" si="198"/>
        <v>0</v>
      </c>
      <c r="J897" s="29">
        <f t="shared" si="199"/>
        <v>0</v>
      </c>
      <c r="K897" s="32" t="str" cm="1">
        <f t="array" ref="K897">IF(AF897&lt;&gt;"",IFERROR(INDEX('Group List A'!B:B,MATCH(AI897,'Group List A'!A:A,0),0),"-"),"")</f>
        <v/>
      </c>
      <c r="L897" s="33">
        <f t="shared" si="200"/>
        <v>0</v>
      </c>
      <c r="M897" s="33">
        <f t="shared" si="201"/>
        <v>0</v>
      </c>
      <c r="N897" s="33">
        <f t="shared" si="202"/>
        <v>0</v>
      </c>
      <c r="O897" s="28"/>
      <c r="P897" s="33">
        <f t="shared" si="203"/>
        <v>0</v>
      </c>
      <c r="Q897" s="35" t="str" cm="1">
        <f t="array" ref="Q897">IF(AF897&lt;&gt;"",IFERROR(INDEX('Group List B'!B:B,MATCH(AI897,'Group List B'!A:A,0),0),"-"),"")</f>
        <v/>
      </c>
      <c r="R897" s="36">
        <f t="shared" si="204"/>
        <v>0</v>
      </c>
      <c r="S897" s="36">
        <f t="shared" si="205"/>
        <v>0</v>
      </c>
      <c r="T897" s="36">
        <f t="shared" si="206"/>
        <v>0</v>
      </c>
      <c r="U897" s="28"/>
      <c r="V897" s="37">
        <f t="shared" si="207"/>
        <v>0</v>
      </c>
      <c r="W897" s="41"/>
      <c r="X897" s="27"/>
      <c r="Y897" s="27"/>
      <c r="Z897" s="27"/>
      <c r="AA897" s="15"/>
      <c r="AB897" s="17"/>
      <c r="AC897" s="17"/>
      <c r="AD897" s="17"/>
      <c r="AE897" s="90"/>
      <c r="AF897" s="82" t="str">
        <f t="shared" si="208"/>
        <v/>
      </c>
      <c r="AG897" s="83" t="str">
        <f t="shared" si="209"/>
        <v/>
      </c>
      <c r="AH897" s="82" t="str">
        <f t="shared" si="210"/>
        <v/>
      </c>
      <c r="AI897" s="82" t="str">
        <f t="shared" si="211"/>
        <v/>
      </c>
      <c r="AJ897" s="90"/>
      <c r="AP897" s="88"/>
    </row>
    <row r="898" spans="1:42" x14ac:dyDescent="0.25">
      <c r="A898" s="2"/>
      <c r="C898" s="68" t="str" cm="1">
        <f t="array" ref="C898">IF(AF898&lt;&gt;"",
IFERROR(INDEX('LaunchPad Markbook'!A:A,MATCH(AH898,'LaunchPad Markbook'!D:D,0),0),"-"),"")</f>
        <v/>
      </c>
      <c r="D898" s="27"/>
      <c r="E898" s="27"/>
      <c r="F898" s="27"/>
      <c r="G898" s="14">
        <f>IF(OR(H898&gt;AB$2,I898&gt;AC$2,J898&gt;AD$2,
P898&gt;1,V898&gt;1,
L898&gt;'Group List A'!E$2,M898&gt;'Group List A'!F$2,N898&gt;'Group List A'!G$2,
R898&gt;'Group List B'!E$2,S898&gt;'Group List B'!F$2,T898&gt;'Group List B'!G$2),"Exceed",
IF(OR(H898=AB$2,I898=AC$2,J898=AD$2,
P898=1,V898=1,
L898='Group List A'!E$2,M898='Group List A'!F$2,N898='Group List A'!G$2,
R898='Group List B'!E$2,S898='Group List B'!F$2,T898='Group List B'!G$2),"Limit",0))</f>
        <v>0</v>
      </c>
      <c r="H898" s="29">
        <f t="shared" si="197"/>
        <v>0</v>
      </c>
      <c r="I898" s="29">
        <f t="shared" si="198"/>
        <v>0</v>
      </c>
      <c r="J898" s="29">
        <f t="shared" si="199"/>
        <v>0</v>
      </c>
      <c r="K898" s="32" t="str" cm="1">
        <f t="array" ref="K898">IF(AF898&lt;&gt;"",IFERROR(INDEX('Group List A'!B:B,MATCH(AI898,'Group List A'!A:A,0),0),"-"),"")</f>
        <v/>
      </c>
      <c r="L898" s="33">
        <f t="shared" si="200"/>
        <v>0</v>
      </c>
      <c r="M898" s="33">
        <f t="shared" si="201"/>
        <v>0</v>
      </c>
      <c r="N898" s="33">
        <f t="shared" si="202"/>
        <v>0</v>
      </c>
      <c r="O898" s="28"/>
      <c r="P898" s="33">
        <f t="shared" si="203"/>
        <v>0</v>
      </c>
      <c r="Q898" s="35" t="str" cm="1">
        <f t="array" ref="Q898">IF(AF898&lt;&gt;"",IFERROR(INDEX('Group List B'!B:B,MATCH(AI898,'Group List B'!A:A,0),0),"-"),"")</f>
        <v/>
      </c>
      <c r="R898" s="36">
        <f t="shared" si="204"/>
        <v>0</v>
      </c>
      <c r="S898" s="36">
        <f t="shared" si="205"/>
        <v>0</v>
      </c>
      <c r="T898" s="36">
        <f t="shared" si="206"/>
        <v>0</v>
      </c>
      <c r="U898" s="28"/>
      <c r="V898" s="37">
        <f t="shared" si="207"/>
        <v>0</v>
      </c>
      <c r="W898" s="41"/>
      <c r="X898" s="27"/>
      <c r="Y898" s="27"/>
      <c r="Z898" s="27"/>
      <c r="AA898" s="15"/>
      <c r="AB898" s="17"/>
      <c r="AC898" s="17"/>
      <c r="AD898" s="17"/>
      <c r="AE898" s="90"/>
      <c r="AF898" s="82" t="str">
        <f t="shared" si="208"/>
        <v/>
      </c>
      <c r="AG898" s="83" t="str">
        <f t="shared" si="209"/>
        <v/>
      </c>
      <c r="AH898" s="82" t="str">
        <f t="shared" si="210"/>
        <v/>
      </c>
      <c r="AI898" s="82" t="str">
        <f t="shared" si="211"/>
        <v/>
      </c>
      <c r="AJ898" s="90"/>
      <c r="AP898" s="88"/>
    </row>
    <row r="899" spans="1:42" x14ac:dyDescent="0.25">
      <c r="A899" s="2"/>
      <c r="C899" s="68" t="str" cm="1">
        <f t="array" ref="C899">IF(AF899&lt;&gt;"",
IFERROR(INDEX('LaunchPad Markbook'!A:A,MATCH(AH899,'LaunchPad Markbook'!D:D,0),0),"-"),"")</f>
        <v/>
      </c>
      <c r="D899" s="27"/>
      <c r="E899" s="27"/>
      <c r="F899" s="27"/>
      <c r="G899" s="14">
        <f>IF(OR(H899&gt;AB$2,I899&gt;AC$2,J899&gt;AD$2,
P899&gt;1,V899&gt;1,
L899&gt;'Group List A'!E$2,M899&gt;'Group List A'!F$2,N899&gt;'Group List A'!G$2,
R899&gt;'Group List B'!E$2,S899&gt;'Group List B'!F$2,T899&gt;'Group List B'!G$2),"Exceed",
IF(OR(H899=AB$2,I899=AC$2,J899=AD$2,
P899=1,V899=1,
L899='Group List A'!E$2,M899='Group List A'!F$2,N899='Group List A'!G$2,
R899='Group List B'!E$2,S899='Group List B'!F$2,T899='Group List B'!G$2),"Limit",0))</f>
        <v>0</v>
      </c>
      <c r="H899" s="29">
        <f t="shared" ref="H899:H962" si="212">IF(AND(K899="-",Q899="-"),
SUMIFS(D$2:D$2000,$AH$2:$AH$2000,$AH899),0)</f>
        <v>0</v>
      </c>
      <c r="I899" s="29">
        <f t="shared" ref="I899:I962" si="213">IF(AND(K899="-",Q899="-"),
SUMIFS(E$2:E$2000,$AH$2:$AH$2000,$AH899),0)</f>
        <v>0</v>
      </c>
      <c r="J899" s="29">
        <f t="shared" ref="J899:J962" si="214">IF(AND(K899="-",Q899="-"),
SUMIFS(F$2:F$2000,$AH$2:$AH$2000,$AH899),0)</f>
        <v>0</v>
      </c>
      <c r="K899" s="32" t="str" cm="1">
        <f t="array" ref="K899">IF(AF899&lt;&gt;"",IFERROR(INDEX('Group List A'!B:B,MATCH(AI899,'Group List A'!A:A,0),0),"-"),"")</f>
        <v/>
      </c>
      <c r="L899" s="33">
        <f t="shared" ref="L899:L962" si="215">IF($K899&lt;&gt;"-",SUMIFS(D$2:D$2000,$K$2:$K$2000,$K899),0)</f>
        <v>0</v>
      </c>
      <c r="M899" s="33">
        <f t="shared" ref="M899:M962" si="216">IF($K899&lt;&gt;"-",SUMIFS(E$2:E$2000,$K$2:$K$2000,$K899),0)</f>
        <v>0</v>
      </c>
      <c r="N899" s="33">
        <f t="shared" ref="N899:N962" si="217">IF($K899&lt;&gt;"-",SUMIFS(F$2:F$2000,$K$2:$K$2000,$K899),0)</f>
        <v>0</v>
      </c>
      <c r="O899" s="28"/>
      <c r="P899" s="33">
        <f t="shared" ref="P899:P962" si="218">SUMIFS(O$2:O$2000,$AH$2:$AH$2000,$AH899)</f>
        <v>0</v>
      </c>
      <c r="Q899" s="35" t="str" cm="1">
        <f t="array" ref="Q899">IF(AF899&lt;&gt;"",IFERROR(INDEX('Group List B'!B:B,MATCH(AI899,'Group List B'!A:A,0),0),"-"),"")</f>
        <v/>
      </c>
      <c r="R899" s="36">
        <f t="shared" ref="R899:R962" si="219">IF($Q899&lt;&gt;"-",SUMIFS(D$2:D$2000,$Q$2:$Q$2000,$Q899),0)</f>
        <v>0</v>
      </c>
      <c r="S899" s="36">
        <f t="shared" ref="S899:S962" si="220">IF($Q899&lt;&gt;"-",SUMIFS(E$2:E$2000,$Q$2:$Q$2000,$Q899),0)</f>
        <v>0</v>
      </c>
      <c r="T899" s="36">
        <f t="shared" ref="T899:T962" si="221">IF($Q899&lt;&gt;"-",SUMIFS(F$2:F$2000,$Q$2:$Q$2000,$Q899),0)</f>
        <v>0</v>
      </c>
      <c r="U899" s="28"/>
      <c r="V899" s="37">
        <f t="shared" ref="V899:V962" si="222">SUMIFS(U$2:U$2000,$AH$2:$AH$2000,$AH899)</f>
        <v>0</v>
      </c>
      <c r="W899" s="41"/>
      <c r="X899" s="27"/>
      <c r="Y899" s="27"/>
      <c r="Z899" s="27"/>
      <c r="AA899" s="15"/>
      <c r="AB899" s="17"/>
      <c r="AC899" s="17"/>
      <c r="AD899" s="17"/>
      <c r="AE899" s="90"/>
      <c r="AF899" s="82" t="str">
        <f t="shared" ref="AF899:AF962" si="223">IF(A899&lt;&gt;"",A899,"")</f>
        <v/>
      </c>
      <c r="AG899" s="83" t="str">
        <f t="shared" ref="AG899:AG962" si="224">IF(MID(AF899,1,1)="N","STUDENT",
IF(MID(AF899,1,1)="S","STAFF",
IF(MID(AF899,1,1)="V","VISITOR",
IF(AF899&lt;&gt;"","ERROR",""))))</f>
        <v/>
      </c>
      <c r="AH899" s="82" t="str">
        <f t="shared" ref="AH899:AH962" si="225">IF(AG899="STUDENT","N"&amp;(MID(AF899,2,8)-0),
IF(AG899="STAFF","S"&amp;MID(AF899,2,8),""))</f>
        <v/>
      </c>
      <c r="AI899" s="82" t="str">
        <f t="shared" ref="AI899:AI962" si="226">IF(AG899="STUDENT",(MID(AF899,2,8)-0),
IF(AG899="STAFF","STAFF",""))</f>
        <v/>
      </c>
      <c r="AJ899" s="90"/>
      <c r="AP899" s="88"/>
    </row>
    <row r="900" spans="1:42" x14ac:dyDescent="0.25">
      <c r="A900" s="2"/>
      <c r="C900" s="68" t="str" cm="1">
        <f t="array" ref="C900">IF(AF900&lt;&gt;"",
IFERROR(INDEX('LaunchPad Markbook'!A:A,MATCH(AH900,'LaunchPad Markbook'!D:D,0),0),"-"),"")</f>
        <v/>
      </c>
      <c r="D900" s="27"/>
      <c r="E900" s="27"/>
      <c r="F900" s="27"/>
      <c r="G900" s="14">
        <f>IF(OR(H900&gt;AB$2,I900&gt;AC$2,J900&gt;AD$2,
P900&gt;1,V900&gt;1,
L900&gt;'Group List A'!E$2,M900&gt;'Group List A'!F$2,N900&gt;'Group List A'!G$2,
R900&gt;'Group List B'!E$2,S900&gt;'Group List B'!F$2,T900&gt;'Group List B'!G$2),"Exceed",
IF(OR(H900=AB$2,I900=AC$2,J900=AD$2,
P900=1,V900=1,
L900='Group List A'!E$2,M900='Group List A'!F$2,N900='Group List A'!G$2,
R900='Group List B'!E$2,S900='Group List B'!F$2,T900='Group List B'!G$2),"Limit",0))</f>
        <v>0</v>
      </c>
      <c r="H900" s="29">
        <f t="shared" si="212"/>
        <v>0</v>
      </c>
      <c r="I900" s="29">
        <f t="shared" si="213"/>
        <v>0</v>
      </c>
      <c r="J900" s="29">
        <f t="shared" si="214"/>
        <v>0</v>
      </c>
      <c r="K900" s="32" t="str" cm="1">
        <f t="array" ref="K900">IF(AF900&lt;&gt;"",IFERROR(INDEX('Group List A'!B:B,MATCH(AI900,'Group List A'!A:A,0),0),"-"),"")</f>
        <v/>
      </c>
      <c r="L900" s="33">
        <f t="shared" si="215"/>
        <v>0</v>
      </c>
      <c r="M900" s="33">
        <f t="shared" si="216"/>
        <v>0</v>
      </c>
      <c r="N900" s="33">
        <f t="shared" si="217"/>
        <v>0</v>
      </c>
      <c r="O900" s="28"/>
      <c r="P900" s="33">
        <f t="shared" si="218"/>
        <v>0</v>
      </c>
      <c r="Q900" s="35" t="str" cm="1">
        <f t="array" ref="Q900">IF(AF900&lt;&gt;"",IFERROR(INDEX('Group List B'!B:B,MATCH(AI900,'Group List B'!A:A,0),0),"-"),"")</f>
        <v/>
      </c>
      <c r="R900" s="36">
        <f t="shared" si="219"/>
        <v>0</v>
      </c>
      <c r="S900" s="36">
        <f t="shared" si="220"/>
        <v>0</v>
      </c>
      <c r="T900" s="36">
        <f t="shared" si="221"/>
        <v>0</v>
      </c>
      <c r="U900" s="28"/>
      <c r="V900" s="37">
        <f t="shared" si="222"/>
        <v>0</v>
      </c>
      <c r="W900" s="41"/>
      <c r="X900" s="27"/>
      <c r="Y900" s="27"/>
      <c r="Z900" s="27"/>
      <c r="AA900" s="15"/>
      <c r="AB900" s="17"/>
      <c r="AC900" s="17"/>
      <c r="AD900" s="17"/>
      <c r="AE900" s="90"/>
      <c r="AF900" s="82" t="str">
        <f t="shared" si="223"/>
        <v/>
      </c>
      <c r="AG900" s="83" t="str">
        <f t="shared" si="224"/>
        <v/>
      </c>
      <c r="AH900" s="82" t="str">
        <f t="shared" si="225"/>
        <v/>
      </c>
      <c r="AI900" s="82" t="str">
        <f t="shared" si="226"/>
        <v/>
      </c>
      <c r="AJ900" s="90"/>
      <c r="AP900" s="88"/>
    </row>
    <row r="901" spans="1:42" x14ac:dyDescent="0.25">
      <c r="A901" s="2"/>
      <c r="C901" s="68" t="str" cm="1">
        <f t="array" ref="C901">IF(AF901&lt;&gt;"",
IFERROR(INDEX('LaunchPad Markbook'!A:A,MATCH(AH901,'LaunchPad Markbook'!D:D,0),0),"-"),"")</f>
        <v/>
      </c>
      <c r="D901" s="27"/>
      <c r="E901" s="27"/>
      <c r="F901" s="27"/>
      <c r="G901" s="14">
        <f>IF(OR(H901&gt;AB$2,I901&gt;AC$2,J901&gt;AD$2,
P901&gt;1,V901&gt;1,
L901&gt;'Group List A'!E$2,M901&gt;'Group List A'!F$2,N901&gt;'Group List A'!G$2,
R901&gt;'Group List B'!E$2,S901&gt;'Group List B'!F$2,T901&gt;'Group List B'!G$2),"Exceed",
IF(OR(H901=AB$2,I901=AC$2,J901=AD$2,
P901=1,V901=1,
L901='Group List A'!E$2,M901='Group List A'!F$2,N901='Group List A'!G$2,
R901='Group List B'!E$2,S901='Group List B'!F$2,T901='Group List B'!G$2),"Limit",0))</f>
        <v>0</v>
      </c>
      <c r="H901" s="29">
        <f t="shared" si="212"/>
        <v>0</v>
      </c>
      <c r="I901" s="29">
        <f t="shared" si="213"/>
        <v>0</v>
      </c>
      <c r="J901" s="29">
        <f t="shared" si="214"/>
        <v>0</v>
      </c>
      <c r="K901" s="32" t="str" cm="1">
        <f t="array" ref="K901">IF(AF901&lt;&gt;"",IFERROR(INDEX('Group List A'!B:B,MATCH(AI901,'Group List A'!A:A,0),0),"-"),"")</f>
        <v/>
      </c>
      <c r="L901" s="33">
        <f t="shared" si="215"/>
        <v>0</v>
      </c>
      <c r="M901" s="33">
        <f t="shared" si="216"/>
        <v>0</v>
      </c>
      <c r="N901" s="33">
        <f t="shared" si="217"/>
        <v>0</v>
      </c>
      <c r="O901" s="28"/>
      <c r="P901" s="33">
        <f t="shared" si="218"/>
        <v>0</v>
      </c>
      <c r="Q901" s="35" t="str" cm="1">
        <f t="array" ref="Q901">IF(AF901&lt;&gt;"",IFERROR(INDEX('Group List B'!B:B,MATCH(AI901,'Group List B'!A:A,0),0),"-"),"")</f>
        <v/>
      </c>
      <c r="R901" s="36">
        <f t="shared" si="219"/>
        <v>0</v>
      </c>
      <c r="S901" s="36">
        <f t="shared" si="220"/>
        <v>0</v>
      </c>
      <c r="T901" s="36">
        <f t="shared" si="221"/>
        <v>0</v>
      </c>
      <c r="U901" s="28"/>
      <c r="V901" s="37">
        <f t="shared" si="222"/>
        <v>0</v>
      </c>
      <c r="W901" s="41"/>
      <c r="X901" s="27"/>
      <c r="Y901" s="27"/>
      <c r="Z901" s="27"/>
      <c r="AA901" s="15"/>
      <c r="AB901" s="17"/>
      <c r="AC901" s="17"/>
      <c r="AD901" s="17"/>
      <c r="AE901" s="90"/>
      <c r="AF901" s="82" t="str">
        <f t="shared" si="223"/>
        <v/>
      </c>
      <c r="AG901" s="83" t="str">
        <f t="shared" si="224"/>
        <v/>
      </c>
      <c r="AH901" s="82" t="str">
        <f t="shared" si="225"/>
        <v/>
      </c>
      <c r="AI901" s="82" t="str">
        <f t="shared" si="226"/>
        <v/>
      </c>
      <c r="AJ901" s="90"/>
      <c r="AP901" s="88"/>
    </row>
    <row r="902" spans="1:42" x14ac:dyDescent="0.25">
      <c r="A902" s="2"/>
      <c r="C902" s="68" t="str" cm="1">
        <f t="array" ref="C902">IF(AF902&lt;&gt;"",
IFERROR(INDEX('LaunchPad Markbook'!A:A,MATCH(AH902,'LaunchPad Markbook'!D:D,0),0),"-"),"")</f>
        <v/>
      </c>
      <c r="D902" s="27"/>
      <c r="E902" s="27"/>
      <c r="F902" s="27"/>
      <c r="G902" s="14">
        <f>IF(OR(H902&gt;AB$2,I902&gt;AC$2,J902&gt;AD$2,
P902&gt;1,V902&gt;1,
L902&gt;'Group List A'!E$2,M902&gt;'Group List A'!F$2,N902&gt;'Group List A'!G$2,
R902&gt;'Group List B'!E$2,S902&gt;'Group List B'!F$2,T902&gt;'Group List B'!G$2),"Exceed",
IF(OR(H902=AB$2,I902=AC$2,J902=AD$2,
P902=1,V902=1,
L902='Group List A'!E$2,M902='Group List A'!F$2,N902='Group List A'!G$2,
R902='Group List B'!E$2,S902='Group List B'!F$2,T902='Group List B'!G$2),"Limit",0))</f>
        <v>0</v>
      </c>
      <c r="H902" s="29">
        <f t="shared" si="212"/>
        <v>0</v>
      </c>
      <c r="I902" s="29">
        <f t="shared" si="213"/>
        <v>0</v>
      </c>
      <c r="J902" s="29">
        <f t="shared" si="214"/>
        <v>0</v>
      </c>
      <c r="K902" s="32" t="str" cm="1">
        <f t="array" ref="K902">IF(AF902&lt;&gt;"",IFERROR(INDEX('Group List A'!B:B,MATCH(AI902,'Group List A'!A:A,0),0),"-"),"")</f>
        <v/>
      </c>
      <c r="L902" s="33">
        <f t="shared" si="215"/>
        <v>0</v>
      </c>
      <c r="M902" s="33">
        <f t="shared" si="216"/>
        <v>0</v>
      </c>
      <c r="N902" s="33">
        <f t="shared" si="217"/>
        <v>0</v>
      </c>
      <c r="O902" s="28"/>
      <c r="P902" s="33">
        <f t="shared" si="218"/>
        <v>0</v>
      </c>
      <c r="Q902" s="35" t="str" cm="1">
        <f t="array" ref="Q902">IF(AF902&lt;&gt;"",IFERROR(INDEX('Group List B'!B:B,MATCH(AI902,'Group List B'!A:A,0),0),"-"),"")</f>
        <v/>
      </c>
      <c r="R902" s="36">
        <f t="shared" si="219"/>
        <v>0</v>
      </c>
      <c r="S902" s="36">
        <f t="shared" si="220"/>
        <v>0</v>
      </c>
      <c r="T902" s="36">
        <f t="shared" si="221"/>
        <v>0</v>
      </c>
      <c r="U902" s="28"/>
      <c r="V902" s="37">
        <f t="shared" si="222"/>
        <v>0</v>
      </c>
      <c r="W902" s="41"/>
      <c r="X902" s="27"/>
      <c r="Y902" s="27"/>
      <c r="Z902" s="27"/>
      <c r="AA902" s="15"/>
      <c r="AB902" s="17"/>
      <c r="AC902" s="17"/>
      <c r="AD902" s="17"/>
      <c r="AE902" s="90"/>
      <c r="AF902" s="82" t="str">
        <f t="shared" si="223"/>
        <v/>
      </c>
      <c r="AG902" s="83" t="str">
        <f t="shared" si="224"/>
        <v/>
      </c>
      <c r="AH902" s="82" t="str">
        <f t="shared" si="225"/>
        <v/>
      </c>
      <c r="AI902" s="82" t="str">
        <f t="shared" si="226"/>
        <v/>
      </c>
      <c r="AJ902" s="90"/>
      <c r="AP902" s="88"/>
    </row>
    <row r="903" spans="1:42" x14ac:dyDescent="0.25">
      <c r="A903" s="2"/>
      <c r="C903" s="68" t="str" cm="1">
        <f t="array" ref="C903">IF(AF903&lt;&gt;"",
IFERROR(INDEX('LaunchPad Markbook'!A:A,MATCH(AH903,'LaunchPad Markbook'!D:D,0),0),"-"),"")</f>
        <v/>
      </c>
      <c r="D903" s="27"/>
      <c r="E903" s="27"/>
      <c r="F903" s="27"/>
      <c r="G903" s="14">
        <f>IF(OR(H903&gt;AB$2,I903&gt;AC$2,J903&gt;AD$2,
P903&gt;1,V903&gt;1,
L903&gt;'Group List A'!E$2,M903&gt;'Group List A'!F$2,N903&gt;'Group List A'!G$2,
R903&gt;'Group List B'!E$2,S903&gt;'Group List B'!F$2,T903&gt;'Group List B'!G$2),"Exceed",
IF(OR(H903=AB$2,I903=AC$2,J903=AD$2,
P903=1,V903=1,
L903='Group List A'!E$2,M903='Group List A'!F$2,N903='Group List A'!G$2,
R903='Group List B'!E$2,S903='Group List B'!F$2,T903='Group List B'!G$2),"Limit",0))</f>
        <v>0</v>
      </c>
      <c r="H903" s="29">
        <f t="shared" si="212"/>
        <v>0</v>
      </c>
      <c r="I903" s="29">
        <f t="shared" si="213"/>
        <v>0</v>
      </c>
      <c r="J903" s="29">
        <f t="shared" si="214"/>
        <v>0</v>
      </c>
      <c r="K903" s="32" t="str" cm="1">
        <f t="array" ref="K903">IF(AF903&lt;&gt;"",IFERROR(INDEX('Group List A'!B:B,MATCH(AI903,'Group List A'!A:A,0),0),"-"),"")</f>
        <v/>
      </c>
      <c r="L903" s="33">
        <f t="shared" si="215"/>
        <v>0</v>
      </c>
      <c r="M903" s="33">
        <f t="shared" si="216"/>
        <v>0</v>
      </c>
      <c r="N903" s="33">
        <f t="shared" si="217"/>
        <v>0</v>
      </c>
      <c r="O903" s="28"/>
      <c r="P903" s="33">
        <f t="shared" si="218"/>
        <v>0</v>
      </c>
      <c r="Q903" s="35" t="str" cm="1">
        <f t="array" ref="Q903">IF(AF903&lt;&gt;"",IFERROR(INDEX('Group List B'!B:B,MATCH(AI903,'Group List B'!A:A,0),0),"-"),"")</f>
        <v/>
      </c>
      <c r="R903" s="36">
        <f t="shared" si="219"/>
        <v>0</v>
      </c>
      <c r="S903" s="36">
        <f t="shared" si="220"/>
        <v>0</v>
      </c>
      <c r="T903" s="36">
        <f t="shared" si="221"/>
        <v>0</v>
      </c>
      <c r="U903" s="28"/>
      <c r="V903" s="37">
        <f t="shared" si="222"/>
        <v>0</v>
      </c>
      <c r="W903" s="41"/>
      <c r="X903" s="27"/>
      <c r="Y903" s="27"/>
      <c r="Z903" s="27"/>
      <c r="AA903" s="15"/>
      <c r="AB903" s="17"/>
      <c r="AC903" s="17"/>
      <c r="AD903" s="17"/>
      <c r="AE903" s="90"/>
      <c r="AF903" s="82" t="str">
        <f t="shared" si="223"/>
        <v/>
      </c>
      <c r="AG903" s="83" t="str">
        <f t="shared" si="224"/>
        <v/>
      </c>
      <c r="AH903" s="82" t="str">
        <f t="shared" si="225"/>
        <v/>
      </c>
      <c r="AI903" s="82" t="str">
        <f t="shared" si="226"/>
        <v/>
      </c>
      <c r="AJ903" s="90"/>
      <c r="AP903" s="88"/>
    </row>
    <row r="904" spans="1:42" x14ac:dyDescent="0.25">
      <c r="A904" s="2"/>
      <c r="C904" s="68" t="str" cm="1">
        <f t="array" ref="C904">IF(AF904&lt;&gt;"",
IFERROR(INDEX('LaunchPad Markbook'!A:A,MATCH(AH904,'LaunchPad Markbook'!D:D,0),0),"-"),"")</f>
        <v/>
      </c>
      <c r="D904" s="27"/>
      <c r="E904" s="27"/>
      <c r="F904" s="27"/>
      <c r="G904" s="14">
        <f>IF(OR(H904&gt;AB$2,I904&gt;AC$2,J904&gt;AD$2,
P904&gt;1,V904&gt;1,
L904&gt;'Group List A'!E$2,M904&gt;'Group List A'!F$2,N904&gt;'Group List A'!G$2,
R904&gt;'Group List B'!E$2,S904&gt;'Group List B'!F$2,T904&gt;'Group List B'!G$2),"Exceed",
IF(OR(H904=AB$2,I904=AC$2,J904=AD$2,
P904=1,V904=1,
L904='Group List A'!E$2,M904='Group List A'!F$2,N904='Group List A'!G$2,
R904='Group List B'!E$2,S904='Group List B'!F$2,T904='Group List B'!G$2),"Limit",0))</f>
        <v>0</v>
      </c>
      <c r="H904" s="29">
        <f t="shared" si="212"/>
        <v>0</v>
      </c>
      <c r="I904" s="29">
        <f t="shared" si="213"/>
        <v>0</v>
      </c>
      <c r="J904" s="29">
        <f t="shared" si="214"/>
        <v>0</v>
      </c>
      <c r="K904" s="32" t="str" cm="1">
        <f t="array" ref="K904">IF(AF904&lt;&gt;"",IFERROR(INDEX('Group List A'!B:B,MATCH(AI904,'Group List A'!A:A,0),0),"-"),"")</f>
        <v/>
      </c>
      <c r="L904" s="33">
        <f t="shared" si="215"/>
        <v>0</v>
      </c>
      <c r="M904" s="33">
        <f t="shared" si="216"/>
        <v>0</v>
      </c>
      <c r="N904" s="33">
        <f t="shared" si="217"/>
        <v>0</v>
      </c>
      <c r="O904" s="28"/>
      <c r="P904" s="33">
        <f t="shared" si="218"/>
        <v>0</v>
      </c>
      <c r="Q904" s="35" t="str" cm="1">
        <f t="array" ref="Q904">IF(AF904&lt;&gt;"",IFERROR(INDEX('Group List B'!B:B,MATCH(AI904,'Group List B'!A:A,0),0),"-"),"")</f>
        <v/>
      </c>
      <c r="R904" s="36">
        <f t="shared" si="219"/>
        <v>0</v>
      </c>
      <c r="S904" s="36">
        <f t="shared" si="220"/>
        <v>0</v>
      </c>
      <c r="T904" s="36">
        <f t="shared" si="221"/>
        <v>0</v>
      </c>
      <c r="U904" s="28"/>
      <c r="V904" s="37">
        <f t="shared" si="222"/>
        <v>0</v>
      </c>
      <c r="W904" s="41"/>
      <c r="X904" s="27"/>
      <c r="Y904" s="27"/>
      <c r="Z904" s="27"/>
      <c r="AA904" s="15"/>
      <c r="AB904" s="17"/>
      <c r="AC904" s="17"/>
      <c r="AD904" s="17"/>
      <c r="AE904" s="90"/>
      <c r="AF904" s="82" t="str">
        <f t="shared" si="223"/>
        <v/>
      </c>
      <c r="AG904" s="83" t="str">
        <f t="shared" si="224"/>
        <v/>
      </c>
      <c r="AH904" s="82" t="str">
        <f t="shared" si="225"/>
        <v/>
      </c>
      <c r="AI904" s="82" t="str">
        <f t="shared" si="226"/>
        <v/>
      </c>
      <c r="AJ904" s="90"/>
      <c r="AP904" s="88"/>
    </row>
    <row r="905" spans="1:42" x14ac:dyDescent="0.25">
      <c r="A905" s="2"/>
      <c r="C905" s="68" t="str" cm="1">
        <f t="array" ref="C905">IF(AF905&lt;&gt;"",
IFERROR(INDEX('LaunchPad Markbook'!A:A,MATCH(AH905,'LaunchPad Markbook'!D:D,0),0),"-"),"")</f>
        <v/>
      </c>
      <c r="D905" s="27"/>
      <c r="E905" s="27"/>
      <c r="F905" s="27"/>
      <c r="G905" s="14">
        <f>IF(OR(H905&gt;AB$2,I905&gt;AC$2,J905&gt;AD$2,
P905&gt;1,V905&gt;1,
L905&gt;'Group List A'!E$2,M905&gt;'Group List A'!F$2,N905&gt;'Group List A'!G$2,
R905&gt;'Group List B'!E$2,S905&gt;'Group List B'!F$2,T905&gt;'Group List B'!G$2),"Exceed",
IF(OR(H905=AB$2,I905=AC$2,J905=AD$2,
P905=1,V905=1,
L905='Group List A'!E$2,M905='Group List A'!F$2,N905='Group List A'!G$2,
R905='Group List B'!E$2,S905='Group List B'!F$2,T905='Group List B'!G$2),"Limit",0))</f>
        <v>0</v>
      </c>
      <c r="H905" s="29">
        <f t="shared" si="212"/>
        <v>0</v>
      </c>
      <c r="I905" s="29">
        <f t="shared" si="213"/>
        <v>0</v>
      </c>
      <c r="J905" s="29">
        <f t="shared" si="214"/>
        <v>0</v>
      </c>
      <c r="K905" s="32" t="str" cm="1">
        <f t="array" ref="K905">IF(AF905&lt;&gt;"",IFERROR(INDEX('Group List A'!B:B,MATCH(AI905,'Group List A'!A:A,0),0),"-"),"")</f>
        <v/>
      </c>
      <c r="L905" s="33">
        <f t="shared" si="215"/>
        <v>0</v>
      </c>
      <c r="M905" s="33">
        <f t="shared" si="216"/>
        <v>0</v>
      </c>
      <c r="N905" s="33">
        <f t="shared" si="217"/>
        <v>0</v>
      </c>
      <c r="O905" s="28"/>
      <c r="P905" s="33">
        <f t="shared" si="218"/>
        <v>0</v>
      </c>
      <c r="Q905" s="35" t="str" cm="1">
        <f t="array" ref="Q905">IF(AF905&lt;&gt;"",IFERROR(INDEX('Group List B'!B:B,MATCH(AI905,'Group List B'!A:A,0),0),"-"),"")</f>
        <v/>
      </c>
      <c r="R905" s="36">
        <f t="shared" si="219"/>
        <v>0</v>
      </c>
      <c r="S905" s="36">
        <f t="shared" si="220"/>
        <v>0</v>
      </c>
      <c r="T905" s="36">
        <f t="shared" si="221"/>
        <v>0</v>
      </c>
      <c r="U905" s="28"/>
      <c r="V905" s="37">
        <f t="shared" si="222"/>
        <v>0</v>
      </c>
      <c r="W905" s="41"/>
      <c r="X905" s="27"/>
      <c r="Y905" s="27"/>
      <c r="Z905" s="27"/>
      <c r="AA905" s="15"/>
      <c r="AB905" s="17"/>
      <c r="AC905" s="17"/>
      <c r="AD905" s="17"/>
      <c r="AE905" s="90"/>
      <c r="AF905" s="82" t="str">
        <f t="shared" si="223"/>
        <v/>
      </c>
      <c r="AG905" s="83" t="str">
        <f t="shared" si="224"/>
        <v/>
      </c>
      <c r="AH905" s="82" t="str">
        <f t="shared" si="225"/>
        <v/>
      </c>
      <c r="AI905" s="82" t="str">
        <f t="shared" si="226"/>
        <v/>
      </c>
      <c r="AJ905" s="90"/>
      <c r="AP905" s="88"/>
    </row>
    <row r="906" spans="1:42" x14ac:dyDescent="0.25">
      <c r="A906" s="2"/>
      <c r="C906" s="68" t="str" cm="1">
        <f t="array" ref="C906">IF(AF906&lt;&gt;"",
IFERROR(INDEX('LaunchPad Markbook'!A:A,MATCH(AH906,'LaunchPad Markbook'!D:D,0),0),"-"),"")</f>
        <v/>
      </c>
      <c r="D906" s="27"/>
      <c r="E906" s="27"/>
      <c r="F906" s="27"/>
      <c r="G906" s="14">
        <f>IF(OR(H906&gt;AB$2,I906&gt;AC$2,J906&gt;AD$2,
P906&gt;1,V906&gt;1,
L906&gt;'Group List A'!E$2,M906&gt;'Group List A'!F$2,N906&gt;'Group List A'!G$2,
R906&gt;'Group List B'!E$2,S906&gt;'Group List B'!F$2,T906&gt;'Group List B'!G$2),"Exceed",
IF(OR(H906=AB$2,I906=AC$2,J906=AD$2,
P906=1,V906=1,
L906='Group List A'!E$2,M906='Group List A'!F$2,N906='Group List A'!G$2,
R906='Group List B'!E$2,S906='Group List B'!F$2,T906='Group List B'!G$2),"Limit",0))</f>
        <v>0</v>
      </c>
      <c r="H906" s="29">
        <f t="shared" si="212"/>
        <v>0</v>
      </c>
      <c r="I906" s="29">
        <f t="shared" si="213"/>
        <v>0</v>
      </c>
      <c r="J906" s="29">
        <f t="shared" si="214"/>
        <v>0</v>
      </c>
      <c r="K906" s="32" t="str" cm="1">
        <f t="array" ref="K906">IF(AF906&lt;&gt;"",IFERROR(INDEX('Group List A'!B:B,MATCH(AI906,'Group List A'!A:A,0),0),"-"),"")</f>
        <v/>
      </c>
      <c r="L906" s="33">
        <f t="shared" si="215"/>
        <v>0</v>
      </c>
      <c r="M906" s="33">
        <f t="shared" si="216"/>
        <v>0</v>
      </c>
      <c r="N906" s="33">
        <f t="shared" si="217"/>
        <v>0</v>
      </c>
      <c r="O906" s="28"/>
      <c r="P906" s="33">
        <f t="shared" si="218"/>
        <v>0</v>
      </c>
      <c r="Q906" s="35" t="str" cm="1">
        <f t="array" ref="Q906">IF(AF906&lt;&gt;"",IFERROR(INDEX('Group List B'!B:B,MATCH(AI906,'Group List B'!A:A,0),0),"-"),"")</f>
        <v/>
      </c>
      <c r="R906" s="36">
        <f t="shared" si="219"/>
        <v>0</v>
      </c>
      <c r="S906" s="36">
        <f t="shared" si="220"/>
        <v>0</v>
      </c>
      <c r="T906" s="36">
        <f t="shared" si="221"/>
        <v>0</v>
      </c>
      <c r="U906" s="28"/>
      <c r="V906" s="37">
        <f t="shared" si="222"/>
        <v>0</v>
      </c>
      <c r="W906" s="41"/>
      <c r="X906" s="27"/>
      <c r="Y906" s="27"/>
      <c r="Z906" s="27"/>
      <c r="AA906" s="15"/>
      <c r="AB906" s="17"/>
      <c r="AC906" s="17"/>
      <c r="AD906" s="17"/>
      <c r="AE906" s="90"/>
      <c r="AF906" s="82" t="str">
        <f t="shared" si="223"/>
        <v/>
      </c>
      <c r="AG906" s="83" t="str">
        <f t="shared" si="224"/>
        <v/>
      </c>
      <c r="AH906" s="82" t="str">
        <f t="shared" si="225"/>
        <v/>
      </c>
      <c r="AI906" s="82" t="str">
        <f t="shared" si="226"/>
        <v/>
      </c>
      <c r="AJ906" s="90"/>
      <c r="AP906" s="88"/>
    </row>
    <row r="907" spans="1:42" x14ac:dyDescent="0.25">
      <c r="A907" s="2"/>
      <c r="C907" s="68" t="str" cm="1">
        <f t="array" ref="C907">IF(AF907&lt;&gt;"",
IFERROR(INDEX('LaunchPad Markbook'!A:A,MATCH(AH907,'LaunchPad Markbook'!D:D,0),0),"-"),"")</f>
        <v/>
      </c>
      <c r="D907" s="27"/>
      <c r="E907" s="27"/>
      <c r="F907" s="27"/>
      <c r="G907" s="14">
        <f>IF(OR(H907&gt;AB$2,I907&gt;AC$2,J907&gt;AD$2,
P907&gt;1,V907&gt;1,
L907&gt;'Group List A'!E$2,M907&gt;'Group List A'!F$2,N907&gt;'Group List A'!G$2,
R907&gt;'Group List B'!E$2,S907&gt;'Group List B'!F$2,T907&gt;'Group List B'!G$2),"Exceed",
IF(OR(H907=AB$2,I907=AC$2,J907=AD$2,
P907=1,V907=1,
L907='Group List A'!E$2,M907='Group List A'!F$2,N907='Group List A'!G$2,
R907='Group List B'!E$2,S907='Group List B'!F$2,T907='Group List B'!G$2),"Limit",0))</f>
        <v>0</v>
      </c>
      <c r="H907" s="29">
        <f t="shared" si="212"/>
        <v>0</v>
      </c>
      <c r="I907" s="29">
        <f t="shared" si="213"/>
        <v>0</v>
      </c>
      <c r="J907" s="29">
        <f t="shared" si="214"/>
        <v>0</v>
      </c>
      <c r="K907" s="32" t="str" cm="1">
        <f t="array" ref="K907">IF(AF907&lt;&gt;"",IFERROR(INDEX('Group List A'!B:B,MATCH(AI907,'Group List A'!A:A,0),0),"-"),"")</f>
        <v/>
      </c>
      <c r="L907" s="33">
        <f t="shared" si="215"/>
        <v>0</v>
      </c>
      <c r="M907" s="33">
        <f t="shared" si="216"/>
        <v>0</v>
      </c>
      <c r="N907" s="33">
        <f t="shared" si="217"/>
        <v>0</v>
      </c>
      <c r="O907" s="28"/>
      <c r="P907" s="33">
        <f t="shared" si="218"/>
        <v>0</v>
      </c>
      <c r="Q907" s="35" t="str" cm="1">
        <f t="array" ref="Q907">IF(AF907&lt;&gt;"",IFERROR(INDEX('Group List B'!B:B,MATCH(AI907,'Group List B'!A:A,0),0),"-"),"")</f>
        <v/>
      </c>
      <c r="R907" s="36">
        <f t="shared" si="219"/>
        <v>0</v>
      </c>
      <c r="S907" s="36">
        <f t="shared" si="220"/>
        <v>0</v>
      </c>
      <c r="T907" s="36">
        <f t="shared" si="221"/>
        <v>0</v>
      </c>
      <c r="U907" s="28"/>
      <c r="V907" s="37">
        <f t="shared" si="222"/>
        <v>0</v>
      </c>
      <c r="W907" s="41"/>
      <c r="X907" s="27"/>
      <c r="Y907" s="27"/>
      <c r="Z907" s="27"/>
      <c r="AA907" s="15"/>
      <c r="AB907" s="17"/>
      <c r="AC907" s="17"/>
      <c r="AD907" s="17"/>
      <c r="AE907" s="90"/>
      <c r="AF907" s="82" t="str">
        <f t="shared" si="223"/>
        <v/>
      </c>
      <c r="AG907" s="83" t="str">
        <f t="shared" si="224"/>
        <v/>
      </c>
      <c r="AH907" s="82" t="str">
        <f t="shared" si="225"/>
        <v/>
      </c>
      <c r="AI907" s="82" t="str">
        <f t="shared" si="226"/>
        <v/>
      </c>
      <c r="AJ907" s="90"/>
      <c r="AP907" s="88"/>
    </row>
    <row r="908" spans="1:42" x14ac:dyDescent="0.25">
      <c r="A908" s="2"/>
      <c r="C908" s="68" t="str" cm="1">
        <f t="array" ref="C908">IF(AF908&lt;&gt;"",
IFERROR(INDEX('LaunchPad Markbook'!A:A,MATCH(AH908,'LaunchPad Markbook'!D:D,0),0),"-"),"")</f>
        <v/>
      </c>
      <c r="D908" s="27"/>
      <c r="E908" s="27"/>
      <c r="F908" s="27"/>
      <c r="G908" s="14">
        <f>IF(OR(H908&gt;AB$2,I908&gt;AC$2,J908&gt;AD$2,
P908&gt;1,V908&gt;1,
L908&gt;'Group List A'!E$2,M908&gt;'Group List A'!F$2,N908&gt;'Group List A'!G$2,
R908&gt;'Group List B'!E$2,S908&gt;'Group List B'!F$2,T908&gt;'Group List B'!G$2),"Exceed",
IF(OR(H908=AB$2,I908=AC$2,J908=AD$2,
P908=1,V908=1,
L908='Group List A'!E$2,M908='Group List A'!F$2,N908='Group List A'!G$2,
R908='Group List B'!E$2,S908='Group List B'!F$2,T908='Group List B'!G$2),"Limit",0))</f>
        <v>0</v>
      </c>
      <c r="H908" s="29">
        <f t="shared" si="212"/>
        <v>0</v>
      </c>
      <c r="I908" s="29">
        <f t="shared" si="213"/>
        <v>0</v>
      </c>
      <c r="J908" s="29">
        <f t="shared" si="214"/>
        <v>0</v>
      </c>
      <c r="K908" s="32" t="str" cm="1">
        <f t="array" ref="K908">IF(AF908&lt;&gt;"",IFERROR(INDEX('Group List A'!B:B,MATCH(AI908,'Group List A'!A:A,0),0),"-"),"")</f>
        <v/>
      </c>
      <c r="L908" s="33">
        <f t="shared" si="215"/>
        <v>0</v>
      </c>
      <c r="M908" s="33">
        <f t="shared" si="216"/>
        <v>0</v>
      </c>
      <c r="N908" s="33">
        <f t="shared" si="217"/>
        <v>0</v>
      </c>
      <c r="O908" s="28"/>
      <c r="P908" s="33">
        <f t="shared" si="218"/>
        <v>0</v>
      </c>
      <c r="Q908" s="35" t="str" cm="1">
        <f t="array" ref="Q908">IF(AF908&lt;&gt;"",IFERROR(INDEX('Group List B'!B:B,MATCH(AI908,'Group List B'!A:A,0),0),"-"),"")</f>
        <v/>
      </c>
      <c r="R908" s="36">
        <f t="shared" si="219"/>
        <v>0</v>
      </c>
      <c r="S908" s="36">
        <f t="shared" si="220"/>
        <v>0</v>
      </c>
      <c r="T908" s="36">
        <f t="shared" si="221"/>
        <v>0</v>
      </c>
      <c r="U908" s="28"/>
      <c r="V908" s="37">
        <f t="shared" si="222"/>
        <v>0</v>
      </c>
      <c r="W908" s="41"/>
      <c r="X908" s="27"/>
      <c r="Y908" s="27"/>
      <c r="Z908" s="27"/>
      <c r="AA908" s="15"/>
      <c r="AB908" s="17"/>
      <c r="AC908" s="17"/>
      <c r="AD908" s="17"/>
      <c r="AE908" s="90"/>
      <c r="AF908" s="82" t="str">
        <f t="shared" si="223"/>
        <v/>
      </c>
      <c r="AG908" s="83" t="str">
        <f t="shared" si="224"/>
        <v/>
      </c>
      <c r="AH908" s="82" t="str">
        <f t="shared" si="225"/>
        <v/>
      </c>
      <c r="AI908" s="82" t="str">
        <f t="shared" si="226"/>
        <v/>
      </c>
      <c r="AJ908" s="90"/>
      <c r="AP908" s="88"/>
    </row>
    <row r="909" spans="1:42" x14ac:dyDescent="0.25">
      <c r="A909" s="2"/>
      <c r="C909" s="68" t="str" cm="1">
        <f t="array" ref="C909">IF(AF909&lt;&gt;"",
IFERROR(INDEX('LaunchPad Markbook'!A:A,MATCH(AH909,'LaunchPad Markbook'!D:D,0),0),"-"),"")</f>
        <v/>
      </c>
      <c r="D909" s="27"/>
      <c r="E909" s="27"/>
      <c r="F909" s="27"/>
      <c r="G909" s="14">
        <f>IF(OR(H909&gt;AB$2,I909&gt;AC$2,J909&gt;AD$2,
P909&gt;1,V909&gt;1,
L909&gt;'Group List A'!E$2,M909&gt;'Group List A'!F$2,N909&gt;'Group List A'!G$2,
R909&gt;'Group List B'!E$2,S909&gt;'Group List B'!F$2,T909&gt;'Group List B'!G$2),"Exceed",
IF(OR(H909=AB$2,I909=AC$2,J909=AD$2,
P909=1,V909=1,
L909='Group List A'!E$2,M909='Group List A'!F$2,N909='Group List A'!G$2,
R909='Group List B'!E$2,S909='Group List B'!F$2,T909='Group List B'!G$2),"Limit",0))</f>
        <v>0</v>
      </c>
      <c r="H909" s="29">
        <f t="shared" si="212"/>
        <v>0</v>
      </c>
      <c r="I909" s="29">
        <f t="shared" si="213"/>
        <v>0</v>
      </c>
      <c r="J909" s="29">
        <f t="shared" si="214"/>
        <v>0</v>
      </c>
      <c r="K909" s="32" t="str" cm="1">
        <f t="array" ref="K909">IF(AF909&lt;&gt;"",IFERROR(INDEX('Group List A'!B:B,MATCH(AI909,'Group List A'!A:A,0),0),"-"),"")</f>
        <v/>
      </c>
      <c r="L909" s="33">
        <f t="shared" si="215"/>
        <v>0</v>
      </c>
      <c r="M909" s="33">
        <f t="shared" si="216"/>
        <v>0</v>
      </c>
      <c r="N909" s="33">
        <f t="shared" si="217"/>
        <v>0</v>
      </c>
      <c r="O909" s="28"/>
      <c r="P909" s="33">
        <f t="shared" si="218"/>
        <v>0</v>
      </c>
      <c r="Q909" s="35" t="str" cm="1">
        <f t="array" ref="Q909">IF(AF909&lt;&gt;"",IFERROR(INDEX('Group List B'!B:B,MATCH(AI909,'Group List B'!A:A,0),0),"-"),"")</f>
        <v/>
      </c>
      <c r="R909" s="36">
        <f t="shared" si="219"/>
        <v>0</v>
      </c>
      <c r="S909" s="36">
        <f t="shared" si="220"/>
        <v>0</v>
      </c>
      <c r="T909" s="36">
        <f t="shared" si="221"/>
        <v>0</v>
      </c>
      <c r="U909" s="28"/>
      <c r="V909" s="37">
        <f t="shared" si="222"/>
        <v>0</v>
      </c>
      <c r="W909" s="41"/>
      <c r="X909" s="27"/>
      <c r="Y909" s="27"/>
      <c r="Z909" s="27"/>
      <c r="AA909" s="15"/>
      <c r="AB909" s="17"/>
      <c r="AC909" s="17"/>
      <c r="AD909" s="17"/>
      <c r="AE909" s="90"/>
      <c r="AF909" s="82" t="str">
        <f t="shared" si="223"/>
        <v/>
      </c>
      <c r="AG909" s="83" t="str">
        <f t="shared" si="224"/>
        <v/>
      </c>
      <c r="AH909" s="82" t="str">
        <f t="shared" si="225"/>
        <v/>
      </c>
      <c r="AI909" s="82" t="str">
        <f t="shared" si="226"/>
        <v/>
      </c>
      <c r="AJ909" s="90"/>
      <c r="AP909" s="88"/>
    </row>
    <row r="910" spans="1:42" x14ac:dyDescent="0.25">
      <c r="A910" s="2"/>
      <c r="C910" s="68" t="str" cm="1">
        <f t="array" ref="C910">IF(AF910&lt;&gt;"",
IFERROR(INDEX('LaunchPad Markbook'!A:A,MATCH(AH910,'LaunchPad Markbook'!D:D,0),0),"-"),"")</f>
        <v/>
      </c>
      <c r="D910" s="27"/>
      <c r="E910" s="27"/>
      <c r="F910" s="27"/>
      <c r="G910" s="14">
        <f>IF(OR(H910&gt;AB$2,I910&gt;AC$2,J910&gt;AD$2,
P910&gt;1,V910&gt;1,
L910&gt;'Group List A'!E$2,M910&gt;'Group List A'!F$2,N910&gt;'Group List A'!G$2,
R910&gt;'Group List B'!E$2,S910&gt;'Group List B'!F$2,T910&gt;'Group List B'!G$2),"Exceed",
IF(OR(H910=AB$2,I910=AC$2,J910=AD$2,
P910=1,V910=1,
L910='Group List A'!E$2,M910='Group List A'!F$2,N910='Group List A'!G$2,
R910='Group List B'!E$2,S910='Group List B'!F$2,T910='Group List B'!G$2),"Limit",0))</f>
        <v>0</v>
      </c>
      <c r="H910" s="29">
        <f t="shared" si="212"/>
        <v>0</v>
      </c>
      <c r="I910" s="29">
        <f t="shared" si="213"/>
        <v>0</v>
      </c>
      <c r="J910" s="29">
        <f t="shared" si="214"/>
        <v>0</v>
      </c>
      <c r="K910" s="32" t="str" cm="1">
        <f t="array" ref="K910">IF(AF910&lt;&gt;"",IFERROR(INDEX('Group List A'!B:B,MATCH(AI910,'Group List A'!A:A,0),0),"-"),"")</f>
        <v/>
      </c>
      <c r="L910" s="33">
        <f t="shared" si="215"/>
        <v>0</v>
      </c>
      <c r="M910" s="33">
        <f t="shared" si="216"/>
        <v>0</v>
      </c>
      <c r="N910" s="33">
        <f t="shared" si="217"/>
        <v>0</v>
      </c>
      <c r="O910" s="28"/>
      <c r="P910" s="33">
        <f t="shared" si="218"/>
        <v>0</v>
      </c>
      <c r="Q910" s="35" t="str" cm="1">
        <f t="array" ref="Q910">IF(AF910&lt;&gt;"",IFERROR(INDEX('Group List B'!B:B,MATCH(AI910,'Group List B'!A:A,0),0),"-"),"")</f>
        <v/>
      </c>
      <c r="R910" s="36">
        <f t="shared" si="219"/>
        <v>0</v>
      </c>
      <c r="S910" s="36">
        <f t="shared" si="220"/>
        <v>0</v>
      </c>
      <c r="T910" s="36">
        <f t="shared" si="221"/>
        <v>0</v>
      </c>
      <c r="U910" s="28"/>
      <c r="V910" s="37">
        <f t="shared" si="222"/>
        <v>0</v>
      </c>
      <c r="W910" s="41"/>
      <c r="X910" s="27"/>
      <c r="Y910" s="27"/>
      <c r="Z910" s="27"/>
      <c r="AA910" s="15"/>
      <c r="AB910" s="17"/>
      <c r="AC910" s="17"/>
      <c r="AD910" s="17"/>
      <c r="AE910" s="90"/>
      <c r="AF910" s="82" t="str">
        <f t="shared" si="223"/>
        <v/>
      </c>
      <c r="AG910" s="83" t="str">
        <f t="shared" si="224"/>
        <v/>
      </c>
      <c r="AH910" s="82" t="str">
        <f t="shared" si="225"/>
        <v/>
      </c>
      <c r="AI910" s="82" t="str">
        <f t="shared" si="226"/>
        <v/>
      </c>
      <c r="AJ910" s="90"/>
      <c r="AP910" s="88"/>
    </row>
    <row r="911" spans="1:42" x14ac:dyDescent="0.25">
      <c r="A911" s="2"/>
      <c r="C911" s="68" t="str" cm="1">
        <f t="array" ref="C911">IF(AF911&lt;&gt;"",
IFERROR(INDEX('LaunchPad Markbook'!A:A,MATCH(AH911,'LaunchPad Markbook'!D:D,0),0),"-"),"")</f>
        <v/>
      </c>
      <c r="D911" s="27"/>
      <c r="E911" s="27"/>
      <c r="F911" s="27"/>
      <c r="G911" s="14">
        <f>IF(OR(H911&gt;AB$2,I911&gt;AC$2,J911&gt;AD$2,
P911&gt;1,V911&gt;1,
L911&gt;'Group List A'!E$2,M911&gt;'Group List A'!F$2,N911&gt;'Group List A'!G$2,
R911&gt;'Group List B'!E$2,S911&gt;'Group List B'!F$2,T911&gt;'Group List B'!G$2),"Exceed",
IF(OR(H911=AB$2,I911=AC$2,J911=AD$2,
P911=1,V911=1,
L911='Group List A'!E$2,M911='Group List A'!F$2,N911='Group List A'!G$2,
R911='Group List B'!E$2,S911='Group List B'!F$2,T911='Group List B'!G$2),"Limit",0))</f>
        <v>0</v>
      </c>
      <c r="H911" s="29">
        <f t="shared" si="212"/>
        <v>0</v>
      </c>
      <c r="I911" s="29">
        <f t="shared" si="213"/>
        <v>0</v>
      </c>
      <c r="J911" s="29">
        <f t="shared" si="214"/>
        <v>0</v>
      </c>
      <c r="K911" s="32" t="str" cm="1">
        <f t="array" ref="K911">IF(AF911&lt;&gt;"",IFERROR(INDEX('Group List A'!B:B,MATCH(AI911,'Group List A'!A:A,0),0),"-"),"")</f>
        <v/>
      </c>
      <c r="L911" s="33">
        <f t="shared" si="215"/>
        <v>0</v>
      </c>
      <c r="M911" s="33">
        <f t="shared" si="216"/>
        <v>0</v>
      </c>
      <c r="N911" s="33">
        <f t="shared" si="217"/>
        <v>0</v>
      </c>
      <c r="O911" s="28"/>
      <c r="P911" s="33">
        <f t="shared" si="218"/>
        <v>0</v>
      </c>
      <c r="Q911" s="35" t="str" cm="1">
        <f t="array" ref="Q911">IF(AF911&lt;&gt;"",IFERROR(INDEX('Group List B'!B:B,MATCH(AI911,'Group List B'!A:A,0),0),"-"),"")</f>
        <v/>
      </c>
      <c r="R911" s="36">
        <f t="shared" si="219"/>
        <v>0</v>
      </c>
      <c r="S911" s="36">
        <f t="shared" si="220"/>
        <v>0</v>
      </c>
      <c r="T911" s="36">
        <f t="shared" si="221"/>
        <v>0</v>
      </c>
      <c r="U911" s="28"/>
      <c r="V911" s="37">
        <f t="shared" si="222"/>
        <v>0</v>
      </c>
      <c r="W911" s="41"/>
      <c r="X911" s="27"/>
      <c r="Y911" s="27"/>
      <c r="Z911" s="27"/>
      <c r="AA911" s="15"/>
      <c r="AB911" s="17"/>
      <c r="AC911" s="17"/>
      <c r="AD911" s="17"/>
      <c r="AE911" s="90"/>
      <c r="AF911" s="82" t="str">
        <f t="shared" si="223"/>
        <v/>
      </c>
      <c r="AG911" s="83" t="str">
        <f t="shared" si="224"/>
        <v/>
      </c>
      <c r="AH911" s="82" t="str">
        <f t="shared" si="225"/>
        <v/>
      </c>
      <c r="AI911" s="82" t="str">
        <f t="shared" si="226"/>
        <v/>
      </c>
      <c r="AJ911" s="90"/>
      <c r="AP911" s="88"/>
    </row>
    <row r="912" spans="1:42" x14ac:dyDescent="0.25">
      <c r="A912" s="2"/>
      <c r="C912" s="68" t="str" cm="1">
        <f t="array" ref="C912">IF(AF912&lt;&gt;"",
IFERROR(INDEX('LaunchPad Markbook'!A:A,MATCH(AH912,'LaunchPad Markbook'!D:D,0),0),"-"),"")</f>
        <v/>
      </c>
      <c r="D912" s="27"/>
      <c r="E912" s="27"/>
      <c r="F912" s="27"/>
      <c r="G912" s="14">
        <f>IF(OR(H912&gt;AB$2,I912&gt;AC$2,J912&gt;AD$2,
P912&gt;1,V912&gt;1,
L912&gt;'Group List A'!E$2,M912&gt;'Group List A'!F$2,N912&gt;'Group List A'!G$2,
R912&gt;'Group List B'!E$2,S912&gt;'Group List B'!F$2,T912&gt;'Group List B'!G$2),"Exceed",
IF(OR(H912=AB$2,I912=AC$2,J912=AD$2,
P912=1,V912=1,
L912='Group List A'!E$2,M912='Group List A'!F$2,N912='Group List A'!G$2,
R912='Group List B'!E$2,S912='Group List B'!F$2,T912='Group List B'!G$2),"Limit",0))</f>
        <v>0</v>
      </c>
      <c r="H912" s="29">
        <f t="shared" si="212"/>
        <v>0</v>
      </c>
      <c r="I912" s="29">
        <f t="shared" si="213"/>
        <v>0</v>
      </c>
      <c r="J912" s="29">
        <f t="shared" si="214"/>
        <v>0</v>
      </c>
      <c r="K912" s="32" t="str" cm="1">
        <f t="array" ref="K912">IF(AF912&lt;&gt;"",IFERROR(INDEX('Group List A'!B:B,MATCH(AI912,'Group List A'!A:A,0),0),"-"),"")</f>
        <v/>
      </c>
      <c r="L912" s="33">
        <f t="shared" si="215"/>
        <v>0</v>
      </c>
      <c r="M912" s="33">
        <f t="shared" si="216"/>
        <v>0</v>
      </c>
      <c r="N912" s="33">
        <f t="shared" si="217"/>
        <v>0</v>
      </c>
      <c r="O912" s="28"/>
      <c r="P912" s="33">
        <f t="shared" si="218"/>
        <v>0</v>
      </c>
      <c r="Q912" s="35" t="str" cm="1">
        <f t="array" ref="Q912">IF(AF912&lt;&gt;"",IFERROR(INDEX('Group List B'!B:B,MATCH(AI912,'Group List B'!A:A,0),0),"-"),"")</f>
        <v/>
      </c>
      <c r="R912" s="36">
        <f t="shared" si="219"/>
        <v>0</v>
      </c>
      <c r="S912" s="36">
        <f t="shared" si="220"/>
        <v>0</v>
      </c>
      <c r="T912" s="36">
        <f t="shared" si="221"/>
        <v>0</v>
      </c>
      <c r="U912" s="28"/>
      <c r="V912" s="37">
        <f t="shared" si="222"/>
        <v>0</v>
      </c>
      <c r="W912" s="41"/>
      <c r="X912" s="27"/>
      <c r="Y912" s="27"/>
      <c r="Z912" s="27"/>
      <c r="AA912" s="15"/>
      <c r="AB912" s="17"/>
      <c r="AC912" s="17"/>
      <c r="AD912" s="17"/>
      <c r="AE912" s="90"/>
      <c r="AF912" s="82" t="str">
        <f t="shared" si="223"/>
        <v/>
      </c>
      <c r="AG912" s="83" t="str">
        <f t="shared" si="224"/>
        <v/>
      </c>
      <c r="AH912" s="82" t="str">
        <f t="shared" si="225"/>
        <v/>
      </c>
      <c r="AI912" s="82" t="str">
        <f t="shared" si="226"/>
        <v/>
      </c>
      <c r="AJ912" s="90"/>
      <c r="AP912" s="88"/>
    </row>
    <row r="913" spans="1:42" x14ac:dyDescent="0.25">
      <c r="A913" s="2"/>
      <c r="C913" s="68" t="str" cm="1">
        <f t="array" ref="C913">IF(AF913&lt;&gt;"",
IFERROR(INDEX('LaunchPad Markbook'!A:A,MATCH(AH913,'LaunchPad Markbook'!D:D,0),0),"-"),"")</f>
        <v/>
      </c>
      <c r="D913" s="27"/>
      <c r="E913" s="27"/>
      <c r="F913" s="27"/>
      <c r="G913" s="14">
        <f>IF(OR(H913&gt;AB$2,I913&gt;AC$2,J913&gt;AD$2,
P913&gt;1,V913&gt;1,
L913&gt;'Group List A'!E$2,M913&gt;'Group List A'!F$2,N913&gt;'Group List A'!G$2,
R913&gt;'Group List B'!E$2,S913&gt;'Group List B'!F$2,T913&gt;'Group List B'!G$2),"Exceed",
IF(OR(H913=AB$2,I913=AC$2,J913=AD$2,
P913=1,V913=1,
L913='Group List A'!E$2,M913='Group List A'!F$2,N913='Group List A'!G$2,
R913='Group List B'!E$2,S913='Group List B'!F$2,T913='Group List B'!G$2),"Limit",0))</f>
        <v>0</v>
      </c>
      <c r="H913" s="29">
        <f t="shared" si="212"/>
        <v>0</v>
      </c>
      <c r="I913" s="29">
        <f t="shared" si="213"/>
        <v>0</v>
      </c>
      <c r="J913" s="29">
        <f t="shared" si="214"/>
        <v>0</v>
      </c>
      <c r="K913" s="32" t="str" cm="1">
        <f t="array" ref="K913">IF(AF913&lt;&gt;"",IFERROR(INDEX('Group List A'!B:B,MATCH(AI913,'Group List A'!A:A,0),0),"-"),"")</f>
        <v/>
      </c>
      <c r="L913" s="33">
        <f t="shared" si="215"/>
        <v>0</v>
      </c>
      <c r="M913" s="33">
        <f t="shared" si="216"/>
        <v>0</v>
      </c>
      <c r="N913" s="33">
        <f t="shared" si="217"/>
        <v>0</v>
      </c>
      <c r="O913" s="28"/>
      <c r="P913" s="33">
        <f t="shared" si="218"/>
        <v>0</v>
      </c>
      <c r="Q913" s="35" t="str" cm="1">
        <f t="array" ref="Q913">IF(AF913&lt;&gt;"",IFERROR(INDEX('Group List B'!B:B,MATCH(AI913,'Group List B'!A:A,0),0),"-"),"")</f>
        <v/>
      </c>
      <c r="R913" s="36">
        <f t="shared" si="219"/>
        <v>0</v>
      </c>
      <c r="S913" s="36">
        <f t="shared" si="220"/>
        <v>0</v>
      </c>
      <c r="T913" s="36">
        <f t="shared" si="221"/>
        <v>0</v>
      </c>
      <c r="U913" s="28"/>
      <c r="V913" s="37">
        <f t="shared" si="222"/>
        <v>0</v>
      </c>
      <c r="W913" s="41"/>
      <c r="X913" s="27"/>
      <c r="Y913" s="27"/>
      <c r="Z913" s="27"/>
      <c r="AA913" s="15"/>
      <c r="AB913" s="17"/>
      <c r="AC913" s="17"/>
      <c r="AD913" s="17"/>
      <c r="AE913" s="90"/>
      <c r="AF913" s="82" t="str">
        <f t="shared" si="223"/>
        <v/>
      </c>
      <c r="AG913" s="83" t="str">
        <f t="shared" si="224"/>
        <v/>
      </c>
      <c r="AH913" s="82" t="str">
        <f t="shared" si="225"/>
        <v/>
      </c>
      <c r="AI913" s="82" t="str">
        <f t="shared" si="226"/>
        <v/>
      </c>
      <c r="AJ913" s="90"/>
      <c r="AP913" s="88"/>
    </row>
    <row r="914" spans="1:42" x14ac:dyDescent="0.25">
      <c r="A914" s="2"/>
      <c r="C914" s="68" t="str" cm="1">
        <f t="array" ref="C914">IF(AF914&lt;&gt;"",
IFERROR(INDEX('LaunchPad Markbook'!A:A,MATCH(AH914,'LaunchPad Markbook'!D:D,0),0),"-"),"")</f>
        <v/>
      </c>
      <c r="D914" s="27"/>
      <c r="E914" s="27"/>
      <c r="F914" s="27"/>
      <c r="G914" s="14">
        <f>IF(OR(H914&gt;AB$2,I914&gt;AC$2,J914&gt;AD$2,
P914&gt;1,V914&gt;1,
L914&gt;'Group List A'!E$2,M914&gt;'Group List A'!F$2,N914&gt;'Group List A'!G$2,
R914&gt;'Group List B'!E$2,S914&gt;'Group List B'!F$2,T914&gt;'Group List B'!G$2),"Exceed",
IF(OR(H914=AB$2,I914=AC$2,J914=AD$2,
P914=1,V914=1,
L914='Group List A'!E$2,M914='Group List A'!F$2,N914='Group List A'!G$2,
R914='Group List B'!E$2,S914='Group List B'!F$2,T914='Group List B'!G$2),"Limit",0))</f>
        <v>0</v>
      </c>
      <c r="H914" s="29">
        <f t="shared" si="212"/>
        <v>0</v>
      </c>
      <c r="I914" s="29">
        <f t="shared" si="213"/>
        <v>0</v>
      </c>
      <c r="J914" s="29">
        <f t="shared" si="214"/>
        <v>0</v>
      </c>
      <c r="K914" s="32" t="str" cm="1">
        <f t="array" ref="K914">IF(AF914&lt;&gt;"",IFERROR(INDEX('Group List A'!B:B,MATCH(AI914,'Group List A'!A:A,0),0),"-"),"")</f>
        <v/>
      </c>
      <c r="L914" s="33">
        <f t="shared" si="215"/>
        <v>0</v>
      </c>
      <c r="M914" s="33">
        <f t="shared" si="216"/>
        <v>0</v>
      </c>
      <c r="N914" s="33">
        <f t="shared" si="217"/>
        <v>0</v>
      </c>
      <c r="O914" s="28"/>
      <c r="P914" s="33">
        <f t="shared" si="218"/>
        <v>0</v>
      </c>
      <c r="Q914" s="35" t="str" cm="1">
        <f t="array" ref="Q914">IF(AF914&lt;&gt;"",IFERROR(INDEX('Group List B'!B:B,MATCH(AI914,'Group List B'!A:A,0),0),"-"),"")</f>
        <v/>
      </c>
      <c r="R914" s="36">
        <f t="shared" si="219"/>
        <v>0</v>
      </c>
      <c r="S914" s="36">
        <f t="shared" si="220"/>
        <v>0</v>
      </c>
      <c r="T914" s="36">
        <f t="shared" si="221"/>
        <v>0</v>
      </c>
      <c r="U914" s="28"/>
      <c r="V914" s="37">
        <f t="shared" si="222"/>
        <v>0</v>
      </c>
      <c r="W914" s="41"/>
      <c r="X914" s="27"/>
      <c r="Y914" s="27"/>
      <c r="Z914" s="27"/>
      <c r="AA914" s="15"/>
      <c r="AB914" s="17"/>
      <c r="AC914" s="17"/>
      <c r="AD914" s="17"/>
      <c r="AE914" s="90"/>
      <c r="AF914" s="82" t="str">
        <f t="shared" si="223"/>
        <v/>
      </c>
      <c r="AG914" s="83" t="str">
        <f t="shared" si="224"/>
        <v/>
      </c>
      <c r="AH914" s="82" t="str">
        <f t="shared" si="225"/>
        <v/>
      </c>
      <c r="AI914" s="82" t="str">
        <f t="shared" si="226"/>
        <v/>
      </c>
      <c r="AJ914" s="90"/>
      <c r="AP914" s="88"/>
    </row>
    <row r="915" spans="1:42" x14ac:dyDescent="0.25">
      <c r="A915" s="2"/>
      <c r="C915" s="68" t="str" cm="1">
        <f t="array" ref="C915">IF(AF915&lt;&gt;"",
IFERROR(INDEX('LaunchPad Markbook'!A:A,MATCH(AH915,'LaunchPad Markbook'!D:D,0),0),"-"),"")</f>
        <v/>
      </c>
      <c r="D915" s="27"/>
      <c r="E915" s="27"/>
      <c r="F915" s="27"/>
      <c r="G915" s="14">
        <f>IF(OR(H915&gt;AB$2,I915&gt;AC$2,J915&gt;AD$2,
P915&gt;1,V915&gt;1,
L915&gt;'Group List A'!E$2,M915&gt;'Group List A'!F$2,N915&gt;'Group List A'!G$2,
R915&gt;'Group List B'!E$2,S915&gt;'Group List B'!F$2,T915&gt;'Group List B'!G$2),"Exceed",
IF(OR(H915=AB$2,I915=AC$2,J915=AD$2,
P915=1,V915=1,
L915='Group List A'!E$2,M915='Group List A'!F$2,N915='Group List A'!G$2,
R915='Group List B'!E$2,S915='Group List B'!F$2,T915='Group List B'!G$2),"Limit",0))</f>
        <v>0</v>
      </c>
      <c r="H915" s="29">
        <f t="shared" si="212"/>
        <v>0</v>
      </c>
      <c r="I915" s="29">
        <f t="shared" si="213"/>
        <v>0</v>
      </c>
      <c r="J915" s="29">
        <f t="shared" si="214"/>
        <v>0</v>
      </c>
      <c r="K915" s="32" t="str" cm="1">
        <f t="array" ref="K915">IF(AF915&lt;&gt;"",IFERROR(INDEX('Group List A'!B:B,MATCH(AI915,'Group List A'!A:A,0),0),"-"),"")</f>
        <v/>
      </c>
      <c r="L915" s="33">
        <f t="shared" si="215"/>
        <v>0</v>
      </c>
      <c r="M915" s="33">
        <f t="shared" si="216"/>
        <v>0</v>
      </c>
      <c r="N915" s="33">
        <f t="shared" si="217"/>
        <v>0</v>
      </c>
      <c r="O915" s="28"/>
      <c r="P915" s="33">
        <f t="shared" si="218"/>
        <v>0</v>
      </c>
      <c r="Q915" s="35" t="str" cm="1">
        <f t="array" ref="Q915">IF(AF915&lt;&gt;"",IFERROR(INDEX('Group List B'!B:B,MATCH(AI915,'Group List B'!A:A,0),0),"-"),"")</f>
        <v/>
      </c>
      <c r="R915" s="36">
        <f t="shared" si="219"/>
        <v>0</v>
      </c>
      <c r="S915" s="36">
        <f t="shared" si="220"/>
        <v>0</v>
      </c>
      <c r="T915" s="36">
        <f t="shared" si="221"/>
        <v>0</v>
      </c>
      <c r="U915" s="28"/>
      <c r="V915" s="37">
        <f t="shared" si="222"/>
        <v>0</v>
      </c>
      <c r="W915" s="41"/>
      <c r="X915" s="27"/>
      <c r="Y915" s="27"/>
      <c r="Z915" s="27"/>
      <c r="AA915" s="15"/>
      <c r="AB915" s="17"/>
      <c r="AC915" s="17"/>
      <c r="AD915" s="17"/>
      <c r="AE915" s="90"/>
      <c r="AF915" s="82" t="str">
        <f t="shared" si="223"/>
        <v/>
      </c>
      <c r="AG915" s="83" t="str">
        <f t="shared" si="224"/>
        <v/>
      </c>
      <c r="AH915" s="82" t="str">
        <f t="shared" si="225"/>
        <v/>
      </c>
      <c r="AI915" s="82" t="str">
        <f t="shared" si="226"/>
        <v/>
      </c>
      <c r="AJ915" s="90"/>
      <c r="AP915" s="88"/>
    </row>
    <row r="916" spans="1:42" x14ac:dyDescent="0.25">
      <c r="A916" s="2"/>
      <c r="C916" s="68" t="str" cm="1">
        <f t="array" ref="C916">IF(AF916&lt;&gt;"",
IFERROR(INDEX('LaunchPad Markbook'!A:A,MATCH(AH916,'LaunchPad Markbook'!D:D,0),0),"-"),"")</f>
        <v/>
      </c>
      <c r="D916" s="27"/>
      <c r="E916" s="27"/>
      <c r="F916" s="27"/>
      <c r="G916" s="14">
        <f>IF(OR(H916&gt;AB$2,I916&gt;AC$2,J916&gt;AD$2,
P916&gt;1,V916&gt;1,
L916&gt;'Group List A'!E$2,M916&gt;'Group List A'!F$2,N916&gt;'Group List A'!G$2,
R916&gt;'Group List B'!E$2,S916&gt;'Group List B'!F$2,T916&gt;'Group List B'!G$2),"Exceed",
IF(OR(H916=AB$2,I916=AC$2,J916=AD$2,
P916=1,V916=1,
L916='Group List A'!E$2,M916='Group List A'!F$2,N916='Group List A'!G$2,
R916='Group List B'!E$2,S916='Group List B'!F$2,T916='Group List B'!G$2),"Limit",0))</f>
        <v>0</v>
      </c>
      <c r="H916" s="29">
        <f t="shared" si="212"/>
        <v>0</v>
      </c>
      <c r="I916" s="29">
        <f t="shared" si="213"/>
        <v>0</v>
      </c>
      <c r="J916" s="29">
        <f t="shared" si="214"/>
        <v>0</v>
      </c>
      <c r="K916" s="32" t="str" cm="1">
        <f t="array" ref="K916">IF(AF916&lt;&gt;"",IFERROR(INDEX('Group List A'!B:B,MATCH(AI916,'Group List A'!A:A,0),0),"-"),"")</f>
        <v/>
      </c>
      <c r="L916" s="33">
        <f t="shared" si="215"/>
        <v>0</v>
      </c>
      <c r="M916" s="33">
        <f t="shared" si="216"/>
        <v>0</v>
      </c>
      <c r="N916" s="33">
        <f t="shared" si="217"/>
        <v>0</v>
      </c>
      <c r="O916" s="28"/>
      <c r="P916" s="33">
        <f t="shared" si="218"/>
        <v>0</v>
      </c>
      <c r="Q916" s="35" t="str" cm="1">
        <f t="array" ref="Q916">IF(AF916&lt;&gt;"",IFERROR(INDEX('Group List B'!B:B,MATCH(AI916,'Group List B'!A:A,0),0),"-"),"")</f>
        <v/>
      </c>
      <c r="R916" s="36">
        <f t="shared" si="219"/>
        <v>0</v>
      </c>
      <c r="S916" s="36">
        <f t="shared" si="220"/>
        <v>0</v>
      </c>
      <c r="T916" s="36">
        <f t="shared" si="221"/>
        <v>0</v>
      </c>
      <c r="U916" s="28"/>
      <c r="V916" s="37">
        <f t="shared" si="222"/>
        <v>0</v>
      </c>
      <c r="W916" s="41"/>
      <c r="X916" s="27"/>
      <c r="Y916" s="27"/>
      <c r="Z916" s="27"/>
      <c r="AA916" s="15"/>
      <c r="AB916" s="17"/>
      <c r="AC916" s="17"/>
      <c r="AD916" s="17"/>
      <c r="AE916" s="90"/>
      <c r="AF916" s="82" t="str">
        <f t="shared" si="223"/>
        <v/>
      </c>
      <c r="AG916" s="83" t="str">
        <f t="shared" si="224"/>
        <v/>
      </c>
      <c r="AH916" s="82" t="str">
        <f t="shared" si="225"/>
        <v/>
      </c>
      <c r="AI916" s="82" t="str">
        <f t="shared" si="226"/>
        <v/>
      </c>
      <c r="AJ916" s="90"/>
      <c r="AP916" s="88"/>
    </row>
    <row r="917" spans="1:42" x14ac:dyDescent="0.25">
      <c r="A917" s="2"/>
      <c r="C917" s="68" t="str" cm="1">
        <f t="array" ref="C917">IF(AF917&lt;&gt;"",
IFERROR(INDEX('LaunchPad Markbook'!A:A,MATCH(AH917,'LaunchPad Markbook'!D:D,0),0),"-"),"")</f>
        <v/>
      </c>
      <c r="D917" s="27"/>
      <c r="E917" s="27"/>
      <c r="F917" s="27"/>
      <c r="G917" s="14">
        <f>IF(OR(H917&gt;AB$2,I917&gt;AC$2,J917&gt;AD$2,
P917&gt;1,V917&gt;1,
L917&gt;'Group List A'!E$2,M917&gt;'Group List A'!F$2,N917&gt;'Group List A'!G$2,
R917&gt;'Group List B'!E$2,S917&gt;'Group List B'!F$2,T917&gt;'Group List B'!G$2),"Exceed",
IF(OR(H917=AB$2,I917=AC$2,J917=AD$2,
P917=1,V917=1,
L917='Group List A'!E$2,M917='Group List A'!F$2,N917='Group List A'!G$2,
R917='Group List B'!E$2,S917='Group List B'!F$2,T917='Group List B'!G$2),"Limit",0))</f>
        <v>0</v>
      </c>
      <c r="H917" s="29">
        <f t="shared" si="212"/>
        <v>0</v>
      </c>
      <c r="I917" s="29">
        <f t="shared" si="213"/>
        <v>0</v>
      </c>
      <c r="J917" s="29">
        <f t="shared" si="214"/>
        <v>0</v>
      </c>
      <c r="K917" s="32" t="str" cm="1">
        <f t="array" ref="K917">IF(AF917&lt;&gt;"",IFERROR(INDEX('Group List A'!B:B,MATCH(AI917,'Group List A'!A:A,0),0),"-"),"")</f>
        <v/>
      </c>
      <c r="L917" s="33">
        <f t="shared" si="215"/>
        <v>0</v>
      </c>
      <c r="M917" s="33">
        <f t="shared" si="216"/>
        <v>0</v>
      </c>
      <c r="N917" s="33">
        <f t="shared" si="217"/>
        <v>0</v>
      </c>
      <c r="O917" s="28"/>
      <c r="P917" s="33">
        <f t="shared" si="218"/>
        <v>0</v>
      </c>
      <c r="Q917" s="35" t="str" cm="1">
        <f t="array" ref="Q917">IF(AF917&lt;&gt;"",IFERROR(INDEX('Group List B'!B:B,MATCH(AI917,'Group List B'!A:A,0),0),"-"),"")</f>
        <v/>
      </c>
      <c r="R917" s="36">
        <f t="shared" si="219"/>
        <v>0</v>
      </c>
      <c r="S917" s="36">
        <f t="shared" si="220"/>
        <v>0</v>
      </c>
      <c r="T917" s="36">
        <f t="shared" si="221"/>
        <v>0</v>
      </c>
      <c r="U917" s="28"/>
      <c r="V917" s="37">
        <f t="shared" si="222"/>
        <v>0</v>
      </c>
      <c r="W917" s="41"/>
      <c r="X917" s="27"/>
      <c r="Y917" s="27"/>
      <c r="Z917" s="27"/>
      <c r="AA917" s="15"/>
      <c r="AB917" s="17"/>
      <c r="AC917" s="17"/>
      <c r="AD917" s="17"/>
      <c r="AE917" s="90"/>
      <c r="AF917" s="82" t="str">
        <f t="shared" si="223"/>
        <v/>
      </c>
      <c r="AG917" s="83" t="str">
        <f t="shared" si="224"/>
        <v/>
      </c>
      <c r="AH917" s="82" t="str">
        <f t="shared" si="225"/>
        <v/>
      </c>
      <c r="AI917" s="82" t="str">
        <f t="shared" si="226"/>
        <v/>
      </c>
      <c r="AJ917" s="90"/>
      <c r="AP917" s="88"/>
    </row>
    <row r="918" spans="1:42" x14ac:dyDescent="0.25">
      <c r="A918" s="2"/>
      <c r="C918" s="68" t="str" cm="1">
        <f t="array" ref="C918">IF(AF918&lt;&gt;"",
IFERROR(INDEX('LaunchPad Markbook'!A:A,MATCH(AH918,'LaunchPad Markbook'!D:D,0),0),"-"),"")</f>
        <v/>
      </c>
      <c r="D918" s="27"/>
      <c r="E918" s="27"/>
      <c r="F918" s="27"/>
      <c r="G918" s="14">
        <f>IF(OR(H918&gt;AB$2,I918&gt;AC$2,J918&gt;AD$2,
P918&gt;1,V918&gt;1,
L918&gt;'Group List A'!E$2,M918&gt;'Group List A'!F$2,N918&gt;'Group List A'!G$2,
R918&gt;'Group List B'!E$2,S918&gt;'Group List B'!F$2,T918&gt;'Group List B'!G$2),"Exceed",
IF(OR(H918=AB$2,I918=AC$2,J918=AD$2,
P918=1,V918=1,
L918='Group List A'!E$2,M918='Group List A'!F$2,N918='Group List A'!G$2,
R918='Group List B'!E$2,S918='Group List B'!F$2,T918='Group List B'!G$2),"Limit",0))</f>
        <v>0</v>
      </c>
      <c r="H918" s="29">
        <f t="shared" si="212"/>
        <v>0</v>
      </c>
      <c r="I918" s="29">
        <f t="shared" si="213"/>
        <v>0</v>
      </c>
      <c r="J918" s="29">
        <f t="shared" si="214"/>
        <v>0</v>
      </c>
      <c r="K918" s="32" t="str" cm="1">
        <f t="array" ref="K918">IF(AF918&lt;&gt;"",IFERROR(INDEX('Group List A'!B:B,MATCH(AI918,'Group List A'!A:A,0),0),"-"),"")</f>
        <v/>
      </c>
      <c r="L918" s="33">
        <f t="shared" si="215"/>
        <v>0</v>
      </c>
      <c r="M918" s="33">
        <f t="shared" si="216"/>
        <v>0</v>
      </c>
      <c r="N918" s="33">
        <f t="shared" si="217"/>
        <v>0</v>
      </c>
      <c r="O918" s="28"/>
      <c r="P918" s="33">
        <f t="shared" si="218"/>
        <v>0</v>
      </c>
      <c r="Q918" s="35" t="str" cm="1">
        <f t="array" ref="Q918">IF(AF918&lt;&gt;"",IFERROR(INDEX('Group List B'!B:B,MATCH(AI918,'Group List B'!A:A,0),0),"-"),"")</f>
        <v/>
      </c>
      <c r="R918" s="36">
        <f t="shared" si="219"/>
        <v>0</v>
      </c>
      <c r="S918" s="36">
        <f t="shared" si="220"/>
        <v>0</v>
      </c>
      <c r="T918" s="36">
        <f t="shared" si="221"/>
        <v>0</v>
      </c>
      <c r="U918" s="28"/>
      <c r="V918" s="37">
        <f t="shared" si="222"/>
        <v>0</v>
      </c>
      <c r="W918" s="41"/>
      <c r="X918" s="27"/>
      <c r="Y918" s="27"/>
      <c r="Z918" s="27"/>
      <c r="AA918" s="15"/>
      <c r="AB918" s="17"/>
      <c r="AC918" s="17"/>
      <c r="AD918" s="17"/>
      <c r="AE918" s="90"/>
      <c r="AF918" s="82" t="str">
        <f t="shared" si="223"/>
        <v/>
      </c>
      <c r="AG918" s="83" t="str">
        <f t="shared" si="224"/>
        <v/>
      </c>
      <c r="AH918" s="82" t="str">
        <f t="shared" si="225"/>
        <v/>
      </c>
      <c r="AI918" s="82" t="str">
        <f t="shared" si="226"/>
        <v/>
      </c>
      <c r="AJ918" s="90"/>
      <c r="AP918" s="88"/>
    </row>
    <row r="919" spans="1:42" x14ac:dyDescent="0.25">
      <c r="A919" s="2"/>
      <c r="C919" s="68" t="str" cm="1">
        <f t="array" ref="C919">IF(AF919&lt;&gt;"",
IFERROR(INDEX('LaunchPad Markbook'!A:A,MATCH(AH919,'LaunchPad Markbook'!D:D,0),0),"-"),"")</f>
        <v/>
      </c>
      <c r="D919" s="27"/>
      <c r="E919" s="27"/>
      <c r="F919" s="27"/>
      <c r="G919" s="14">
        <f>IF(OR(H919&gt;AB$2,I919&gt;AC$2,J919&gt;AD$2,
P919&gt;1,V919&gt;1,
L919&gt;'Group List A'!E$2,M919&gt;'Group List A'!F$2,N919&gt;'Group List A'!G$2,
R919&gt;'Group List B'!E$2,S919&gt;'Group List B'!F$2,T919&gt;'Group List B'!G$2),"Exceed",
IF(OR(H919=AB$2,I919=AC$2,J919=AD$2,
P919=1,V919=1,
L919='Group List A'!E$2,M919='Group List A'!F$2,N919='Group List A'!G$2,
R919='Group List B'!E$2,S919='Group List B'!F$2,T919='Group List B'!G$2),"Limit",0))</f>
        <v>0</v>
      </c>
      <c r="H919" s="29">
        <f t="shared" si="212"/>
        <v>0</v>
      </c>
      <c r="I919" s="29">
        <f t="shared" si="213"/>
        <v>0</v>
      </c>
      <c r="J919" s="29">
        <f t="shared" si="214"/>
        <v>0</v>
      </c>
      <c r="K919" s="32" t="str" cm="1">
        <f t="array" ref="K919">IF(AF919&lt;&gt;"",IFERROR(INDEX('Group List A'!B:B,MATCH(AI919,'Group List A'!A:A,0),0),"-"),"")</f>
        <v/>
      </c>
      <c r="L919" s="33">
        <f t="shared" si="215"/>
        <v>0</v>
      </c>
      <c r="M919" s="33">
        <f t="shared" si="216"/>
        <v>0</v>
      </c>
      <c r="N919" s="33">
        <f t="shared" si="217"/>
        <v>0</v>
      </c>
      <c r="O919" s="28"/>
      <c r="P919" s="33">
        <f t="shared" si="218"/>
        <v>0</v>
      </c>
      <c r="Q919" s="35" t="str" cm="1">
        <f t="array" ref="Q919">IF(AF919&lt;&gt;"",IFERROR(INDEX('Group List B'!B:B,MATCH(AI919,'Group List B'!A:A,0),0),"-"),"")</f>
        <v/>
      </c>
      <c r="R919" s="36">
        <f t="shared" si="219"/>
        <v>0</v>
      </c>
      <c r="S919" s="36">
        <f t="shared" si="220"/>
        <v>0</v>
      </c>
      <c r="T919" s="36">
        <f t="shared" si="221"/>
        <v>0</v>
      </c>
      <c r="U919" s="28"/>
      <c r="V919" s="37">
        <f t="shared" si="222"/>
        <v>0</v>
      </c>
      <c r="W919" s="41"/>
      <c r="X919" s="27"/>
      <c r="Y919" s="27"/>
      <c r="Z919" s="27"/>
      <c r="AA919" s="15"/>
      <c r="AB919" s="17"/>
      <c r="AC919" s="17"/>
      <c r="AD919" s="17"/>
      <c r="AE919" s="90"/>
      <c r="AF919" s="82" t="str">
        <f t="shared" si="223"/>
        <v/>
      </c>
      <c r="AG919" s="83" t="str">
        <f t="shared" si="224"/>
        <v/>
      </c>
      <c r="AH919" s="82" t="str">
        <f t="shared" si="225"/>
        <v/>
      </c>
      <c r="AI919" s="82" t="str">
        <f t="shared" si="226"/>
        <v/>
      </c>
      <c r="AJ919" s="90"/>
      <c r="AP919" s="88"/>
    </row>
    <row r="920" spans="1:42" x14ac:dyDescent="0.25">
      <c r="A920" s="2"/>
      <c r="C920" s="68" t="str" cm="1">
        <f t="array" ref="C920">IF(AF920&lt;&gt;"",
IFERROR(INDEX('LaunchPad Markbook'!A:A,MATCH(AH920,'LaunchPad Markbook'!D:D,0),0),"-"),"")</f>
        <v/>
      </c>
      <c r="D920" s="27"/>
      <c r="E920" s="27"/>
      <c r="F920" s="27"/>
      <c r="G920" s="14">
        <f>IF(OR(H920&gt;AB$2,I920&gt;AC$2,J920&gt;AD$2,
P920&gt;1,V920&gt;1,
L920&gt;'Group List A'!E$2,M920&gt;'Group List A'!F$2,N920&gt;'Group List A'!G$2,
R920&gt;'Group List B'!E$2,S920&gt;'Group List B'!F$2,T920&gt;'Group List B'!G$2),"Exceed",
IF(OR(H920=AB$2,I920=AC$2,J920=AD$2,
P920=1,V920=1,
L920='Group List A'!E$2,M920='Group List A'!F$2,N920='Group List A'!G$2,
R920='Group List B'!E$2,S920='Group List B'!F$2,T920='Group List B'!G$2),"Limit",0))</f>
        <v>0</v>
      </c>
      <c r="H920" s="29">
        <f t="shared" si="212"/>
        <v>0</v>
      </c>
      <c r="I920" s="29">
        <f t="shared" si="213"/>
        <v>0</v>
      </c>
      <c r="J920" s="29">
        <f t="shared" si="214"/>
        <v>0</v>
      </c>
      <c r="K920" s="32" t="str" cm="1">
        <f t="array" ref="K920">IF(AF920&lt;&gt;"",IFERROR(INDEX('Group List A'!B:B,MATCH(AI920,'Group List A'!A:A,0),0),"-"),"")</f>
        <v/>
      </c>
      <c r="L920" s="33">
        <f t="shared" si="215"/>
        <v>0</v>
      </c>
      <c r="M920" s="33">
        <f t="shared" si="216"/>
        <v>0</v>
      </c>
      <c r="N920" s="33">
        <f t="shared" si="217"/>
        <v>0</v>
      </c>
      <c r="O920" s="28"/>
      <c r="P920" s="33">
        <f t="shared" si="218"/>
        <v>0</v>
      </c>
      <c r="Q920" s="35" t="str" cm="1">
        <f t="array" ref="Q920">IF(AF920&lt;&gt;"",IFERROR(INDEX('Group List B'!B:B,MATCH(AI920,'Group List B'!A:A,0),0),"-"),"")</f>
        <v/>
      </c>
      <c r="R920" s="36">
        <f t="shared" si="219"/>
        <v>0</v>
      </c>
      <c r="S920" s="36">
        <f t="shared" si="220"/>
        <v>0</v>
      </c>
      <c r="T920" s="36">
        <f t="shared" si="221"/>
        <v>0</v>
      </c>
      <c r="U920" s="28"/>
      <c r="V920" s="37">
        <f t="shared" si="222"/>
        <v>0</v>
      </c>
      <c r="W920" s="41"/>
      <c r="X920" s="27"/>
      <c r="Y920" s="27"/>
      <c r="Z920" s="27"/>
      <c r="AA920" s="15"/>
      <c r="AB920" s="17"/>
      <c r="AC920" s="17"/>
      <c r="AD920" s="17"/>
      <c r="AE920" s="90"/>
      <c r="AF920" s="82" t="str">
        <f t="shared" si="223"/>
        <v/>
      </c>
      <c r="AG920" s="83" t="str">
        <f t="shared" si="224"/>
        <v/>
      </c>
      <c r="AH920" s="82" t="str">
        <f t="shared" si="225"/>
        <v/>
      </c>
      <c r="AI920" s="82" t="str">
        <f t="shared" si="226"/>
        <v/>
      </c>
      <c r="AJ920" s="90"/>
      <c r="AP920" s="88"/>
    </row>
    <row r="921" spans="1:42" x14ac:dyDescent="0.25">
      <c r="A921" s="2"/>
      <c r="C921" s="68" t="str" cm="1">
        <f t="array" ref="C921">IF(AF921&lt;&gt;"",
IFERROR(INDEX('LaunchPad Markbook'!A:A,MATCH(AH921,'LaunchPad Markbook'!D:D,0),0),"-"),"")</f>
        <v/>
      </c>
      <c r="D921" s="27"/>
      <c r="E921" s="27"/>
      <c r="F921" s="27"/>
      <c r="G921" s="14">
        <f>IF(OR(H921&gt;AB$2,I921&gt;AC$2,J921&gt;AD$2,
P921&gt;1,V921&gt;1,
L921&gt;'Group List A'!E$2,M921&gt;'Group List A'!F$2,N921&gt;'Group List A'!G$2,
R921&gt;'Group List B'!E$2,S921&gt;'Group List B'!F$2,T921&gt;'Group List B'!G$2),"Exceed",
IF(OR(H921=AB$2,I921=AC$2,J921=AD$2,
P921=1,V921=1,
L921='Group List A'!E$2,M921='Group List A'!F$2,N921='Group List A'!G$2,
R921='Group List B'!E$2,S921='Group List B'!F$2,T921='Group List B'!G$2),"Limit",0))</f>
        <v>0</v>
      </c>
      <c r="H921" s="29">
        <f t="shared" si="212"/>
        <v>0</v>
      </c>
      <c r="I921" s="29">
        <f t="shared" si="213"/>
        <v>0</v>
      </c>
      <c r="J921" s="29">
        <f t="shared" si="214"/>
        <v>0</v>
      </c>
      <c r="K921" s="32" t="str" cm="1">
        <f t="array" ref="K921">IF(AF921&lt;&gt;"",IFERROR(INDEX('Group List A'!B:B,MATCH(AI921,'Group List A'!A:A,0),0),"-"),"")</f>
        <v/>
      </c>
      <c r="L921" s="33">
        <f t="shared" si="215"/>
        <v>0</v>
      </c>
      <c r="M921" s="33">
        <f t="shared" si="216"/>
        <v>0</v>
      </c>
      <c r="N921" s="33">
        <f t="shared" si="217"/>
        <v>0</v>
      </c>
      <c r="O921" s="28"/>
      <c r="P921" s="33">
        <f t="shared" si="218"/>
        <v>0</v>
      </c>
      <c r="Q921" s="35" t="str" cm="1">
        <f t="array" ref="Q921">IF(AF921&lt;&gt;"",IFERROR(INDEX('Group List B'!B:B,MATCH(AI921,'Group List B'!A:A,0),0),"-"),"")</f>
        <v/>
      </c>
      <c r="R921" s="36">
        <f t="shared" si="219"/>
        <v>0</v>
      </c>
      <c r="S921" s="36">
        <f t="shared" si="220"/>
        <v>0</v>
      </c>
      <c r="T921" s="36">
        <f t="shared" si="221"/>
        <v>0</v>
      </c>
      <c r="U921" s="28"/>
      <c r="V921" s="37">
        <f t="shared" si="222"/>
        <v>0</v>
      </c>
      <c r="W921" s="41"/>
      <c r="X921" s="27"/>
      <c r="Y921" s="27"/>
      <c r="Z921" s="27"/>
      <c r="AA921" s="15"/>
      <c r="AB921" s="17"/>
      <c r="AC921" s="17"/>
      <c r="AD921" s="17"/>
      <c r="AE921" s="90"/>
      <c r="AF921" s="82" t="str">
        <f t="shared" si="223"/>
        <v/>
      </c>
      <c r="AG921" s="83" t="str">
        <f t="shared" si="224"/>
        <v/>
      </c>
      <c r="AH921" s="82" t="str">
        <f t="shared" si="225"/>
        <v/>
      </c>
      <c r="AI921" s="82" t="str">
        <f t="shared" si="226"/>
        <v/>
      </c>
      <c r="AJ921" s="90"/>
      <c r="AP921" s="88"/>
    </row>
    <row r="922" spans="1:42" x14ac:dyDescent="0.25">
      <c r="A922" s="2"/>
      <c r="C922" s="68" t="str" cm="1">
        <f t="array" ref="C922">IF(AF922&lt;&gt;"",
IFERROR(INDEX('LaunchPad Markbook'!A:A,MATCH(AH922,'LaunchPad Markbook'!D:D,0),0),"-"),"")</f>
        <v/>
      </c>
      <c r="D922" s="27"/>
      <c r="E922" s="27"/>
      <c r="F922" s="27"/>
      <c r="G922" s="14">
        <f>IF(OR(H922&gt;AB$2,I922&gt;AC$2,J922&gt;AD$2,
P922&gt;1,V922&gt;1,
L922&gt;'Group List A'!E$2,M922&gt;'Group List A'!F$2,N922&gt;'Group List A'!G$2,
R922&gt;'Group List B'!E$2,S922&gt;'Group List B'!F$2,T922&gt;'Group List B'!G$2),"Exceed",
IF(OR(H922=AB$2,I922=AC$2,J922=AD$2,
P922=1,V922=1,
L922='Group List A'!E$2,M922='Group List A'!F$2,N922='Group List A'!G$2,
R922='Group List B'!E$2,S922='Group List B'!F$2,T922='Group List B'!G$2),"Limit",0))</f>
        <v>0</v>
      </c>
      <c r="H922" s="29">
        <f t="shared" si="212"/>
        <v>0</v>
      </c>
      <c r="I922" s="29">
        <f t="shared" si="213"/>
        <v>0</v>
      </c>
      <c r="J922" s="29">
        <f t="shared" si="214"/>
        <v>0</v>
      </c>
      <c r="K922" s="32" t="str" cm="1">
        <f t="array" ref="K922">IF(AF922&lt;&gt;"",IFERROR(INDEX('Group List A'!B:B,MATCH(AI922,'Group List A'!A:A,0),0),"-"),"")</f>
        <v/>
      </c>
      <c r="L922" s="33">
        <f t="shared" si="215"/>
        <v>0</v>
      </c>
      <c r="M922" s="33">
        <f t="shared" si="216"/>
        <v>0</v>
      </c>
      <c r="N922" s="33">
        <f t="shared" si="217"/>
        <v>0</v>
      </c>
      <c r="O922" s="28"/>
      <c r="P922" s="33">
        <f t="shared" si="218"/>
        <v>0</v>
      </c>
      <c r="Q922" s="35" t="str" cm="1">
        <f t="array" ref="Q922">IF(AF922&lt;&gt;"",IFERROR(INDEX('Group List B'!B:B,MATCH(AI922,'Group List B'!A:A,0),0),"-"),"")</f>
        <v/>
      </c>
      <c r="R922" s="36">
        <f t="shared" si="219"/>
        <v>0</v>
      </c>
      <c r="S922" s="36">
        <f t="shared" si="220"/>
        <v>0</v>
      </c>
      <c r="T922" s="36">
        <f t="shared" si="221"/>
        <v>0</v>
      </c>
      <c r="U922" s="28"/>
      <c r="V922" s="37">
        <f t="shared" si="222"/>
        <v>0</v>
      </c>
      <c r="W922" s="41"/>
      <c r="X922" s="27"/>
      <c r="Y922" s="27"/>
      <c r="Z922" s="27"/>
      <c r="AA922" s="15"/>
      <c r="AB922" s="17"/>
      <c r="AC922" s="17"/>
      <c r="AD922" s="17"/>
      <c r="AE922" s="90"/>
      <c r="AF922" s="82" t="str">
        <f t="shared" si="223"/>
        <v/>
      </c>
      <c r="AG922" s="83" t="str">
        <f t="shared" si="224"/>
        <v/>
      </c>
      <c r="AH922" s="82" t="str">
        <f t="shared" si="225"/>
        <v/>
      </c>
      <c r="AI922" s="82" t="str">
        <f t="shared" si="226"/>
        <v/>
      </c>
      <c r="AJ922" s="90"/>
      <c r="AP922" s="88"/>
    </row>
    <row r="923" spans="1:42" x14ac:dyDescent="0.25">
      <c r="A923" s="2"/>
      <c r="C923" s="68" t="str" cm="1">
        <f t="array" ref="C923">IF(AF923&lt;&gt;"",
IFERROR(INDEX('LaunchPad Markbook'!A:A,MATCH(AH923,'LaunchPad Markbook'!D:D,0),0),"-"),"")</f>
        <v/>
      </c>
      <c r="D923" s="27"/>
      <c r="E923" s="27"/>
      <c r="F923" s="27"/>
      <c r="G923" s="14">
        <f>IF(OR(H923&gt;AB$2,I923&gt;AC$2,J923&gt;AD$2,
P923&gt;1,V923&gt;1,
L923&gt;'Group List A'!E$2,M923&gt;'Group List A'!F$2,N923&gt;'Group List A'!G$2,
R923&gt;'Group List B'!E$2,S923&gt;'Group List B'!F$2,T923&gt;'Group List B'!G$2),"Exceed",
IF(OR(H923=AB$2,I923=AC$2,J923=AD$2,
P923=1,V923=1,
L923='Group List A'!E$2,M923='Group List A'!F$2,N923='Group List A'!G$2,
R923='Group List B'!E$2,S923='Group List B'!F$2,T923='Group List B'!G$2),"Limit",0))</f>
        <v>0</v>
      </c>
      <c r="H923" s="29">
        <f t="shared" si="212"/>
        <v>0</v>
      </c>
      <c r="I923" s="29">
        <f t="shared" si="213"/>
        <v>0</v>
      </c>
      <c r="J923" s="29">
        <f t="shared" si="214"/>
        <v>0</v>
      </c>
      <c r="K923" s="32" t="str" cm="1">
        <f t="array" ref="K923">IF(AF923&lt;&gt;"",IFERROR(INDEX('Group List A'!B:B,MATCH(AI923,'Group List A'!A:A,0),0),"-"),"")</f>
        <v/>
      </c>
      <c r="L923" s="33">
        <f t="shared" si="215"/>
        <v>0</v>
      </c>
      <c r="M923" s="33">
        <f t="shared" si="216"/>
        <v>0</v>
      </c>
      <c r="N923" s="33">
        <f t="shared" si="217"/>
        <v>0</v>
      </c>
      <c r="O923" s="28"/>
      <c r="P923" s="33">
        <f t="shared" si="218"/>
        <v>0</v>
      </c>
      <c r="Q923" s="35" t="str" cm="1">
        <f t="array" ref="Q923">IF(AF923&lt;&gt;"",IFERROR(INDEX('Group List B'!B:B,MATCH(AI923,'Group List B'!A:A,0),0),"-"),"")</f>
        <v/>
      </c>
      <c r="R923" s="36">
        <f t="shared" si="219"/>
        <v>0</v>
      </c>
      <c r="S923" s="36">
        <f t="shared" si="220"/>
        <v>0</v>
      </c>
      <c r="T923" s="36">
        <f t="shared" si="221"/>
        <v>0</v>
      </c>
      <c r="U923" s="28"/>
      <c r="V923" s="37">
        <f t="shared" si="222"/>
        <v>0</v>
      </c>
      <c r="W923" s="41"/>
      <c r="X923" s="27"/>
      <c r="Y923" s="27"/>
      <c r="Z923" s="27"/>
      <c r="AA923" s="15"/>
      <c r="AB923" s="17"/>
      <c r="AC923" s="17"/>
      <c r="AD923" s="17"/>
      <c r="AE923" s="90"/>
      <c r="AF923" s="82" t="str">
        <f t="shared" si="223"/>
        <v/>
      </c>
      <c r="AG923" s="83" t="str">
        <f t="shared" si="224"/>
        <v/>
      </c>
      <c r="AH923" s="82" t="str">
        <f t="shared" si="225"/>
        <v/>
      </c>
      <c r="AI923" s="82" t="str">
        <f t="shared" si="226"/>
        <v/>
      </c>
      <c r="AJ923" s="90"/>
      <c r="AP923" s="88"/>
    </row>
    <row r="924" spans="1:42" x14ac:dyDescent="0.25">
      <c r="A924" s="2"/>
      <c r="C924" s="68" t="str" cm="1">
        <f t="array" ref="C924">IF(AF924&lt;&gt;"",
IFERROR(INDEX('LaunchPad Markbook'!A:A,MATCH(AH924,'LaunchPad Markbook'!D:D,0),0),"-"),"")</f>
        <v/>
      </c>
      <c r="D924" s="27"/>
      <c r="E924" s="27"/>
      <c r="F924" s="27"/>
      <c r="G924" s="14">
        <f>IF(OR(H924&gt;AB$2,I924&gt;AC$2,J924&gt;AD$2,
P924&gt;1,V924&gt;1,
L924&gt;'Group List A'!E$2,M924&gt;'Group List A'!F$2,N924&gt;'Group List A'!G$2,
R924&gt;'Group List B'!E$2,S924&gt;'Group List B'!F$2,T924&gt;'Group List B'!G$2),"Exceed",
IF(OR(H924=AB$2,I924=AC$2,J924=AD$2,
P924=1,V924=1,
L924='Group List A'!E$2,M924='Group List A'!F$2,N924='Group List A'!G$2,
R924='Group List B'!E$2,S924='Group List B'!F$2,T924='Group List B'!G$2),"Limit",0))</f>
        <v>0</v>
      </c>
      <c r="H924" s="29">
        <f t="shared" si="212"/>
        <v>0</v>
      </c>
      <c r="I924" s="29">
        <f t="shared" si="213"/>
        <v>0</v>
      </c>
      <c r="J924" s="29">
        <f t="shared" si="214"/>
        <v>0</v>
      </c>
      <c r="K924" s="32" t="str" cm="1">
        <f t="array" ref="K924">IF(AF924&lt;&gt;"",IFERROR(INDEX('Group List A'!B:B,MATCH(AI924,'Group List A'!A:A,0),0),"-"),"")</f>
        <v/>
      </c>
      <c r="L924" s="33">
        <f t="shared" si="215"/>
        <v>0</v>
      </c>
      <c r="M924" s="33">
        <f t="shared" si="216"/>
        <v>0</v>
      </c>
      <c r="N924" s="33">
        <f t="shared" si="217"/>
        <v>0</v>
      </c>
      <c r="O924" s="28"/>
      <c r="P924" s="33">
        <f t="shared" si="218"/>
        <v>0</v>
      </c>
      <c r="Q924" s="35" t="str" cm="1">
        <f t="array" ref="Q924">IF(AF924&lt;&gt;"",IFERROR(INDEX('Group List B'!B:B,MATCH(AI924,'Group List B'!A:A,0),0),"-"),"")</f>
        <v/>
      </c>
      <c r="R924" s="36">
        <f t="shared" si="219"/>
        <v>0</v>
      </c>
      <c r="S924" s="36">
        <f t="shared" si="220"/>
        <v>0</v>
      </c>
      <c r="T924" s="36">
        <f t="shared" si="221"/>
        <v>0</v>
      </c>
      <c r="U924" s="28"/>
      <c r="V924" s="37">
        <f t="shared" si="222"/>
        <v>0</v>
      </c>
      <c r="W924" s="41"/>
      <c r="X924" s="27"/>
      <c r="Y924" s="27"/>
      <c r="Z924" s="27"/>
      <c r="AA924" s="15"/>
      <c r="AB924" s="17"/>
      <c r="AC924" s="17"/>
      <c r="AD924" s="17"/>
      <c r="AE924" s="90"/>
      <c r="AF924" s="82" t="str">
        <f t="shared" si="223"/>
        <v/>
      </c>
      <c r="AG924" s="83" t="str">
        <f t="shared" si="224"/>
        <v/>
      </c>
      <c r="AH924" s="82" t="str">
        <f t="shared" si="225"/>
        <v/>
      </c>
      <c r="AI924" s="82" t="str">
        <f t="shared" si="226"/>
        <v/>
      </c>
      <c r="AJ924" s="90"/>
      <c r="AP924" s="88"/>
    </row>
    <row r="925" spans="1:42" x14ac:dyDescent="0.25">
      <c r="A925" s="2"/>
      <c r="C925" s="68" t="str" cm="1">
        <f t="array" ref="C925">IF(AF925&lt;&gt;"",
IFERROR(INDEX('LaunchPad Markbook'!A:A,MATCH(AH925,'LaunchPad Markbook'!D:D,0),0),"-"),"")</f>
        <v/>
      </c>
      <c r="D925" s="27"/>
      <c r="E925" s="27"/>
      <c r="F925" s="27"/>
      <c r="G925" s="14">
        <f>IF(OR(H925&gt;AB$2,I925&gt;AC$2,J925&gt;AD$2,
P925&gt;1,V925&gt;1,
L925&gt;'Group List A'!E$2,M925&gt;'Group List A'!F$2,N925&gt;'Group List A'!G$2,
R925&gt;'Group List B'!E$2,S925&gt;'Group List B'!F$2,T925&gt;'Group List B'!G$2),"Exceed",
IF(OR(H925=AB$2,I925=AC$2,J925=AD$2,
P925=1,V925=1,
L925='Group List A'!E$2,M925='Group List A'!F$2,N925='Group List A'!G$2,
R925='Group List B'!E$2,S925='Group List B'!F$2,T925='Group List B'!G$2),"Limit",0))</f>
        <v>0</v>
      </c>
      <c r="H925" s="29">
        <f t="shared" si="212"/>
        <v>0</v>
      </c>
      <c r="I925" s="29">
        <f t="shared" si="213"/>
        <v>0</v>
      </c>
      <c r="J925" s="29">
        <f t="shared" si="214"/>
        <v>0</v>
      </c>
      <c r="K925" s="32" t="str" cm="1">
        <f t="array" ref="K925">IF(AF925&lt;&gt;"",IFERROR(INDEX('Group List A'!B:B,MATCH(AI925,'Group List A'!A:A,0),0),"-"),"")</f>
        <v/>
      </c>
      <c r="L925" s="33">
        <f t="shared" si="215"/>
        <v>0</v>
      </c>
      <c r="M925" s="33">
        <f t="shared" si="216"/>
        <v>0</v>
      </c>
      <c r="N925" s="33">
        <f t="shared" si="217"/>
        <v>0</v>
      </c>
      <c r="O925" s="28"/>
      <c r="P925" s="33">
        <f t="shared" si="218"/>
        <v>0</v>
      </c>
      <c r="Q925" s="35" t="str" cm="1">
        <f t="array" ref="Q925">IF(AF925&lt;&gt;"",IFERROR(INDEX('Group List B'!B:B,MATCH(AI925,'Group List B'!A:A,0),0),"-"),"")</f>
        <v/>
      </c>
      <c r="R925" s="36">
        <f t="shared" si="219"/>
        <v>0</v>
      </c>
      <c r="S925" s="36">
        <f t="shared" si="220"/>
        <v>0</v>
      </c>
      <c r="T925" s="36">
        <f t="shared" si="221"/>
        <v>0</v>
      </c>
      <c r="U925" s="28"/>
      <c r="V925" s="37">
        <f t="shared" si="222"/>
        <v>0</v>
      </c>
      <c r="W925" s="41"/>
      <c r="X925" s="27"/>
      <c r="Y925" s="27"/>
      <c r="Z925" s="27"/>
      <c r="AA925" s="15"/>
      <c r="AB925" s="17"/>
      <c r="AC925" s="17"/>
      <c r="AD925" s="17"/>
      <c r="AE925" s="90"/>
      <c r="AF925" s="82" t="str">
        <f t="shared" si="223"/>
        <v/>
      </c>
      <c r="AG925" s="83" t="str">
        <f t="shared" si="224"/>
        <v/>
      </c>
      <c r="AH925" s="82" t="str">
        <f t="shared" si="225"/>
        <v/>
      </c>
      <c r="AI925" s="82" t="str">
        <f t="shared" si="226"/>
        <v/>
      </c>
      <c r="AJ925" s="90"/>
      <c r="AP925" s="88"/>
    </row>
    <row r="926" spans="1:42" x14ac:dyDescent="0.25">
      <c r="A926" s="2"/>
      <c r="C926" s="68" t="str" cm="1">
        <f t="array" ref="C926">IF(AF926&lt;&gt;"",
IFERROR(INDEX('LaunchPad Markbook'!A:A,MATCH(AH926,'LaunchPad Markbook'!D:D,0),0),"-"),"")</f>
        <v/>
      </c>
      <c r="D926" s="27"/>
      <c r="E926" s="27"/>
      <c r="F926" s="27"/>
      <c r="G926" s="14">
        <f>IF(OR(H926&gt;AB$2,I926&gt;AC$2,J926&gt;AD$2,
P926&gt;1,V926&gt;1,
L926&gt;'Group List A'!E$2,M926&gt;'Group List A'!F$2,N926&gt;'Group List A'!G$2,
R926&gt;'Group List B'!E$2,S926&gt;'Group List B'!F$2,T926&gt;'Group List B'!G$2),"Exceed",
IF(OR(H926=AB$2,I926=AC$2,J926=AD$2,
P926=1,V926=1,
L926='Group List A'!E$2,M926='Group List A'!F$2,N926='Group List A'!G$2,
R926='Group List B'!E$2,S926='Group List B'!F$2,T926='Group List B'!G$2),"Limit",0))</f>
        <v>0</v>
      </c>
      <c r="H926" s="29">
        <f t="shared" si="212"/>
        <v>0</v>
      </c>
      <c r="I926" s="29">
        <f t="shared" si="213"/>
        <v>0</v>
      </c>
      <c r="J926" s="29">
        <f t="shared" si="214"/>
        <v>0</v>
      </c>
      <c r="K926" s="32" t="str" cm="1">
        <f t="array" ref="K926">IF(AF926&lt;&gt;"",IFERROR(INDEX('Group List A'!B:B,MATCH(AI926,'Group List A'!A:A,0),0),"-"),"")</f>
        <v/>
      </c>
      <c r="L926" s="33">
        <f t="shared" si="215"/>
        <v>0</v>
      </c>
      <c r="M926" s="33">
        <f t="shared" si="216"/>
        <v>0</v>
      </c>
      <c r="N926" s="33">
        <f t="shared" si="217"/>
        <v>0</v>
      </c>
      <c r="O926" s="28"/>
      <c r="P926" s="33">
        <f t="shared" si="218"/>
        <v>0</v>
      </c>
      <c r="Q926" s="35" t="str" cm="1">
        <f t="array" ref="Q926">IF(AF926&lt;&gt;"",IFERROR(INDEX('Group List B'!B:B,MATCH(AI926,'Group List B'!A:A,0),0),"-"),"")</f>
        <v/>
      </c>
      <c r="R926" s="36">
        <f t="shared" si="219"/>
        <v>0</v>
      </c>
      <c r="S926" s="36">
        <f t="shared" si="220"/>
        <v>0</v>
      </c>
      <c r="T926" s="36">
        <f t="shared" si="221"/>
        <v>0</v>
      </c>
      <c r="U926" s="28"/>
      <c r="V926" s="37">
        <f t="shared" si="222"/>
        <v>0</v>
      </c>
      <c r="W926" s="41"/>
      <c r="X926" s="27"/>
      <c r="Y926" s="27"/>
      <c r="Z926" s="27"/>
      <c r="AA926" s="15"/>
      <c r="AB926" s="17"/>
      <c r="AC926" s="17"/>
      <c r="AD926" s="17"/>
      <c r="AE926" s="90"/>
      <c r="AF926" s="82" t="str">
        <f t="shared" si="223"/>
        <v/>
      </c>
      <c r="AG926" s="83" t="str">
        <f t="shared" si="224"/>
        <v/>
      </c>
      <c r="AH926" s="82" t="str">
        <f t="shared" si="225"/>
        <v/>
      </c>
      <c r="AI926" s="82" t="str">
        <f t="shared" si="226"/>
        <v/>
      </c>
      <c r="AJ926" s="90"/>
      <c r="AP926" s="88"/>
    </row>
    <row r="927" spans="1:42" x14ac:dyDescent="0.25">
      <c r="A927" s="2"/>
      <c r="C927" s="68" t="str" cm="1">
        <f t="array" ref="C927">IF(AF927&lt;&gt;"",
IFERROR(INDEX('LaunchPad Markbook'!A:A,MATCH(AH927,'LaunchPad Markbook'!D:D,0),0),"-"),"")</f>
        <v/>
      </c>
      <c r="D927" s="27"/>
      <c r="E927" s="27"/>
      <c r="F927" s="27"/>
      <c r="G927" s="14">
        <f>IF(OR(H927&gt;AB$2,I927&gt;AC$2,J927&gt;AD$2,
P927&gt;1,V927&gt;1,
L927&gt;'Group List A'!E$2,M927&gt;'Group List A'!F$2,N927&gt;'Group List A'!G$2,
R927&gt;'Group List B'!E$2,S927&gt;'Group List B'!F$2,T927&gt;'Group List B'!G$2),"Exceed",
IF(OR(H927=AB$2,I927=AC$2,J927=AD$2,
P927=1,V927=1,
L927='Group List A'!E$2,M927='Group List A'!F$2,N927='Group List A'!G$2,
R927='Group List B'!E$2,S927='Group List B'!F$2,T927='Group List B'!G$2),"Limit",0))</f>
        <v>0</v>
      </c>
      <c r="H927" s="29">
        <f t="shared" si="212"/>
        <v>0</v>
      </c>
      <c r="I927" s="29">
        <f t="shared" si="213"/>
        <v>0</v>
      </c>
      <c r="J927" s="29">
        <f t="shared" si="214"/>
        <v>0</v>
      </c>
      <c r="K927" s="32" t="str" cm="1">
        <f t="array" ref="K927">IF(AF927&lt;&gt;"",IFERROR(INDEX('Group List A'!B:B,MATCH(AI927,'Group List A'!A:A,0),0),"-"),"")</f>
        <v/>
      </c>
      <c r="L927" s="33">
        <f t="shared" si="215"/>
        <v>0</v>
      </c>
      <c r="M927" s="33">
        <f t="shared" si="216"/>
        <v>0</v>
      </c>
      <c r="N927" s="33">
        <f t="shared" si="217"/>
        <v>0</v>
      </c>
      <c r="O927" s="28"/>
      <c r="P927" s="33">
        <f t="shared" si="218"/>
        <v>0</v>
      </c>
      <c r="Q927" s="35" t="str" cm="1">
        <f t="array" ref="Q927">IF(AF927&lt;&gt;"",IFERROR(INDEX('Group List B'!B:B,MATCH(AI927,'Group List B'!A:A,0),0),"-"),"")</f>
        <v/>
      </c>
      <c r="R927" s="36">
        <f t="shared" si="219"/>
        <v>0</v>
      </c>
      <c r="S927" s="36">
        <f t="shared" si="220"/>
        <v>0</v>
      </c>
      <c r="T927" s="36">
        <f t="shared" si="221"/>
        <v>0</v>
      </c>
      <c r="U927" s="28"/>
      <c r="V927" s="37">
        <f t="shared" si="222"/>
        <v>0</v>
      </c>
      <c r="W927" s="41"/>
      <c r="X927" s="27"/>
      <c r="Y927" s="27"/>
      <c r="Z927" s="27"/>
      <c r="AA927" s="15"/>
      <c r="AB927" s="17"/>
      <c r="AC927" s="17"/>
      <c r="AD927" s="17"/>
      <c r="AE927" s="90"/>
      <c r="AF927" s="82" t="str">
        <f t="shared" si="223"/>
        <v/>
      </c>
      <c r="AG927" s="83" t="str">
        <f t="shared" si="224"/>
        <v/>
      </c>
      <c r="AH927" s="82" t="str">
        <f t="shared" si="225"/>
        <v/>
      </c>
      <c r="AI927" s="82" t="str">
        <f t="shared" si="226"/>
        <v/>
      </c>
      <c r="AJ927" s="90"/>
      <c r="AP927" s="88"/>
    </row>
    <row r="928" spans="1:42" x14ac:dyDescent="0.25">
      <c r="A928" s="2"/>
      <c r="C928" s="68" t="str" cm="1">
        <f t="array" ref="C928">IF(AF928&lt;&gt;"",
IFERROR(INDEX('LaunchPad Markbook'!A:A,MATCH(AH928,'LaunchPad Markbook'!D:D,0),0),"-"),"")</f>
        <v/>
      </c>
      <c r="D928" s="27"/>
      <c r="E928" s="27"/>
      <c r="F928" s="27"/>
      <c r="G928" s="14">
        <f>IF(OR(H928&gt;AB$2,I928&gt;AC$2,J928&gt;AD$2,
P928&gt;1,V928&gt;1,
L928&gt;'Group List A'!E$2,M928&gt;'Group List A'!F$2,N928&gt;'Group List A'!G$2,
R928&gt;'Group List B'!E$2,S928&gt;'Group List B'!F$2,T928&gt;'Group List B'!G$2),"Exceed",
IF(OR(H928=AB$2,I928=AC$2,J928=AD$2,
P928=1,V928=1,
L928='Group List A'!E$2,M928='Group List A'!F$2,N928='Group List A'!G$2,
R928='Group List B'!E$2,S928='Group List B'!F$2,T928='Group List B'!G$2),"Limit",0))</f>
        <v>0</v>
      </c>
      <c r="H928" s="29">
        <f t="shared" si="212"/>
        <v>0</v>
      </c>
      <c r="I928" s="29">
        <f t="shared" si="213"/>
        <v>0</v>
      </c>
      <c r="J928" s="29">
        <f t="shared" si="214"/>
        <v>0</v>
      </c>
      <c r="K928" s="32" t="str" cm="1">
        <f t="array" ref="K928">IF(AF928&lt;&gt;"",IFERROR(INDEX('Group List A'!B:B,MATCH(AI928,'Group List A'!A:A,0),0),"-"),"")</f>
        <v/>
      </c>
      <c r="L928" s="33">
        <f t="shared" si="215"/>
        <v>0</v>
      </c>
      <c r="M928" s="33">
        <f t="shared" si="216"/>
        <v>0</v>
      </c>
      <c r="N928" s="33">
        <f t="shared" si="217"/>
        <v>0</v>
      </c>
      <c r="O928" s="28"/>
      <c r="P928" s="33">
        <f t="shared" si="218"/>
        <v>0</v>
      </c>
      <c r="Q928" s="35" t="str" cm="1">
        <f t="array" ref="Q928">IF(AF928&lt;&gt;"",IFERROR(INDEX('Group List B'!B:B,MATCH(AI928,'Group List B'!A:A,0),0),"-"),"")</f>
        <v/>
      </c>
      <c r="R928" s="36">
        <f t="shared" si="219"/>
        <v>0</v>
      </c>
      <c r="S928" s="36">
        <f t="shared" si="220"/>
        <v>0</v>
      </c>
      <c r="T928" s="36">
        <f t="shared" si="221"/>
        <v>0</v>
      </c>
      <c r="U928" s="28"/>
      <c r="V928" s="37">
        <f t="shared" si="222"/>
        <v>0</v>
      </c>
      <c r="W928" s="41"/>
      <c r="X928" s="27"/>
      <c r="Y928" s="27"/>
      <c r="Z928" s="27"/>
      <c r="AA928" s="15"/>
      <c r="AB928" s="17"/>
      <c r="AC928" s="17"/>
      <c r="AD928" s="17"/>
      <c r="AE928" s="90"/>
      <c r="AF928" s="82" t="str">
        <f t="shared" si="223"/>
        <v/>
      </c>
      <c r="AG928" s="83" t="str">
        <f t="shared" si="224"/>
        <v/>
      </c>
      <c r="AH928" s="82" t="str">
        <f t="shared" si="225"/>
        <v/>
      </c>
      <c r="AI928" s="82" t="str">
        <f t="shared" si="226"/>
        <v/>
      </c>
      <c r="AJ928" s="90"/>
      <c r="AP928" s="88"/>
    </row>
    <row r="929" spans="1:42" x14ac:dyDescent="0.25">
      <c r="A929" s="2"/>
      <c r="C929" s="68" t="str" cm="1">
        <f t="array" ref="C929">IF(AF929&lt;&gt;"",
IFERROR(INDEX('LaunchPad Markbook'!A:A,MATCH(AH929,'LaunchPad Markbook'!D:D,0),0),"-"),"")</f>
        <v/>
      </c>
      <c r="D929" s="27"/>
      <c r="E929" s="27"/>
      <c r="F929" s="27"/>
      <c r="G929" s="14">
        <f>IF(OR(H929&gt;AB$2,I929&gt;AC$2,J929&gt;AD$2,
P929&gt;1,V929&gt;1,
L929&gt;'Group List A'!E$2,M929&gt;'Group List A'!F$2,N929&gt;'Group List A'!G$2,
R929&gt;'Group List B'!E$2,S929&gt;'Group List B'!F$2,T929&gt;'Group List B'!G$2),"Exceed",
IF(OR(H929=AB$2,I929=AC$2,J929=AD$2,
P929=1,V929=1,
L929='Group List A'!E$2,M929='Group List A'!F$2,N929='Group List A'!G$2,
R929='Group List B'!E$2,S929='Group List B'!F$2,T929='Group List B'!G$2),"Limit",0))</f>
        <v>0</v>
      </c>
      <c r="H929" s="29">
        <f t="shared" si="212"/>
        <v>0</v>
      </c>
      <c r="I929" s="29">
        <f t="shared" si="213"/>
        <v>0</v>
      </c>
      <c r="J929" s="29">
        <f t="shared" si="214"/>
        <v>0</v>
      </c>
      <c r="K929" s="32" t="str" cm="1">
        <f t="array" ref="K929">IF(AF929&lt;&gt;"",IFERROR(INDEX('Group List A'!B:B,MATCH(AI929,'Group List A'!A:A,0),0),"-"),"")</f>
        <v/>
      </c>
      <c r="L929" s="33">
        <f t="shared" si="215"/>
        <v>0</v>
      </c>
      <c r="M929" s="33">
        <f t="shared" si="216"/>
        <v>0</v>
      </c>
      <c r="N929" s="33">
        <f t="shared" si="217"/>
        <v>0</v>
      </c>
      <c r="O929" s="28"/>
      <c r="P929" s="33">
        <f t="shared" si="218"/>
        <v>0</v>
      </c>
      <c r="Q929" s="35" t="str" cm="1">
        <f t="array" ref="Q929">IF(AF929&lt;&gt;"",IFERROR(INDEX('Group List B'!B:B,MATCH(AI929,'Group List B'!A:A,0),0),"-"),"")</f>
        <v/>
      </c>
      <c r="R929" s="36">
        <f t="shared" si="219"/>
        <v>0</v>
      </c>
      <c r="S929" s="36">
        <f t="shared" si="220"/>
        <v>0</v>
      </c>
      <c r="T929" s="36">
        <f t="shared" si="221"/>
        <v>0</v>
      </c>
      <c r="U929" s="28"/>
      <c r="V929" s="37">
        <f t="shared" si="222"/>
        <v>0</v>
      </c>
      <c r="W929" s="41"/>
      <c r="X929" s="27"/>
      <c r="Y929" s="27"/>
      <c r="Z929" s="27"/>
      <c r="AA929" s="15"/>
      <c r="AB929" s="17"/>
      <c r="AC929" s="17"/>
      <c r="AD929" s="17"/>
      <c r="AE929" s="90"/>
      <c r="AF929" s="82" t="str">
        <f t="shared" si="223"/>
        <v/>
      </c>
      <c r="AG929" s="83" t="str">
        <f t="shared" si="224"/>
        <v/>
      </c>
      <c r="AH929" s="82" t="str">
        <f t="shared" si="225"/>
        <v/>
      </c>
      <c r="AI929" s="82" t="str">
        <f t="shared" si="226"/>
        <v/>
      </c>
      <c r="AJ929" s="90"/>
      <c r="AP929" s="88"/>
    </row>
    <row r="930" spans="1:42" x14ac:dyDescent="0.25">
      <c r="A930" s="2"/>
      <c r="C930" s="68" t="str" cm="1">
        <f t="array" ref="C930">IF(AF930&lt;&gt;"",
IFERROR(INDEX('LaunchPad Markbook'!A:A,MATCH(AH930,'LaunchPad Markbook'!D:D,0),0),"-"),"")</f>
        <v/>
      </c>
      <c r="D930" s="27"/>
      <c r="E930" s="27"/>
      <c r="F930" s="27"/>
      <c r="G930" s="14">
        <f>IF(OR(H930&gt;AB$2,I930&gt;AC$2,J930&gt;AD$2,
P930&gt;1,V930&gt;1,
L930&gt;'Group List A'!E$2,M930&gt;'Group List A'!F$2,N930&gt;'Group List A'!G$2,
R930&gt;'Group List B'!E$2,S930&gt;'Group List B'!F$2,T930&gt;'Group List B'!G$2),"Exceed",
IF(OR(H930=AB$2,I930=AC$2,J930=AD$2,
P930=1,V930=1,
L930='Group List A'!E$2,M930='Group List A'!F$2,N930='Group List A'!G$2,
R930='Group List B'!E$2,S930='Group List B'!F$2,T930='Group List B'!G$2),"Limit",0))</f>
        <v>0</v>
      </c>
      <c r="H930" s="29">
        <f t="shared" si="212"/>
        <v>0</v>
      </c>
      <c r="I930" s="29">
        <f t="shared" si="213"/>
        <v>0</v>
      </c>
      <c r="J930" s="29">
        <f t="shared" si="214"/>
        <v>0</v>
      </c>
      <c r="K930" s="32" t="str" cm="1">
        <f t="array" ref="K930">IF(AF930&lt;&gt;"",IFERROR(INDEX('Group List A'!B:B,MATCH(AI930,'Group List A'!A:A,0),0),"-"),"")</f>
        <v/>
      </c>
      <c r="L930" s="33">
        <f t="shared" si="215"/>
        <v>0</v>
      </c>
      <c r="M930" s="33">
        <f t="shared" si="216"/>
        <v>0</v>
      </c>
      <c r="N930" s="33">
        <f t="shared" si="217"/>
        <v>0</v>
      </c>
      <c r="O930" s="28"/>
      <c r="P930" s="33">
        <f t="shared" si="218"/>
        <v>0</v>
      </c>
      <c r="Q930" s="35" t="str" cm="1">
        <f t="array" ref="Q930">IF(AF930&lt;&gt;"",IFERROR(INDEX('Group List B'!B:B,MATCH(AI930,'Group List B'!A:A,0),0),"-"),"")</f>
        <v/>
      </c>
      <c r="R930" s="36">
        <f t="shared" si="219"/>
        <v>0</v>
      </c>
      <c r="S930" s="36">
        <f t="shared" si="220"/>
        <v>0</v>
      </c>
      <c r="T930" s="36">
        <f t="shared" si="221"/>
        <v>0</v>
      </c>
      <c r="U930" s="28"/>
      <c r="V930" s="37">
        <f t="shared" si="222"/>
        <v>0</v>
      </c>
      <c r="W930" s="41"/>
      <c r="X930" s="27"/>
      <c r="Y930" s="27"/>
      <c r="Z930" s="27"/>
      <c r="AA930" s="15"/>
      <c r="AB930" s="17"/>
      <c r="AC930" s="17"/>
      <c r="AD930" s="17"/>
      <c r="AE930" s="90"/>
      <c r="AF930" s="82" t="str">
        <f t="shared" si="223"/>
        <v/>
      </c>
      <c r="AG930" s="83" t="str">
        <f t="shared" si="224"/>
        <v/>
      </c>
      <c r="AH930" s="82" t="str">
        <f t="shared" si="225"/>
        <v/>
      </c>
      <c r="AI930" s="82" t="str">
        <f t="shared" si="226"/>
        <v/>
      </c>
      <c r="AJ930" s="90"/>
      <c r="AP930" s="88"/>
    </row>
    <row r="931" spans="1:42" x14ac:dyDescent="0.25">
      <c r="A931" s="2"/>
      <c r="C931" s="68" t="str" cm="1">
        <f t="array" ref="C931">IF(AF931&lt;&gt;"",
IFERROR(INDEX('LaunchPad Markbook'!A:A,MATCH(AH931,'LaunchPad Markbook'!D:D,0),0),"-"),"")</f>
        <v/>
      </c>
      <c r="D931" s="27"/>
      <c r="E931" s="27"/>
      <c r="F931" s="27"/>
      <c r="G931" s="14">
        <f>IF(OR(H931&gt;AB$2,I931&gt;AC$2,J931&gt;AD$2,
P931&gt;1,V931&gt;1,
L931&gt;'Group List A'!E$2,M931&gt;'Group List A'!F$2,N931&gt;'Group List A'!G$2,
R931&gt;'Group List B'!E$2,S931&gt;'Group List B'!F$2,T931&gt;'Group List B'!G$2),"Exceed",
IF(OR(H931=AB$2,I931=AC$2,J931=AD$2,
P931=1,V931=1,
L931='Group List A'!E$2,M931='Group List A'!F$2,N931='Group List A'!G$2,
R931='Group List B'!E$2,S931='Group List B'!F$2,T931='Group List B'!G$2),"Limit",0))</f>
        <v>0</v>
      </c>
      <c r="H931" s="29">
        <f t="shared" si="212"/>
        <v>0</v>
      </c>
      <c r="I931" s="29">
        <f t="shared" si="213"/>
        <v>0</v>
      </c>
      <c r="J931" s="29">
        <f t="shared" si="214"/>
        <v>0</v>
      </c>
      <c r="K931" s="32" t="str" cm="1">
        <f t="array" ref="K931">IF(AF931&lt;&gt;"",IFERROR(INDEX('Group List A'!B:B,MATCH(AI931,'Group List A'!A:A,0),0),"-"),"")</f>
        <v/>
      </c>
      <c r="L931" s="33">
        <f t="shared" si="215"/>
        <v>0</v>
      </c>
      <c r="M931" s="33">
        <f t="shared" si="216"/>
        <v>0</v>
      </c>
      <c r="N931" s="33">
        <f t="shared" si="217"/>
        <v>0</v>
      </c>
      <c r="O931" s="28"/>
      <c r="P931" s="33">
        <f t="shared" si="218"/>
        <v>0</v>
      </c>
      <c r="Q931" s="35" t="str" cm="1">
        <f t="array" ref="Q931">IF(AF931&lt;&gt;"",IFERROR(INDEX('Group List B'!B:B,MATCH(AI931,'Group List B'!A:A,0),0),"-"),"")</f>
        <v/>
      </c>
      <c r="R931" s="36">
        <f t="shared" si="219"/>
        <v>0</v>
      </c>
      <c r="S931" s="36">
        <f t="shared" si="220"/>
        <v>0</v>
      </c>
      <c r="T931" s="36">
        <f t="shared" si="221"/>
        <v>0</v>
      </c>
      <c r="U931" s="28"/>
      <c r="V931" s="37">
        <f t="shared" si="222"/>
        <v>0</v>
      </c>
      <c r="W931" s="41"/>
      <c r="X931" s="27"/>
      <c r="Y931" s="27"/>
      <c r="Z931" s="27"/>
      <c r="AA931" s="15"/>
      <c r="AB931" s="17"/>
      <c r="AC931" s="17"/>
      <c r="AD931" s="17"/>
      <c r="AE931" s="90"/>
      <c r="AF931" s="82" t="str">
        <f t="shared" si="223"/>
        <v/>
      </c>
      <c r="AG931" s="83" t="str">
        <f t="shared" si="224"/>
        <v/>
      </c>
      <c r="AH931" s="82" t="str">
        <f t="shared" si="225"/>
        <v/>
      </c>
      <c r="AI931" s="82" t="str">
        <f t="shared" si="226"/>
        <v/>
      </c>
      <c r="AJ931" s="90"/>
      <c r="AP931" s="88"/>
    </row>
    <row r="932" spans="1:42" x14ac:dyDescent="0.25">
      <c r="A932" s="2"/>
      <c r="C932" s="68" t="str" cm="1">
        <f t="array" ref="C932">IF(AF932&lt;&gt;"",
IFERROR(INDEX('LaunchPad Markbook'!A:A,MATCH(AH932,'LaunchPad Markbook'!D:D,0),0),"-"),"")</f>
        <v/>
      </c>
      <c r="D932" s="27"/>
      <c r="E932" s="27"/>
      <c r="F932" s="27"/>
      <c r="G932" s="14">
        <f>IF(OR(H932&gt;AB$2,I932&gt;AC$2,J932&gt;AD$2,
P932&gt;1,V932&gt;1,
L932&gt;'Group List A'!E$2,M932&gt;'Group List A'!F$2,N932&gt;'Group List A'!G$2,
R932&gt;'Group List B'!E$2,S932&gt;'Group List B'!F$2,T932&gt;'Group List B'!G$2),"Exceed",
IF(OR(H932=AB$2,I932=AC$2,J932=AD$2,
P932=1,V932=1,
L932='Group List A'!E$2,M932='Group List A'!F$2,N932='Group List A'!G$2,
R932='Group List B'!E$2,S932='Group List B'!F$2,T932='Group List B'!G$2),"Limit",0))</f>
        <v>0</v>
      </c>
      <c r="H932" s="29">
        <f t="shared" si="212"/>
        <v>0</v>
      </c>
      <c r="I932" s="29">
        <f t="shared" si="213"/>
        <v>0</v>
      </c>
      <c r="J932" s="29">
        <f t="shared" si="214"/>
        <v>0</v>
      </c>
      <c r="K932" s="32" t="str" cm="1">
        <f t="array" ref="K932">IF(AF932&lt;&gt;"",IFERROR(INDEX('Group List A'!B:B,MATCH(AI932,'Group List A'!A:A,0),0),"-"),"")</f>
        <v/>
      </c>
      <c r="L932" s="33">
        <f t="shared" si="215"/>
        <v>0</v>
      </c>
      <c r="M932" s="33">
        <f t="shared" si="216"/>
        <v>0</v>
      </c>
      <c r="N932" s="33">
        <f t="shared" si="217"/>
        <v>0</v>
      </c>
      <c r="O932" s="28"/>
      <c r="P932" s="33">
        <f t="shared" si="218"/>
        <v>0</v>
      </c>
      <c r="Q932" s="35" t="str" cm="1">
        <f t="array" ref="Q932">IF(AF932&lt;&gt;"",IFERROR(INDEX('Group List B'!B:B,MATCH(AI932,'Group List B'!A:A,0),0),"-"),"")</f>
        <v/>
      </c>
      <c r="R932" s="36">
        <f t="shared" si="219"/>
        <v>0</v>
      </c>
      <c r="S932" s="36">
        <f t="shared" si="220"/>
        <v>0</v>
      </c>
      <c r="T932" s="36">
        <f t="shared" si="221"/>
        <v>0</v>
      </c>
      <c r="U932" s="28"/>
      <c r="V932" s="37">
        <f t="shared" si="222"/>
        <v>0</v>
      </c>
      <c r="W932" s="41"/>
      <c r="X932" s="27"/>
      <c r="Y932" s="27"/>
      <c r="Z932" s="27"/>
      <c r="AA932" s="15"/>
      <c r="AB932" s="17"/>
      <c r="AC932" s="17"/>
      <c r="AD932" s="17"/>
      <c r="AE932" s="90"/>
      <c r="AF932" s="82" t="str">
        <f t="shared" si="223"/>
        <v/>
      </c>
      <c r="AG932" s="83" t="str">
        <f t="shared" si="224"/>
        <v/>
      </c>
      <c r="AH932" s="82" t="str">
        <f t="shared" si="225"/>
        <v/>
      </c>
      <c r="AI932" s="82" t="str">
        <f t="shared" si="226"/>
        <v/>
      </c>
      <c r="AJ932" s="90"/>
      <c r="AP932" s="88"/>
    </row>
    <row r="933" spans="1:42" x14ac:dyDescent="0.25">
      <c r="A933" s="2"/>
      <c r="C933" s="68" t="str" cm="1">
        <f t="array" ref="C933">IF(AF933&lt;&gt;"",
IFERROR(INDEX('LaunchPad Markbook'!A:A,MATCH(AH933,'LaunchPad Markbook'!D:D,0),0),"-"),"")</f>
        <v/>
      </c>
      <c r="D933" s="27"/>
      <c r="E933" s="27"/>
      <c r="F933" s="27"/>
      <c r="G933" s="14">
        <f>IF(OR(H933&gt;AB$2,I933&gt;AC$2,J933&gt;AD$2,
P933&gt;1,V933&gt;1,
L933&gt;'Group List A'!E$2,M933&gt;'Group List A'!F$2,N933&gt;'Group List A'!G$2,
R933&gt;'Group List B'!E$2,S933&gt;'Group List B'!F$2,T933&gt;'Group List B'!G$2),"Exceed",
IF(OR(H933=AB$2,I933=AC$2,J933=AD$2,
P933=1,V933=1,
L933='Group List A'!E$2,M933='Group List A'!F$2,N933='Group List A'!G$2,
R933='Group List B'!E$2,S933='Group List B'!F$2,T933='Group List B'!G$2),"Limit",0))</f>
        <v>0</v>
      </c>
      <c r="H933" s="29">
        <f t="shared" si="212"/>
        <v>0</v>
      </c>
      <c r="I933" s="29">
        <f t="shared" si="213"/>
        <v>0</v>
      </c>
      <c r="J933" s="29">
        <f t="shared" si="214"/>
        <v>0</v>
      </c>
      <c r="K933" s="32" t="str" cm="1">
        <f t="array" ref="K933">IF(AF933&lt;&gt;"",IFERROR(INDEX('Group List A'!B:B,MATCH(AI933,'Group List A'!A:A,0),0),"-"),"")</f>
        <v/>
      </c>
      <c r="L933" s="33">
        <f t="shared" si="215"/>
        <v>0</v>
      </c>
      <c r="M933" s="33">
        <f t="shared" si="216"/>
        <v>0</v>
      </c>
      <c r="N933" s="33">
        <f t="shared" si="217"/>
        <v>0</v>
      </c>
      <c r="O933" s="28"/>
      <c r="P933" s="33">
        <f t="shared" si="218"/>
        <v>0</v>
      </c>
      <c r="Q933" s="35" t="str" cm="1">
        <f t="array" ref="Q933">IF(AF933&lt;&gt;"",IFERROR(INDEX('Group List B'!B:B,MATCH(AI933,'Group List B'!A:A,0),0),"-"),"")</f>
        <v/>
      </c>
      <c r="R933" s="36">
        <f t="shared" si="219"/>
        <v>0</v>
      </c>
      <c r="S933" s="36">
        <f t="shared" si="220"/>
        <v>0</v>
      </c>
      <c r="T933" s="36">
        <f t="shared" si="221"/>
        <v>0</v>
      </c>
      <c r="U933" s="28"/>
      <c r="V933" s="37">
        <f t="shared" si="222"/>
        <v>0</v>
      </c>
      <c r="W933" s="41"/>
      <c r="X933" s="27"/>
      <c r="Y933" s="27"/>
      <c r="Z933" s="27"/>
      <c r="AA933" s="15"/>
      <c r="AB933" s="17"/>
      <c r="AC933" s="17"/>
      <c r="AD933" s="17"/>
      <c r="AE933" s="90"/>
      <c r="AF933" s="82" t="str">
        <f t="shared" si="223"/>
        <v/>
      </c>
      <c r="AG933" s="83" t="str">
        <f t="shared" si="224"/>
        <v/>
      </c>
      <c r="AH933" s="82" t="str">
        <f t="shared" si="225"/>
        <v/>
      </c>
      <c r="AI933" s="82" t="str">
        <f t="shared" si="226"/>
        <v/>
      </c>
      <c r="AJ933" s="90"/>
      <c r="AP933" s="88"/>
    </row>
    <row r="934" spans="1:42" x14ac:dyDescent="0.25">
      <c r="A934" s="2"/>
      <c r="C934" s="68" t="str" cm="1">
        <f t="array" ref="C934">IF(AF934&lt;&gt;"",
IFERROR(INDEX('LaunchPad Markbook'!A:A,MATCH(AH934,'LaunchPad Markbook'!D:D,0),0),"-"),"")</f>
        <v/>
      </c>
      <c r="D934" s="27"/>
      <c r="E934" s="27"/>
      <c r="F934" s="27"/>
      <c r="G934" s="14">
        <f>IF(OR(H934&gt;AB$2,I934&gt;AC$2,J934&gt;AD$2,
P934&gt;1,V934&gt;1,
L934&gt;'Group List A'!E$2,M934&gt;'Group List A'!F$2,N934&gt;'Group List A'!G$2,
R934&gt;'Group List B'!E$2,S934&gt;'Group List B'!F$2,T934&gt;'Group List B'!G$2),"Exceed",
IF(OR(H934=AB$2,I934=AC$2,J934=AD$2,
P934=1,V934=1,
L934='Group List A'!E$2,M934='Group List A'!F$2,N934='Group List A'!G$2,
R934='Group List B'!E$2,S934='Group List B'!F$2,T934='Group List B'!G$2),"Limit",0))</f>
        <v>0</v>
      </c>
      <c r="H934" s="29">
        <f t="shared" si="212"/>
        <v>0</v>
      </c>
      <c r="I934" s="29">
        <f t="shared" si="213"/>
        <v>0</v>
      </c>
      <c r="J934" s="29">
        <f t="shared" si="214"/>
        <v>0</v>
      </c>
      <c r="K934" s="32" t="str" cm="1">
        <f t="array" ref="K934">IF(AF934&lt;&gt;"",IFERROR(INDEX('Group List A'!B:B,MATCH(AI934,'Group List A'!A:A,0),0),"-"),"")</f>
        <v/>
      </c>
      <c r="L934" s="33">
        <f t="shared" si="215"/>
        <v>0</v>
      </c>
      <c r="M934" s="33">
        <f t="shared" si="216"/>
        <v>0</v>
      </c>
      <c r="N934" s="33">
        <f t="shared" si="217"/>
        <v>0</v>
      </c>
      <c r="O934" s="28"/>
      <c r="P934" s="33">
        <f t="shared" si="218"/>
        <v>0</v>
      </c>
      <c r="Q934" s="35" t="str" cm="1">
        <f t="array" ref="Q934">IF(AF934&lt;&gt;"",IFERROR(INDEX('Group List B'!B:B,MATCH(AI934,'Group List B'!A:A,0),0),"-"),"")</f>
        <v/>
      </c>
      <c r="R934" s="36">
        <f t="shared" si="219"/>
        <v>0</v>
      </c>
      <c r="S934" s="36">
        <f t="shared" si="220"/>
        <v>0</v>
      </c>
      <c r="T934" s="36">
        <f t="shared" si="221"/>
        <v>0</v>
      </c>
      <c r="U934" s="28"/>
      <c r="V934" s="37">
        <f t="shared" si="222"/>
        <v>0</v>
      </c>
      <c r="W934" s="41"/>
      <c r="X934" s="27"/>
      <c r="Y934" s="27"/>
      <c r="Z934" s="27"/>
      <c r="AA934" s="15"/>
      <c r="AB934" s="17"/>
      <c r="AC934" s="17"/>
      <c r="AD934" s="17"/>
      <c r="AE934" s="90"/>
      <c r="AF934" s="82" t="str">
        <f t="shared" si="223"/>
        <v/>
      </c>
      <c r="AG934" s="83" t="str">
        <f t="shared" si="224"/>
        <v/>
      </c>
      <c r="AH934" s="82" t="str">
        <f t="shared" si="225"/>
        <v/>
      </c>
      <c r="AI934" s="82" t="str">
        <f t="shared" si="226"/>
        <v/>
      </c>
      <c r="AJ934" s="90"/>
      <c r="AP934" s="88"/>
    </row>
    <row r="935" spans="1:42" x14ac:dyDescent="0.25">
      <c r="A935" s="2"/>
      <c r="C935" s="68" t="str" cm="1">
        <f t="array" ref="C935">IF(AF935&lt;&gt;"",
IFERROR(INDEX('LaunchPad Markbook'!A:A,MATCH(AH935,'LaunchPad Markbook'!D:D,0),0),"-"),"")</f>
        <v/>
      </c>
      <c r="D935" s="27"/>
      <c r="E935" s="27"/>
      <c r="F935" s="27"/>
      <c r="G935" s="14">
        <f>IF(OR(H935&gt;AB$2,I935&gt;AC$2,J935&gt;AD$2,
P935&gt;1,V935&gt;1,
L935&gt;'Group List A'!E$2,M935&gt;'Group List A'!F$2,N935&gt;'Group List A'!G$2,
R935&gt;'Group List B'!E$2,S935&gt;'Group List B'!F$2,T935&gt;'Group List B'!G$2),"Exceed",
IF(OR(H935=AB$2,I935=AC$2,J935=AD$2,
P935=1,V935=1,
L935='Group List A'!E$2,M935='Group List A'!F$2,N935='Group List A'!G$2,
R935='Group List B'!E$2,S935='Group List B'!F$2,T935='Group List B'!G$2),"Limit",0))</f>
        <v>0</v>
      </c>
      <c r="H935" s="29">
        <f t="shared" si="212"/>
        <v>0</v>
      </c>
      <c r="I935" s="29">
        <f t="shared" si="213"/>
        <v>0</v>
      </c>
      <c r="J935" s="29">
        <f t="shared" si="214"/>
        <v>0</v>
      </c>
      <c r="K935" s="32" t="str" cm="1">
        <f t="array" ref="K935">IF(AF935&lt;&gt;"",IFERROR(INDEX('Group List A'!B:B,MATCH(AI935,'Group List A'!A:A,0),0),"-"),"")</f>
        <v/>
      </c>
      <c r="L935" s="33">
        <f t="shared" si="215"/>
        <v>0</v>
      </c>
      <c r="M935" s="33">
        <f t="shared" si="216"/>
        <v>0</v>
      </c>
      <c r="N935" s="33">
        <f t="shared" si="217"/>
        <v>0</v>
      </c>
      <c r="O935" s="28"/>
      <c r="P935" s="33">
        <f t="shared" si="218"/>
        <v>0</v>
      </c>
      <c r="Q935" s="35" t="str" cm="1">
        <f t="array" ref="Q935">IF(AF935&lt;&gt;"",IFERROR(INDEX('Group List B'!B:B,MATCH(AI935,'Group List B'!A:A,0),0),"-"),"")</f>
        <v/>
      </c>
      <c r="R935" s="36">
        <f t="shared" si="219"/>
        <v>0</v>
      </c>
      <c r="S935" s="36">
        <f t="shared" si="220"/>
        <v>0</v>
      </c>
      <c r="T935" s="36">
        <f t="shared" si="221"/>
        <v>0</v>
      </c>
      <c r="U935" s="28"/>
      <c r="V935" s="37">
        <f t="shared" si="222"/>
        <v>0</v>
      </c>
      <c r="W935" s="41"/>
      <c r="X935" s="27"/>
      <c r="Y935" s="27"/>
      <c r="Z935" s="27"/>
      <c r="AA935" s="15"/>
      <c r="AB935" s="17"/>
      <c r="AC935" s="17"/>
      <c r="AD935" s="17"/>
      <c r="AE935" s="90"/>
      <c r="AF935" s="82" t="str">
        <f t="shared" si="223"/>
        <v/>
      </c>
      <c r="AG935" s="83" t="str">
        <f t="shared" si="224"/>
        <v/>
      </c>
      <c r="AH935" s="82" t="str">
        <f t="shared" si="225"/>
        <v/>
      </c>
      <c r="AI935" s="82" t="str">
        <f t="shared" si="226"/>
        <v/>
      </c>
      <c r="AJ935" s="90"/>
      <c r="AP935" s="88"/>
    </row>
    <row r="936" spans="1:42" x14ac:dyDescent="0.25">
      <c r="A936" s="2"/>
      <c r="C936" s="68" t="str" cm="1">
        <f t="array" ref="C936">IF(AF936&lt;&gt;"",
IFERROR(INDEX('LaunchPad Markbook'!A:A,MATCH(AH936,'LaunchPad Markbook'!D:D,0),0),"-"),"")</f>
        <v/>
      </c>
      <c r="D936" s="27"/>
      <c r="E936" s="27"/>
      <c r="F936" s="27"/>
      <c r="G936" s="14">
        <f>IF(OR(H936&gt;AB$2,I936&gt;AC$2,J936&gt;AD$2,
P936&gt;1,V936&gt;1,
L936&gt;'Group List A'!E$2,M936&gt;'Group List A'!F$2,N936&gt;'Group List A'!G$2,
R936&gt;'Group List B'!E$2,S936&gt;'Group List B'!F$2,T936&gt;'Group List B'!G$2),"Exceed",
IF(OR(H936=AB$2,I936=AC$2,J936=AD$2,
P936=1,V936=1,
L936='Group List A'!E$2,M936='Group List A'!F$2,N936='Group List A'!G$2,
R936='Group List B'!E$2,S936='Group List B'!F$2,T936='Group List B'!G$2),"Limit",0))</f>
        <v>0</v>
      </c>
      <c r="H936" s="29">
        <f t="shared" si="212"/>
        <v>0</v>
      </c>
      <c r="I936" s="29">
        <f t="shared" si="213"/>
        <v>0</v>
      </c>
      <c r="J936" s="29">
        <f t="shared" si="214"/>
        <v>0</v>
      </c>
      <c r="K936" s="32" t="str" cm="1">
        <f t="array" ref="K936">IF(AF936&lt;&gt;"",IFERROR(INDEX('Group List A'!B:B,MATCH(AI936,'Group List A'!A:A,0),0),"-"),"")</f>
        <v/>
      </c>
      <c r="L936" s="33">
        <f t="shared" si="215"/>
        <v>0</v>
      </c>
      <c r="M936" s="33">
        <f t="shared" si="216"/>
        <v>0</v>
      </c>
      <c r="N936" s="33">
        <f t="shared" si="217"/>
        <v>0</v>
      </c>
      <c r="O936" s="28"/>
      <c r="P936" s="33">
        <f t="shared" si="218"/>
        <v>0</v>
      </c>
      <c r="Q936" s="35" t="str" cm="1">
        <f t="array" ref="Q936">IF(AF936&lt;&gt;"",IFERROR(INDEX('Group List B'!B:B,MATCH(AI936,'Group List B'!A:A,0),0),"-"),"")</f>
        <v/>
      </c>
      <c r="R936" s="36">
        <f t="shared" si="219"/>
        <v>0</v>
      </c>
      <c r="S936" s="36">
        <f t="shared" si="220"/>
        <v>0</v>
      </c>
      <c r="T936" s="36">
        <f t="shared" si="221"/>
        <v>0</v>
      </c>
      <c r="U936" s="28"/>
      <c r="V936" s="37">
        <f t="shared" si="222"/>
        <v>0</v>
      </c>
      <c r="W936" s="41"/>
      <c r="X936" s="27"/>
      <c r="Y936" s="27"/>
      <c r="Z936" s="27"/>
      <c r="AA936" s="15"/>
      <c r="AB936" s="17"/>
      <c r="AC936" s="17"/>
      <c r="AD936" s="17"/>
      <c r="AE936" s="90"/>
      <c r="AF936" s="82" t="str">
        <f t="shared" si="223"/>
        <v/>
      </c>
      <c r="AG936" s="83" t="str">
        <f t="shared" si="224"/>
        <v/>
      </c>
      <c r="AH936" s="82" t="str">
        <f t="shared" si="225"/>
        <v/>
      </c>
      <c r="AI936" s="82" t="str">
        <f t="shared" si="226"/>
        <v/>
      </c>
      <c r="AJ936" s="90"/>
      <c r="AP936" s="88"/>
    </row>
    <row r="937" spans="1:42" x14ac:dyDescent="0.25">
      <c r="A937" s="2"/>
      <c r="C937" s="68" t="str" cm="1">
        <f t="array" ref="C937">IF(AF937&lt;&gt;"",
IFERROR(INDEX('LaunchPad Markbook'!A:A,MATCH(AH937,'LaunchPad Markbook'!D:D,0),0),"-"),"")</f>
        <v/>
      </c>
      <c r="D937" s="27"/>
      <c r="E937" s="27"/>
      <c r="F937" s="27"/>
      <c r="G937" s="14">
        <f>IF(OR(H937&gt;AB$2,I937&gt;AC$2,J937&gt;AD$2,
P937&gt;1,V937&gt;1,
L937&gt;'Group List A'!E$2,M937&gt;'Group List A'!F$2,N937&gt;'Group List A'!G$2,
R937&gt;'Group List B'!E$2,S937&gt;'Group List B'!F$2,T937&gt;'Group List B'!G$2),"Exceed",
IF(OR(H937=AB$2,I937=AC$2,J937=AD$2,
P937=1,V937=1,
L937='Group List A'!E$2,M937='Group List A'!F$2,N937='Group List A'!G$2,
R937='Group List B'!E$2,S937='Group List B'!F$2,T937='Group List B'!G$2),"Limit",0))</f>
        <v>0</v>
      </c>
      <c r="H937" s="29">
        <f t="shared" si="212"/>
        <v>0</v>
      </c>
      <c r="I937" s="29">
        <f t="shared" si="213"/>
        <v>0</v>
      </c>
      <c r="J937" s="29">
        <f t="shared" si="214"/>
        <v>0</v>
      </c>
      <c r="K937" s="32" t="str" cm="1">
        <f t="array" ref="K937">IF(AF937&lt;&gt;"",IFERROR(INDEX('Group List A'!B:B,MATCH(AI937,'Group List A'!A:A,0),0),"-"),"")</f>
        <v/>
      </c>
      <c r="L937" s="33">
        <f t="shared" si="215"/>
        <v>0</v>
      </c>
      <c r="M937" s="33">
        <f t="shared" si="216"/>
        <v>0</v>
      </c>
      <c r="N937" s="33">
        <f t="shared" si="217"/>
        <v>0</v>
      </c>
      <c r="O937" s="28"/>
      <c r="P937" s="33">
        <f t="shared" si="218"/>
        <v>0</v>
      </c>
      <c r="Q937" s="35" t="str" cm="1">
        <f t="array" ref="Q937">IF(AF937&lt;&gt;"",IFERROR(INDEX('Group List B'!B:B,MATCH(AI937,'Group List B'!A:A,0),0),"-"),"")</f>
        <v/>
      </c>
      <c r="R937" s="36">
        <f t="shared" si="219"/>
        <v>0</v>
      </c>
      <c r="S937" s="36">
        <f t="shared" si="220"/>
        <v>0</v>
      </c>
      <c r="T937" s="36">
        <f t="shared" si="221"/>
        <v>0</v>
      </c>
      <c r="U937" s="28"/>
      <c r="V937" s="37">
        <f t="shared" si="222"/>
        <v>0</v>
      </c>
      <c r="W937" s="41"/>
      <c r="X937" s="27"/>
      <c r="Y937" s="27"/>
      <c r="Z937" s="27"/>
      <c r="AA937" s="15"/>
      <c r="AB937" s="17"/>
      <c r="AC937" s="17"/>
      <c r="AD937" s="17"/>
      <c r="AE937" s="90"/>
      <c r="AF937" s="82" t="str">
        <f t="shared" si="223"/>
        <v/>
      </c>
      <c r="AG937" s="83" t="str">
        <f t="shared" si="224"/>
        <v/>
      </c>
      <c r="AH937" s="82" t="str">
        <f t="shared" si="225"/>
        <v/>
      </c>
      <c r="AI937" s="82" t="str">
        <f t="shared" si="226"/>
        <v/>
      </c>
      <c r="AJ937" s="90"/>
      <c r="AP937" s="88"/>
    </row>
    <row r="938" spans="1:42" x14ac:dyDescent="0.25">
      <c r="A938" s="2"/>
      <c r="C938" s="68" t="str" cm="1">
        <f t="array" ref="C938">IF(AF938&lt;&gt;"",
IFERROR(INDEX('LaunchPad Markbook'!A:A,MATCH(AH938,'LaunchPad Markbook'!D:D,0),0),"-"),"")</f>
        <v/>
      </c>
      <c r="D938" s="27"/>
      <c r="E938" s="27"/>
      <c r="F938" s="27"/>
      <c r="G938" s="14">
        <f>IF(OR(H938&gt;AB$2,I938&gt;AC$2,J938&gt;AD$2,
P938&gt;1,V938&gt;1,
L938&gt;'Group List A'!E$2,M938&gt;'Group List A'!F$2,N938&gt;'Group List A'!G$2,
R938&gt;'Group List B'!E$2,S938&gt;'Group List B'!F$2,T938&gt;'Group List B'!G$2),"Exceed",
IF(OR(H938=AB$2,I938=AC$2,J938=AD$2,
P938=1,V938=1,
L938='Group List A'!E$2,M938='Group List A'!F$2,N938='Group List A'!G$2,
R938='Group List B'!E$2,S938='Group List B'!F$2,T938='Group List B'!G$2),"Limit",0))</f>
        <v>0</v>
      </c>
      <c r="H938" s="29">
        <f t="shared" si="212"/>
        <v>0</v>
      </c>
      <c r="I938" s="29">
        <f t="shared" si="213"/>
        <v>0</v>
      </c>
      <c r="J938" s="29">
        <f t="shared" si="214"/>
        <v>0</v>
      </c>
      <c r="K938" s="32" t="str" cm="1">
        <f t="array" ref="K938">IF(AF938&lt;&gt;"",IFERROR(INDEX('Group List A'!B:B,MATCH(AI938,'Group List A'!A:A,0),0),"-"),"")</f>
        <v/>
      </c>
      <c r="L938" s="33">
        <f t="shared" si="215"/>
        <v>0</v>
      </c>
      <c r="M938" s="33">
        <f t="shared" si="216"/>
        <v>0</v>
      </c>
      <c r="N938" s="33">
        <f t="shared" si="217"/>
        <v>0</v>
      </c>
      <c r="O938" s="28"/>
      <c r="P938" s="33">
        <f t="shared" si="218"/>
        <v>0</v>
      </c>
      <c r="Q938" s="35" t="str" cm="1">
        <f t="array" ref="Q938">IF(AF938&lt;&gt;"",IFERROR(INDEX('Group List B'!B:B,MATCH(AI938,'Group List B'!A:A,0),0),"-"),"")</f>
        <v/>
      </c>
      <c r="R938" s="36">
        <f t="shared" si="219"/>
        <v>0</v>
      </c>
      <c r="S938" s="36">
        <f t="shared" si="220"/>
        <v>0</v>
      </c>
      <c r="T938" s="36">
        <f t="shared" si="221"/>
        <v>0</v>
      </c>
      <c r="U938" s="28"/>
      <c r="V938" s="37">
        <f t="shared" si="222"/>
        <v>0</v>
      </c>
      <c r="W938" s="41"/>
      <c r="X938" s="27"/>
      <c r="Y938" s="27"/>
      <c r="Z938" s="27"/>
      <c r="AA938" s="15"/>
      <c r="AB938" s="17"/>
      <c r="AC938" s="17"/>
      <c r="AD938" s="17"/>
      <c r="AE938" s="90"/>
      <c r="AF938" s="82" t="str">
        <f t="shared" si="223"/>
        <v/>
      </c>
      <c r="AG938" s="83" t="str">
        <f t="shared" si="224"/>
        <v/>
      </c>
      <c r="AH938" s="82" t="str">
        <f t="shared" si="225"/>
        <v/>
      </c>
      <c r="AI938" s="82" t="str">
        <f t="shared" si="226"/>
        <v/>
      </c>
      <c r="AJ938" s="90"/>
      <c r="AP938" s="88"/>
    </row>
    <row r="939" spans="1:42" x14ac:dyDescent="0.25">
      <c r="A939" s="2"/>
      <c r="C939" s="68" t="str" cm="1">
        <f t="array" ref="C939">IF(AF939&lt;&gt;"",
IFERROR(INDEX('LaunchPad Markbook'!A:A,MATCH(AH939,'LaunchPad Markbook'!D:D,0),0),"-"),"")</f>
        <v/>
      </c>
      <c r="D939" s="27"/>
      <c r="E939" s="27"/>
      <c r="F939" s="27"/>
      <c r="G939" s="14">
        <f>IF(OR(H939&gt;AB$2,I939&gt;AC$2,J939&gt;AD$2,
P939&gt;1,V939&gt;1,
L939&gt;'Group List A'!E$2,M939&gt;'Group List A'!F$2,N939&gt;'Group List A'!G$2,
R939&gt;'Group List B'!E$2,S939&gt;'Group List B'!F$2,T939&gt;'Group List B'!G$2),"Exceed",
IF(OR(H939=AB$2,I939=AC$2,J939=AD$2,
P939=1,V939=1,
L939='Group List A'!E$2,M939='Group List A'!F$2,N939='Group List A'!G$2,
R939='Group List B'!E$2,S939='Group List B'!F$2,T939='Group List B'!G$2),"Limit",0))</f>
        <v>0</v>
      </c>
      <c r="H939" s="29">
        <f t="shared" si="212"/>
        <v>0</v>
      </c>
      <c r="I939" s="29">
        <f t="shared" si="213"/>
        <v>0</v>
      </c>
      <c r="J939" s="29">
        <f t="shared" si="214"/>
        <v>0</v>
      </c>
      <c r="K939" s="32" t="str" cm="1">
        <f t="array" ref="K939">IF(AF939&lt;&gt;"",IFERROR(INDEX('Group List A'!B:B,MATCH(AI939,'Group List A'!A:A,0),0),"-"),"")</f>
        <v/>
      </c>
      <c r="L939" s="33">
        <f t="shared" si="215"/>
        <v>0</v>
      </c>
      <c r="M939" s="33">
        <f t="shared" si="216"/>
        <v>0</v>
      </c>
      <c r="N939" s="33">
        <f t="shared" si="217"/>
        <v>0</v>
      </c>
      <c r="O939" s="28"/>
      <c r="P939" s="33">
        <f t="shared" si="218"/>
        <v>0</v>
      </c>
      <c r="Q939" s="35" t="str" cm="1">
        <f t="array" ref="Q939">IF(AF939&lt;&gt;"",IFERROR(INDEX('Group List B'!B:B,MATCH(AI939,'Group List B'!A:A,0),0),"-"),"")</f>
        <v/>
      </c>
      <c r="R939" s="36">
        <f t="shared" si="219"/>
        <v>0</v>
      </c>
      <c r="S939" s="36">
        <f t="shared" si="220"/>
        <v>0</v>
      </c>
      <c r="T939" s="36">
        <f t="shared" si="221"/>
        <v>0</v>
      </c>
      <c r="U939" s="28"/>
      <c r="V939" s="37">
        <f t="shared" si="222"/>
        <v>0</v>
      </c>
      <c r="W939" s="41"/>
      <c r="X939" s="27"/>
      <c r="Y939" s="27"/>
      <c r="Z939" s="27"/>
      <c r="AA939" s="15"/>
      <c r="AB939" s="17"/>
      <c r="AC939" s="17"/>
      <c r="AD939" s="17"/>
      <c r="AE939" s="90"/>
      <c r="AF939" s="82" t="str">
        <f t="shared" si="223"/>
        <v/>
      </c>
      <c r="AG939" s="83" t="str">
        <f t="shared" si="224"/>
        <v/>
      </c>
      <c r="AH939" s="82" t="str">
        <f t="shared" si="225"/>
        <v/>
      </c>
      <c r="AI939" s="82" t="str">
        <f t="shared" si="226"/>
        <v/>
      </c>
      <c r="AJ939" s="90"/>
      <c r="AP939" s="88"/>
    </row>
    <row r="940" spans="1:42" x14ac:dyDescent="0.25">
      <c r="A940" s="2"/>
      <c r="C940" s="68" t="str" cm="1">
        <f t="array" ref="C940">IF(AF940&lt;&gt;"",
IFERROR(INDEX('LaunchPad Markbook'!A:A,MATCH(AH940,'LaunchPad Markbook'!D:D,0),0),"-"),"")</f>
        <v/>
      </c>
      <c r="D940" s="27"/>
      <c r="E940" s="27"/>
      <c r="F940" s="27"/>
      <c r="G940" s="14">
        <f>IF(OR(H940&gt;AB$2,I940&gt;AC$2,J940&gt;AD$2,
P940&gt;1,V940&gt;1,
L940&gt;'Group List A'!E$2,M940&gt;'Group List A'!F$2,N940&gt;'Group List A'!G$2,
R940&gt;'Group List B'!E$2,S940&gt;'Group List B'!F$2,T940&gt;'Group List B'!G$2),"Exceed",
IF(OR(H940=AB$2,I940=AC$2,J940=AD$2,
P940=1,V940=1,
L940='Group List A'!E$2,M940='Group List A'!F$2,N940='Group List A'!G$2,
R940='Group List B'!E$2,S940='Group List B'!F$2,T940='Group List B'!G$2),"Limit",0))</f>
        <v>0</v>
      </c>
      <c r="H940" s="29">
        <f t="shared" si="212"/>
        <v>0</v>
      </c>
      <c r="I940" s="29">
        <f t="shared" si="213"/>
        <v>0</v>
      </c>
      <c r="J940" s="29">
        <f t="shared" si="214"/>
        <v>0</v>
      </c>
      <c r="K940" s="32" t="str" cm="1">
        <f t="array" ref="K940">IF(AF940&lt;&gt;"",IFERROR(INDEX('Group List A'!B:B,MATCH(AI940,'Group List A'!A:A,0),0),"-"),"")</f>
        <v/>
      </c>
      <c r="L940" s="33">
        <f t="shared" si="215"/>
        <v>0</v>
      </c>
      <c r="M940" s="33">
        <f t="shared" si="216"/>
        <v>0</v>
      </c>
      <c r="N940" s="33">
        <f t="shared" si="217"/>
        <v>0</v>
      </c>
      <c r="O940" s="28"/>
      <c r="P940" s="33">
        <f t="shared" si="218"/>
        <v>0</v>
      </c>
      <c r="Q940" s="35" t="str" cm="1">
        <f t="array" ref="Q940">IF(AF940&lt;&gt;"",IFERROR(INDEX('Group List B'!B:B,MATCH(AI940,'Group List B'!A:A,0),0),"-"),"")</f>
        <v/>
      </c>
      <c r="R940" s="36">
        <f t="shared" si="219"/>
        <v>0</v>
      </c>
      <c r="S940" s="36">
        <f t="shared" si="220"/>
        <v>0</v>
      </c>
      <c r="T940" s="36">
        <f t="shared" si="221"/>
        <v>0</v>
      </c>
      <c r="U940" s="28"/>
      <c r="V940" s="37">
        <f t="shared" si="222"/>
        <v>0</v>
      </c>
      <c r="W940" s="41"/>
      <c r="X940" s="27"/>
      <c r="Y940" s="27"/>
      <c r="Z940" s="27"/>
      <c r="AA940" s="15"/>
      <c r="AB940" s="17"/>
      <c r="AC940" s="17"/>
      <c r="AD940" s="17"/>
      <c r="AE940" s="90"/>
      <c r="AF940" s="82" t="str">
        <f t="shared" si="223"/>
        <v/>
      </c>
      <c r="AG940" s="83" t="str">
        <f t="shared" si="224"/>
        <v/>
      </c>
      <c r="AH940" s="82" t="str">
        <f t="shared" si="225"/>
        <v/>
      </c>
      <c r="AI940" s="82" t="str">
        <f t="shared" si="226"/>
        <v/>
      </c>
      <c r="AJ940" s="90"/>
      <c r="AP940" s="88"/>
    </row>
    <row r="941" spans="1:42" x14ac:dyDescent="0.25">
      <c r="A941" s="2"/>
      <c r="C941" s="68" t="str" cm="1">
        <f t="array" ref="C941">IF(AF941&lt;&gt;"",
IFERROR(INDEX('LaunchPad Markbook'!A:A,MATCH(AH941,'LaunchPad Markbook'!D:D,0),0),"-"),"")</f>
        <v/>
      </c>
      <c r="D941" s="27"/>
      <c r="E941" s="27"/>
      <c r="F941" s="27"/>
      <c r="G941" s="14">
        <f>IF(OR(H941&gt;AB$2,I941&gt;AC$2,J941&gt;AD$2,
P941&gt;1,V941&gt;1,
L941&gt;'Group List A'!E$2,M941&gt;'Group List A'!F$2,N941&gt;'Group List A'!G$2,
R941&gt;'Group List B'!E$2,S941&gt;'Group List B'!F$2,T941&gt;'Group List B'!G$2),"Exceed",
IF(OR(H941=AB$2,I941=AC$2,J941=AD$2,
P941=1,V941=1,
L941='Group List A'!E$2,M941='Group List A'!F$2,N941='Group List A'!G$2,
R941='Group List B'!E$2,S941='Group List B'!F$2,T941='Group List B'!G$2),"Limit",0))</f>
        <v>0</v>
      </c>
      <c r="H941" s="29">
        <f t="shared" si="212"/>
        <v>0</v>
      </c>
      <c r="I941" s="29">
        <f t="shared" si="213"/>
        <v>0</v>
      </c>
      <c r="J941" s="29">
        <f t="shared" si="214"/>
        <v>0</v>
      </c>
      <c r="K941" s="32" t="str" cm="1">
        <f t="array" ref="K941">IF(AF941&lt;&gt;"",IFERROR(INDEX('Group List A'!B:B,MATCH(AI941,'Group List A'!A:A,0),0),"-"),"")</f>
        <v/>
      </c>
      <c r="L941" s="33">
        <f t="shared" si="215"/>
        <v>0</v>
      </c>
      <c r="M941" s="33">
        <f t="shared" si="216"/>
        <v>0</v>
      </c>
      <c r="N941" s="33">
        <f t="shared" si="217"/>
        <v>0</v>
      </c>
      <c r="O941" s="28"/>
      <c r="P941" s="33">
        <f t="shared" si="218"/>
        <v>0</v>
      </c>
      <c r="Q941" s="35" t="str" cm="1">
        <f t="array" ref="Q941">IF(AF941&lt;&gt;"",IFERROR(INDEX('Group List B'!B:B,MATCH(AI941,'Group List B'!A:A,0),0),"-"),"")</f>
        <v/>
      </c>
      <c r="R941" s="36">
        <f t="shared" si="219"/>
        <v>0</v>
      </c>
      <c r="S941" s="36">
        <f t="shared" si="220"/>
        <v>0</v>
      </c>
      <c r="T941" s="36">
        <f t="shared" si="221"/>
        <v>0</v>
      </c>
      <c r="U941" s="28"/>
      <c r="V941" s="37">
        <f t="shared" si="222"/>
        <v>0</v>
      </c>
      <c r="W941" s="41"/>
      <c r="X941" s="27"/>
      <c r="Y941" s="27"/>
      <c r="Z941" s="27"/>
      <c r="AA941" s="15"/>
      <c r="AB941" s="17"/>
      <c r="AC941" s="17"/>
      <c r="AD941" s="17"/>
      <c r="AE941" s="90"/>
      <c r="AF941" s="82" t="str">
        <f t="shared" si="223"/>
        <v/>
      </c>
      <c r="AG941" s="83" t="str">
        <f t="shared" si="224"/>
        <v/>
      </c>
      <c r="AH941" s="82" t="str">
        <f t="shared" si="225"/>
        <v/>
      </c>
      <c r="AI941" s="82" t="str">
        <f t="shared" si="226"/>
        <v/>
      </c>
      <c r="AJ941" s="90"/>
      <c r="AP941" s="88"/>
    </row>
    <row r="942" spans="1:42" x14ac:dyDescent="0.25">
      <c r="A942" s="2"/>
      <c r="C942" s="68" t="str" cm="1">
        <f t="array" ref="C942">IF(AF942&lt;&gt;"",
IFERROR(INDEX('LaunchPad Markbook'!A:A,MATCH(AH942,'LaunchPad Markbook'!D:D,0),0),"-"),"")</f>
        <v/>
      </c>
      <c r="D942" s="27"/>
      <c r="E942" s="27"/>
      <c r="F942" s="27"/>
      <c r="G942" s="14">
        <f>IF(OR(H942&gt;AB$2,I942&gt;AC$2,J942&gt;AD$2,
P942&gt;1,V942&gt;1,
L942&gt;'Group List A'!E$2,M942&gt;'Group List A'!F$2,N942&gt;'Group List A'!G$2,
R942&gt;'Group List B'!E$2,S942&gt;'Group List B'!F$2,T942&gt;'Group List B'!G$2),"Exceed",
IF(OR(H942=AB$2,I942=AC$2,J942=AD$2,
P942=1,V942=1,
L942='Group List A'!E$2,M942='Group List A'!F$2,N942='Group List A'!G$2,
R942='Group List B'!E$2,S942='Group List B'!F$2,T942='Group List B'!G$2),"Limit",0))</f>
        <v>0</v>
      </c>
      <c r="H942" s="29">
        <f t="shared" si="212"/>
        <v>0</v>
      </c>
      <c r="I942" s="29">
        <f t="shared" si="213"/>
        <v>0</v>
      </c>
      <c r="J942" s="29">
        <f t="shared" si="214"/>
        <v>0</v>
      </c>
      <c r="K942" s="32" t="str" cm="1">
        <f t="array" ref="K942">IF(AF942&lt;&gt;"",IFERROR(INDEX('Group List A'!B:B,MATCH(AI942,'Group List A'!A:A,0),0),"-"),"")</f>
        <v/>
      </c>
      <c r="L942" s="33">
        <f t="shared" si="215"/>
        <v>0</v>
      </c>
      <c r="M942" s="33">
        <f t="shared" si="216"/>
        <v>0</v>
      </c>
      <c r="N942" s="33">
        <f t="shared" si="217"/>
        <v>0</v>
      </c>
      <c r="O942" s="28"/>
      <c r="P942" s="33">
        <f t="shared" si="218"/>
        <v>0</v>
      </c>
      <c r="Q942" s="35" t="str" cm="1">
        <f t="array" ref="Q942">IF(AF942&lt;&gt;"",IFERROR(INDEX('Group List B'!B:B,MATCH(AI942,'Group List B'!A:A,0),0),"-"),"")</f>
        <v/>
      </c>
      <c r="R942" s="36">
        <f t="shared" si="219"/>
        <v>0</v>
      </c>
      <c r="S942" s="36">
        <f t="shared" si="220"/>
        <v>0</v>
      </c>
      <c r="T942" s="36">
        <f t="shared" si="221"/>
        <v>0</v>
      </c>
      <c r="U942" s="28"/>
      <c r="V942" s="37">
        <f t="shared" si="222"/>
        <v>0</v>
      </c>
      <c r="W942" s="41"/>
      <c r="X942" s="27"/>
      <c r="Y942" s="27"/>
      <c r="Z942" s="27"/>
      <c r="AA942" s="15"/>
      <c r="AB942" s="17"/>
      <c r="AC942" s="17"/>
      <c r="AD942" s="17"/>
      <c r="AE942" s="90"/>
      <c r="AF942" s="82" t="str">
        <f t="shared" si="223"/>
        <v/>
      </c>
      <c r="AG942" s="83" t="str">
        <f t="shared" si="224"/>
        <v/>
      </c>
      <c r="AH942" s="82" t="str">
        <f t="shared" si="225"/>
        <v/>
      </c>
      <c r="AI942" s="82" t="str">
        <f t="shared" si="226"/>
        <v/>
      </c>
      <c r="AJ942" s="90"/>
      <c r="AP942" s="88"/>
    </row>
    <row r="943" spans="1:42" x14ac:dyDescent="0.25">
      <c r="A943" s="2"/>
      <c r="C943" s="68" t="str" cm="1">
        <f t="array" ref="C943">IF(AF943&lt;&gt;"",
IFERROR(INDEX('LaunchPad Markbook'!A:A,MATCH(AH943,'LaunchPad Markbook'!D:D,0),0),"-"),"")</f>
        <v/>
      </c>
      <c r="D943" s="27"/>
      <c r="E943" s="27"/>
      <c r="F943" s="27"/>
      <c r="G943" s="14">
        <f>IF(OR(H943&gt;AB$2,I943&gt;AC$2,J943&gt;AD$2,
P943&gt;1,V943&gt;1,
L943&gt;'Group List A'!E$2,M943&gt;'Group List A'!F$2,N943&gt;'Group List A'!G$2,
R943&gt;'Group List B'!E$2,S943&gt;'Group List B'!F$2,T943&gt;'Group List B'!G$2),"Exceed",
IF(OR(H943=AB$2,I943=AC$2,J943=AD$2,
P943=1,V943=1,
L943='Group List A'!E$2,M943='Group List A'!F$2,N943='Group List A'!G$2,
R943='Group List B'!E$2,S943='Group List B'!F$2,T943='Group List B'!G$2),"Limit",0))</f>
        <v>0</v>
      </c>
      <c r="H943" s="29">
        <f t="shared" si="212"/>
        <v>0</v>
      </c>
      <c r="I943" s="29">
        <f t="shared" si="213"/>
        <v>0</v>
      </c>
      <c r="J943" s="29">
        <f t="shared" si="214"/>
        <v>0</v>
      </c>
      <c r="K943" s="32" t="str" cm="1">
        <f t="array" ref="K943">IF(AF943&lt;&gt;"",IFERROR(INDEX('Group List A'!B:B,MATCH(AI943,'Group List A'!A:A,0),0),"-"),"")</f>
        <v/>
      </c>
      <c r="L943" s="33">
        <f t="shared" si="215"/>
        <v>0</v>
      </c>
      <c r="M943" s="33">
        <f t="shared" si="216"/>
        <v>0</v>
      </c>
      <c r="N943" s="33">
        <f t="shared" si="217"/>
        <v>0</v>
      </c>
      <c r="O943" s="28"/>
      <c r="P943" s="33">
        <f t="shared" si="218"/>
        <v>0</v>
      </c>
      <c r="Q943" s="35" t="str" cm="1">
        <f t="array" ref="Q943">IF(AF943&lt;&gt;"",IFERROR(INDEX('Group List B'!B:B,MATCH(AI943,'Group List B'!A:A,0),0),"-"),"")</f>
        <v/>
      </c>
      <c r="R943" s="36">
        <f t="shared" si="219"/>
        <v>0</v>
      </c>
      <c r="S943" s="36">
        <f t="shared" si="220"/>
        <v>0</v>
      </c>
      <c r="T943" s="36">
        <f t="shared" si="221"/>
        <v>0</v>
      </c>
      <c r="U943" s="28"/>
      <c r="V943" s="37">
        <f t="shared" si="222"/>
        <v>0</v>
      </c>
      <c r="W943" s="41"/>
      <c r="X943" s="27"/>
      <c r="Y943" s="27"/>
      <c r="Z943" s="27"/>
      <c r="AA943" s="15"/>
      <c r="AB943" s="17"/>
      <c r="AC943" s="17"/>
      <c r="AD943" s="17"/>
      <c r="AE943" s="90"/>
      <c r="AF943" s="82" t="str">
        <f t="shared" si="223"/>
        <v/>
      </c>
      <c r="AG943" s="83" t="str">
        <f t="shared" si="224"/>
        <v/>
      </c>
      <c r="AH943" s="82" t="str">
        <f t="shared" si="225"/>
        <v/>
      </c>
      <c r="AI943" s="82" t="str">
        <f t="shared" si="226"/>
        <v/>
      </c>
      <c r="AJ943" s="90"/>
      <c r="AP943" s="88"/>
    </row>
    <row r="944" spans="1:42" x14ac:dyDescent="0.25">
      <c r="A944" s="2"/>
      <c r="C944" s="68" t="str" cm="1">
        <f t="array" ref="C944">IF(AF944&lt;&gt;"",
IFERROR(INDEX('LaunchPad Markbook'!A:A,MATCH(AH944,'LaunchPad Markbook'!D:D,0),0),"-"),"")</f>
        <v/>
      </c>
      <c r="D944" s="27"/>
      <c r="E944" s="27"/>
      <c r="F944" s="27"/>
      <c r="G944" s="14">
        <f>IF(OR(H944&gt;AB$2,I944&gt;AC$2,J944&gt;AD$2,
P944&gt;1,V944&gt;1,
L944&gt;'Group List A'!E$2,M944&gt;'Group List A'!F$2,N944&gt;'Group List A'!G$2,
R944&gt;'Group List B'!E$2,S944&gt;'Group List B'!F$2,T944&gt;'Group List B'!G$2),"Exceed",
IF(OR(H944=AB$2,I944=AC$2,J944=AD$2,
P944=1,V944=1,
L944='Group List A'!E$2,M944='Group List A'!F$2,N944='Group List A'!G$2,
R944='Group List B'!E$2,S944='Group List B'!F$2,T944='Group List B'!G$2),"Limit",0))</f>
        <v>0</v>
      </c>
      <c r="H944" s="29">
        <f t="shared" si="212"/>
        <v>0</v>
      </c>
      <c r="I944" s="29">
        <f t="shared" si="213"/>
        <v>0</v>
      </c>
      <c r="J944" s="29">
        <f t="shared" si="214"/>
        <v>0</v>
      </c>
      <c r="K944" s="32" t="str" cm="1">
        <f t="array" ref="K944">IF(AF944&lt;&gt;"",IFERROR(INDEX('Group List A'!B:B,MATCH(AI944,'Group List A'!A:A,0),0),"-"),"")</f>
        <v/>
      </c>
      <c r="L944" s="33">
        <f t="shared" si="215"/>
        <v>0</v>
      </c>
      <c r="M944" s="33">
        <f t="shared" si="216"/>
        <v>0</v>
      </c>
      <c r="N944" s="33">
        <f t="shared" si="217"/>
        <v>0</v>
      </c>
      <c r="O944" s="28"/>
      <c r="P944" s="33">
        <f t="shared" si="218"/>
        <v>0</v>
      </c>
      <c r="Q944" s="35" t="str" cm="1">
        <f t="array" ref="Q944">IF(AF944&lt;&gt;"",IFERROR(INDEX('Group List B'!B:B,MATCH(AI944,'Group List B'!A:A,0),0),"-"),"")</f>
        <v/>
      </c>
      <c r="R944" s="36">
        <f t="shared" si="219"/>
        <v>0</v>
      </c>
      <c r="S944" s="36">
        <f t="shared" si="220"/>
        <v>0</v>
      </c>
      <c r="T944" s="36">
        <f t="shared" si="221"/>
        <v>0</v>
      </c>
      <c r="U944" s="28"/>
      <c r="V944" s="37">
        <f t="shared" si="222"/>
        <v>0</v>
      </c>
      <c r="W944" s="41"/>
      <c r="X944" s="27"/>
      <c r="Y944" s="27"/>
      <c r="Z944" s="27"/>
      <c r="AA944" s="15"/>
      <c r="AB944" s="17"/>
      <c r="AC944" s="17"/>
      <c r="AD944" s="17"/>
      <c r="AE944" s="90"/>
      <c r="AF944" s="82" t="str">
        <f t="shared" si="223"/>
        <v/>
      </c>
      <c r="AG944" s="83" t="str">
        <f t="shared" si="224"/>
        <v/>
      </c>
      <c r="AH944" s="82" t="str">
        <f t="shared" si="225"/>
        <v/>
      </c>
      <c r="AI944" s="82" t="str">
        <f t="shared" si="226"/>
        <v/>
      </c>
      <c r="AJ944" s="90"/>
      <c r="AP944" s="88"/>
    </row>
    <row r="945" spans="1:42" x14ac:dyDescent="0.25">
      <c r="A945" s="2"/>
      <c r="C945" s="68" t="str" cm="1">
        <f t="array" ref="C945">IF(AF945&lt;&gt;"",
IFERROR(INDEX('LaunchPad Markbook'!A:A,MATCH(AH945,'LaunchPad Markbook'!D:D,0),0),"-"),"")</f>
        <v/>
      </c>
      <c r="D945" s="27"/>
      <c r="E945" s="27"/>
      <c r="F945" s="27"/>
      <c r="G945" s="14">
        <f>IF(OR(H945&gt;AB$2,I945&gt;AC$2,J945&gt;AD$2,
P945&gt;1,V945&gt;1,
L945&gt;'Group List A'!E$2,M945&gt;'Group List A'!F$2,N945&gt;'Group List A'!G$2,
R945&gt;'Group List B'!E$2,S945&gt;'Group List B'!F$2,T945&gt;'Group List B'!G$2),"Exceed",
IF(OR(H945=AB$2,I945=AC$2,J945=AD$2,
P945=1,V945=1,
L945='Group List A'!E$2,M945='Group List A'!F$2,N945='Group List A'!G$2,
R945='Group List B'!E$2,S945='Group List B'!F$2,T945='Group List B'!G$2),"Limit",0))</f>
        <v>0</v>
      </c>
      <c r="H945" s="29">
        <f t="shared" si="212"/>
        <v>0</v>
      </c>
      <c r="I945" s="29">
        <f t="shared" si="213"/>
        <v>0</v>
      </c>
      <c r="J945" s="29">
        <f t="shared" si="214"/>
        <v>0</v>
      </c>
      <c r="K945" s="32" t="str" cm="1">
        <f t="array" ref="K945">IF(AF945&lt;&gt;"",IFERROR(INDEX('Group List A'!B:B,MATCH(AI945,'Group List A'!A:A,0),0),"-"),"")</f>
        <v/>
      </c>
      <c r="L945" s="33">
        <f t="shared" si="215"/>
        <v>0</v>
      </c>
      <c r="M945" s="33">
        <f t="shared" si="216"/>
        <v>0</v>
      </c>
      <c r="N945" s="33">
        <f t="shared" si="217"/>
        <v>0</v>
      </c>
      <c r="O945" s="28"/>
      <c r="P945" s="33">
        <f t="shared" si="218"/>
        <v>0</v>
      </c>
      <c r="Q945" s="35" t="str" cm="1">
        <f t="array" ref="Q945">IF(AF945&lt;&gt;"",IFERROR(INDEX('Group List B'!B:B,MATCH(AI945,'Group List B'!A:A,0),0),"-"),"")</f>
        <v/>
      </c>
      <c r="R945" s="36">
        <f t="shared" si="219"/>
        <v>0</v>
      </c>
      <c r="S945" s="36">
        <f t="shared" si="220"/>
        <v>0</v>
      </c>
      <c r="T945" s="36">
        <f t="shared" si="221"/>
        <v>0</v>
      </c>
      <c r="U945" s="28"/>
      <c r="V945" s="37">
        <f t="shared" si="222"/>
        <v>0</v>
      </c>
      <c r="W945" s="41"/>
      <c r="X945" s="27"/>
      <c r="Y945" s="27"/>
      <c r="Z945" s="27"/>
      <c r="AA945" s="15"/>
      <c r="AB945" s="17"/>
      <c r="AC945" s="17"/>
      <c r="AD945" s="17"/>
      <c r="AE945" s="90"/>
      <c r="AF945" s="82" t="str">
        <f t="shared" si="223"/>
        <v/>
      </c>
      <c r="AG945" s="83" t="str">
        <f t="shared" si="224"/>
        <v/>
      </c>
      <c r="AH945" s="82" t="str">
        <f t="shared" si="225"/>
        <v/>
      </c>
      <c r="AI945" s="82" t="str">
        <f t="shared" si="226"/>
        <v/>
      </c>
      <c r="AJ945" s="90"/>
      <c r="AP945" s="88"/>
    </row>
    <row r="946" spans="1:42" x14ac:dyDescent="0.25">
      <c r="A946" s="2"/>
      <c r="C946" s="68" t="str" cm="1">
        <f t="array" ref="C946">IF(AF946&lt;&gt;"",
IFERROR(INDEX('LaunchPad Markbook'!A:A,MATCH(AH946,'LaunchPad Markbook'!D:D,0),0),"-"),"")</f>
        <v/>
      </c>
      <c r="D946" s="27"/>
      <c r="E946" s="27"/>
      <c r="F946" s="27"/>
      <c r="G946" s="14">
        <f>IF(OR(H946&gt;AB$2,I946&gt;AC$2,J946&gt;AD$2,
P946&gt;1,V946&gt;1,
L946&gt;'Group List A'!E$2,M946&gt;'Group List A'!F$2,N946&gt;'Group List A'!G$2,
R946&gt;'Group List B'!E$2,S946&gt;'Group List B'!F$2,T946&gt;'Group List B'!G$2),"Exceed",
IF(OR(H946=AB$2,I946=AC$2,J946=AD$2,
P946=1,V946=1,
L946='Group List A'!E$2,M946='Group List A'!F$2,N946='Group List A'!G$2,
R946='Group List B'!E$2,S946='Group List B'!F$2,T946='Group List B'!G$2),"Limit",0))</f>
        <v>0</v>
      </c>
      <c r="H946" s="29">
        <f t="shared" si="212"/>
        <v>0</v>
      </c>
      <c r="I946" s="29">
        <f t="shared" si="213"/>
        <v>0</v>
      </c>
      <c r="J946" s="29">
        <f t="shared" si="214"/>
        <v>0</v>
      </c>
      <c r="K946" s="32" t="str" cm="1">
        <f t="array" ref="K946">IF(AF946&lt;&gt;"",IFERROR(INDEX('Group List A'!B:B,MATCH(AI946,'Group List A'!A:A,0),0),"-"),"")</f>
        <v/>
      </c>
      <c r="L946" s="33">
        <f t="shared" si="215"/>
        <v>0</v>
      </c>
      <c r="M946" s="33">
        <f t="shared" si="216"/>
        <v>0</v>
      </c>
      <c r="N946" s="33">
        <f t="shared" si="217"/>
        <v>0</v>
      </c>
      <c r="O946" s="28"/>
      <c r="P946" s="33">
        <f t="shared" si="218"/>
        <v>0</v>
      </c>
      <c r="Q946" s="35" t="str" cm="1">
        <f t="array" ref="Q946">IF(AF946&lt;&gt;"",IFERROR(INDEX('Group List B'!B:B,MATCH(AI946,'Group List B'!A:A,0),0),"-"),"")</f>
        <v/>
      </c>
      <c r="R946" s="36">
        <f t="shared" si="219"/>
        <v>0</v>
      </c>
      <c r="S946" s="36">
        <f t="shared" si="220"/>
        <v>0</v>
      </c>
      <c r="T946" s="36">
        <f t="shared" si="221"/>
        <v>0</v>
      </c>
      <c r="U946" s="28"/>
      <c r="V946" s="37">
        <f t="shared" si="222"/>
        <v>0</v>
      </c>
      <c r="W946" s="41"/>
      <c r="X946" s="27"/>
      <c r="Y946" s="27"/>
      <c r="Z946" s="27"/>
      <c r="AA946" s="15"/>
      <c r="AB946" s="17"/>
      <c r="AC946" s="17"/>
      <c r="AD946" s="17"/>
      <c r="AE946" s="90"/>
      <c r="AF946" s="82" t="str">
        <f t="shared" si="223"/>
        <v/>
      </c>
      <c r="AG946" s="83" t="str">
        <f t="shared" si="224"/>
        <v/>
      </c>
      <c r="AH946" s="82" t="str">
        <f t="shared" si="225"/>
        <v/>
      </c>
      <c r="AI946" s="82" t="str">
        <f t="shared" si="226"/>
        <v/>
      </c>
      <c r="AJ946" s="90"/>
      <c r="AP946" s="88"/>
    </row>
    <row r="947" spans="1:42" x14ac:dyDescent="0.25">
      <c r="A947" s="2"/>
      <c r="C947" s="68" t="str" cm="1">
        <f t="array" ref="C947">IF(AF947&lt;&gt;"",
IFERROR(INDEX('LaunchPad Markbook'!A:A,MATCH(AH947,'LaunchPad Markbook'!D:D,0),0),"-"),"")</f>
        <v/>
      </c>
      <c r="D947" s="27"/>
      <c r="E947" s="27"/>
      <c r="F947" s="27"/>
      <c r="G947" s="14">
        <f>IF(OR(H947&gt;AB$2,I947&gt;AC$2,J947&gt;AD$2,
P947&gt;1,V947&gt;1,
L947&gt;'Group List A'!E$2,M947&gt;'Group List A'!F$2,N947&gt;'Group List A'!G$2,
R947&gt;'Group List B'!E$2,S947&gt;'Group List B'!F$2,T947&gt;'Group List B'!G$2),"Exceed",
IF(OR(H947=AB$2,I947=AC$2,J947=AD$2,
P947=1,V947=1,
L947='Group List A'!E$2,M947='Group List A'!F$2,N947='Group List A'!G$2,
R947='Group List B'!E$2,S947='Group List B'!F$2,T947='Group List B'!G$2),"Limit",0))</f>
        <v>0</v>
      </c>
      <c r="H947" s="29">
        <f t="shared" si="212"/>
        <v>0</v>
      </c>
      <c r="I947" s="29">
        <f t="shared" si="213"/>
        <v>0</v>
      </c>
      <c r="J947" s="29">
        <f t="shared" si="214"/>
        <v>0</v>
      </c>
      <c r="K947" s="32" t="str" cm="1">
        <f t="array" ref="K947">IF(AF947&lt;&gt;"",IFERROR(INDEX('Group List A'!B:B,MATCH(AI947,'Group List A'!A:A,0),0),"-"),"")</f>
        <v/>
      </c>
      <c r="L947" s="33">
        <f t="shared" si="215"/>
        <v>0</v>
      </c>
      <c r="M947" s="33">
        <f t="shared" si="216"/>
        <v>0</v>
      </c>
      <c r="N947" s="33">
        <f t="shared" si="217"/>
        <v>0</v>
      </c>
      <c r="O947" s="28"/>
      <c r="P947" s="33">
        <f t="shared" si="218"/>
        <v>0</v>
      </c>
      <c r="Q947" s="35" t="str" cm="1">
        <f t="array" ref="Q947">IF(AF947&lt;&gt;"",IFERROR(INDEX('Group List B'!B:B,MATCH(AI947,'Group List B'!A:A,0),0),"-"),"")</f>
        <v/>
      </c>
      <c r="R947" s="36">
        <f t="shared" si="219"/>
        <v>0</v>
      </c>
      <c r="S947" s="36">
        <f t="shared" si="220"/>
        <v>0</v>
      </c>
      <c r="T947" s="36">
        <f t="shared" si="221"/>
        <v>0</v>
      </c>
      <c r="U947" s="28"/>
      <c r="V947" s="37">
        <f t="shared" si="222"/>
        <v>0</v>
      </c>
      <c r="W947" s="41"/>
      <c r="X947" s="27"/>
      <c r="Y947" s="27"/>
      <c r="Z947" s="27"/>
      <c r="AA947" s="15"/>
      <c r="AB947" s="17"/>
      <c r="AC947" s="17"/>
      <c r="AD947" s="17"/>
      <c r="AE947" s="90"/>
      <c r="AF947" s="82" t="str">
        <f t="shared" si="223"/>
        <v/>
      </c>
      <c r="AG947" s="83" t="str">
        <f t="shared" si="224"/>
        <v/>
      </c>
      <c r="AH947" s="82" t="str">
        <f t="shared" si="225"/>
        <v/>
      </c>
      <c r="AI947" s="82" t="str">
        <f t="shared" si="226"/>
        <v/>
      </c>
      <c r="AJ947" s="90"/>
      <c r="AP947" s="88"/>
    </row>
    <row r="948" spans="1:42" x14ac:dyDescent="0.25">
      <c r="A948" s="2"/>
      <c r="C948" s="68" t="str" cm="1">
        <f t="array" ref="C948">IF(AF948&lt;&gt;"",
IFERROR(INDEX('LaunchPad Markbook'!A:A,MATCH(AH948,'LaunchPad Markbook'!D:D,0),0),"-"),"")</f>
        <v/>
      </c>
      <c r="D948" s="27"/>
      <c r="E948" s="27"/>
      <c r="F948" s="27"/>
      <c r="G948" s="14">
        <f>IF(OR(H948&gt;AB$2,I948&gt;AC$2,J948&gt;AD$2,
P948&gt;1,V948&gt;1,
L948&gt;'Group List A'!E$2,M948&gt;'Group List A'!F$2,N948&gt;'Group List A'!G$2,
R948&gt;'Group List B'!E$2,S948&gt;'Group List B'!F$2,T948&gt;'Group List B'!G$2),"Exceed",
IF(OR(H948=AB$2,I948=AC$2,J948=AD$2,
P948=1,V948=1,
L948='Group List A'!E$2,M948='Group List A'!F$2,N948='Group List A'!G$2,
R948='Group List B'!E$2,S948='Group List B'!F$2,T948='Group List B'!G$2),"Limit",0))</f>
        <v>0</v>
      </c>
      <c r="H948" s="29">
        <f t="shared" si="212"/>
        <v>0</v>
      </c>
      <c r="I948" s="29">
        <f t="shared" si="213"/>
        <v>0</v>
      </c>
      <c r="J948" s="29">
        <f t="shared" si="214"/>
        <v>0</v>
      </c>
      <c r="K948" s="32" t="str" cm="1">
        <f t="array" ref="K948">IF(AF948&lt;&gt;"",IFERROR(INDEX('Group List A'!B:B,MATCH(AI948,'Group List A'!A:A,0),0),"-"),"")</f>
        <v/>
      </c>
      <c r="L948" s="33">
        <f t="shared" si="215"/>
        <v>0</v>
      </c>
      <c r="M948" s="33">
        <f t="shared" si="216"/>
        <v>0</v>
      </c>
      <c r="N948" s="33">
        <f t="shared" si="217"/>
        <v>0</v>
      </c>
      <c r="O948" s="28"/>
      <c r="P948" s="33">
        <f t="shared" si="218"/>
        <v>0</v>
      </c>
      <c r="Q948" s="35" t="str" cm="1">
        <f t="array" ref="Q948">IF(AF948&lt;&gt;"",IFERROR(INDEX('Group List B'!B:B,MATCH(AI948,'Group List B'!A:A,0),0),"-"),"")</f>
        <v/>
      </c>
      <c r="R948" s="36">
        <f t="shared" si="219"/>
        <v>0</v>
      </c>
      <c r="S948" s="36">
        <f t="shared" si="220"/>
        <v>0</v>
      </c>
      <c r="T948" s="36">
        <f t="shared" si="221"/>
        <v>0</v>
      </c>
      <c r="U948" s="28"/>
      <c r="V948" s="37">
        <f t="shared" si="222"/>
        <v>0</v>
      </c>
      <c r="W948" s="41"/>
      <c r="X948" s="27"/>
      <c r="Y948" s="27"/>
      <c r="Z948" s="27"/>
      <c r="AA948" s="15"/>
      <c r="AB948" s="17"/>
      <c r="AC948" s="17"/>
      <c r="AD948" s="17"/>
      <c r="AE948" s="90"/>
      <c r="AF948" s="82" t="str">
        <f t="shared" si="223"/>
        <v/>
      </c>
      <c r="AG948" s="83" t="str">
        <f t="shared" si="224"/>
        <v/>
      </c>
      <c r="AH948" s="82" t="str">
        <f t="shared" si="225"/>
        <v/>
      </c>
      <c r="AI948" s="82" t="str">
        <f t="shared" si="226"/>
        <v/>
      </c>
      <c r="AJ948" s="90"/>
      <c r="AP948" s="88"/>
    </row>
    <row r="949" spans="1:42" x14ac:dyDescent="0.25">
      <c r="A949" s="2"/>
      <c r="C949" s="68" t="str" cm="1">
        <f t="array" ref="C949">IF(AF949&lt;&gt;"",
IFERROR(INDEX('LaunchPad Markbook'!A:A,MATCH(AH949,'LaunchPad Markbook'!D:D,0),0),"-"),"")</f>
        <v/>
      </c>
      <c r="D949" s="27"/>
      <c r="E949" s="27"/>
      <c r="F949" s="27"/>
      <c r="G949" s="14">
        <f>IF(OR(H949&gt;AB$2,I949&gt;AC$2,J949&gt;AD$2,
P949&gt;1,V949&gt;1,
L949&gt;'Group List A'!E$2,M949&gt;'Group List A'!F$2,N949&gt;'Group List A'!G$2,
R949&gt;'Group List B'!E$2,S949&gt;'Group List B'!F$2,T949&gt;'Group List B'!G$2),"Exceed",
IF(OR(H949=AB$2,I949=AC$2,J949=AD$2,
P949=1,V949=1,
L949='Group List A'!E$2,M949='Group List A'!F$2,N949='Group List A'!G$2,
R949='Group List B'!E$2,S949='Group List B'!F$2,T949='Group List B'!G$2),"Limit",0))</f>
        <v>0</v>
      </c>
      <c r="H949" s="29">
        <f t="shared" si="212"/>
        <v>0</v>
      </c>
      <c r="I949" s="29">
        <f t="shared" si="213"/>
        <v>0</v>
      </c>
      <c r="J949" s="29">
        <f t="shared" si="214"/>
        <v>0</v>
      </c>
      <c r="K949" s="32" t="str" cm="1">
        <f t="array" ref="K949">IF(AF949&lt;&gt;"",IFERROR(INDEX('Group List A'!B:B,MATCH(AI949,'Group List A'!A:A,0),0),"-"),"")</f>
        <v/>
      </c>
      <c r="L949" s="33">
        <f t="shared" si="215"/>
        <v>0</v>
      </c>
      <c r="M949" s="33">
        <f t="shared" si="216"/>
        <v>0</v>
      </c>
      <c r="N949" s="33">
        <f t="shared" si="217"/>
        <v>0</v>
      </c>
      <c r="O949" s="28"/>
      <c r="P949" s="33">
        <f t="shared" si="218"/>
        <v>0</v>
      </c>
      <c r="Q949" s="35" t="str" cm="1">
        <f t="array" ref="Q949">IF(AF949&lt;&gt;"",IFERROR(INDEX('Group List B'!B:B,MATCH(AI949,'Group List B'!A:A,0),0),"-"),"")</f>
        <v/>
      </c>
      <c r="R949" s="36">
        <f t="shared" si="219"/>
        <v>0</v>
      </c>
      <c r="S949" s="36">
        <f t="shared" si="220"/>
        <v>0</v>
      </c>
      <c r="T949" s="36">
        <f t="shared" si="221"/>
        <v>0</v>
      </c>
      <c r="U949" s="28"/>
      <c r="V949" s="37">
        <f t="shared" si="222"/>
        <v>0</v>
      </c>
      <c r="W949" s="41"/>
      <c r="X949" s="27"/>
      <c r="Y949" s="27"/>
      <c r="Z949" s="27"/>
      <c r="AA949" s="15"/>
      <c r="AB949" s="17"/>
      <c r="AC949" s="17"/>
      <c r="AD949" s="17"/>
      <c r="AE949" s="90"/>
      <c r="AF949" s="82" t="str">
        <f t="shared" si="223"/>
        <v/>
      </c>
      <c r="AG949" s="83" t="str">
        <f t="shared" si="224"/>
        <v/>
      </c>
      <c r="AH949" s="82" t="str">
        <f t="shared" si="225"/>
        <v/>
      </c>
      <c r="AI949" s="82" t="str">
        <f t="shared" si="226"/>
        <v/>
      </c>
      <c r="AJ949" s="90"/>
      <c r="AP949" s="88"/>
    </row>
    <row r="950" spans="1:42" x14ac:dyDescent="0.25">
      <c r="A950" s="2"/>
      <c r="C950" s="68" t="str" cm="1">
        <f t="array" ref="C950">IF(AF950&lt;&gt;"",
IFERROR(INDEX('LaunchPad Markbook'!A:A,MATCH(AH950,'LaunchPad Markbook'!D:D,0),0),"-"),"")</f>
        <v/>
      </c>
      <c r="D950" s="27"/>
      <c r="E950" s="27"/>
      <c r="F950" s="27"/>
      <c r="G950" s="14">
        <f>IF(OR(H950&gt;AB$2,I950&gt;AC$2,J950&gt;AD$2,
P950&gt;1,V950&gt;1,
L950&gt;'Group List A'!E$2,M950&gt;'Group List A'!F$2,N950&gt;'Group List A'!G$2,
R950&gt;'Group List B'!E$2,S950&gt;'Group List B'!F$2,T950&gt;'Group List B'!G$2),"Exceed",
IF(OR(H950=AB$2,I950=AC$2,J950=AD$2,
P950=1,V950=1,
L950='Group List A'!E$2,M950='Group List A'!F$2,N950='Group List A'!G$2,
R950='Group List B'!E$2,S950='Group List B'!F$2,T950='Group List B'!G$2),"Limit",0))</f>
        <v>0</v>
      </c>
      <c r="H950" s="29">
        <f t="shared" si="212"/>
        <v>0</v>
      </c>
      <c r="I950" s="29">
        <f t="shared" si="213"/>
        <v>0</v>
      </c>
      <c r="J950" s="29">
        <f t="shared" si="214"/>
        <v>0</v>
      </c>
      <c r="K950" s="32" t="str" cm="1">
        <f t="array" ref="K950">IF(AF950&lt;&gt;"",IFERROR(INDEX('Group List A'!B:B,MATCH(AI950,'Group List A'!A:A,0),0),"-"),"")</f>
        <v/>
      </c>
      <c r="L950" s="33">
        <f t="shared" si="215"/>
        <v>0</v>
      </c>
      <c r="M950" s="33">
        <f t="shared" si="216"/>
        <v>0</v>
      </c>
      <c r="N950" s="33">
        <f t="shared" si="217"/>
        <v>0</v>
      </c>
      <c r="O950" s="28"/>
      <c r="P950" s="33">
        <f t="shared" si="218"/>
        <v>0</v>
      </c>
      <c r="Q950" s="35" t="str" cm="1">
        <f t="array" ref="Q950">IF(AF950&lt;&gt;"",IFERROR(INDEX('Group List B'!B:B,MATCH(AI950,'Group List B'!A:A,0),0),"-"),"")</f>
        <v/>
      </c>
      <c r="R950" s="36">
        <f t="shared" si="219"/>
        <v>0</v>
      </c>
      <c r="S950" s="36">
        <f t="shared" si="220"/>
        <v>0</v>
      </c>
      <c r="T950" s="36">
        <f t="shared" si="221"/>
        <v>0</v>
      </c>
      <c r="U950" s="28"/>
      <c r="V950" s="37">
        <f t="shared" si="222"/>
        <v>0</v>
      </c>
      <c r="W950" s="41"/>
      <c r="X950" s="27"/>
      <c r="Y950" s="27"/>
      <c r="Z950" s="27"/>
      <c r="AA950" s="15"/>
      <c r="AB950" s="17"/>
      <c r="AC950" s="17"/>
      <c r="AD950" s="17"/>
      <c r="AE950" s="90"/>
      <c r="AF950" s="82" t="str">
        <f t="shared" si="223"/>
        <v/>
      </c>
      <c r="AG950" s="83" t="str">
        <f t="shared" si="224"/>
        <v/>
      </c>
      <c r="AH950" s="82" t="str">
        <f t="shared" si="225"/>
        <v/>
      </c>
      <c r="AI950" s="82" t="str">
        <f t="shared" si="226"/>
        <v/>
      </c>
      <c r="AJ950" s="90"/>
      <c r="AP950" s="88"/>
    </row>
    <row r="951" spans="1:42" x14ac:dyDescent="0.25">
      <c r="A951" s="2"/>
      <c r="C951" s="68" t="str" cm="1">
        <f t="array" ref="C951">IF(AF951&lt;&gt;"",
IFERROR(INDEX('LaunchPad Markbook'!A:A,MATCH(AH951,'LaunchPad Markbook'!D:D,0),0),"-"),"")</f>
        <v/>
      </c>
      <c r="D951" s="27"/>
      <c r="E951" s="27"/>
      <c r="F951" s="27"/>
      <c r="G951" s="14">
        <f>IF(OR(H951&gt;AB$2,I951&gt;AC$2,J951&gt;AD$2,
P951&gt;1,V951&gt;1,
L951&gt;'Group List A'!E$2,M951&gt;'Group List A'!F$2,N951&gt;'Group List A'!G$2,
R951&gt;'Group List B'!E$2,S951&gt;'Group List B'!F$2,T951&gt;'Group List B'!G$2),"Exceed",
IF(OR(H951=AB$2,I951=AC$2,J951=AD$2,
P951=1,V951=1,
L951='Group List A'!E$2,M951='Group List A'!F$2,N951='Group List A'!G$2,
R951='Group List B'!E$2,S951='Group List B'!F$2,T951='Group List B'!G$2),"Limit",0))</f>
        <v>0</v>
      </c>
      <c r="H951" s="29">
        <f t="shared" si="212"/>
        <v>0</v>
      </c>
      <c r="I951" s="29">
        <f t="shared" si="213"/>
        <v>0</v>
      </c>
      <c r="J951" s="29">
        <f t="shared" si="214"/>
        <v>0</v>
      </c>
      <c r="K951" s="32" t="str" cm="1">
        <f t="array" ref="K951">IF(AF951&lt;&gt;"",IFERROR(INDEX('Group List A'!B:B,MATCH(AI951,'Group List A'!A:A,0),0),"-"),"")</f>
        <v/>
      </c>
      <c r="L951" s="33">
        <f t="shared" si="215"/>
        <v>0</v>
      </c>
      <c r="M951" s="33">
        <f t="shared" si="216"/>
        <v>0</v>
      </c>
      <c r="N951" s="33">
        <f t="shared" si="217"/>
        <v>0</v>
      </c>
      <c r="O951" s="28"/>
      <c r="P951" s="33">
        <f t="shared" si="218"/>
        <v>0</v>
      </c>
      <c r="Q951" s="35" t="str" cm="1">
        <f t="array" ref="Q951">IF(AF951&lt;&gt;"",IFERROR(INDEX('Group List B'!B:B,MATCH(AI951,'Group List B'!A:A,0),0),"-"),"")</f>
        <v/>
      </c>
      <c r="R951" s="36">
        <f t="shared" si="219"/>
        <v>0</v>
      </c>
      <c r="S951" s="36">
        <f t="shared" si="220"/>
        <v>0</v>
      </c>
      <c r="T951" s="36">
        <f t="shared" si="221"/>
        <v>0</v>
      </c>
      <c r="U951" s="28"/>
      <c r="V951" s="37">
        <f t="shared" si="222"/>
        <v>0</v>
      </c>
      <c r="W951" s="41"/>
      <c r="X951" s="27"/>
      <c r="Y951" s="27"/>
      <c r="Z951" s="27"/>
      <c r="AA951" s="15"/>
      <c r="AB951" s="17"/>
      <c r="AC951" s="17"/>
      <c r="AD951" s="17"/>
      <c r="AE951" s="90"/>
      <c r="AF951" s="82" t="str">
        <f t="shared" si="223"/>
        <v/>
      </c>
      <c r="AG951" s="83" t="str">
        <f t="shared" si="224"/>
        <v/>
      </c>
      <c r="AH951" s="82" t="str">
        <f t="shared" si="225"/>
        <v/>
      </c>
      <c r="AI951" s="82" t="str">
        <f t="shared" si="226"/>
        <v/>
      </c>
      <c r="AJ951" s="90"/>
      <c r="AP951" s="88"/>
    </row>
    <row r="952" spans="1:42" x14ac:dyDescent="0.25">
      <c r="A952" s="2"/>
      <c r="C952" s="68" t="str" cm="1">
        <f t="array" ref="C952">IF(AF952&lt;&gt;"",
IFERROR(INDEX('LaunchPad Markbook'!A:A,MATCH(AH952,'LaunchPad Markbook'!D:D,0),0),"-"),"")</f>
        <v/>
      </c>
      <c r="D952" s="27"/>
      <c r="E952" s="27"/>
      <c r="F952" s="27"/>
      <c r="G952" s="14">
        <f>IF(OR(H952&gt;AB$2,I952&gt;AC$2,J952&gt;AD$2,
P952&gt;1,V952&gt;1,
L952&gt;'Group List A'!E$2,M952&gt;'Group List A'!F$2,N952&gt;'Group List A'!G$2,
R952&gt;'Group List B'!E$2,S952&gt;'Group List B'!F$2,T952&gt;'Group List B'!G$2),"Exceed",
IF(OR(H952=AB$2,I952=AC$2,J952=AD$2,
P952=1,V952=1,
L952='Group List A'!E$2,M952='Group List A'!F$2,N952='Group List A'!G$2,
R952='Group List B'!E$2,S952='Group List B'!F$2,T952='Group List B'!G$2),"Limit",0))</f>
        <v>0</v>
      </c>
      <c r="H952" s="29">
        <f t="shared" si="212"/>
        <v>0</v>
      </c>
      <c r="I952" s="29">
        <f t="shared" si="213"/>
        <v>0</v>
      </c>
      <c r="J952" s="29">
        <f t="shared" si="214"/>
        <v>0</v>
      </c>
      <c r="K952" s="32" t="str" cm="1">
        <f t="array" ref="K952">IF(AF952&lt;&gt;"",IFERROR(INDEX('Group List A'!B:B,MATCH(AI952,'Group List A'!A:A,0),0),"-"),"")</f>
        <v/>
      </c>
      <c r="L952" s="33">
        <f t="shared" si="215"/>
        <v>0</v>
      </c>
      <c r="M952" s="33">
        <f t="shared" si="216"/>
        <v>0</v>
      </c>
      <c r="N952" s="33">
        <f t="shared" si="217"/>
        <v>0</v>
      </c>
      <c r="O952" s="28"/>
      <c r="P952" s="33">
        <f t="shared" si="218"/>
        <v>0</v>
      </c>
      <c r="Q952" s="35" t="str" cm="1">
        <f t="array" ref="Q952">IF(AF952&lt;&gt;"",IFERROR(INDEX('Group List B'!B:B,MATCH(AI952,'Group List B'!A:A,0),0),"-"),"")</f>
        <v/>
      </c>
      <c r="R952" s="36">
        <f t="shared" si="219"/>
        <v>0</v>
      </c>
      <c r="S952" s="36">
        <f t="shared" si="220"/>
        <v>0</v>
      </c>
      <c r="T952" s="36">
        <f t="shared" si="221"/>
        <v>0</v>
      </c>
      <c r="U952" s="28"/>
      <c r="V952" s="37">
        <f t="shared" si="222"/>
        <v>0</v>
      </c>
      <c r="W952" s="41"/>
      <c r="X952" s="27"/>
      <c r="Y952" s="27"/>
      <c r="Z952" s="27"/>
      <c r="AA952" s="15"/>
      <c r="AB952" s="17"/>
      <c r="AC952" s="17"/>
      <c r="AD952" s="17"/>
      <c r="AE952" s="90"/>
      <c r="AF952" s="82" t="str">
        <f t="shared" si="223"/>
        <v/>
      </c>
      <c r="AG952" s="83" t="str">
        <f t="shared" si="224"/>
        <v/>
      </c>
      <c r="AH952" s="82" t="str">
        <f t="shared" si="225"/>
        <v/>
      </c>
      <c r="AI952" s="82" t="str">
        <f t="shared" si="226"/>
        <v/>
      </c>
      <c r="AJ952" s="90"/>
      <c r="AP952" s="88"/>
    </row>
    <row r="953" spans="1:42" x14ac:dyDescent="0.25">
      <c r="A953" s="2"/>
      <c r="C953" s="68" t="str" cm="1">
        <f t="array" ref="C953">IF(AF953&lt;&gt;"",
IFERROR(INDEX('LaunchPad Markbook'!A:A,MATCH(AH953,'LaunchPad Markbook'!D:D,0),0),"-"),"")</f>
        <v/>
      </c>
      <c r="D953" s="27"/>
      <c r="E953" s="27"/>
      <c r="F953" s="27"/>
      <c r="G953" s="14">
        <f>IF(OR(H953&gt;AB$2,I953&gt;AC$2,J953&gt;AD$2,
P953&gt;1,V953&gt;1,
L953&gt;'Group List A'!E$2,M953&gt;'Group List A'!F$2,N953&gt;'Group List A'!G$2,
R953&gt;'Group List B'!E$2,S953&gt;'Group List B'!F$2,T953&gt;'Group List B'!G$2),"Exceed",
IF(OR(H953=AB$2,I953=AC$2,J953=AD$2,
P953=1,V953=1,
L953='Group List A'!E$2,M953='Group List A'!F$2,N953='Group List A'!G$2,
R953='Group List B'!E$2,S953='Group List B'!F$2,T953='Group List B'!G$2),"Limit",0))</f>
        <v>0</v>
      </c>
      <c r="H953" s="29">
        <f t="shared" si="212"/>
        <v>0</v>
      </c>
      <c r="I953" s="29">
        <f t="shared" si="213"/>
        <v>0</v>
      </c>
      <c r="J953" s="29">
        <f t="shared" si="214"/>
        <v>0</v>
      </c>
      <c r="K953" s="32" t="str" cm="1">
        <f t="array" ref="K953">IF(AF953&lt;&gt;"",IFERROR(INDEX('Group List A'!B:B,MATCH(AI953,'Group List A'!A:A,0),0),"-"),"")</f>
        <v/>
      </c>
      <c r="L953" s="33">
        <f t="shared" si="215"/>
        <v>0</v>
      </c>
      <c r="M953" s="33">
        <f t="shared" si="216"/>
        <v>0</v>
      </c>
      <c r="N953" s="33">
        <f t="shared" si="217"/>
        <v>0</v>
      </c>
      <c r="O953" s="28"/>
      <c r="P953" s="33">
        <f t="shared" si="218"/>
        <v>0</v>
      </c>
      <c r="Q953" s="35" t="str" cm="1">
        <f t="array" ref="Q953">IF(AF953&lt;&gt;"",IFERROR(INDEX('Group List B'!B:B,MATCH(AI953,'Group List B'!A:A,0),0),"-"),"")</f>
        <v/>
      </c>
      <c r="R953" s="36">
        <f t="shared" si="219"/>
        <v>0</v>
      </c>
      <c r="S953" s="36">
        <f t="shared" si="220"/>
        <v>0</v>
      </c>
      <c r="T953" s="36">
        <f t="shared" si="221"/>
        <v>0</v>
      </c>
      <c r="U953" s="28"/>
      <c r="V953" s="37">
        <f t="shared" si="222"/>
        <v>0</v>
      </c>
      <c r="W953" s="41"/>
      <c r="X953" s="27"/>
      <c r="Y953" s="27"/>
      <c r="Z953" s="27"/>
      <c r="AA953" s="15"/>
      <c r="AB953" s="17"/>
      <c r="AC953" s="17"/>
      <c r="AD953" s="17"/>
      <c r="AE953" s="90"/>
      <c r="AF953" s="82" t="str">
        <f t="shared" si="223"/>
        <v/>
      </c>
      <c r="AG953" s="83" t="str">
        <f t="shared" si="224"/>
        <v/>
      </c>
      <c r="AH953" s="82" t="str">
        <f t="shared" si="225"/>
        <v/>
      </c>
      <c r="AI953" s="82" t="str">
        <f t="shared" si="226"/>
        <v/>
      </c>
      <c r="AJ953" s="90"/>
      <c r="AP953" s="88"/>
    </row>
    <row r="954" spans="1:42" x14ac:dyDescent="0.25">
      <c r="A954" s="2"/>
      <c r="C954" s="68" t="str" cm="1">
        <f t="array" ref="C954">IF(AF954&lt;&gt;"",
IFERROR(INDEX('LaunchPad Markbook'!A:A,MATCH(AH954,'LaunchPad Markbook'!D:D,0),0),"-"),"")</f>
        <v/>
      </c>
      <c r="D954" s="27"/>
      <c r="E954" s="27"/>
      <c r="F954" s="27"/>
      <c r="G954" s="14">
        <f>IF(OR(H954&gt;AB$2,I954&gt;AC$2,J954&gt;AD$2,
P954&gt;1,V954&gt;1,
L954&gt;'Group List A'!E$2,M954&gt;'Group List A'!F$2,N954&gt;'Group List A'!G$2,
R954&gt;'Group List B'!E$2,S954&gt;'Group List B'!F$2,T954&gt;'Group List B'!G$2),"Exceed",
IF(OR(H954=AB$2,I954=AC$2,J954=AD$2,
P954=1,V954=1,
L954='Group List A'!E$2,M954='Group List A'!F$2,N954='Group List A'!G$2,
R954='Group List B'!E$2,S954='Group List B'!F$2,T954='Group List B'!G$2),"Limit",0))</f>
        <v>0</v>
      </c>
      <c r="H954" s="29">
        <f t="shared" si="212"/>
        <v>0</v>
      </c>
      <c r="I954" s="29">
        <f t="shared" si="213"/>
        <v>0</v>
      </c>
      <c r="J954" s="29">
        <f t="shared" si="214"/>
        <v>0</v>
      </c>
      <c r="K954" s="32" t="str" cm="1">
        <f t="array" ref="K954">IF(AF954&lt;&gt;"",IFERROR(INDEX('Group List A'!B:B,MATCH(AI954,'Group List A'!A:A,0),0),"-"),"")</f>
        <v/>
      </c>
      <c r="L954" s="33">
        <f t="shared" si="215"/>
        <v>0</v>
      </c>
      <c r="M954" s="33">
        <f t="shared" si="216"/>
        <v>0</v>
      </c>
      <c r="N954" s="33">
        <f t="shared" si="217"/>
        <v>0</v>
      </c>
      <c r="O954" s="28"/>
      <c r="P954" s="33">
        <f t="shared" si="218"/>
        <v>0</v>
      </c>
      <c r="Q954" s="35" t="str" cm="1">
        <f t="array" ref="Q954">IF(AF954&lt;&gt;"",IFERROR(INDEX('Group List B'!B:B,MATCH(AI954,'Group List B'!A:A,0),0),"-"),"")</f>
        <v/>
      </c>
      <c r="R954" s="36">
        <f t="shared" si="219"/>
        <v>0</v>
      </c>
      <c r="S954" s="36">
        <f t="shared" si="220"/>
        <v>0</v>
      </c>
      <c r="T954" s="36">
        <f t="shared" si="221"/>
        <v>0</v>
      </c>
      <c r="U954" s="28"/>
      <c r="V954" s="37">
        <f t="shared" si="222"/>
        <v>0</v>
      </c>
      <c r="W954" s="41"/>
      <c r="X954" s="27"/>
      <c r="Y954" s="27"/>
      <c r="Z954" s="27"/>
      <c r="AA954" s="15"/>
      <c r="AB954" s="17"/>
      <c r="AC954" s="17"/>
      <c r="AD954" s="17"/>
      <c r="AE954" s="90"/>
      <c r="AF954" s="82" t="str">
        <f t="shared" si="223"/>
        <v/>
      </c>
      <c r="AG954" s="83" t="str">
        <f t="shared" si="224"/>
        <v/>
      </c>
      <c r="AH954" s="82" t="str">
        <f t="shared" si="225"/>
        <v/>
      </c>
      <c r="AI954" s="82" t="str">
        <f t="shared" si="226"/>
        <v/>
      </c>
      <c r="AJ954" s="90"/>
      <c r="AP954" s="88"/>
    </row>
    <row r="955" spans="1:42" x14ac:dyDescent="0.25">
      <c r="A955" s="2"/>
      <c r="C955" s="68" t="str" cm="1">
        <f t="array" ref="C955">IF(AF955&lt;&gt;"",
IFERROR(INDEX('LaunchPad Markbook'!A:A,MATCH(AH955,'LaunchPad Markbook'!D:D,0),0),"-"),"")</f>
        <v/>
      </c>
      <c r="D955" s="27"/>
      <c r="E955" s="27"/>
      <c r="F955" s="27"/>
      <c r="G955" s="14">
        <f>IF(OR(H955&gt;AB$2,I955&gt;AC$2,J955&gt;AD$2,
P955&gt;1,V955&gt;1,
L955&gt;'Group List A'!E$2,M955&gt;'Group List A'!F$2,N955&gt;'Group List A'!G$2,
R955&gt;'Group List B'!E$2,S955&gt;'Group List B'!F$2,T955&gt;'Group List B'!G$2),"Exceed",
IF(OR(H955=AB$2,I955=AC$2,J955=AD$2,
P955=1,V955=1,
L955='Group List A'!E$2,M955='Group List A'!F$2,N955='Group List A'!G$2,
R955='Group List B'!E$2,S955='Group List B'!F$2,T955='Group List B'!G$2),"Limit",0))</f>
        <v>0</v>
      </c>
      <c r="H955" s="29">
        <f t="shared" si="212"/>
        <v>0</v>
      </c>
      <c r="I955" s="29">
        <f t="shared" si="213"/>
        <v>0</v>
      </c>
      <c r="J955" s="29">
        <f t="shared" si="214"/>
        <v>0</v>
      </c>
      <c r="K955" s="32" t="str" cm="1">
        <f t="array" ref="K955">IF(AF955&lt;&gt;"",IFERROR(INDEX('Group List A'!B:B,MATCH(AI955,'Group List A'!A:A,0),0),"-"),"")</f>
        <v/>
      </c>
      <c r="L955" s="33">
        <f t="shared" si="215"/>
        <v>0</v>
      </c>
      <c r="M955" s="33">
        <f t="shared" si="216"/>
        <v>0</v>
      </c>
      <c r="N955" s="33">
        <f t="shared" si="217"/>
        <v>0</v>
      </c>
      <c r="O955" s="28"/>
      <c r="P955" s="33">
        <f t="shared" si="218"/>
        <v>0</v>
      </c>
      <c r="Q955" s="35" t="str" cm="1">
        <f t="array" ref="Q955">IF(AF955&lt;&gt;"",IFERROR(INDEX('Group List B'!B:B,MATCH(AI955,'Group List B'!A:A,0),0),"-"),"")</f>
        <v/>
      </c>
      <c r="R955" s="36">
        <f t="shared" si="219"/>
        <v>0</v>
      </c>
      <c r="S955" s="36">
        <f t="shared" si="220"/>
        <v>0</v>
      </c>
      <c r="T955" s="36">
        <f t="shared" si="221"/>
        <v>0</v>
      </c>
      <c r="U955" s="28"/>
      <c r="V955" s="37">
        <f t="shared" si="222"/>
        <v>0</v>
      </c>
      <c r="W955" s="41"/>
      <c r="X955" s="27"/>
      <c r="Y955" s="27"/>
      <c r="Z955" s="27"/>
      <c r="AA955" s="15"/>
      <c r="AB955" s="17"/>
      <c r="AC955" s="17"/>
      <c r="AD955" s="17"/>
      <c r="AE955" s="90"/>
      <c r="AF955" s="82" t="str">
        <f t="shared" si="223"/>
        <v/>
      </c>
      <c r="AG955" s="83" t="str">
        <f t="shared" si="224"/>
        <v/>
      </c>
      <c r="AH955" s="82" t="str">
        <f t="shared" si="225"/>
        <v/>
      </c>
      <c r="AI955" s="82" t="str">
        <f t="shared" si="226"/>
        <v/>
      </c>
      <c r="AJ955" s="90"/>
      <c r="AP955" s="88"/>
    </row>
    <row r="956" spans="1:42" x14ac:dyDescent="0.25">
      <c r="A956" s="2"/>
      <c r="C956" s="68" t="str" cm="1">
        <f t="array" ref="C956">IF(AF956&lt;&gt;"",
IFERROR(INDEX('LaunchPad Markbook'!A:A,MATCH(AH956,'LaunchPad Markbook'!D:D,0),0),"-"),"")</f>
        <v/>
      </c>
      <c r="D956" s="27"/>
      <c r="E956" s="27"/>
      <c r="F956" s="27"/>
      <c r="G956" s="14">
        <f>IF(OR(H956&gt;AB$2,I956&gt;AC$2,J956&gt;AD$2,
P956&gt;1,V956&gt;1,
L956&gt;'Group List A'!E$2,M956&gt;'Group List A'!F$2,N956&gt;'Group List A'!G$2,
R956&gt;'Group List B'!E$2,S956&gt;'Group List B'!F$2,T956&gt;'Group List B'!G$2),"Exceed",
IF(OR(H956=AB$2,I956=AC$2,J956=AD$2,
P956=1,V956=1,
L956='Group List A'!E$2,M956='Group List A'!F$2,N956='Group List A'!G$2,
R956='Group List B'!E$2,S956='Group List B'!F$2,T956='Group List B'!G$2),"Limit",0))</f>
        <v>0</v>
      </c>
      <c r="H956" s="29">
        <f t="shared" si="212"/>
        <v>0</v>
      </c>
      <c r="I956" s="29">
        <f t="shared" si="213"/>
        <v>0</v>
      </c>
      <c r="J956" s="29">
        <f t="shared" si="214"/>
        <v>0</v>
      </c>
      <c r="K956" s="32" t="str" cm="1">
        <f t="array" ref="K956">IF(AF956&lt;&gt;"",IFERROR(INDEX('Group List A'!B:B,MATCH(AI956,'Group List A'!A:A,0),0),"-"),"")</f>
        <v/>
      </c>
      <c r="L956" s="33">
        <f t="shared" si="215"/>
        <v>0</v>
      </c>
      <c r="M956" s="33">
        <f t="shared" si="216"/>
        <v>0</v>
      </c>
      <c r="N956" s="33">
        <f t="shared" si="217"/>
        <v>0</v>
      </c>
      <c r="O956" s="28"/>
      <c r="P956" s="33">
        <f t="shared" si="218"/>
        <v>0</v>
      </c>
      <c r="Q956" s="35" t="str" cm="1">
        <f t="array" ref="Q956">IF(AF956&lt;&gt;"",IFERROR(INDEX('Group List B'!B:B,MATCH(AI956,'Group List B'!A:A,0),0),"-"),"")</f>
        <v/>
      </c>
      <c r="R956" s="36">
        <f t="shared" si="219"/>
        <v>0</v>
      </c>
      <c r="S956" s="36">
        <f t="shared" si="220"/>
        <v>0</v>
      </c>
      <c r="T956" s="36">
        <f t="shared" si="221"/>
        <v>0</v>
      </c>
      <c r="U956" s="28"/>
      <c r="V956" s="37">
        <f t="shared" si="222"/>
        <v>0</v>
      </c>
      <c r="W956" s="41"/>
      <c r="X956" s="27"/>
      <c r="Y956" s="27"/>
      <c r="Z956" s="27"/>
      <c r="AA956" s="15"/>
      <c r="AB956" s="17"/>
      <c r="AC956" s="17"/>
      <c r="AD956" s="17"/>
      <c r="AE956" s="90"/>
      <c r="AF956" s="82" t="str">
        <f t="shared" si="223"/>
        <v/>
      </c>
      <c r="AG956" s="83" t="str">
        <f t="shared" si="224"/>
        <v/>
      </c>
      <c r="AH956" s="82" t="str">
        <f t="shared" si="225"/>
        <v/>
      </c>
      <c r="AI956" s="82" t="str">
        <f t="shared" si="226"/>
        <v/>
      </c>
      <c r="AJ956" s="90"/>
      <c r="AP956" s="88"/>
    </row>
    <row r="957" spans="1:42" x14ac:dyDescent="0.25">
      <c r="A957" s="2"/>
      <c r="C957" s="68" t="str" cm="1">
        <f t="array" ref="C957">IF(AF957&lt;&gt;"",
IFERROR(INDEX('LaunchPad Markbook'!A:A,MATCH(AH957,'LaunchPad Markbook'!D:D,0),0),"-"),"")</f>
        <v/>
      </c>
      <c r="D957" s="27"/>
      <c r="E957" s="27"/>
      <c r="F957" s="27"/>
      <c r="G957" s="14">
        <f>IF(OR(H957&gt;AB$2,I957&gt;AC$2,J957&gt;AD$2,
P957&gt;1,V957&gt;1,
L957&gt;'Group List A'!E$2,M957&gt;'Group List A'!F$2,N957&gt;'Group List A'!G$2,
R957&gt;'Group List B'!E$2,S957&gt;'Group List B'!F$2,T957&gt;'Group List B'!G$2),"Exceed",
IF(OR(H957=AB$2,I957=AC$2,J957=AD$2,
P957=1,V957=1,
L957='Group List A'!E$2,M957='Group List A'!F$2,N957='Group List A'!G$2,
R957='Group List B'!E$2,S957='Group List B'!F$2,T957='Group List B'!G$2),"Limit",0))</f>
        <v>0</v>
      </c>
      <c r="H957" s="29">
        <f t="shared" si="212"/>
        <v>0</v>
      </c>
      <c r="I957" s="29">
        <f t="shared" si="213"/>
        <v>0</v>
      </c>
      <c r="J957" s="29">
        <f t="shared" si="214"/>
        <v>0</v>
      </c>
      <c r="K957" s="32" t="str" cm="1">
        <f t="array" ref="K957">IF(AF957&lt;&gt;"",IFERROR(INDEX('Group List A'!B:B,MATCH(AI957,'Group List A'!A:A,0),0),"-"),"")</f>
        <v/>
      </c>
      <c r="L957" s="33">
        <f t="shared" si="215"/>
        <v>0</v>
      </c>
      <c r="M957" s="33">
        <f t="shared" si="216"/>
        <v>0</v>
      </c>
      <c r="N957" s="33">
        <f t="shared" si="217"/>
        <v>0</v>
      </c>
      <c r="O957" s="28"/>
      <c r="P957" s="33">
        <f t="shared" si="218"/>
        <v>0</v>
      </c>
      <c r="Q957" s="35" t="str" cm="1">
        <f t="array" ref="Q957">IF(AF957&lt;&gt;"",IFERROR(INDEX('Group List B'!B:B,MATCH(AI957,'Group List B'!A:A,0),0),"-"),"")</f>
        <v/>
      </c>
      <c r="R957" s="36">
        <f t="shared" si="219"/>
        <v>0</v>
      </c>
      <c r="S957" s="36">
        <f t="shared" si="220"/>
        <v>0</v>
      </c>
      <c r="T957" s="36">
        <f t="shared" si="221"/>
        <v>0</v>
      </c>
      <c r="U957" s="28"/>
      <c r="V957" s="37">
        <f t="shared" si="222"/>
        <v>0</v>
      </c>
      <c r="W957" s="41"/>
      <c r="X957" s="27"/>
      <c r="Y957" s="27"/>
      <c r="Z957" s="27"/>
      <c r="AA957" s="15"/>
      <c r="AB957" s="17"/>
      <c r="AC957" s="17"/>
      <c r="AD957" s="17"/>
      <c r="AE957" s="90"/>
      <c r="AF957" s="82" t="str">
        <f t="shared" si="223"/>
        <v/>
      </c>
      <c r="AG957" s="83" t="str">
        <f t="shared" si="224"/>
        <v/>
      </c>
      <c r="AH957" s="82" t="str">
        <f t="shared" si="225"/>
        <v/>
      </c>
      <c r="AI957" s="82" t="str">
        <f t="shared" si="226"/>
        <v/>
      </c>
      <c r="AJ957" s="90"/>
      <c r="AP957" s="88"/>
    </row>
    <row r="958" spans="1:42" x14ac:dyDescent="0.25">
      <c r="A958" s="2"/>
      <c r="C958" s="68" t="str" cm="1">
        <f t="array" ref="C958">IF(AF958&lt;&gt;"",
IFERROR(INDEX('LaunchPad Markbook'!A:A,MATCH(AH958,'LaunchPad Markbook'!D:D,0),0),"-"),"")</f>
        <v/>
      </c>
      <c r="D958" s="27"/>
      <c r="E958" s="27"/>
      <c r="F958" s="27"/>
      <c r="G958" s="14">
        <f>IF(OR(H958&gt;AB$2,I958&gt;AC$2,J958&gt;AD$2,
P958&gt;1,V958&gt;1,
L958&gt;'Group List A'!E$2,M958&gt;'Group List A'!F$2,N958&gt;'Group List A'!G$2,
R958&gt;'Group List B'!E$2,S958&gt;'Group List B'!F$2,T958&gt;'Group List B'!G$2),"Exceed",
IF(OR(H958=AB$2,I958=AC$2,J958=AD$2,
P958=1,V958=1,
L958='Group List A'!E$2,M958='Group List A'!F$2,N958='Group List A'!G$2,
R958='Group List B'!E$2,S958='Group List B'!F$2,T958='Group List B'!G$2),"Limit",0))</f>
        <v>0</v>
      </c>
      <c r="H958" s="29">
        <f t="shared" si="212"/>
        <v>0</v>
      </c>
      <c r="I958" s="29">
        <f t="shared" si="213"/>
        <v>0</v>
      </c>
      <c r="J958" s="29">
        <f t="shared" si="214"/>
        <v>0</v>
      </c>
      <c r="K958" s="32" t="str" cm="1">
        <f t="array" ref="K958">IF(AF958&lt;&gt;"",IFERROR(INDEX('Group List A'!B:B,MATCH(AI958,'Group List A'!A:A,0),0),"-"),"")</f>
        <v/>
      </c>
      <c r="L958" s="33">
        <f t="shared" si="215"/>
        <v>0</v>
      </c>
      <c r="M958" s="33">
        <f t="shared" si="216"/>
        <v>0</v>
      </c>
      <c r="N958" s="33">
        <f t="shared" si="217"/>
        <v>0</v>
      </c>
      <c r="O958" s="28"/>
      <c r="P958" s="33">
        <f t="shared" si="218"/>
        <v>0</v>
      </c>
      <c r="Q958" s="35" t="str" cm="1">
        <f t="array" ref="Q958">IF(AF958&lt;&gt;"",IFERROR(INDEX('Group List B'!B:B,MATCH(AI958,'Group List B'!A:A,0),0),"-"),"")</f>
        <v/>
      </c>
      <c r="R958" s="36">
        <f t="shared" si="219"/>
        <v>0</v>
      </c>
      <c r="S958" s="36">
        <f t="shared" si="220"/>
        <v>0</v>
      </c>
      <c r="T958" s="36">
        <f t="shared" si="221"/>
        <v>0</v>
      </c>
      <c r="U958" s="28"/>
      <c r="V958" s="37">
        <f t="shared" si="222"/>
        <v>0</v>
      </c>
      <c r="W958" s="41"/>
      <c r="X958" s="27"/>
      <c r="Y958" s="27"/>
      <c r="Z958" s="27"/>
      <c r="AA958" s="15"/>
      <c r="AB958" s="17"/>
      <c r="AC958" s="17"/>
      <c r="AD958" s="17"/>
      <c r="AE958" s="90"/>
      <c r="AF958" s="82" t="str">
        <f t="shared" si="223"/>
        <v/>
      </c>
      <c r="AG958" s="83" t="str">
        <f t="shared" si="224"/>
        <v/>
      </c>
      <c r="AH958" s="82" t="str">
        <f t="shared" si="225"/>
        <v/>
      </c>
      <c r="AI958" s="82" t="str">
        <f t="shared" si="226"/>
        <v/>
      </c>
      <c r="AJ958" s="90"/>
      <c r="AP958" s="88"/>
    </row>
    <row r="959" spans="1:42" x14ac:dyDescent="0.25">
      <c r="A959" s="2"/>
      <c r="C959" s="68" t="str" cm="1">
        <f t="array" ref="C959">IF(AF959&lt;&gt;"",
IFERROR(INDEX('LaunchPad Markbook'!A:A,MATCH(AH959,'LaunchPad Markbook'!D:D,0),0),"-"),"")</f>
        <v/>
      </c>
      <c r="D959" s="27"/>
      <c r="E959" s="27"/>
      <c r="F959" s="27"/>
      <c r="G959" s="14">
        <f>IF(OR(H959&gt;AB$2,I959&gt;AC$2,J959&gt;AD$2,
P959&gt;1,V959&gt;1,
L959&gt;'Group List A'!E$2,M959&gt;'Group List A'!F$2,N959&gt;'Group List A'!G$2,
R959&gt;'Group List B'!E$2,S959&gt;'Group List B'!F$2,T959&gt;'Group List B'!G$2),"Exceed",
IF(OR(H959=AB$2,I959=AC$2,J959=AD$2,
P959=1,V959=1,
L959='Group List A'!E$2,M959='Group List A'!F$2,N959='Group List A'!G$2,
R959='Group List B'!E$2,S959='Group List B'!F$2,T959='Group List B'!G$2),"Limit",0))</f>
        <v>0</v>
      </c>
      <c r="H959" s="29">
        <f t="shared" si="212"/>
        <v>0</v>
      </c>
      <c r="I959" s="29">
        <f t="shared" si="213"/>
        <v>0</v>
      </c>
      <c r="J959" s="29">
        <f t="shared" si="214"/>
        <v>0</v>
      </c>
      <c r="K959" s="32" t="str" cm="1">
        <f t="array" ref="K959">IF(AF959&lt;&gt;"",IFERROR(INDEX('Group List A'!B:B,MATCH(AI959,'Group List A'!A:A,0),0),"-"),"")</f>
        <v/>
      </c>
      <c r="L959" s="33">
        <f t="shared" si="215"/>
        <v>0</v>
      </c>
      <c r="M959" s="33">
        <f t="shared" si="216"/>
        <v>0</v>
      </c>
      <c r="N959" s="33">
        <f t="shared" si="217"/>
        <v>0</v>
      </c>
      <c r="O959" s="28"/>
      <c r="P959" s="33">
        <f t="shared" si="218"/>
        <v>0</v>
      </c>
      <c r="Q959" s="35" t="str" cm="1">
        <f t="array" ref="Q959">IF(AF959&lt;&gt;"",IFERROR(INDEX('Group List B'!B:B,MATCH(AI959,'Group List B'!A:A,0),0),"-"),"")</f>
        <v/>
      </c>
      <c r="R959" s="36">
        <f t="shared" si="219"/>
        <v>0</v>
      </c>
      <c r="S959" s="36">
        <f t="shared" si="220"/>
        <v>0</v>
      </c>
      <c r="T959" s="36">
        <f t="shared" si="221"/>
        <v>0</v>
      </c>
      <c r="U959" s="28"/>
      <c r="V959" s="37">
        <f t="shared" si="222"/>
        <v>0</v>
      </c>
      <c r="W959" s="41"/>
      <c r="X959" s="27"/>
      <c r="Y959" s="27"/>
      <c r="Z959" s="27"/>
      <c r="AA959" s="15"/>
      <c r="AB959" s="17"/>
      <c r="AC959" s="17"/>
      <c r="AD959" s="17"/>
      <c r="AE959" s="90"/>
      <c r="AF959" s="82" t="str">
        <f t="shared" si="223"/>
        <v/>
      </c>
      <c r="AG959" s="83" t="str">
        <f t="shared" si="224"/>
        <v/>
      </c>
      <c r="AH959" s="82" t="str">
        <f t="shared" si="225"/>
        <v/>
      </c>
      <c r="AI959" s="82" t="str">
        <f t="shared" si="226"/>
        <v/>
      </c>
      <c r="AJ959" s="90"/>
      <c r="AP959" s="88"/>
    </row>
    <row r="960" spans="1:42" x14ac:dyDescent="0.25">
      <c r="A960" s="2"/>
      <c r="C960" s="68" t="str" cm="1">
        <f t="array" ref="C960">IF(AF960&lt;&gt;"",
IFERROR(INDEX('LaunchPad Markbook'!A:A,MATCH(AH960,'LaunchPad Markbook'!D:D,0),0),"-"),"")</f>
        <v/>
      </c>
      <c r="D960" s="27"/>
      <c r="E960" s="27"/>
      <c r="F960" s="27"/>
      <c r="G960" s="14">
        <f>IF(OR(H960&gt;AB$2,I960&gt;AC$2,J960&gt;AD$2,
P960&gt;1,V960&gt;1,
L960&gt;'Group List A'!E$2,M960&gt;'Group List A'!F$2,N960&gt;'Group List A'!G$2,
R960&gt;'Group List B'!E$2,S960&gt;'Group List B'!F$2,T960&gt;'Group List B'!G$2),"Exceed",
IF(OR(H960=AB$2,I960=AC$2,J960=AD$2,
P960=1,V960=1,
L960='Group List A'!E$2,M960='Group List A'!F$2,N960='Group List A'!G$2,
R960='Group List B'!E$2,S960='Group List B'!F$2,T960='Group List B'!G$2),"Limit",0))</f>
        <v>0</v>
      </c>
      <c r="H960" s="29">
        <f t="shared" si="212"/>
        <v>0</v>
      </c>
      <c r="I960" s="29">
        <f t="shared" si="213"/>
        <v>0</v>
      </c>
      <c r="J960" s="29">
        <f t="shared" si="214"/>
        <v>0</v>
      </c>
      <c r="K960" s="32" t="str" cm="1">
        <f t="array" ref="K960">IF(AF960&lt;&gt;"",IFERROR(INDEX('Group List A'!B:B,MATCH(AI960,'Group List A'!A:A,0),0),"-"),"")</f>
        <v/>
      </c>
      <c r="L960" s="33">
        <f t="shared" si="215"/>
        <v>0</v>
      </c>
      <c r="M960" s="33">
        <f t="shared" si="216"/>
        <v>0</v>
      </c>
      <c r="N960" s="33">
        <f t="shared" si="217"/>
        <v>0</v>
      </c>
      <c r="O960" s="28"/>
      <c r="P960" s="33">
        <f t="shared" si="218"/>
        <v>0</v>
      </c>
      <c r="Q960" s="35" t="str" cm="1">
        <f t="array" ref="Q960">IF(AF960&lt;&gt;"",IFERROR(INDEX('Group List B'!B:B,MATCH(AI960,'Group List B'!A:A,0),0),"-"),"")</f>
        <v/>
      </c>
      <c r="R960" s="36">
        <f t="shared" si="219"/>
        <v>0</v>
      </c>
      <c r="S960" s="36">
        <f t="shared" si="220"/>
        <v>0</v>
      </c>
      <c r="T960" s="36">
        <f t="shared" si="221"/>
        <v>0</v>
      </c>
      <c r="U960" s="28"/>
      <c r="V960" s="37">
        <f t="shared" si="222"/>
        <v>0</v>
      </c>
      <c r="W960" s="41"/>
      <c r="X960" s="27"/>
      <c r="Y960" s="27"/>
      <c r="Z960" s="27"/>
      <c r="AA960" s="15"/>
      <c r="AB960" s="17"/>
      <c r="AC960" s="17"/>
      <c r="AD960" s="17"/>
      <c r="AE960" s="90"/>
      <c r="AF960" s="82" t="str">
        <f t="shared" si="223"/>
        <v/>
      </c>
      <c r="AG960" s="83" t="str">
        <f t="shared" si="224"/>
        <v/>
      </c>
      <c r="AH960" s="82" t="str">
        <f t="shared" si="225"/>
        <v/>
      </c>
      <c r="AI960" s="82" t="str">
        <f t="shared" si="226"/>
        <v/>
      </c>
      <c r="AJ960" s="90"/>
      <c r="AP960" s="88"/>
    </row>
    <row r="961" spans="1:42" x14ac:dyDescent="0.25">
      <c r="A961" s="2"/>
      <c r="C961" s="68" t="str" cm="1">
        <f t="array" ref="C961">IF(AF961&lt;&gt;"",
IFERROR(INDEX('LaunchPad Markbook'!A:A,MATCH(AH961,'LaunchPad Markbook'!D:D,0),0),"-"),"")</f>
        <v/>
      </c>
      <c r="D961" s="27"/>
      <c r="E961" s="27"/>
      <c r="F961" s="27"/>
      <c r="G961" s="14">
        <f>IF(OR(H961&gt;AB$2,I961&gt;AC$2,J961&gt;AD$2,
P961&gt;1,V961&gt;1,
L961&gt;'Group List A'!E$2,M961&gt;'Group List A'!F$2,N961&gt;'Group List A'!G$2,
R961&gt;'Group List B'!E$2,S961&gt;'Group List B'!F$2,T961&gt;'Group List B'!G$2),"Exceed",
IF(OR(H961=AB$2,I961=AC$2,J961=AD$2,
P961=1,V961=1,
L961='Group List A'!E$2,M961='Group List A'!F$2,N961='Group List A'!G$2,
R961='Group List B'!E$2,S961='Group List B'!F$2,T961='Group List B'!G$2),"Limit",0))</f>
        <v>0</v>
      </c>
      <c r="H961" s="29">
        <f t="shared" si="212"/>
        <v>0</v>
      </c>
      <c r="I961" s="29">
        <f t="shared" si="213"/>
        <v>0</v>
      </c>
      <c r="J961" s="29">
        <f t="shared" si="214"/>
        <v>0</v>
      </c>
      <c r="K961" s="32" t="str" cm="1">
        <f t="array" ref="K961">IF(AF961&lt;&gt;"",IFERROR(INDEX('Group List A'!B:B,MATCH(AI961,'Group List A'!A:A,0),0),"-"),"")</f>
        <v/>
      </c>
      <c r="L961" s="33">
        <f t="shared" si="215"/>
        <v>0</v>
      </c>
      <c r="M961" s="33">
        <f t="shared" si="216"/>
        <v>0</v>
      </c>
      <c r="N961" s="33">
        <f t="shared" si="217"/>
        <v>0</v>
      </c>
      <c r="O961" s="28"/>
      <c r="P961" s="33">
        <f t="shared" si="218"/>
        <v>0</v>
      </c>
      <c r="Q961" s="35" t="str" cm="1">
        <f t="array" ref="Q961">IF(AF961&lt;&gt;"",IFERROR(INDEX('Group List B'!B:B,MATCH(AI961,'Group List B'!A:A,0),0),"-"),"")</f>
        <v/>
      </c>
      <c r="R961" s="36">
        <f t="shared" si="219"/>
        <v>0</v>
      </c>
      <c r="S961" s="36">
        <f t="shared" si="220"/>
        <v>0</v>
      </c>
      <c r="T961" s="36">
        <f t="shared" si="221"/>
        <v>0</v>
      </c>
      <c r="U961" s="28"/>
      <c r="V961" s="37">
        <f t="shared" si="222"/>
        <v>0</v>
      </c>
      <c r="W961" s="41"/>
      <c r="X961" s="27"/>
      <c r="Y961" s="27"/>
      <c r="Z961" s="27"/>
      <c r="AA961" s="15"/>
      <c r="AB961" s="17"/>
      <c r="AC961" s="17"/>
      <c r="AD961" s="17"/>
      <c r="AE961" s="90"/>
      <c r="AF961" s="82" t="str">
        <f t="shared" si="223"/>
        <v/>
      </c>
      <c r="AG961" s="83" t="str">
        <f t="shared" si="224"/>
        <v/>
      </c>
      <c r="AH961" s="82" t="str">
        <f t="shared" si="225"/>
        <v/>
      </c>
      <c r="AI961" s="82" t="str">
        <f t="shared" si="226"/>
        <v/>
      </c>
      <c r="AJ961" s="90"/>
      <c r="AP961" s="88"/>
    </row>
    <row r="962" spans="1:42" x14ac:dyDescent="0.25">
      <c r="A962" s="2"/>
      <c r="C962" s="68" t="str" cm="1">
        <f t="array" ref="C962">IF(AF962&lt;&gt;"",
IFERROR(INDEX('LaunchPad Markbook'!A:A,MATCH(AH962,'LaunchPad Markbook'!D:D,0),0),"-"),"")</f>
        <v/>
      </c>
      <c r="D962" s="27"/>
      <c r="E962" s="27"/>
      <c r="F962" s="27"/>
      <c r="G962" s="14">
        <f>IF(OR(H962&gt;AB$2,I962&gt;AC$2,J962&gt;AD$2,
P962&gt;1,V962&gt;1,
L962&gt;'Group List A'!E$2,M962&gt;'Group List A'!F$2,N962&gt;'Group List A'!G$2,
R962&gt;'Group List B'!E$2,S962&gt;'Group List B'!F$2,T962&gt;'Group List B'!G$2),"Exceed",
IF(OR(H962=AB$2,I962=AC$2,J962=AD$2,
P962=1,V962=1,
L962='Group List A'!E$2,M962='Group List A'!F$2,N962='Group List A'!G$2,
R962='Group List B'!E$2,S962='Group List B'!F$2,T962='Group List B'!G$2),"Limit",0))</f>
        <v>0</v>
      </c>
      <c r="H962" s="29">
        <f t="shared" si="212"/>
        <v>0</v>
      </c>
      <c r="I962" s="29">
        <f t="shared" si="213"/>
        <v>0</v>
      </c>
      <c r="J962" s="29">
        <f t="shared" si="214"/>
        <v>0</v>
      </c>
      <c r="K962" s="32" t="str" cm="1">
        <f t="array" ref="K962">IF(AF962&lt;&gt;"",IFERROR(INDEX('Group List A'!B:B,MATCH(AI962,'Group List A'!A:A,0),0),"-"),"")</f>
        <v/>
      </c>
      <c r="L962" s="33">
        <f t="shared" si="215"/>
        <v>0</v>
      </c>
      <c r="M962" s="33">
        <f t="shared" si="216"/>
        <v>0</v>
      </c>
      <c r="N962" s="33">
        <f t="shared" si="217"/>
        <v>0</v>
      </c>
      <c r="O962" s="28"/>
      <c r="P962" s="33">
        <f t="shared" si="218"/>
        <v>0</v>
      </c>
      <c r="Q962" s="35" t="str" cm="1">
        <f t="array" ref="Q962">IF(AF962&lt;&gt;"",IFERROR(INDEX('Group List B'!B:B,MATCH(AI962,'Group List B'!A:A,0),0),"-"),"")</f>
        <v/>
      </c>
      <c r="R962" s="36">
        <f t="shared" si="219"/>
        <v>0</v>
      </c>
      <c r="S962" s="36">
        <f t="shared" si="220"/>
        <v>0</v>
      </c>
      <c r="T962" s="36">
        <f t="shared" si="221"/>
        <v>0</v>
      </c>
      <c r="U962" s="28"/>
      <c r="V962" s="37">
        <f t="shared" si="222"/>
        <v>0</v>
      </c>
      <c r="W962" s="41"/>
      <c r="X962" s="27"/>
      <c r="Y962" s="27"/>
      <c r="Z962" s="27"/>
      <c r="AA962" s="15"/>
      <c r="AB962" s="17"/>
      <c r="AC962" s="17"/>
      <c r="AD962" s="17"/>
      <c r="AE962" s="90"/>
      <c r="AF962" s="82" t="str">
        <f t="shared" si="223"/>
        <v/>
      </c>
      <c r="AG962" s="83" t="str">
        <f t="shared" si="224"/>
        <v/>
      </c>
      <c r="AH962" s="82" t="str">
        <f t="shared" si="225"/>
        <v/>
      </c>
      <c r="AI962" s="82" t="str">
        <f t="shared" si="226"/>
        <v/>
      </c>
      <c r="AJ962" s="90"/>
      <c r="AP962" s="88"/>
    </row>
    <row r="963" spans="1:42" x14ac:dyDescent="0.25">
      <c r="A963" s="2"/>
      <c r="C963" s="68" t="str" cm="1">
        <f t="array" ref="C963">IF(AF963&lt;&gt;"",
IFERROR(INDEX('LaunchPad Markbook'!A:A,MATCH(AH963,'LaunchPad Markbook'!D:D,0),0),"-"),"")</f>
        <v/>
      </c>
      <c r="D963" s="27"/>
      <c r="E963" s="27"/>
      <c r="F963" s="27"/>
      <c r="G963" s="14">
        <f>IF(OR(H963&gt;AB$2,I963&gt;AC$2,J963&gt;AD$2,
P963&gt;1,V963&gt;1,
L963&gt;'Group List A'!E$2,M963&gt;'Group List A'!F$2,N963&gt;'Group List A'!G$2,
R963&gt;'Group List B'!E$2,S963&gt;'Group List B'!F$2,T963&gt;'Group List B'!G$2),"Exceed",
IF(OR(H963=AB$2,I963=AC$2,J963=AD$2,
P963=1,V963=1,
L963='Group List A'!E$2,M963='Group List A'!F$2,N963='Group List A'!G$2,
R963='Group List B'!E$2,S963='Group List B'!F$2,T963='Group List B'!G$2),"Limit",0))</f>
        <v>0</v>
      </c>
      <c r="H963" s="29">
        <f t="shared" ref="H963:H1026" si="227">IF(AND(K963="-",Q963="-"),
SUMIFS(D$2:D$2000,$AH$2:$AH$2000,$AH963),0)</f>
        <v>0</v>
      </c>
      <c r="I963" s="29">
        <f t="shared" ref="I963:I1026" si="228">IF(AND(K963="-",Q963="-"),
SUMIFS(E$2:E$2000,$AH$2:$AH$2000,$AH963),0)</f>
        <v>0</v>
      </c>
      <c r="J963" s="29">
        <f t="shared" ref="J963:J1026" si="229">IF(AND(K963="-",Q963="-"),
SUMIFS(F$2:F$2000,$AH$2:$AH$2000,$AH963),0)</f>
        <v>0</v>
      </c>
      <c r="K963" s="32" t="str" cm="1">
        <f t="array" ref="K963">IF(AF963&lt;&gt;"",IFERROR(INDEX('Group List A'!B:B,MATCH(AI963,'Group List A'!A:A,0),0),"-"),"")</f>
        <v/>
      </c>
      <c r="L963" s="33">
        <f t="shared" ref="L963:L1026" si="230">IF($K963&lt;&gt;"-",SUMIFS(D$2:D$2000,$K$2:$K$2000,$K963),0)</f>
        <v>0</v>
      </c>
      <c r="M963" s="33">
        <f t="shared" ref="M963:M1026" si="231">IF($K963&lt;&gt;"-",SUMIFS(E$2:E$2000,$K$2:$K$2000,$K963),0)</f>
        <v>0</v>
      </c>
      <c r="N963" s="33">
        <f t="shared" ref="N963:N1026" si="232">IF($K963&lt;&gt;"-",SUMIFS(F$2:F$2000,$K$2:$K$2000,$K963),0)</f>
        <v>0</v>
      </c>
      <c r="O963" s="28"/>
      <c r="P963" s="33">
        <f t="shared" ref="P963:P1026" si="233">SUMIFS(O$2:O$2000,$AH$2:$AH$2000,$AH963)</f>
        <v>0</v>
      </c>
      <c r="Q963" s="35" t="str" cm="1">
        <f t="array" ref="Q963">IF(AF963&lt;&gt;"",IFERROR(INDEX('Group List B'!B:B,MATCH(AI963,'Group List B'!A:A,0),0),"-"),"")</f>
        <v/>
      </c>
      <c r="R963" s="36">
        <f t="shared" ref="R963:R1026" si="234">IF($Q963&lt;&gt;"-",SUMIFS(D$2:D$2000,$Q$2:$Q$2000,$Q963),0)</f>
        <v>0</v>
      </c>
      <c r="S963" s="36">
        <f t="shared" ref="S963:S1026" si="235">IF($Q963&lt;&gt;"-",SUMIFS(E$2:E$2000,$Q$2:$Q$2000,$Q963),0)</f>
        <v>0</v>
      </c>
      <c r="T963" s="36">
        <f t="shared" ref="T963:T1026" si="236">IF($Q963&lt;&gt;"-",SUMIFS(F$2:F$2000,$Q$2:$Q$2000,$Q963),0)</f>
        <v>0</v>
      </c>
      <c r="U963" s="28"/>
      <c r="V963" s="37">
        <f t="shared" ref="V963:V1026" si="237">SUMIFS(U$2:U$2000,$AH$2:$AH$2000,$AH963)</f>
        <v>0</v>
      </c>
      <c r="W963" s="41"/>
      <c r="X963" s="27"/>
      <c r="Y963" s="27"/>
      <c r="Z963" s="27"/>
      <c r="AA963" s="15"/>
      <c r="AB963" s="17"/>
      <c r="AC963" s="17"/>
      <c r="AD963" s="17"/>
      <c r="AE963" s="90"/>
      <c r="AF963" s="82" t="str">
        <f t="shared" ref="AF963:AF1026" si="238">IF(A963&lt;&gt;"",A963,"")</f>
        <v/>
      </c>
      <c r="AG963" s="83" t="str">
        <f t="shared" ref="AG963:AG1026" si="239">IF(MID(AF963,1,1)="N","STUDENT",
IF(MID(AF963,1,1)="S","STAFF",
IF(MID(AF963,1,1)="V","VISITOR",
IF(AF963&lt;&gt;"","ERROR",""))))</f>
        <v/>
      </c>
      <c r="AH963" s="82" t="str">
        <f t="shared" ref="AH963:AH1026" si="240">IF(AG963="STUDENT","N"&amp;(MID(AF963,2,8)-0),
IF(AG963="STAFF","S"&amp;MID(AF963,2,8),""))</f>
        <v/>
      </c>
      <c r="AI963" s="82" t="str">
        <f t="shared" ref="AI963:AI1026" si="241">IF(AG963="STUDENT",(MID(AF963,2,8)-0),
IF(AG963="STAFF","STAFF",""))</f>
        <v/>
      </c>
      <c r="AJ963" s="90"/>
      <c r="AP963" s="88"/>
    </row>
    <row r="964" spans="1:42" x14ac:dyDescent="0.25">
      <c r="A964" s="2"/>
      <c r="C964" s="68" t="str" cm="1">
        <f t="array" ref="C964">IF(AF964&lt;&gt;"",
IFERROR(INDEX('LaunchPad Markbook'!A:A,MATCH(AH964,'LaunchPad Markbook'!D:D,0),0),"-"),"")</f>
        <v/>
      </c>
      <c r="D964" s="27"/>
      <c r="E964" s="27"/>
      <c r="F964" s="27"/>
      <c r="G964" s="14">
        <f>IF(OR(H964&gt;AB$2,I964&gt;AC$2,J964&gt;AD$2,
P964&gt;1,V964&gt;1,
L964&gt;'Group List A'!E$2,M964&gt;'Group List A'!F$2,N964&gt;'Group List A'!G$2,
R964&gt;'Group List B'!E$2,S964&gt;'Group List B'!F$2,T964&gt;'Group List B'!G$2),"Exceed",
IF(OR(H964=AB$2,I964=AC$2,J964=AD$2,
P964=1,V964=1,
L964='Group List A'!E$2,M964='Group List A'!F$2,N964='Group List A'!G$2,
R964='Group List B'!E$2,S964='Group List B'!F$2,T964='Group List B'!G$2),"Limit",0))</f>
        <v>0</v>
      </c>
      <c r="H964" s="29">
        <f t="shared" si="227"/>
        <v>0</v>
      </c>
      <c r="I964" s="29">
        <f t="shared" si="228"/>
        <v>0</v>
      </c>
      <c r="J964" s="29">
        <f t="shared" si="229"/>
        <v>0</v>
      </c>
      <c r="K964" s="32" t="str" cm="1">
        <f t="array" ref="K964">IF(AF964&lt;&gt;"",IFERROR(INDEX('Group List A'!B:B,MATCH(AI964,'Group List A'!A:A,0),0),"-"),"")</f>
        <v/>
      </c>
      <c r="L964" s="33">
        <f t="shared" si="230"/>
        <v>0</v>
      </c>
      <c r="M964" s="33">
        <f t="shared" si="231"/>
        <v>0</v>
      </c>
      <c r="N964" s="33">
        <f t="shared" si="232"/>
        <v>0</v>
      </c>
      <c r="O964" s="28"/>
      <c r="P964" s="33">
        <f t="shared" si="233"/>
        <v>0</v>
      </c>
      <c r="Q964" s="35" t="str" cm="1">
        <f t="array" ref="Q964">IF(AF964&lt;&gt;"",IFERROR(INDEX('Group List B'!B:B,MATCH(AI964,'Group List B'!A:A,0),0),"-"),"")</f>
        <v/>
      </c>
      <c r="R964" s="36">
        <f t="shared" si="234"/>
        <v>0</v>
      </c>
      <c r="S964" s="36">
        <f t="shared" si="235"/>
        <v>0</v>
      </c>
      <c r="T964" s="36">
        <f t="shared" si="236"/>
        <v>0</v>
      </c>
      <c r="U964" s="28"/>
      <c r="V964" s="37">
        <f t="shared" si="237"/>
        <v>0</v>
      </c>
      <c r="W964" s="41"/>
      <c r="X964" s="27"/>
      <c r="Y964" s="27"/>
      <c r="Z964" s="27"/>
      <c r="AA964" s="15"/>
      <c r="AB964" s="17"/>
      <c r="AC964" s="17"/>
      <c r="AD964" s="17"/>
      <c r="AE964" s="90"/>
      <c r="AF964" s="82" t="str">
        <f t="shared" si="238"/>
        <v/>
      </c>
      <c r="AG964" s="83" t="str">
        <f t="shared" si="239"/>
        <v/>
      </c>
      <c r="AH964" s="82" t="str">
        <f t="shared" si="240"/>
        <v/>
      </c>
      <c r="AI964" s="82" t="str">
        <f t="shared" si="241"/>
        <v/>
      </c>
      <c r="AJ964" s="90"/>
      <c r="AP964" s="88"/>
    </row>
    <row r="965" spans="1:42" x14ac:dyDescent="0.25">
      <c r="A965" s="2"/>
      <c r="C965" s="68" t="str" cm="1">
        <f t="array" ref="C965">IF(AF965&lt;&gt;"",
IFERROR(INDEX('LaunchPad Markbook'!A:A,MATCH(AH965,'LaunchPad Markbook'!D:D,0),0),"-"),"")</f>
        <v/>
      </c>
      <c r="D965" s="27"/>
      <c r="E965" s="27"/>
      <c r="F965" s="27"/>
      <c r="G965" s="14">
        <f>IF(OR(H965&gt;AB$2,I965&gt;AC$2,J965&gt;AD$2,
P965&gt;1,V965&gt;1,
L965&gt;'Group List A'!E$2,M965&gt;'Group List A'!F$2,N965&gt;'Group List A'!G$2,
R965&gt;'Group List B'!E$2,S965&gt;'Group List B'!F$2,T965&gt;'Group List B'!G$2),"Exceed",
IF(OR(H965=AB$2,I965=AC$2,J965=AD$2,
P965=1,V965=1,
L965='Group List A'!E$2,M965='Group List A'!F$2,N965='Group List A'!G$2,
R965='Group List B'!E$2,S965='Group List B'!F$2,T965='Group List B'!G$2),"Limit",0))</f>
        <v>0</v>
      </c>
      <c r="H965" s="29">
        <f t="shared" si="227"/>
        <v>0</v>
      </c>
      <c r="I965" s="29">
        <f t="shared" si="228"/>
        <v>0</v>
      </c>
      <c r="J965" s="29">
        <f t="shared" si="229"/>
        <v>0</v>
      </c>
      <c r="K965" s="32" t="str" cm="1">
        <f t="array" ref="K965">IF(AF965&lt;&gt;"",IFERROR(INDEX('Group List A'!B:B,MATCH(AI965,'Group List A'!A:A,0),0),"-"),"")</f>
        <v/>
      </c>
      <c r="L965" s="33">
        <f t="shared" si="230"/>
        <v>0</v>
      </c>
      <c r="M965" s="33">
        <f t="shared" si="231"/>
        <v>0</v>
      </c>
      <c r="N965" s="33">
        <f t="shared" si="232"/>
        <v>0</v>
      </c>
      <c r="O965" s="28"/>
      <c r="P965" s="33">
        <f t="shared" si="233"/>
        <v>0</v>
      </c>
      <c r="Q965" s="35" t="str" cm="1">
        <f t="array" ref="Q965">IF(AF965&lt;&gt;"",IFERROR(INDEX('Group List B'!B:B,MATCH(AI965,'Group List B'!A:A,0),0),"-"),"")</f>
        <v/>
      </c>
      <c r="R965" s="36">
        <f t="shared" si="234"/>
        <v>0</v>
      </c>
      <c r="S965" s="36">
        <f t="shared" si="235"/>
        <v>0</v>
      </c>
      <c r="T965" s="36">
        <f t="shared" si="236"/>
        <v>0</v>
      </c>
      <c r="U965" s="28"/>
      <c r="V965" s="37">
        <f t="shared" si="237"/>
        <v>0</v>
      </c>
      <c r="W965" s="41"/>
      <c r="X965" s="27"/>
      <c r="Y965" s="27"/>
      <c r="Z965" s="27"/>
      <c r="AA965" s="15"/>
      <c r="AB965" s="17"/>
      <c r="AC965" s="17"/>
      <c r="AD965" s="17"/>
      <c r="AE965" s="90"/>
      <c r="AF965" s="82" t="str">
        <f t="shared" si="238"/>
        <v/>
      </c>
      <c r="AG965" s="83" t="str">
        <f t="shared" si="239"/>
        <v/>
      </c>
      <c r="AH965" s="82" t="str">
        <f t="shared" si="240"/>
        <v/>
      </c>
      <c r="AI965" s="82" t="str">
        <f t="shared" si="241"/>
        <v/>
      </c>
      <c r="AJ965" s="90"/>
      <c r="AP965" s="88"/>
    </row>
    <row r="966" spans="1:42" x14ac:dyDescent="0.25">
      <c r="A966" s="2"/>
      <c r="C966" s="68" t="str" cm="1">
        <f t="array" ref="C966">IF(AF966&lt;&gt;"",
IFERROR(INDEX('LaunchPad Markbook'!A:A,MATCH(AH966,'LaunchPad Markbook'!D:D,0),0),"-"),"")</f>
        <v/>
      </c>
      <c r="D966" s="27"/>
      <c r="E966" s="27"/>
      <c r="F966" s="27"/>
      <c r="G966" s="14">
        <f>IF(OR(H966&gt;AB$2,I966&gt;AC$2,J966&gt;AD$2,
P966&gt;1,V966&gt;1,
L966&gt;'Group List A'!E$2,M966&gt;'Group List A'!F$2,N966&gt;'Group List A'!G$2,
R966&gt;'Group List B'!E$2,S966&gt;'Group List B'!F$2,T966&gt;'Group List B'!G$2),"Exceed",
IF(OR(H966=AB$2,I966=AC$2,J966=AD$2,
P966=1,V966=1,
L966='Group List A'!E$2,M966='Group List A'!F$2,N966='Group List A'!G$2,
R966='Group List B'!E$2,S966='Group List B'!F$2,T966='Group List B'!G$2),"Limit",0))</f>
        <v>0</v>
      </c>
      <c r="H966" s="29">
        <f t="shared" si="227"/>
        <v>0</v>
      </c>
      <c r="I966" s="29">
        <f t="shared" si="228"/>
        <v>0</v>
      </c>
      <c r="J966" s="29">
        <f t="shared" si="229"/>
        <v>0</v>
      </c>
      <c r="K966" s="32" t="str" cm="1">
        <f t="array" ref="K966">IF(AF966&lt;&gt;"",IFERROR(INDEX('Group List A'!B:B,MATCH(AI966,'Group List A'!A:A,0),0),"-"),"")</f>
        <v/>
      </c>
      <c r="L966" s="33">
        <f t="shared" si="230"/>
        <v>0</v>
      </c>
      <c r="M966" s="33">
        <f t="shared" si="231"/>
        <v>0</v>
      </c>
      <c r="N966" s="33">
        <f t="shared" si="232"/>
        <v>0</v>
      </c>
      <c r="O966" s="28"/>
      <c r="P966" s="33">
        <f t="shared" si="233"/>
        <v>0</v>
      </c>
      <c r="Q966" s="35" t="str" cm="1">
        <f t="array" ref="Q966">IF(AF966&lt;&gt;"",IFERROR(INDEX('Group List B'!B:B,MATCH(AI966,'Group List B'!A:A,0),0),"-"),"")</f>
        <v/>
      </c>
      <c r="R966" s="36">
        <f t="shared" si="234"/>
        <v>0</v>
      </c>
      <c r="S966" s="36">
        <f t="shared" si="235"/>
        <v>0</v>
      </c>
      <c r="T966" s="36">
        <f t="shared" si="236"/>
        <v>0</v>
      </c>
      <c r="U966" s="28"/>
      <c r="V966" s="37">
        <f t="shared" si="237"/>
        <v>0</v>
      </c>
      <c r="W966" s="41"/>
      <c r="X966" s="27"/>
      <c r="Y966" s="27"/>
      <c r="Z966" s="27"/>
      <c r="AA966" s="15"/>
      <c r="AB966" s="17"/>
      <c r="AC966" s="17"/>
      <c r="AD966" s="17"/>
      <c r="AE966" s="90"/>
      <c r="AF966" s="82" t="str">
        <f t="shared" si="238"/>
        <v/>
      </c>
      <c r="AG966" s="83" t="str">
        <f t="shared" si="239"/>
        <v/>
      </c>
      <c r="AH966" s="82" t="str">
        <f t="shared" si="240"/>
        <v/>
      </c>
      <c r="AI966" s="82" t="str">
        <f t="shared" si="241"/>
        <v/>
      </c>
      <c r="AJ966" s="90"/>
      <c r="AP966" s="88"/>
    </row>
    <row r="967" spans="1:42" x14ac:dyDescent="0.25">
      <c r="A967" s="2"/>
      <c r="C967" s="68" t="str" cm="1">
        <f t="array" ref="C967">IF(AF967&lt;&gt;"",
IFERROR(INDEX('LaunchPad Markbook'!A:A,MATCH(AH967,'LaunchPad Markbook'!D:D,0),0),"-"),"")</f>
        <v/>
      </c>
      <c r="D967" s="27"/>
      <c r="E967" s="27"/>
      <c r="F967" s="27"/>
      <c r="G967" s="14">
        <f>IF(OR(H967&gt;AB$2,I967&gt;AC$2,J967&gt;AD$2,
P967&gt;1,V967&gt;1,
L967&gt;'Group List A'!E$2,M967&gt;'Group List A'!F$2,N967&gt;'Group List A'!G$2,
R967&gt;'Group List B'!E$2,S967&gt;'Group List B'!F$2,T967&gt;'Group List B'!G$2),"Exceed",
IF(OR(H967=AB$2,I967=AC$2,J967=AD$2,
P967=1,V967=1,
L967='Group List A'!E$2,M967='Group List A'!F$2,N967='Group List A'!G$2,
R967='Group List B'!E$2,S967='Group List B'!F$2,T967='Group List B'!G$2),"Limit",0))</f>
        <v>0</v>
      </c>
      <c r="H967" s="29">
        <f t="shared" si="227"/>
        <v>0</v>
      </c>
      <c r="I967" s="29">
        <f t="shared" si="228"/>
        <v>0</v>
      </c>
      <c r="J967" s="29">
        <f t="shared" si="229"/>
        <v>0</v>
      </c>
      <c r="K967" s="32" t="str" cm="1">
        <f t="array" ref="K967">IF(AF967&lt;&gt;"",IFERROR(INDEX('Group List A'!B:B,MATCH(AI967,'Group List A'!A:A,0),0),"-"),"")</f>
        <v/>
      </c>
      <c r="L967" s="33">
        <f t="shared" si="230"/>
        <v>0</v>
      </c>
      <c r="M967" s="33">
        <f t="shared" si="231"/>
        <v>0</v>
      </c>
      <c r="N967" s="33">
        <f t="shared" si="232"/>
        <v>0</v>
      </c>
      <c r="O967" s="28"/>
      <c r="P967" s="33">
        <f t="shared" si="233"/>
        <v>0</v>
      </c>
      <c r="Q967" s="35" t="str" cm="1">
        <f t="array" ref="Q967">IF(AF967&lt;&gt;"",IFERROR(INDEX('Group List B'!B:B,MATCH(AI967,'Group List B'!A:A,0),0),"-"),"")</f>
        <v/>
      </c>
      <c r="R967" s="36">
        <f t="shared" si="234"/>
        <v>0</v>
      </c>
      <c r="S967" s="36">
        <f t="shared" si="235"/>
        <v>0</v>
      </c>
      <c r="T967" s="36">
        <f t="shared" si="236"/>
        <v>0</v>
      </c>
      <c r="U967" s="28"/>
      <c r="V967" s="37">
        <f t="shared" si="237"/>
        <v>0</v>
      </c>
      <c r="W967" s="41"/>
      <c r="X967" s="27"/>
      <c r="Y967" s="27"/>
      <c r="Z967" s="27"/>
      <c r="AA967" s="15"/>
      <c r="AB967" s="17"/>
      <c r="AC967" s="17"/>
      <c r="AD967" s="17"/>
      <c r="AE967" s="90"/>
      <c r="AF967" s="82" t="str">
        <f t="shared" si="238"/>
        <v/>
      </c>
      <c r="AG967" s="83" t="str">
        <f t="shared" si="239"/>
        <v/>
      </c>
      <c r="AH967" s="82" t="str">
        <f t="shared" si="240"/>
        <v/>
      </c>
      <c r="AI967" s="82" t="str">
        <f t="shared" si="241"/>
        <v/>
      </c>
      <c r="AJ967" s="90"/>
      <c r="AP967" s="88"/>
    </row>
    <row r="968" spans="1:42" x14ac:dyDescent="0.25">
      <c r="A968" s="2"/>
      <c r="C968" s="68" t="str" cm="1">
        <f t="array" ref="C968">IF(AF968&lt;&gt;"",
IFERROR(INDEX('LaunchPad Markbook'!A:A,MATCH(AH968,'LaunchPad Markbook'!D:D,0),0),"-"),"")</f>
        <v/>
      </c>
      <c r="D968" s="27"/>
      <c r="E968" s="27"/>
      <c r="F968" s="27"/>
      <c r="G968" s="14">
        <f>IF(OR(H968&gt;AB$2,I968&gt;AC$2,J968&gt;AD$2,
P968&gt;1,V968&gt;1,
L968&gt;'Group List A'!E$2,M968&gt;'Group List A'!F$2,N968&gt;'Group List A'!G$2,
R968&gt;'Group List B'!E$2,S968&gt;'Group List B'!F$2,T968&gt;'Group List B'!G$2),"Exceed",
IF(OR(H968=AB$2,I968=AC$2,J968=AD$2,
P968=1,V968=1,
L968='Group List A'!E$2,M968='Group List A'!F$2,N968='Group List A'!G$2,
R968='Group List B'!E$2,S968='Group List B'!F$2,T968='Group List B'!G$2),"Limit",0))</f>
        <v>0</v>
      </c>
      <c r="H968" s="29">
        <f t="shared" si="227"/>
        <v>0</v>
      </c>
      <c r="I968" s="29">
        <f t="shared" si="228"/>
        <v>0</v>
      </c>
      <c r="J968" s="29">
        <f t="shared" si="229"/>
        <v>0</v>
      </c>
      <c r="K968" s="32" t="str" cm="1">
        <f t="array" ref="K968">IF(AF968&lt;&gt;"",IFERROR(INDEX('Group List A'!B:B,MATCH(AI968,'Group List A'!A:A,0),0),"-"),"")</f>
        <v/>
      </c>
      <c r="L968" s="33">
        <f t="shared" si="230"/>
        <v>0</v>
      </c>
      <c r="M968" s="33">
        <f t="shared" si="231"/>
        <v>0</v>
      </c>
      <c r="N968" s="33">
        <f t="shared" si="232"/>
        <v>0</v>
      </c>
      <c r="O968" s="28"/>
      <c r="P968" s="33">
        <f t="shared" si="233"/>
        <v>0</v>
      </c>
      <c r="Q968" s="35" t="str" cm="1">
        <f t="array" ref="Q968">IF(AF968&lt;&gt;"",IFERROR(INDEX('Group List B'!B:B,MATCH(AI968,'Group List B'!A:A,0),0),"-"),"")</f>
        <v/>
      </c>
      <c r="R968" s="36">
        <f t="shared" si="234"/>
        <v>0</v>
      </c>
      <c r="S968" s="36">
        <f t="shared" si="235"/>
        <v>0</v>
      </c>
      <c r="T968" s="36">
        <f t="shared" si="236"/>
        <v>0</v>
      </c>
      <c r="U968" s="28"/>
      <c r="V968" s="37">
        <f t="shared" si="237"/>
        <v>0</v>
      </c>
      <c r="W968" s="41"/>
      <c r="X968" s="27"/>
      <c r="Y968" s="27"/>
      <c r="Z968" s="27"/>
      <c r="AA968" s="15"/>
      <c r="AB968" s="17"/>
      <c r="AC968" s="17"/>
      <c r="AD968" s="17"/>
      <c r="AE968" s="90"/>
      <c r="AF968" s="82" t="str">
        <f t="shared" si="238"/>
        <v/>
      </c>
      <c r="AG968" s="83" t="str">
        <f t="shared" si="239"/>
        <v/>
      </c>
      <c r="AH968" s="82" t="str">
        <f t="shared" si="240"/>
        <v/>
      </c>
      <c r="AI968" s="82" t="str">
        <f t="shared" si="241"/>
        <v/>
      </c>
      <c r="AJ968" s="90"/>
      <c r="AP968" s="88"/>
    </row>
    <row r="969" spans="1:42" x14ac:dyDescent="0.25">
      <c r="A969" s="2"/>
      <c r="C969" s="68" t="str" cm="1">
        <f t="array" ref="C969">IF(AF969&lt;&gt;"",
IFERROR(INDEX('LaunchPad Markbook'!A:A,MATCH(AH969,'LaunchPad Markbook'!D:D,0),0),"-"),"")</f>
        <v/>
      </c>
      <c r="D969" s="27"/>
      <c r="E969" s="27"/>
      <c r="F969" s="27"/>
      <c r="G969" s="14">
        <f>IF(OR(H969&gt;AB$2,I969&gt;AC$2,J969&gt;AD$2,
P969&gt;1,V969&gt;1,
L969&gt;'Group List A'!E$2,M969&gt;'Group List A'!F$2,N969&gt;'Group List A'!G$2,
R969&gt;'Group List B'!E$2,S969&gt;'Group List B'!F$2,T969&gt;'Group List B'!G$2),"Exceed",
IF(OR(H969=AB$2,I969=AC$2,J969=AD$2,
P969=1,V969=1,
L969='Group List A'!E$2,M969='Group List A'!F$2,N969='Group List A'!G$2,
R969='Group List B'!E$2,S969='Group List B'!F$2,T969='Group List B'!G$2),"Limit",0))</f>
        <v>0</v>
      </c>
      <c r="H969" s="29">
        <f t="shared" si="227"/>
        <v>0</v>
      </c>
      <c r="I969" s="29">
        <f t="shared" si="228"/>
        <v>0</v>
      </c>
      <c r="J969" s="29">
        <f t="shared" si="229"/>
        <v>0</v>
      </c>
      <c r="K969" s="32" t="str" cm="1">
        <f t="array" ref="K969">IF(AF969&lt;&gt;"",IFERROR(INDEX('Group List A'!B:B,MATCH(AI969,'Group List A'!A:A,0),0),"-"),"")</f>
        <v/>
      </c>
      <c r="L969" s="33">
        <f t="shared" si="230"/>
        <v>0</v>
      </c>
      <c r="M969" s="33">
        <f t="shared" si="231"/>
        <v>0</v>
      </c>
      <c r="N969" s="33">
        <f t="shared" si="232"/>
        <v>0</v>
      </c>
      <c r="O969" s="28"/>
      <c r="P969" s="33">
        <f t="shared" si="233"/>
        <v>0</v>
      </c>
      <c r="Q969" s="35" t="str" cm="1">
        <f t="array" ref="Q969">IF(AF969&lt;&gt;"",IFERROR(INDEX('Group List B'!B:B,MATCH(AI969,'Group List B'!A:A,0),0),"-"),"")</f>
        <v/>
      </c>
      <c r="R969" s="36">
        <f t="shared" si="234"/>
        <v>0</v>
      </c>
      <c r="S969" s="36">
        <f t="shared" si="235"/>
        <v>0</v>
      </c>
      <c r="T969" s="36">
        <f t="shared" si="236"/>
        <v>0</v>
      </c>
      <c r="U969" s="28"/>
      <c r="V969" s="37">
        <f t="shared" si="237"/>
        <v>0</v>
      </c>
      <c r="W969" s="41"/>
      <c r="X969" s="27"/>
      <c r="Y969" s="27"/>
      <c r="Z969" s="27"/>
      <c r="AA969" s="15"/>
      <c r="AB969" s="17"/>
      <c r="AC969" s="17"/>
      <c r="AD969" s="17"/>
      <c r="AE969" s="90"/>
      <c r="AF969" s="82" t="str">
        <f t="shared" si="238"/>
        <v/>
      </c>
      <c r="AG969" s="83" t="str">
        <f t="shared" si="239"/>
        <v/>
      </c>
      <c r="AH969" s="82" t="str">
        <f t="shared" si="240"/>
        <v/>
      </c>
      <c r="AI969" s="82" t="str">
        <f t="shared" si="241"/>
        <v/>
      </c>
      <c r="AJ969" s="90"/>
      <c r="AP969" s="88"/>
    </row>
    <row r="970" spans="1:42" x14ac:dyDescent="0.25">
      <c r="A970" s="2"/>
      <c r="C970" s="68" t="str" cm="1">
        <f t="array" ref="C970">IF(AF970&lt;&gt;"",
IFERROR(INDEX('LaunchPad Markbook'!A:A,MATCH(AH970,'LaunchPad Markbook'!D:D,0),0),"-"),"")</f>
        <v/>
      </c>
      <c r="D970" s="27"/>
      <c r="E970" s="27"/>
      <c r="F970" s="27"/>
      <c r="G970" s="14">
        <f>IF(OR(H970&gt;AB$2,I970&gt;AC$2,J970&gt;AD$2,
P970&gt;1,V970&gt;1,
L970&gt;'Group List A'!E$2,M970&gt;'Group List A'!F$2,N970&gt;'Group List A'!G$2,
R970&gt;'Group List B'!E$2,S970&gt;'Group List B'!F$2,T970&gt;'Group List B'!G$2),"Exceed",
IF(OR(H970=AB$2,I970=AC$2,J970=AD$2,
P970=1,V970=1,
L970='Group List A'!E$2,M970='Group List A'!F$2,N970='Group List A'!G$2,
R970='Group List B'!E$2,S970='Group List B'!F$2,T970='Group List B'!G$2),"Limit",0))</f>
        <v>0</v>
      </c>
      <c r="H970" s="29">
        <f t="shared" si="227"/>
        <v>0</v>
      </c>
      <c r="I970" s="29">
        <f t="shared" si="228"/>
        <v>0</v>
      </c>
      <c r="J970" s="29">
        <f t="shared" si="229"/>
        <v>0</v>
      </c>
      <c r="K970" s="32" t="str" cm="1">
        <f t="array" ref="K970">IF(AF970&lt;&gt;"",IFERROR(INDEX('Group List A'!B:B,MATCH(AI970,'Group List A'!A:A,0),0),"-"),"")</f>
        <v/>
      </c>
      <c r="L970" s="33">
        <f t="shared" si="230"/>
        <v>0</v>
      </c>
      <c r="M970" s="33">
        <f t="shared" si="231"/>
        <v>0</v>
      </c>
      <c r="N970" s="33">
        <f t="shared" si="232"/>
        <v>0</v>
      </c>
      <c r="O970" s="28"/>
      <c r="P970" s="33">
        <f t="shared" si="233"/>
        <v>0</v>
      </c>
      <c r="Q970" s="35" t="str" cm="1">
        <f t="array" ref="Q970">IF(AF970&lt;&gt;"",IFERROR(INDEX('Group List B'!B:B,MATCH(AI970,'Group List B'!A:A,0),0),"-"),"")</f>
        <v/>
      </c>
      <c r="R970" s="36">
        <f t="shared" si="234"/>
        <v>0</v>
      </c>
      <c r="S970" s="36">
        <f t="shared" si="235"/>
        <v>0</v>
      </c>
      <c r="T970" s="36">
        <f t="shared" si="236"/>
        <v>0</v>
      </c>
      <c r="U970" s="28"/>
      <c r="V970" s="37">
        <f t="shared" si="237"/>
        <v>0</v>
      </c>
      <c r="W970" s="41"/>
      <c r="X970" s="27"/>
      <c r="Y970" s="27"/>
      <c r="Z970" s="27"/>
      <c r="AA970" s="15"/>
      <c r="AB970" s="17"/>
      <c r="AC970" s="17"/>
      <c r="AD970" s="17"/>
      <c r="AE970" s="90"/>
      <c r="AF970" s="82" t="str">
        <f t="shared" si="238"/>
        <v/>
      </c>
      <c r="AG970" s="83" t="str">
        <f t="shared" si="239"/>
        <v/>
      </c>
      <c r="AH970" s="82" t="str">
        <f t="shared" si="240"/>
        <v/>
      </c>
      <c r="AI970" s="82" t="str">
        <f t="shared" si="241"/>
        <v/>
      </c>
      <c r="AJ970" s="90"/>
      <c r="AP970" s="88"/>
    </row>
    <row r="971" spans="1:42" x14ac:dyDescent="0.25">
      <c r="A971" s="2"/>
      <c r="C971" s="68" t="str" cm="1">
        <f t="array" ref="C971">IF(AF971&lt;&gt;"",
IFERROR(INDEX('LaunchPad Markbook'!A:A,MATCH(AH971,'LaunchPad Markbook'!D:D,0),0),"-"),"")</f>
        <v/>
      </c>
      <c r="D971" s="27"/>
      <c r="E971" s="27"/>
      <c r="F971" s="27"/>
      <c r="G971" s="14">
        <f>IF(OR(H971&gt;AB$2,I971&gt;AC$2,J971&gt;AD$2,
P971&gt;1,V971&gt;1,
L971&gt;'Group List A'!E$2,M971&gt;'Group List A'!F$2,N971&gt;'Group List A'!G$2,
R971&gt;'Group List B'!E$2,S971&gt;'Group List B'!F$2,T971&gt;'Group List B'!G$2),"Exceed",
IF(OR(H971=AB$2,I971=AC$2,J971=AD$2,
P971=1,V971=1,
L971='Group List A'!E$2,M971='Group List A'!F$2,N971='Group List A'!G$2,
R971='Group List B'!E$2,S971='Group List B'!F$2,T971='Group List B'!G$2),"Limit",0))</f>
        <v>0</v>
      </c>
      <c r="H971" s="29">
        <f t="shared" si="227"/>
        <v>0</v>
      </c>
      <c r="I971" s="29">
        <f t="shared" si="228"/>
        <v>0</v>
      </c>
      <c r="J971" s="29">
        <f t="shared" si="229"/>
        <v>0</v>
      </c>
      <c r="K971" s="32" t="str" cm="1">
        <f t="array" ref="K971">IF(AF971&lt;&gt;"",IFERROR(INDEX('Group List A'!B:B,MATCH(AI971,'Group List A'!A:A,0),0),"-"),"")</f>
        <v/>
      </c>
      <c r="L971" s="33">
        <f t="shared" si="230"/>
        <v>0</v>
      </c>
      <c r="M971" s="33">
        <f t="shared" si="231"/>
        <v>0</v>
      </c>
      <c r="N971" s="33">
        <f t="shared" si="232"/>
        <v>0</v>
      </c>
      <c r="O971" s="28"/>
      <c r="P971" s="33">
        <f t="shared" si="233"/>
        <v>0</v>
      </c>
      <c r="Q971" s="35" t="str" cm="1">
        <f t="array" ref="Q971">IF(AF971&lt;&gt;"",IFERROR(INDEX('Group List B'!B:B,MATCH(AI971,'Group List B'!A:A,0),0),"-"),"")</f>
        <v/>
      </c>
      <c r="R971" s="36">
        <f t="shared" si="234"/>
        <v>0</v>
      </c>
      <c r="S971" s="36">
        <f t="shared" si="235"/>
        <v>0</v>
      </c>
      <c r="T971" s="36">
        <f t="shared" si="236"/>
        <v>0</v>
      </c>
      <c r="U971" s="28"/>
      <c r="V971" s="37">
        <f t="shared" si="237"/>
        <v>0</v>
      </c>
      <c r="W971" s="41"/>
      <c r="X971" s="27"/>
      <c r="Y971" s="27"/>
      <c r="Z971" s="27"/>
      <c r="AA971" s="15"/>
      <c r="AB971" s="17"/>
      <c r="AC971" s="17"/>
      <c r="AD971" s="17"/>
      <c r="AE971" s="90"/>
      <c r="AF971" s="82" t="str">
        <f t="shared" si="238"/>
        <v/>
      </c>
      <c r="AG971" s="83" t="str">
        <f t="shared" si="239"/>
        <v/>
      </c>
      <c r="AH971" s="82" t="str">
        <f t="shared" si="240"/>
        <v/>
      </c>
      <c r="AI971" s="82" t="str">
        <f t="shared" si="241"/>
        <v/>
      </c>
      <c r="AJ971" s="90"/>
      <c r="AP971" s="88"/>
    </row>
    <row r="972" spans="1:42" x14ac:dyDescent="0.25">
      <c r="A972" s="2"/>
      <c r="C972" s="68" t="str" cm="1">
        <f t="array" ref="C972">IF(AF972&lt;&gt;"",
IFERROR(INDEX('LaunchPad Markbook'!A:A,MATCH(AH972,'LaunchPad Markbook'!D:D,0),0),"-"),"")</f>
        <v/>
      </c>
      <c r="D972" s="27"/>
      <c r="E972" s="27"/>
      <c r="F972" s="27"/>
      <c r="G972" s="14">
        <f>IF(OR(H972&gt;AB$2,I972&gt;AC$2,J972&gt;AD$2,
P972&gt;1,V972&gt;1,
L972&gt;'Group List A'!E$2,M972&gt;'Group List A'!F$2,N972&gt;'Group List A'!G$2,
R972&gt;'Group List B'!E$2,S972&gt;'Group List B'!F$2,T972&gt;'Group List B'!G$2),"Exceed",
IF(OR(H972=AB$2,I972=AC$2,J972=AD$2,
P972=1,V972=1,
L972='Group List A'!E$2,M972='Group List A'!F$2,N972='Group List A'!G$2,
R972='Group List B'!E$2,S972='Group List B'!F$2,T972='Group List B'!G$2),"Limit",0))</f>
        <v>0</v>
      </c>
      <c r="H972" s="29">
        <f t="shared" si="227"/>
        <v>0</v>
      </c>
      <c r="I972" s="29">
        <f t="shared" si="228"/>
        <v>0</v>
      </c>
      <c r="J972" s="29">
        <f t="shared" si="229"/>
        <v>0</v>
      </c>
      <c r="K972" s="32" t="str" cm="1">
        <f t="array" ref="K972">IF(AF972&lt;&gt;"",IFERROR(INDEX('Group List A'!B:B,MATCH(AI972,'Group List A'!A:A,0),0),"-"),"")</f>
        <v/>
      </c>
      <c r="L972" s="33">
        <f t="shared" si="230"/>
        <v>0</v>
      </c>
      <c r="M972" s="33">
        <f t="shared" si="231"/>
        <v>0</v>
      </c>
      <c r="N972" s="33">
        <f t="shared" si="232"/>
        <v>0</v>
      </c>
      <c r="O972" s="28"/>
      <c r="P972" s="33">
        <f t="shared" si="233"/>
        <v>0</v>
      </c>
      <c r="Q972" s="35" t="str" cm="1">
        <f t="array" ref="Q972">IF(AF972&lt;&gt;"",IFERROR(INDEX('Group List B'!B:B,MATCH(AI972,'Group List B'!A:A,0),0),"-"),"")</f>
        <v/>
      </c>
      <c r="R972" s="36">
        <f t="shared" si="234"/>
        <v>0</v>
      </c>
      <c r="S972" s="36">
        <f t="shared" si="235"/>
        <v>0</v>
      </c>
      <c r="T972" s="36">
        <f t="shared" si="236"/>
        <v>0</v>
      </c>
      <c r="U972" s="28"/>
      <c r="V972" s="37">
        <f t="shared" si="237"/>
        <v>0</v>
      </c>
      <c r="W972" s="41"/>
      <c r="X972" s="27"/>
      <c r="Y972" s="27"/>
      <c r="Z972" s="27"/>
      <c r="AA972" s="15"/>
      <c r="AB972" s="17"/>
      <c r="AC972" s="17"/>
      <c r="AD972" s="17"/>
      <c r="AE972" s="90"/>
      <c r="AF972" s="82" t="str">
        <f t="shared" si="238"/>
        <v/>
      </c>
      <c r="AG972" s="83" t="str">
        <f t="shared" si="239"/>
        <v/>
      </c>
      <c r="AH972" s="82" t="str">
        <f t="shared" si="240"/>
        <v/>
      </c>
      <c r="AI972" s="82" t="str">
        <f t="shared" si="241"/>
        <v/>
      </c>
      <c r="AJ972" s="90"/>
      <c r="AP972" s="88"/>
    </row>
    <row r="973" spans="1:42" x14ac:dyDescent="0.25">
      <c r="A973" s="2"/>
      <c r="C973" s="68" t="str" cm="1">
        <f t="array" ref="C973">IF(AF973&lt;&gt;"",
IFERROR(INDEX('LaunchPad Markbook'!A:A,MATCH(AH973,'LaunchPad Markbook'!D:D,0),0),"-"),"")</f>
        <v/>
      </c>
      <c r="D973" s="27"/>
      <c r="E973" s="27"/>
      <c r="F973" s="27"/>
      <c r="G973" s="14">
        <f>IF(OR(H973&gt;AB$2,I973&gt;AC$2,J973&gt;AD$2,
P973&gt;1,V973&gt;1,
L973&gt;'Group List A'!E$2,M973&gt;'Group List A'!F$2,N973&gt;'Group List A'!G$2,
R973&gt;'Group List B'!E$2,S973&gt;'Group List B'!F$2,T973&gt;'Group List B'!G$2),"Exceed",
IF(OR(H973=AB$2,I973=AC$2,J973=AD$2,
P973=1,V973=1,
L973='Group List A'!E$2,M973='Group List A'!F$2,N973='Group List A'!G$2,
R973='Group List B'!E$2,S973='Group List B'!F$2,T973='Group List B'!G$2),"Limit",0))</f>
        <v>0</v>
      </c>
      <c r="H973" s="29">
        <f t="shared" si="227"/>
        <v>0</v>
      </c>
      <c r="I973" s="29">
        <f t="shared" si="228"/>
        <v>0</v>
      </c>
      <c r="J973" s="29">
        <f t="shared" si="229"/>
        <v>0</v>
      </c>
      <c r="K973" s="32" t="str" cm="1">
        <f t="array" ref="K973">IF(AF973&lt;&gt;"",IFERROR(INDEX('Group List A'!B:B,MATCH(AI973,'Group List A'!A:A,0),0),"-"),"")</f>
        <v/>
      </c>
      <c r="L973" s="33">
        <f t="shared" si="230"/>
        <v>0</v>
      </c>
      <c r="M973" s="33">
        <f t="shared" si="231"/>
        <v>0</v>
      </c>
      <c r="N973" s="33">
        <f t="shared" si="232"/>
        <v>0</v>
      </c>
      <c r="O973" s="28"/>
      <c r="P973" s="33">
        <f t="shared" si="233"/>
        <v>0</v>
      </c>
      <c r="Q973" s="35" t="str" cm="1">
        <f t="array" ref="Q973">IF(AF973&lt;&gt;"",IFERROR(INDEX('Group List B'!B:B,MATCH(AI973,'Group List B'!A:A,0),0),"-"),"")</f>
        <v/>
      </c>
      <c r="R973" s="36">
        <f t="shared" si="234"/>
        <v>0</v>
      </c>
      <c r="S973" s="36">
        <f t="shared" si="235"/>
        <v>0</v>
      </c>
      <c r="T973" s="36">
        <f t="shared" si="236"/>
        <v>0</v>
      </c>
      <c r="U973" s="28"/>
      <c r="V973" s="37">
        <f t="shared" si="237"/>
        <v>0</v>
      </c>
      <c r="W973" s="41"/>
      <c r="X973" s="27"/>
      <c r="Y973" s="27"/>
      <c r="Z973" s="27"/>
      <c r="AA973" s="15"/>
      <c r="AB973" s="17"/>
      <c r="AC973" s="17"/>
      <c r="AD973" s="17"/>
      <c r="AE973" s="90"/>
      <c r="AF973" s="82" t="str">
        <f t="shared" si="238"/>
        <v/>
      </c>
      <c r="AG973" s="83" t="str">
        <f t="shared" si="239"/>
        <v/>
      </c>
      <c r="AH973" s="82" t="str">
        <f t="shared" si="240"/>
        <v/>
      </c>
      <c r="AI973" s="82" t="str">
        <f t="shared" si="241"/>
        <v/>
      </c>
      <c r="AJ973" s="90"/>
      <c r="AP973" s="88"/>
    </row>
    <row r="974" spans="1:42" x14ac:dyDescent="0.25">
      <c r="A974" s="2"/>
      <c r="C974" s="68" t="str" cm="1">
        <f t="array" ref="C974">IF(AF974&lt;&gt;"",
IFERROR(INDEX('LaunchPad Markbook'!A:A,MATCH(AH974,'LaunchPad Markbook'!D:D,0),0),"-"),"")</f>
        <v/>
      </c>
      <c r="D974" s="27"/>
      <c r="E974" s="27"/>
      <c r="F974" s="27"/>
      <c r="G974" s="14">
        <f>IF(OR(H974&gt;AB$2,I974&gt;AC$2,J974&gt;AD$2,
P974&gt;1,V974&gt;1,
L974&gt;'Group List A'!E$2,M974&gt;'Group List A'!F$2,N974&gt;'Group List A'!G$2,
R974&gt;'Group List B'!E$2,S974&gt;'Group List B'!F$2,T974&gt;'Group List B'!G$2),"Exceed",
IF(OR(H974=AB$2,I974=AC$2,J974=AD$2,
P974=1,V974=1,
L974='Group List A'!E$2,M974='Group List A'!F$2,N974='Group List A'!G$2,
R974='Group List B'!E$2,S974='Group List B'!F$2,T974='Group List B'!G$2),"Limit",0))</f>
        <v>0</v>
      </c>
      <c r="H974" s="29">
        <f t="shared" si="227"/>
        <v>0</v>
      </c>
      <c r="I974" s="29">
        <f t="shared" si="228"/>
        <v>0</v>
      </c>
      <c r="J974" s="29">
        <f t="shared" si="229"/>
        <v>0</v>
      </c>
      <c r="K974" s="32" t="str" cm="1">
        <f t="array" ref="K974">IF(AF974&lt;&gt;"",IFERROR(INDEX('Group List A'!B:B,MATCH(AI974,'Group List A'!A:A,0),0),"-"),"")</f>
        <v/>
      </c>
      <c r="L974" s="33">
        <f t="shared" si="230"/>
        <v>0</v>
      </c>
      <c r="M974" s="33">
        <f t="shared" si="231"/>
        <v>0</v>
      </c>
      <c r="N974" s="33">
        <f t="shared" si="232"/>
        <v>0</v>
      </c>
      <c r="O974" s="28"/>
      <c r="P974" s="33">
        <f t="shared" si="233"/>
        <v>0</v>
      </c>
      <c r="Q974" s="35" t="str" cm="1">
        <f t="array" ref="Q974">IF(AF974&lt;&gt;"",IFERROR(INDEX('Group List B'!B:B,MATCH(AI974,'Group List B'!A:A,0),0),"-"),"")</f>
        <v/>
      </c>
      <c r="R974" s="36">
        <f t="shared" si="234"/>
        <v>0</v>
      </c>
      <c r="S974" s="36">
        <f t="shared" si="235"/>
        <v>0</v>
      </c>
      <c r="T974" s="36">
        <f t="shared" si="236"/>
        <v>0</v>
      </c>
      <c r="U974" s="28"/>
      <c r="V974" s="37">
        <f t="shared" si="237"/>
        <v>0</v>
      </c>
      <c r="W974" s="41"/>
      <c r="X974" s="27"/>
      <c r="Y974" s="27"/>
      <c r="Z974" s="27"/>
      <c r="AA974" s="15"/>
      <c r="AB974" s="17"/>
      <c r="AC974" s="17"/>
      <c r="AD974" s="17"/>
      <c r="AE974" s="90"/>
      <c r="AF974" s="82" t="str">
        <f t="shared" si="238"/>
        <v/>
      </c>
      <c r="AG974" s="83" t="str">
        <f t="shared" si="239"/>
        <v/>
      </c>
      <c r="AH974" s="82" t="str">
        <f t="shared" si="240"/>
        <v/>
      </c>
      <c r="AI974" s="82" t="str">
        <f t="shared" si="241"/>
        <v/>
      </c>
      <c r="AJ974" s="90"/>
      <c r="AP974" s="88"/>
    </row>
    <row r="975" spans="1:42" x14ac:dyDescent="0.25">
      <c r="A975" s="2"/>
      <c r="C975" s="68" t="str" cm="1">
        <f t="array" ref="C975">IF(AF975&lt;&gt;"",
IFERROR(INDEX('LaunchPad Markbook'!A:A,MATCH(AH975,'LaunchPad Markbook'!D:D,0),0),"-"),"")</f>
        <v/>
      </c>
      <c r="D975" s="27"/>
      <c r="E975" s="27"/>
      <c r="F975" s="27"/>
      <c r="G975" s="14">
        <f>IF(OR(H975&gt;AB$2,I975&gt;AC$2,J975&gt;AD$2,
P975&gt;1,V975&gt;1,
L975&gt;'Group List A'!E$2,M975&gt;'Group List A'!F$2,N975&gt;'Group List A'!G$2,
R975&gt;'Group List B'!E$2,S975&gt;'Group List B'!F$2,T975&gt;'Group List B'!G$2),"Exceed",
IF(OR(H975=AB$2,I975=AC$2,J975=AD$2,
P975=1,V975=1,
L975='Group List A'!E$2,M975='Group List A'!F$2,N975='Group List A'!G$2,
R975='Group List B'!E$2,S975='Group List B'!F$2,T975='Group List B'!G$2),"Limit",0))</f>
        <v>0</v>
      </c>
      <c r="H975" s="29">
        <f t="shared" si="227"/>
        <v>0</v>
      </c>
      <c r="I975" s="29">
        <f t="shared" si="228"/>
        <v>0</v>
      </c>
      <c r="J975" s="29">
        <f t="shared" si="229"/>
        <v>0</v>
      </c>
      <c r="K975" s="32" t="str" cm="1">
        <f t="array" ref="K975">IF(AF975&lt;&gt;"",IFERROR(INDEX('Group List A'!B:B,MATCH(AI975,'Group List A'!A:A,0),0),"-"),"")</f>
        <v/>
      </c>
      <c r="L975" s="33">
        <f t="shared" si="230"/>
        <v>0</v>
      </c>
      <c r="M975" s="33">
        <f t="shared" si="231"/>
        <v>0</v>
      </c>
      <c r="N975" s="33">
        <f t="shared" si="232"/>
        <v>0</v>
      </c>
      <c r="O975" s="28"/>
      <c r="P975" s="33">
        <f t="shared" si="233"/>
        <v>0</v>
      </c>
      <c r="Q975" s="35" t="str" cm="1">
        <f t="array" ref="Q975">IF(AF975&lt;&gt;"",IFERROR(INDEX('Group List B'!B:B,MATCH(AI975,'Group List B'!A:A,0),0),"-"),"")</f>
        <v/>
      </c>
      <c r="R975" s="36">
        <f t="shared" si="234"/>
        <v>0</v>
      </c>
      <c r="S975" s="36">
        <f t="shared" si="235"/>
        <v>0</v>
      </c>
      <c r="T975" s="36">
        <f t="shared" si="236"/>
        <v>0</v>
      </c>
      <c r="U975" s="28"/>
      <c r="V975" s="37">
        <f t="shared" si="237"/>
        <v>0</v>
      </c>
      <c r="W975" s="41"/>
      <c r="X975" s="27"/>
      <c r="Y975" s="27"/>
      <c r="Z975" s="27"/>
      <c r="AA975" s="15"/>
      <c r="AB975" s="17"/>
      <c r="AC975" s="17"/>
      <c r="AD975" s="17"/>
      <c r="AE975" s="90"/>
      <c r="AF975" s="82" t="str">
        <f t="shared" si="238"/>
        <v/>
      </c>
      <c r="AG975" s="83" t="str">
        <f t="shared" si="239"/>
        <v/>
      </c>
      <c r="AH975" s="82" t="str">
        <f t="shared" si="240"/>
        <v/>
      </c>
      <c r="AI975" s="82" t="str">
        <f t="shared" si="241"/>
        <v/>
      </c>
      <c r="AJ975" s="90"/>
      <c r="AP975" s="88"/>
    </row>
    <row r="976" spans="1:42" x14ac:dyDescent="0.25">
      <c r="A976" s="2"/>
      <c r="C976" s="68" t="str" cm="1">
        <f t="array" ref="C976">IF(AF976&lt;&gt;"",
IFERROR(INDEX('LaunchPad Markbook'!A:A,MATCH(AH976,'LaunchPad Markbook'!D:D,0),0),"-"),"")</f>
        <v/>
      </c>
      <c r="D976" s="27"/>
      <c r="E976" s="27"/>
      <c r="F976" s="27"/>
      <c r="G976" s="14">
        <f>IF(OR(H976&gt;AB$2,I976&gt;AC$2,J976&gt;AD$2,
P976&gt;1,V976&gt;1,
L976&gt;'Group List A'!E$2,M976&gt;'Group List A'!F$2,N976&gt;'Group List A'!G$2,
R976&gt;'Group List B'!E$2,S976&gt;'Group List B'!F$2,T976&gt;'Group List B'!G$2),"Exceed",
IF(OR(H976=AB$2,I976=AC$2,J976=AD$2,
P976=1,V976=1,
L976='Group List A'!E$2,M976='Group List A'!F$2,N976='Group List A'!G$2,
R976='Group List B'!E$2,S976='Group List B'!F$2,T976='Group List B'!G$2),"Limit",0))</f>
        <v>0</v>
      </c>
      <c r="H976" s="29">
        <f t="shared" si="227"/>
        <v>0</v>
      </c>
      <c r="I976" s="29">
        <f t="shared" si="228"/>
        <v>0</v>
      </c>
      <c r="J976" s="29">
        <f t="shared" si="229"/>
        <v>0</v>
      </c>
      <c r="K976" s="32" t="str" cm="1">
        <f t="array" ref="K976">IF(AF976&lt;&gt;"",IFERROR(INDEX('Group List A'!B:B,MATCH(AI976,'Group List A'!A:A,0),0),"-"),"")</f>
        <v/>
      </c>
      <c r="L976" s="33">
        <f t="shared" si="230"/>
        <v>0</v>
      </c>
      <c r="M976" s="33">
        <f t="shared" si="231"/>
        <v>0</v>
      </c>
      <c r="N976" s="33">
        <f t="shared" si="232"/>
        <v>0</v>
      </c>
      <c r="O976" s="28"/>
      <c r="P976" s="33">
        <f t="shared" si="233"/>
        <v>0</v>
      </c>
      <c r="Q976" s="35" t="str" cm="1">
        <f t="array" ref="Q976">IF(AF976&lt;&gt;"",IFERROR(INDEX('Group List B'!B:B,MATCH(AI976,'Group List B'!A:A,0),0),"-"),"")</f>
        <v/>
      </c>
      <c r="R976" s="36">
        <f t="shared" si="234"/>
        <v>0</v>
      </c>
      <c r="S976" s="36">
        <f t="shared" si="235"/>
        <v>0</v>
      </c>
      <c r="T976" s="36">
        <f t="shared" si="236"/>
        <v>0</v>
      </c>
      <c r="U976" s="28"/>
      <c r="V976" s="37">
        <f t="shared" si="237"/>
        <v>0</v>
      </c>
      <c r="W976" s="41"/>
      <c r="X976" s="27"/>
      <c r="Y976" s="27"/>
      <c r="Z976" s="27"/>
      <c r="AA976" s="15"/>
      <c r="AB976" s="17"/>
      <c r="AC976" s="17"/>
      <c r="AD976" s="17"/>
      <c r="AE976" s="90"/>
      <c r="AF976" s="82" t="str">
        <f t="shared" si="238"/>
        <v/>
      </c>
      <c r="AG976" s="83" t="str">
        <f t="shared" si="239"/>
        <v/>
      </c>
      <c r="AH976" s="82" t="str">
        <f t="shared" si="240"/>
        <v/>
      </c>
      <c r="AI976" s="82" t="str">
        <f t="shared" si="241"/>
        <v/>
      </c>
      <c r="AJ976" s="90"/>
      <c r="AP976" s="88"/>
    </row>
    <row r="977" spans="1:42" x14ac:dyDescent="0.25">
      <c r="A977" s="2"/>
      <c r="C977" s="68" t="str" cm="1">
        <f t="array" ref="C977">IF(AF977&lt;&gt;"",
IFERROR(INDEX('LaunchPad Markbook'!A:A,MATCH(AH977,'LaunchPad Markbook'!D:D,0),0),"-"),"")</f>
        <v/>
      </c>
      <c r="D977" s="27"/>
      <c r="E977" s="27"/>
      <c r="F977" s="27"/>
      <c r="G977" s="14">
        <f>IF(OR(H977&gt;AB$2,I977&gt;AC$2,J977&gt;AD$2,
P977&gt;1,V977&gt;1,
L977&gt;'Group List A'!E$2,M977&gt;'Group List A'!F$2,N977&gt;'Group List A'!G$2,
R977&gt;'Group List B'!E$2,S977&gt;'Group List B'!F$2,T977&gt;'Group List B'!G$2),"Exceed",
IF(OR(H977=AB$2,I977=AC$2,J977=AD$2,
P977=1,V977=1,
L977='Group List A'!E$2,M977='Group List A'!F$2,N977='Group List A'!G$2,
R977='Group List B'!E$2,S977='Group List B'!F$2,T977='Group List B'!G$2),"Limit",0))</f>
        <v>0</v>
      </c>
      <c r="H977" s="29">
        <f t="shared" si="227"/>
        <v>0</v>
      </c>
      <c r="I977" s="29">
        <f t="shared" si="228"/>
        <v>0</v>
      </c>
      <c r="J977" s="29">
        <f t="shared" si="229"/>
        <v>0</v>
      </c>
      <c r="K977" s="32" t="str" cm="1">
        <f t="array" ref="K977">IF(AF977&lt;&gt;"",IFERROR(INDEX('Group List A'!B:B,MATCH(AI977,'Group List A'!A:A,0),0),"-"),"")</f>
        <v/>
      </c>
      <c r="L977" s="33">
        <f t="shared" si="230"/>
        <v>0</v>
      </c>
      <c r="M977" s="33">
        <f t="shared" si="231"/>
        <v>0</v>
      </c>
      <c r="N977" s="33">
        <f t="shared" si="232"/>
        <v>0</v>
      </c>
      <c r="O977" s="28"/>
      <c r="P977" s="33">
        <f t="shared" si="233"/>
        <v>0</v>
      </c>
      <c r="Q977" s="35" t="str" cm="1">
        <f t="array" ref="Q977">IF(AF977&lt;&gt;"",IFERROR(INDEX('Group List B'!B:B,MATCH(AI977,'Group List B'!A:A,0),0),"-"),"")</f>
        <v/>
      </c>
      <c r="R977" s="36">
        <f t="shared" si="234"/>
        <v>0</v>
      </c>
      <c r="S977" s="36">
        <f t="shared" si="235"/>
        <v>0</v>
      </c>
      <c r="T977" s="36">
        <f t="shared" si="236"/>
        <v>0</v>
      </c>
      <c r="U977" s="28"/>
      <c r="V977" s="37">
        <f t="shared" si="237"/>
        <v>0</v>
      </c>
      <c r="W977" s="41"/>
      <c r="X977" s="27"/>
      <c r="Y977" s="27"/>
      <c r="Z977" s="27"/>
      <c r="AA977" s="15"/>
      <c r="AB977" s="17"/>
      <c r="AC977" s="17"/>
      <c r="AD977" s="17"/>
      <c r="AE977" s="90"/>
      <c r="AF977" s="82" t="str">
        <f t="shared" si="238"/>
        <v/>
      </c>
      <c r="AG977" s="83" t="str">
        <f t="shared" si="239"/>
        <v/>
      </c>
      <c r="AH977" s="82" t="str">
        <f t="shared" si="240"/>
        <v/>
      </c>
      <c r="AI977" s="82" t="str">
        <f t="shared" si="241"/>
        <v/>
      </c>
      <c r="AJ977" s="90"/>
      <c r="AP977" s="88"/>
    </row>
    <row r="978" spans="1:42" x14ac:dyDescent="0.25">
      <c r="A978" s="2"/>
      <c r="C978" s="68" t="str" cm="1">
        <f t="array" ref="C978">IF(AF978&lt;&gt;"",
IFERROR(INDEX('LaunchPad Markbook'!A:A,MATCH(AH978,'LaunchPad Markbook'!D:D,0),0),"-"),"")</f>
        <v/>
      </c>
      <c r="D978" s="27"/>
      <c r="E978" s="27"/>
      <c r="F978" s="27"/>
      <c r="G978" s="14">
        <f>IF(OR(H978&gt;AB$2,I978&gt;AC$2,J978&gt;AD$2,
P978&gt;1,V978&gt;1,
L978&gt;'Group List A'!E$2,M978&gt;'Group List A'!F$2,N978&gt;'Group List A'!G$2,
R978&gt;'Group List B'!E$2,S978&gt;'Group List B'!F$2,T978&gt;'Group List B'!G$2),"Exceed",
IF(OR(H978=AB$2,I978=AC$2,J978=AD$2,
P978=1,V978=1,
L978='Group List A'!E$2,M978='Group List A'!F$2,N978='Group List A'!G$2,
R978='Group List B'!E$2,S978='Group List B'!F$2,T978='Group List B'!G$2),"Limit",0))</f>
        <v>0</v>
      </c>
      <c r="H978" s="29">
        <f t="shared" si="227"/>
        <v>0</v>
      </c>
      <c r="I978" s="29">
        <f t="shared" si="228"/>
        <v>0</v>
      </c>
      <c r="J978" s="29">
        <f t="shared" si="229"/>
        <v>0</v>
      </c>
      <c r="K978" s="32" t="str" cm="1">
        <f t="array" ref="K978">IF(AF978&lt;&gt;"",IFERROR(INDEX('Group List A'!B:B,MATCH(AI978,'Group List A'!A:A,0),0),"-"),"")</f>
        <v/>
      </c>
      <c r="L978" s="33">
        <f t="shared" si="230"/>
        <v>0</v>
      </c>
      <c r="M978" s="33">
        <f t="shared" si="231"/>
        <v>0</v>
      </c>
      <c r="N978" s="33">
        <f t="shared" si="232"/>
        <v>0</v>
      </c>
      <c r="O978" s="28"/>
      <c r="P978" s="33">
        <f t="shared" si="233"/>
        <v>0</v>
      </c>
      <c r="Q978" s="35" t="str" cm="1">
        <f t="array" ref="Q978">IF(AF978&lt;&gt;"",IFERROR(INDEX('Group List B'!B:B,MATCH(AI978,'Group List B'!A:A,0),0),"-"),"")</f>
        <v/>
      </c>
      <c r="R978" s="36">
        <f t="shared" si="234"/>
        <v>0</v>
      </c>
      <c r="S978" s="36">
        <f t="shared" si="235"/>
        <v>0</v>
      </c>
      <c r="T978" s="36">
        <f t="shared" si="236"/>
        <v>0</v>
      </c>
      <c r="U978" s="28"/>
      <c r="V978" s="37">
        <f t="shared" si="237"/>
        <v>0</v>
      </c>
      <c r="W978" s="41"/>
      <c r="X978" s="27"/>
      <c r="Y978" s="27"/>
      <c r="Z978" s="27"/>
      <c r="AA978" s="15"/>
      <c r="AB978" s="17"/>
      <c r="AC978" s="17"/>
      <c r="AD978" s="17"/>
      <c r="AE978" s="90"/>
      <c r="AF978" s="82" t="str">
        <f t="shared" si="238"/>
        <v/>
      </c>
      <c r="AG978" s="83" t="str">
        <f t="shared" si="239"/>
        <v/>
      </c>
      <c r="AH978" s="82" t="str">
        <f t="shared" si="240"/>
        <v/>
      </c>
      <c r="AI978" s="82" t="str">
        <f t="shared" si="241"/>
        <v/>
      </c>
      <c r="AJ978" s="90"/>
      <c r="AP978" s="88"/>
    </row>
    <row r="979" spans="1:42" x14ac:dyDescent="0.25">
      <c r="A979" s="2"/>
      <c r="C979" s="68" t="str" cm="1">
        <f t="array" ref="C979">IF(AF979&lt;&gt;"",
IFERROR(INDEX('LaunchPad Markbook'!A:A,MATCH(AH979,'LaunchPad Markbook'!D:D,0),0),"-"),"")</f>
        <v/>
      </c>
      <c r="D979" s="27"/>
      <c r="E979" s="27"/>
      <c r="F979" s="27"/>
      <c r="G979" s="14">
        <f>IF(OR(H979&gt;AB$2,I979&gt;AC$2,J979&gt;AD$2,
P979&gt;1,V979&gt;1,
L979&gt;'Group List A'!E$2,M979&gt;'Group List A'!F$2,N979&gt;'Group List A'!G$2,
R979&gt;'Group List B'!E$2,S979&gt;'Group List B'!F$2,T979&gt;'Group List B'!G$2),"Exceed",
IF(OR(H979=AB$2,I979=AC$2,J979=AD$2,
P979=1,V979=1,
L979='Group List A'!E$2,M979='Group List A'!F$2,N979='Group List A'!G$2,
R979='Group List B'!E$2,S979='Group List B'!F$2,T979='Group List B'!G$2),"Limit",0))</f>
        <v>0</v>
      </c>
      <c r="H979" s="29">
        <f t="shared" si="227"/>
        <v>0</v>
      </c>
      <c r="I979" s="29">
        <f t="shared" si="228"/>
        <v>0</v>
      </c>
      <c r="J979" s="29">
        <f t="shared" si="229"/>
        <v>0</v>
      </c>
      <c r="K979" s="32" t="str" cm="1">
        <f t="array" ref="K979">IF(AF979&lt;&gt;"",IFERROR(INDEX('Group List A'!B:B,MATCH(AI979,'Group List A'!A:A,0),0),"-"),"")</f>
        <v/>
      </c>
      <c r="L979" s="33">
        <f t="shared" si="230"/>
        <v>0</v>
      </c>
      <c r="M979" s="33">
        <f t="shared" si="231"/>
        <v>0</v>
      </c>
      <c r="N979" s="33">
        <f t="shared" si="232"/>
        <v>0</v>
      </c>
      <c r="O979" s="28"/>
      <c r="P979" s="33">
        <f t="shared" si="233"/>
        <v>0</v>
      </c>
      <c r="Q979" s="35" t="str" cm="1">
        <f t="array" ref="Q979">IF(AF979&lt;&gt;"",IFERROR(INDEX('Group List B'!B:B,MATCH(AI979,'Group List B'!A:A,0),0),"-"),"")</f>
        <v/>
      </c>
      <c r="R979" s="36">
        <f t="shared" si="234"/>
        <v>0</v>
      </c>
      <c r="S979" s="36">
        <f t="shared" si="235"/>
        <v>0</v>
      </c>
      <c r="T979" s="36">
        <f t="shared" si="236"/>
        <v>0</v>
      </c>
      <c r="U979" s="28"/>
      <c r="V979" s="37">
        <f t="shared" si="237"/>
        <v>0</v>
      </c>
      <c r="W979" s="41"/>
      <c r="X979" s="27"/>
      <c r="Y979" s="27"/>
      <c r="Z979" s="27"/>
      <c r="AA979" s="15"/>
      <c r="AB979" s="17"/>
      <c r="AC979" s="17"/>
      <c r="AD979" s="17"/>
      <c r="AE979" s="90"/>
      <c r="AF979" s="82" t="str">
        <f t="shared" si="238"/>
        <v/>
      </c>
      <c r="AG979" s="83" t="str">
        <f t="shared" si="239"/>
        <v/>
      </c>
      <c r="AH979" s="82" t="str">
        <f t="shared" si="240"/>
        <v/>
      </c>
      <c r="AI979" s="82" t="str">
        <f t="shared" si="241"/>
        <v/>
      </c>
      <c r="AJ979" s="90"/>
      <c r="AP979" s="88"/>
    </row>
    <row r="980" spans="1:42" x14ac:dyDescent="0.25">
      <c r="A980" s="2"/>
      <c r="C980" s="68" t="str" cm="1">
        <f t="array" ref="C980">IF(AF980&lt;&gt;"",
IFERROR(INDEX('LaunchPad Markbook'!A:A,MATCH(AH980,'LaunchPad Markbook'!D:D,0),0),"-"),"")</f>
        <v/>
      </c>
      <c r="D980" s="27"/>
      <c r="E980" s="27"/>
      <c r="F980" s="27"/>
      <c r="G980" s="14">
        <f>IF(OR(H980&gt;AB$2,I980&gt;AC$2,J980&gt;AD$2,
P980&gt;1,V980&gt;1,
L980&gt;'Group List A'!E$2,M980&gt;'Group List A'!F$2,N980&gt;'Group List A'!G$2,
R980&gt;'Group List B'!E$2,S980&gt;'Group List B'!F$2,T980&gt;'Group List B'!G$2),"Exceed",
IF(OR(H980=AB$2,I980=AC$2,J980=AD$2,
P980=1,V980=1,
L980='Group List A'!E$2,M980='Group List A'!F$2,N980='Group List A'!G$2,
R980='Group List B'!E$2,S980='Group List B'!F$2,T980='Group List B'!G$2),"Limit",0))</f>
        <v>0</v>
      </c>
      <c r="H980" s="29">
        <f t="shared" si="227"/>
        <v>0</v>
      </c>
      <c r="I980" s="29">
        <f t="shared" si="228"/>
        <v>0</v>
      </c>
      <c r="J980" s="29">
        <f t="shared" si="229"/>
        <v>0</v>
      </c>
      <c r="K980" s="32" t="str" cm="1">
        <f t="array" ref="K980">IF(AF980&lt;&gt;"",IFERROR(INDEX('Group List A'!B:B,MATCH(AI980,'Group List A'!A:A,0),0),"-"),"")</f>
        <v/>
      </c>
      <c r="L980" s="33">
        <f t="shared" si="230"/>
        <v>0</v>
      </c>
      <c r="M980" s="33">
        <f t="shared" si="231"/>
        <v>0</v>
      </c>
      <c r="N980" s="33">
        <f t="shared" si="232"/>
        <v>0</v>
      </c>
      <c r="O980" s="28"/>
      <c r="P980" s="33">
        <f t="shared" si="233"/>
        <v>0</v>
      </c>
      <c r="Q980" s="35" t="str" cm="1">
        <f t="array" ref="Q980">IF(AF980&lt;&gt;"",IFERROR(INDEX('Group List B'!B:B,MATCH(AI980,'Group List B'!A:A,0),0),"-"),"")</f>
        <v/>
      </c>
      <c r="R980" s="36">
        <f t="shared" si="234"/>
        <v>0</v>
      </c>
      <c r="S980" s="36">
        <f t="shared" si="235"/>
        <v>0</v>
      </c>
      <c r="T980" s="36">
        <f t="shared" si="236"/>
        <v>0</v>
      </c>
      <c r="U980" s="28"/>
      <c r="V980" s="37">
        <f t="shared" si="237"/>
        <v>0</v>
      </c>
      <c r="W980" s="41"/>
      <c r="X980" s="27"/>
      <c r="Y980" s="27"/>
      <c r="Z980" s="27"/>
      <c r="AA980" s="15"/>
      <c r="AB980" s="17"/>
      <c r="AC980" s="17"/>
      <c r="AD980" s="17"/>
      <c r="AE980" s="90"/>
      <c r="AF980" s="82" t="str">
        <f t="shared" si="238"/>
        <v/>
      </c>
      <c r="AG980" s="83" t="str">
        <f t="shared" si="239"/>
        <v/>
      </c>
      <c r="AH980" s="82" t="str">
        <f t="shared" si="240"/>
        <v/>
      </c>
      <c r="AI980" s="82" t="str">
        <f t="shared" si="241"/>
        <v/>
      </c>
      <c r="AJ980" s="90"/>
      <c r="AP980" s="88"/>
    </row>
    <row r="981" spans="1:42" x14ac:dyDescent="0.25">
      <c r="A981" s="2"/>
      <c r="C981" s="68" t="str" cm="1">
        <f t="array" ref="C981">IF(AF981&lt;&gt;"",
IFERROR(INDEX('LaunchPad Markbook'!A:A,MATCH(AH981,'LaunchPad Markbook'!D:D,0),0),"-"),"")</f>
        <v/>
      </c>
      <c r="D981" s="27"/>
      <c r="E981" s="27"/>
      <c r="F981" s="27"/>
      <c r="G981" s="14">
        <f>IF(OR(H981&gt;AB$2,I981&gt;AC$2,J981&gt;AD$2,
P981&gt;1,V981&gt;1,
L981&gt;'Group List A'!E$2,M981&gt;'Group List A'!F$2,N981&gt;'Group List A'!G$2,
R981&gt;'Group List B'!E$2,S981&gt;'Group List B'!F$2,T981&gt;'Group List B'!G$2),"Exceed",
IF(OR(H981=AB$2,I981=AC$2,J981=AD$2,
P981=1,V981=1,
L981='Group List A'!E$2,M981='Group List A'!F$2,N981='Group List A'!G$2,
R981='Group List B'!E$2,S981='Group List B'!F$2,T981='Group List B'!G$2),"Limit",0))</f>
        <v>0</v>
      </c>
      <c r="H981" s="29">
        <f t="shared" si="227"/>
        <v>0</v>
      </c>
      <c r="I981" s="29">
        <f t="shared" si="228"/>
        <v>0</v>
      </c>
      <c r="J981" s="29">
        <f t="shared" si="229"/>
        <v>0</v>
      </c>
      <c r="K981" s="32" t="str" cm="1">
        <f t="array" ref="K981">IF(AF981&lt;&gt;"",IFERROR(INDEX('Group List A'!B:B,MATCH(AI981,'Group List A'!A:A,0),0),"-"),"")</f>
        <v/>
      </c>
      <c r="L981" s="33">
        <f t="shared" si="230"/>
        <v>0</v>
      </c>
      <c r="M981" s="33">
        <f t="shared" si="231"/>
        <v>0</v>
      </c>
      <c r="N981" s="33">
        <f t="shared" si="232"/>
        <v>0</v>
      </c>
      <c r="O981" s="28"/>
      <c r="P981" s="33">
        <f t="shared" si="233"/>
        <v>0</v>
      </c>
      <c r="Q981" s="35" t="str" cm="1">
        <f t="array" ref="Q981">IF(AF981&lt;&gt;"",IFERROR(INDEX('Group List B'!B:B,MATCH(AI981,'Group List B'!A:A,0),0),"-"),"")</f>
        <v/>
      </c>
      <c r="R981" s="36">
        <f t="shared" si="234"/>
        <v>0</v>
      </c>
      <c r="S981" s="36">
        <f t="shared" si="235"/>
        <v>0</v>
      </c>
      <c r="T981" s="36">
        <f t="shared" si="236"/>
        <v>0</v>
      </c>
      <c r="U981" s="28"/>
      <c r="V981" s="37">
        <f t="shared" si="237"/>
        <v>0</v>
      </c>
      <c r="W981" s="41"/>
      <c r="X981" s="27"/>
      <c r="Y981" s="27"/>
      <c r="Z981" s="27"/>
      <c r="AA981" s="15"/>
      <c r="AB981" s="17"/>
      <c r="AC981" s="17"/>
      <c r="AD981" s="17"/>
      <c r="AE981" s="90"/>
      <c r="AF981" s="82" t="str">
        <f t="shared" si="238"/>
        <v/>
      </c>
      <c r="AG981" s="83" t="str">
        <f t="shared" si="239"/>
        <v/>
      </c>
      <c r="AH981" s="82" t="str">
        <f t="shared" si="240"/>
        <v/>
      </c>
      <c r="AI981" s="82" t="str">
        <f t="shared" si="241"/>
        <v/>
      </c>
      <c r="AJ981" s="90"/>
      <c r="AP981" s="88"/>
    </row>
    <row r="982" spans="1:42" x14ac:dyDescent="0.25">
      <c r="A982" s="2"/>
      <c r="C982" s="68" t="str" cm="1">
        <f t="array" ref="C982">IF(AF982&lt;&gt;"",
IFERROR(INDEX('LaunchPad Markbook'!A:A,MATCH(AH982,'LaunchPad Markbook'!D:D,0),0),"-"),"")</f>
        <v/>
      </c>
      <c r="D982" s="27"/>
      <c r="E982" s="27"/>
      <c r="F982" s="27"/>
      <c r="G982" s="14">
        <f>IF(OR(H982&gt;AB$2,I982&gt;AC$2,J982&gt;AD$2,
P982&gt;1,V982&gt;1,
L982&gt;'Group List A'!E$2,M982&gt;'Group List A'!F$2,N982&gt;'Group List A'!G$2,
R982&gt;'Group List B'!E$2,S982&gt;'Group List B'!F$2,T982&gt;'Group List B'!G$2),"Exceed",
IF(OR(H982=AB$2,I982=AC$2,J982=AD$2,
P982=1,V982=1,
L982='Group List A'!E$2,M982='Group List A'!F$2,N982='Group List A'!G$2,
R982='Group List B'!E$2,S982='Group List B'!F$2,T982='Group List B'!G$2),"Limit",0))</f>
        <v>0</v>
      </c>
      <c r="H982" s="29">
        <f t="shared" si="227"/>
        <v>0</v>
      </c>
      <c r="I982" s="29">
        <f t="shared" si="228"/>
        <v>0</v>
      </c>
      <c r="J982" s="29">
        <f t="shared" si="229"/>
        <v>0</v>
      </c>
      <c r="K982" s="32" t="str" cm="1">
        <f t="array" ref="K982">IF(AF982&lt;&gt;"",IFERROR(INDEX('Group List A'!B:B,MATCH(AI982,'Group List A'!A:A,0),0),"-"),"")</f>
        <v/>
      </c>
      <c r="L982" s="33">
        <f t="shared" si="230"/>
        <v>0</v>
      </c>
      <c r="M982" s="33">
        <f t="shared" si="231"/>
        <v>0</v>
      </c>
      <c r="N982" s="33">
        <f t="shared" si="232"/>
        <v>0</v>
      </c>
      <c r="O982" s="28"/>
      <c r="P982" s="33">
        <f t="shared" si="233"/>
        <v>0</v>
      </c>
      <c r="Q982" s="35" t="str" cm="1">
        <f t="array" ref="Q982">IF(AF982&lt;&gt;"",IFERROR(INDEX('Group List B'!B:B,MATCH(AI982,'Group List B'!A:A,0),0),"-"),"")</f>
        <v/>
      </c>
      <c r="R982" s="36">
        <f t="shared" si="234"/>
        <v>0</v>
      </c>
      <c r="S982" s="36">
        <f t="shared" si="235"/>
        <v>0</v>
      </c>
      <c r="T982" s="36">
        <f t="shared" si="236"/>
        <v>0</v>
      </c>
      <c r="U982" s="28"/>
      <c r="V982" s="37">
        <f t="shared" si="237"/>
        <v>0</v>
      </c>
      <c r="W982" s="41"/>
      <c r="X982" s="27"/>
      <c r="Y982" s="27"/>
      <c r="Z982" s="27"/>
      <c r="AA982" s="15"/>
      <c r="AB982" s="17"/>
      <c r="AC982" s="17"/>
      <c r="AD982" s="17"/>
      <c r="AE982" s="90"/>
      <c r="AF982" s="82" t="str">
        <f t="shared" si="238"/>
        <v/>
      </c>
      <c r="AG982" s="83" t="str">
        <f t="shared" si="239"/>
        <v/>
      </c>
      <c r="AH982" s="82" t="str">
        <f t="shared" si="240"/>
        <v/>
      </c>
      <c r="AI982" s="82" t="str">
        <f t="shared" si="241"/>
        <v/>
      </c>
      <c r="AJ982" s="90"/>
      <c r="AP982" s="88"/>
    </row>
    <row r="983" spans="1:42" x14ac:dyDescent="0.25">
      <c r="A983" s="2"/>
      <c r="C983" s="68" t="str" cm="1">
        <f t="array" ref="C983">IF(AF983&lt;&gt;"",
IFERROR(INDEX('LaunchPad Markbook'!A:A,MATCH(AH983,'LaunchPad Markbook'!D:D,0),0),"-"),"")</f>
        <v/>
      </c>
      <c r="D983" s="27"/>
      <c r="E983" s="27"/>
      <c r="F983" s="27"/>
      <c r="G983" s="14">
        <f>IF(OR(H983&gt;AB$2,I983&gt;AC$2,J983&gt;AD$2,
P983&gt;1,V983&gt;1,
L983&gt;'Group List A'!E$2,M983&gt;'Group List A'!F$2,N983&gt;'Group List A'!G$2,
R983&gt;'Group List B'!E$2,S983&gt;'Group List B'!F$2,T983&gt;'Group List B'!G$2),"Exceed",
IF(OR(H983=AB$2,I983=AC$2,J983=AD$2,
P983=1,V983=1,
L983='Group List A'!E$2,M983='Group List A'!F$2,N983='Group List A'!G$2,
R983='Group List B'!E$2,S983='Group List B'!F$2,T983='Group List B'!G$2),"Limit",0))</f>
        <v>0</v>
      </c>
      <c r="H983" s="29">
        <f t="shared" si="227"/>
        <v>0</v>
      </c>
      <c r="I983" s="29">
        <f t="shared" si="228"/>
        <v>0</v>
      </c>
      <c r="J983" s="29">
        <f t="shared" si="229"/>
        <v>0</v>
      </c>
      <c r="K983" s="32" t="str" cm="1">
        <f t="array" ref="K983">IF(AF983&lt;&gt;"",IFERROR(INDEX('Group List A'!B:B,MATCH(AI983,'Group List A'!A:A,0),0),"-"),"")</f>
        <v/>
      </c>
      <c r="L983" s="33">
        <f t="shared" si="230"/>
        <v>0</v>
      </c>
      <c r="M983" s="33">
        <f t="shared" si="231"/>
        <v>0</v>
      </c>
      <c r="N983" s="33">
        <f t="shared" si="232"/>
        <v>0</v>
      </c>
      <c r="O983" s="28"/>
      <c r="P983" s="33">
        <f t="shared" si="233"/>
        <v>0</v>
      </c>
      <c r="Q983" s="35" t="str" cm="1">
        <f t="array" ref="Q983">IF(AF983&lt;&gt;"",IFERROR(INDEX('Group List B'!B:B,MATCH(AI983,'Group List B'!A:A,0),0),"-"),"")</f>
        <v/>
      </c>
      <c r="R983" s="36">
        <f t="shared" si="234"/>
        <v>0</v>
      </c>
      <c r="S983" s="36">
        <f t="shared" si="235"/>
        <v>0</v>
      </c>
      <c r="T983" s="36">
        <f t="shared" si="236"/>
        <v>0</v>
      </c>
      <c r="U983" s="28"/>
      <c r="V983" s="37">
        <f t="shared" si="237"/>
        <v>0</v>
      </c>
      <c r="W983" s="41"/>
      <c r="X983" s="27"/>
      <c r="Y983" s="27"/>
      <c r="Z983" s="27"/>
      <c r="AA983" s="15"/>
      <c r="AB983" s="17"/>
      <c r="AC983" s="17"/>
      <c r="AD983" s="17"/>
      <c r="AE983" s="90"/>
      <c r="AF983" s="82" t="str">
        <f t="shared" si="238"/>
        <v/>
      </c>
      <c r="AG983" s="83" t="str">
        <f t="shared" si="239"/>
        <v/>
      </c>
      <c r="AH983" s="82" t="str">
        <f t="shared" si="240"/>
        <v/>
      </c>
      <c r="AI983" s="82" t="str">
        <f t="shared" si="241"/>
        <v/>
      </c>
      <c r="AJ983" s="90"/>
      <c r="AP983" s="88"/>
    </row>
    <row r="984" spans="1:42" x14ac:dyDescent="0.25">
      <c r="A984" s="2"/>
      <c r="C984" s="68" t="str" cm="1">
        <f t="array" ref="C984">IF(AF984&lt;&gt;"",
IFERROR(INDEX('LaunchPad Markbook'!A:A,MATCH(AH984,'LaunchPad Markbook'!D:D,0),0),"-"),"")</f>
        <v/>
      </c>
      <c r="D984" s="27"/>
      <c r="E984" s="27"/>
      <c r="F984" s="27"/>
      <c r="G984" s="14">
        <f>IF(OR(H984&gt;AB$2,I984&gt;AC$2,J984&gt;AD$2,
P984&gt;1,V984&gt;1,
L984&gt;'Group List A'!E$2,M984&gt;'Group List A'!F$2,N984&gt;'Group List A'!G$2,
R984&gt;'Group List B'!E$2,S984&gt;'Group List B'!F$2,T984&gt;'Group List B'!G$2),"Exceed",
IF(OR(H984=AB$2,I984=AC$2,J984=AD$2,
P984=1,V984=1,
L984='Group List A'!E$2,M984='Group List A'!F$2,N984='Group List A'!G$2,
R984='Group List B'!E$2,S984='Group List B'!F$2,T984='Group List B'!G$2),"Limit",0))</f>
        <v>0</v>
      </c>
      <c r="H984" s="29">
        <f t="shared" si="227"/>
        <v>0</v>
      </c>
      <c r="I984" s="29">
        <f t="shared" si="228"/>
        <v>0</v>
      </c>
      <c r="J984" s="29">
        <f t="shared" si="229"/>
        <v>0</v>
      </c>
      <c r="K984" s="32" t="str" cm="1">
        <f t="array" ref="K984">IF(AF984&lt;&gt;"",IFERROR(INDEX('Group List A'!B:B,MATCH(AI984,'Group List A'!A:A,0),0),"-"),"")</f>
        <v/>
      </c>
      <c r="L984" s="33">
        <f t="shared" si="230"/>
        <v>0</v>
      </c>
      <c r="M984" s="33">
        <f t="shared" si="231"/>
        <v>0</v>
      </c>
      <c r="N984" s="33">
        <f t="shared" si="232"/>
        <v>0</v>
      </c>
      <c r="O984" s="28"/>
      <c r="P984" s="33">
        <f t="shared" si="233"/>
        <v>0</v>
      </c>
      <c r="Q984" s="35" t="str" cm="1">
        <f t="array" ref="Q984">IF(AF984&lt;&gt;"",IFERROR(INDEX('Group List B'!B:B,MATCH(AI984,'Group List B'!A:A,0),0),"-"),"")</f>
        <v/>
      </c>
      <c r="R984" s="36">
        <f t="shared" si="234"/>
        <v>0</v>
      </c>
      <c r="S984" s="36">
        <f t="shared" si="235"/>
        <v>0</v>
      </c>
      <c r="T984" s="36">
        <f t="shared" si="236"/>
        <v>0</v>
      </c>
      <c r="U984" s="28"/>
      <c r="V984" s="37">
        <f t="shared" si="237"/>
        <v>0</v>
      </c>
      <c r="W984" s="41"/>
      <c r="X984" s="27"/>
      <c r="Y984" s="27"/>
      <c r="Z984" s="27"/>
      <c r="AA984" s="15"/>
      <c r="AB984" s="17"/>
      <c r="AC984" s="17"/>
      <c r="AD984" s="17"/>
      <c r="AE984" s="90"/>
      <c r="AF984" s="82" t="str">
        <f t="shared" si="238"/>
        <v/>
      </c>
      <c r="AG984" s="83" t="str">
        <f t="shared" si="239"/>
        <v/>
      </c>
      <c r="AH984" s="82" t="str">
        <f t="shared" si="240"/>
        <v/>
      </c>
      <c r="AI984" s="82" t="str">
        <f t="shared" si="241"/>
        <v/>
      </c>
      <c r="AJ984" s="90"/>
      <c r="AP984" s="88"/>
    </row>
    <row r="985" spans="1:42" x14ac:dyDescent="0.25">
      <c r="A985" s="2"/>
      <c r="C985" s="68" t="str" cm="1">
        <f t="array" ref="C985">IF(AF985&lt;&gt;"",
IFERROR(INDEX('LaunchPad Markbook'!A:A,MATCH(AH985,'LaunchPad Markbook'!D:D,0),0),"-"),"")</f>
        <v/>
      </c>
      <c r="D985" s="27"/>
      <c r="E985" s="27"/>
      <c r="F985" s="27"/>
      <c r="G985" s="14">
        <f>IF(OR(H985&gt;AB$2,I985&gt;AC$2,J985&gt;AD$2,
P985&gt;1,V985&gt;1,
L985&gt;'Group List A'!E$2,M985&gt;'Group List A'!F$2,N985&gt;'Group List A'!G$2,
R985&gt;'Group List B'!E$2,S985&gt;'Group List B'!F$2,T985&gt;'Group List B'!G$2),"Exceed",
IF(OR(H985=AB$2,I985=AC$2,J985=AD$2,
P985=1,V985=1,
L985='Group List A'!E$2,M985='Group List A'!F$2,N985='Group List A'!G$2,
R985='Group List B'!E$2,S985='Group List B'!F$2,T985='Group List B'!G$2),"Limit",0))</f>
        <v>0</v>
      </c>
      <c r="H985" s="29">
        <f t="shared" si="227"/>
        <v>0</v>
      </c>
      <c r="I985" s="29">
        <f t="shared" si="228"/>
        <v>0</v>
      </c>
      <c r="J985" s="29">
        <f t="shared" si="229"/>
        <v>0</v>
      </c>
      <c r="K985" s="32" t="str" cm="1">
        <f t="array" ref="K985">IF(AF985&lt;&gt;"",IFERROR(INDEX('Group List A'!B:B,MATCH(AI985,'Group List A'!A:A,0),0),"-"),"")</f>
        <v/>
      </c>
      <c r="L985" s="33">
        <f t="shared" si="230"/>
        <v>0</v>
      </c>
      <c r="M985" s="33">
        <f t="shared" si="231"/>
        <v>0</v>
      </c>
      <c r="N985" s="33">
        <f t="shared" si="232"/>
        <v>0</v>
      </c>
      <c r="O985" s="28"/>
      <c r="P985" s="33">
        <f t="shared" si="233"/>
        <v>0</v>
      </c>
      <c r="Q985" s="35" t="str" cm="1">
        <f t="array" ref="Q985">IF(AF985&lt;&gt;"",IFERROR(INDEX('Group List B'!B:B,MATCH(AI985,'Group List B'!A:A,0),0),"-"),"")</f>
        <v/>
      </c>
      <c r="R985" s="36">
        <f t="shared" si="234"/>
        <v>0</v>
      </c>
      <c r="S985" s="36">
        <f t="shared" si="235"/>
        <v>0</v>
      </c>
      <c r="T985" s="36">
        <f t="shared" si="236"/>
        <v>0</v>
      </c>
      <c r="U985" s="28"/>
      <c r="V985" s="37">
        <f t="shared" si="237"/>
        <v>0</v>
      </c>
      <c r="W985" s="41"/>
      <c r="X985" s="27"/>
      <c r="Y985" s="27"/>
      <c r="Z985" s="27"/>
      <c r="AA985" s="15"/>
      <c r="AB985" s="17"/>
      <c r="AC985" s="17"/>
      <c r="AD985" s="17"/>
      <c r="AE985" s="90"/>
      <c r="AF985" s="82" t="str">
        <f t="shared" si="238"/>
        <v/>
      </c>
      <c r="AG985" s="83" t="str">
        <f t="shared" si="239"/>
        <v/>
      </c>
      <c r="AH985" s="82" t="str">
        <f t="shared" si="240"/>
        <v/>
      </c>
      <c r="AI985" s="82" t="str">
        <f t="shared" si="241"/>
        <v/>
      </c>
      <c r="AJ985" s="90"/>
      <c r="AP985" s="88"/>
    </row>
    <row r="986" spans="1:42" x14ac:dyDescent="0.25">
      <c r="A986" s="2"/>
      <c r="C986" s="68" t="str" cm="1">
        <f t="array" ref="C986">IF(AF986&lt;&gt;"",
IFERROR(INDEX('LaunchPad Markbook'!A:A,MATCH(AH986,'LaunchPad Markbook'!D:D,0),0),"-"),"")</f>
        <v/>
      </c>
      <c r="D986" s="27"/>
      <c r="E986" s="27"/>
      <c r="F986" s="27"/>
      <c r="G986" s="14">
        <f>IF(OR(H986&gt;AB$2,I986&gt;AC$2,J986&gt;AD$2,
P986&gt;1,V986&gt;1,
L986&gt;'Group List A'!E$2,M986&gt;'Group List A'!F$2,N986&gt;'Group List A'!G$2,
R986&gt;'Group List B'!E$2,S986&gt;'Group List B'!F$2,T986&gt;'Group List B'!G$2),"Exceed",
IF(OR(H986=AB$2,I986=AC$2,J986=AD$2,
P986=1,V986=1,
L986='Group List A'!E$2,M986='Group List A'!F$2,N986='Group List A'!G$2,
R986='Group List B'!E$2,S986='Group List B'!F$2,T986='Group List B'!G$2),"Limit",0))</f>
        <v>0</v>
      </c>
      <c r="H986" s="29">
        <f t="shared" si="227"/>
        <v>0</v>
      </c>
      <c r="I986" s="29">
        <f t="shared" si="228"/>
        <v>0</v>
      </c>
      <c r="J986" s="29">
        <f t="shared" si="229"/>
        <v>0</v>
      </c>
      <c r="K986" s="32" t="str" cm="1">
        <f t="array" ref="K986">IF(AF986&lt;&gt;"",IFERROR(INDEX('Group List A'!B:B,MATCH(AI986,'Group List A'!A:A,0),0),"-"),"")</f>
        <v/>
      </c>
      <c r="L986" s="33">
        <f t="shared" si="230"/>
        <v>0</v>
      </c>
      <c r="M986" s="33">
        <f t="shared" si="231"/>
        <v>0</v>
      </c>
      <c r="N986" s="33">
        <f t="shared" si="232"/>
        <v>0</v>
      </c>
      <c r="O986" s="28"/>
      <c r="P986" s="33">
        <f t="shared" si="233"/>
        <v>0</v>
      </c>
      <c r="Q986" s="35" t="str" cm="1">
        <f t="array" ref="Q986">IF(AF986&lt;&gt;"",IFERROR(INDEX('Group List B'!B:B,MATCH(AI986,'Group List B'!A:A,0),0),"-"),"")</f>
        <v/>
      </c>
      <c r="R986" s="36">
        <f t="shared" si="234"/>
        <v>0</v>
      </c>
      <c r="S986" s="36">
        <f t="shared" si="235"/>
        <v>0</v>
      </c>
      <c r="T986" s="36">
        <f t="shared" si="236"/>
        <v>0</v>
      </c>
      <c r="U986" s="28"/>
      <c r="V986" s="37">
        <f t="shared" si="237"/>
        <v>0</v>
      </c>
      <c r="W986" s="41"/>
      <c r="X986" s="27"/>
      <c r="Y986" s="27"/>
      <c r="Z986" s="27"/>
      <c r="AA986" s="15"/>
      <c r="AB986" s="17"/>
      <c r="AC986" s="17"/>
      <c r="AD986" s="17"/>
      <c r="AE986" s="90"/>
      <c r="AF986" s="82" t="str">
        <f t="shared" si="238"/>
        <v/>
      </c>
      <c r="AG986" s="83" t="str">
        <f t="shared" si="239"/>
        <v/>
      </c>
      <c r="AH986" s="82" t="str">
        <f t="shared" si="240"/>
        <v/>
      </c>
      <c r="AI986" s="82" t="str">
        <f t="shared" si="241"/>
        <v/>
      </c>
      <c r="AJ986" s="90"/>
      <c r="AP986" s="88"/>
    </row>
    <row r="987" spans="1:42" x14ac:dyDescent="0.25">
      <c r="A987" s="2"/>
      <c r="C987" s="68" t="str" cm="1">
        <f t="array" ref="C987">IF(AF987&lt;&gt;"",
IFERROR(INDEX('LaunchPad Markbook'!A:A,MATCH(AH987,'LaunchPad Markbook'!D:D,0),0),"-"),"")</f>
        <v/>
      </c>
      <c r="D987" s="27"/>
      <c r="E987" s="27"/>
      <c r="F987" s="27"/>
      <c r="G987" s="14">
        <f>IF(OR(H987&gt;AB$2,I987&gt;AC$2,J987&gt;AD$2,
P987&gt;1,V987&gt;1,
L987&gt;'Group List A'!E$2,M987&gt;'Group List A'!F$2,N987&gt;'Group List A'!G$2,
R987&gt;'Group List B'!E$2,S987&gt;'Group List B'!F$2,T987&gt;'Group List B'!G$2),"Exceed",
IF(OR(H987=AB$2,I987=AC$2,J987=AD$2,
P987=1,V987=1,
L987='Group List A'!E$2,M987='Group List A'!F$2,N987='Group List A'!G$2,
R987='Group List B'!E$2,S987='Group List B'!F$2,T987='Group List B'!G$2),"Limit",0))</f>
        <v>0</v>
      </c>
      <c r="H987" s="29">
        <f t="shared" si="227"/>
        <v>0</v>
      </c>
      <c r="I987" s="29">
        <f t="shared" si="228"/>
        <v>0</v>
      </c>
      <c r="J987" s="29">
        <f t="shared" si="229"/>
        <v>0</v>
      </c>
      <c r="K987" s="32" t="str" cm="1">
        <f t="array" ref="K987">IF(AF987&lt;&gt;"",IFERROR(INDEX('Group List A'!B:B,MATCH(AI987,'Group List A'!A:A,0),0),"-"),"")</f>
        <v/>
      </c>
      <c r="L987" s="33">
        <f t="shared" si="230"/>
        <v>0</v>
      </c>
      <c r="M987" s="33">
        <f t="shared" si="231"/>
        <v>0</v>
      </c>
      <c r="N987" s="33">
        <f t="shared" si="232"/>
        <v>0</v>
      </c>
      <c r="O987" s="28"/>
      <c r="P987" s="33">
        <f t="shared" si="233"/>
        <v>0</v>
      </c>
      <c r="Q987" s="35" t="str" cm="1">
        <f t="array" ref="Q987">IF(AF987&lt;&gt;"",IFERROR(INDEX('Group List B'!B:B,MATCH(AI987,'Group List B'!A:A,0),0),"-"),"")</f>
        <v/>
      </c>
      <c r="R987" s="36">
        <f t="shared" si="234"/>
        <v>0</v>
      </c>
      <c r="S987" s="36">
        <f t="shared" si="235"/>
        <v>0</v>
      </c>
      <c r="T987" s="36">
        <f t="shared" si="236"/>
        <v>0</v>
      </c>
      <c r="U987" s="28"/>
      <c r="V987" s="37">
        <f t="shared" si="237"/>
        <v>0</v>
      </c>
      <c r="W987" s="41"/>
      <c r="X987" s="27"/>
      <c r="Y987" s="27"/>
      <c r="Z987" s="27"/>
      <c r="AA987" s="15"/>
      <c r="AB987" s="17"/>
      <c r="AC987" s="17"/>
      <c r="AD987" s="17"/>
      <c r="AE987" s="90"/>
      <c r="AF987" s="82" t="str">
        <f t="shared" si="238"/>
        <v/>
      </c>
      <c r="AG987" s="83" t="str">
        <f t="shared" si="239"/>
        <v/>
      </c>
      <c r="AH987" s="82" t="str">
        <f t="shared" si="240"/>
        <v/>
      </c>
      <c r="AI987" s="82" t="str">
        <f t="shared" si="241"/>
        <v/>
      </c>
      <c r="AJ987" s="90"/>
      <c r="AP987" s="88"/>
    </row>
    <row r="988" spans="1:42" x14ac:dyDescent="0.25">
      <c r="A988" s="2"/>
      <c r="C988" s="68" t="str" cm="1">
        <f t="array" ref="C988">IF(AF988&lt;&gt;"",
IFERROR(INDEX('LaunchPad Markbook'!A:A,MATCH(AH988,'LaunchPad Markbook'!D:D,0),0),"-"),"")</f>
        <v/>
      </c>
      <c r="D988" s="27"/>
      <c r="E988" s="27"/>
      <c r="F988" s="27"/>
      <c r="G988" s="14">
        <f>IF(OR(H988&gt;AB$2,I988&gt;AC$2,J988&gt;AD$2,
P988&gt;1,V988&gt;1,
L988&gt;'Group List A'!E$2,M988&gt;'Group List A'!F$2,N988&gt;'Group List A'!G$2,
R988&gt;'Group List B'!E$2,S988&gt;'Group List B'!F$2,T988&gt;'Group List B'!G$2),"Exceed",
IF(OR(H988=AB$2,I988=AC$2,J988=AD$2,
P988=1,V988=1,
L988='Group List A'!E$2,M988='Group List A'!F$2,N988='Group List A'!G$2,
R988='Group List B'!E$2,S988='Group List B'!F$2,T988='Group List B'!G$2),"Limit",0))</f>
        <v>0</v>
      </c>
      <c r="H988" s="29">
        <f t="shared" si="227"/>
        <v>0</v>
      </c>
      <c r="I988" s="29">
        <f t="shared" si="228"/>
        <v>0</v>
      </c>
      <c r="J988" s="29">
        <f t="shared" si="229"/>
        <v>0</v>
      </c>
      <c r="K988" s="32" t="str" cm="1">
        <f t="array" ref="K988">IF(AF988&lt;&gt;"",IFERROR(INDEX('Group List A'!B:B,MATCH(AI988,'Group List A'!A:A,0),0),"-"),"")</f>
        <v/>
      </c>
      <c r="L988" s="33">
        <f t="shared" si="230"/>
        <v>0</v>
      </c>
      <c r="M988" s="33">
        <f t="shared" si="231"/>
        <v>0</v>
      </c>
      <c r="N988" s="33">
        <f t="shared" si="232"/>
        <v>0</v>
      </c>
      <c r="O988" s="28"/>
      <c r="P988" s="33">
        <f t="shared" si="233"/>
        <v>0</v>
      </c>
      <c r="Q988" s="35" t="str" cm="1">
        <f t="array" ref="Q988">IF(AF988&lt;&gt;"",IFERROR(INDEX('Group List B'!B:B,MATCH(AI988,'Group List B'!A:A,0),0),"-"),"")</f>
        <v/>
      </c>
      <c r="R988" s="36">
        <f t="shared" si="234"/>
        <v>0</v>
      </c>
      <c r="S988" s="36">
        <f t="shared" si="235"/>
        <v>0</v>
      </c>
      <c r="T988" s="36">
        <f t="shared" si="236"/>
        <v>0</v>
      </c>
      <c r="U988" s="28"/>
      <c r="V988" s="37">
        <f t="shared" si="237"/>
        <v>0</v>
      </c>
      <c r="W988" s="41"/>
      <c r="X988" s="27"/>
      <c r="Y988" s="27"/>
      <c r="Z988" s="27"/>
      <c r="AA988" s="15"/>
      <c r="AB988" s="17"/>
      <c r="AC988" s="17"/>
      <c r="AD988" s="17"/>
      <c r="AE988" s="90"/>
      <c r="AF988" s="82" t="str">
        <f t="shared" si="238"/>
        <v/>
      </c>
      <c r="AG988" s="83" t="str">
        <f t="shared" si="239"/>
        <v/>
      </c>
      <c r="AH988" s="82" t="str">
        <f t="shared" si="240"/>
        <v/>
      </c>
      <c r="AI988" s="82" t="str">
        <f t="shared" si="241"/>
        <v/>
      </c>
      <c r="AJ988" s="90"/>
      <c r="AP988" s="88"/>
    </row>
    <row r="989" spans="1:42" x14ac:dyDescent="0.25">
      <c r="A989" s="2"/>
      <c r="C989" s="68" t="str" cm="1">
        <f t="array" ref="C989">IF(AF989&lt;&gt;"",
IFERROR(INDEX('LaunchPad Markbook'!A:A,MATCH(AH989,'LaunchPad Markbook'!D:D,0),0),"-"),"")</f>
        <v/>
      </c>
      <c r="D989" s="27"/>
      <c r="E989" s="27"/>
      <c r="F989" s="27"/>
      <c r="G989" s="14">
        <f>IF(OR(H989&gt;AB$2,I989&gt;AC$2,J989&gt;AD$2,
P989&gt;1,V989&gt;1,
L989&gt;'Group List A'!E$2,M989&gt;'Group List A'!F$2,N989&gt;'Group List A'!G$2,
R989&gt;'Group List B'!E$2,S989&gt;'Group List B'!F$2,T989&gt;'Group List B'!G$2),"Exceed",
IF(OR(H989=AB$2,I989=AC$2,J989=AD$2,
P989=1,V989=1,
L989='Group List A'!E$2,M989='Group List A'!F$2,N989='Group List A'!G$2,
R989='Group List B'!E$2,S989='Group List B'!F$2,T989='Group List B'!G$2),"Limit",0))</f>
        <v>0</v>
      </c>
      <c r="H989" s="29">
        <f t="shared" si="227"/>
        <v>0</v>
      </c>
      <c r="I989" s="29">
        <f t="shared" si="228"/>
        <v>0</v>
      </c>
      <c r="J989" s="29">
        <f t="shared" si="229"/>
        <v>0</v>
      </c>
      <c r="K989" s="32" t="str" cm="1">
        <f t="array" ref="K989">IF(AF989&lt;&gt;"",IFERROR(INDEX('Group List A'!B:B,MATCH(AI989,'Group List A'!A:A,0),0),"-"),"")</f>
        <v/>
      </c>
      <c r="L989" s="33">
        <f t="shared" si="230"/>
        <v>0</v>
      </c>
      <c r="M989" s="33">
        <f t="shared" si="231"/>
        <v>0</v>
      </c>
      <c r="N989" s="33">
        <f t="shared" si="232"/>
        <v>0</v>
      </c>
      <c r="O989" s="28"/>
      <c r="P989" s="33">
        <f t="shared" si="233"/>
        <v>0</v>
      </c>
      <c r="Q989" s="35" t="str" cm="1">
        <f t="array" ref="Q989">IF(AF989&lt;&gt;"",IFERROR(INDEX('Group List B'!B:B,MATCH(AI989,'Group List B'!A:A,0),0),"-"),"")</f>
        <v/>
      </c>
      <c r="R989" s="36">
        <f t="shared" si="234"/>
        <v>0</v>
      </c>
      <c r="S989" s="36">
        <f t="shared" si="235"/>
        <v>0</v>
      </c>
      <c r="T989" s="36">
        <f t="shared" si="236"/>
        <v>0</v>
      </c>
      <c r="U989" s="28"/>
      <c r="V989" s="37">
        <f t="shared" si="237"/>
        <v>0</v>
      </c>
      <c r="W989" s="41"/>
      <c r="X989" s="27"/>
      <c r="Y989" s="27"/>
      <c r="Z989" s="27"/>
      <c r="AA989" s="15"/>
      <c r="AB989" s="17"/>
      <c r="AC989" s="17"/>
      <c r="AD989" s="17"/>
      <c r="AE989" s="90"/>
      <c r="AF989" s="82" t="str">
        <f t="shared" si="238"/>
        <v/>
      </c>
      <c r="AG989" s="83" t="str">
        <f t="shared" si="239"/>
        <v/>
      </c>
      <c r="AH989" s="82" t="str">
        <f t="shared" si="240"/>
        <v/>
      </c>
      <c r="AI989" s="82" t="str">
        <f t="shared" si="241"/>
        <v/>
      </c>
      <c r="AJ989" s="90"/>
      <c r="AP989" s="88"/>
    </row>
    <row r="990" spans="1:42" x14ac:dyDescent="0.25">
      <c r="A990" s="2"/>
      <c r="C990" s="68" t="str" cm="1">
        <f t="array" ref="C990">IF(AF990&lt;&gt;"",
IFERROR(INDEX('LaunchPad Markbook'!A:A,MATCH(AH990,'LaunchPad Markbook'!D:D,0),0),"-"),"")</f>
        <v/>
      </c>
      <c r="D990" s="27"/>
      <c r="E990" s="27"/>
      <c r="F990" s="27"/>
      <c r="G990" s="14">
        <f>IF(OR(H990&gt;AB$2,I990&gt;AC$2,J990&gt;AD$2,
P990&gt;1,V990&gt;1,
L990&gt;'Group List A'!E$2,M990&gt;'Group List A'!F$2,N990&gt;'Group List A'!G$2,
R990&gt;'Group List B'!E$2,S990&gt;'Group List B'!F$2,T990&gt;'Group List B'!G$2),"Exceed",
IF(OR(H990=AB$2,I990=AC$2,J990=AD$2,
P990=1,V990=1,
L990='Group List A'!E$2,M990='Group List A'!F$2,N990='Group List A'!G$2,
R990='Group List B'!E$2,S990='Group List B'!F$2,T990='Group List B'!G$2),"Limit",0))</f>
        <v>0</v>
      </c>
      <c r="H990" s="29">
        <f t="shared" si="227"/>
        <v>0</v>
      </c>
      <c r="I990" s="29">
        <f t="shared" si="228"/>
        <v>0</v>
      </c>
      <c r="J990" s="29">
        <f t="shared" si="229"/>
        <v>0</v>
      </c>
      <c r="K990" s="32" t="str" cm="1">
        <f t="array" ref="K990">IF(AF990&lt;&gt;"",IFERROR(INDEX('Group List A'!B:B,MATCH(AI990,'Group List A'!A:A,0),0),"-"),"")</f>
        <v/>
      </c>
      <c r="L990" s="33">
        <f t="shared" si="230"/>
        <v>0</v>
      </c>
      <c r="M990" s="33">
        <f t="shared" si="231"/>
        <v>0</v>
      </c>
      <c r="N990" s="33">
        <f t="shared" si="232"/>
        <v>0</v>
      </c>
      <c r="O990" s="28"/>
      <c r="P990" s="33">
        <f t="shared" si="233"/>
        <v>0</v>
      </c>
      <c r="Q990" s="35" t="str" cm="1">
        <f t="array" ref="Q990">IF(AF990&lt;&gt;"",IFERROR(INDEX('Group List B'!B:B,MATCH(AI990,'Group List B'!A:A,0),0),"-"),"")</f>
        <v/>
      </c>
      <c r="R990" s="36">
        <f t="shared" si="234"/>
        <v>0</v>
      </c>
      <c r="S990" s="36">
        <f t="shared" si="235"/>
        <v>0</v>
      </c>
      <c r="T990" s="36">
        <f t="shared" si="236"/>
        <v>0</v>
      </c>
      <c r="U990" s="28"/>
      <c r="V990" s="37">
        <f t="shared" si="237"/>
        <v>0</v>
      </c>
      <c r="W990" s="41"/>
      <c r="X990" s="27"/>
      <c r="Y990" s="27"/>
      <c r="Z990" s="27"/>
      <c r="AA990" s="15"/>
      <c r="AB990" s="17"/>
      <c r="AC990" s="17"/>
      <c r="AD990" s="17"/>
      <c r="AE990" s="90"/>
      <c r="AF990" s="82" t="str">
        <f t="shared" si="238"/>
        <v/>
      </c>
      <c r="AG990" s="83" t="str">
        <f t="shared" si="239"/>
        <v/>
      </c>
      <c r="AH990" s="82" t="str">
        <f t="shared" si="240"/>
        <v/>
      </c>
      <c r="AI990" s="82" t="str">
        <f t="shared" si="241"/>
        <v/>
      </c>
      <c r="AJ990" s="90"/>
      <c r="AP990" s="88"/>
    </row>
    <row r="991" spans="1:42" x14ac:dyDescent="0.25">
      <c r="A991" s="2"/>
      <c r="C991" s="68" t="str" cm="1">
        <f t="array" ref="C991">IF(AF991&lt;&gt;"",
IFERROR(INDEX('LaunchPad Markbook'!A:A,MATCH(AH991,'LaunchPad Markbook'!D:D,0),0),"-"),"")</f>
        <v/>
      </c>
      <c r="D991" s="27"/>
      <c r="E991" s="27"/>
      <c r="F991" s="27"/>
      <c r="G991" s="14">
        <f>IF(OR(H991&gt;AB$2,I991&gt;AC$2,J991&gt;AD$2,
P991&gt;1,V991&gt;1,
L991&gt;'Group List A'!E$2,M991&gt;'Group List A'!F$2,N991&gt;'Group List A'!G$2,
R991&gt;'Group List B'!E$2,S991&gt;'Group List B'!F$2,T991&gt;'Group List B'!G$2),"Exceed",
IF(OR(H991=AB$2,I991=AC$2,J991=AD$2,
P991=1,V991=1,
L991='Group List A'!E$2,M991='Group List A'!F$2,N991='Group List A'!G$2,
R991='Group List B'!E$2,S991='Group List B'!F$2,T991='Group List B'!G$2),"Limit",0))</f>
        <v>0</v>
      </c>
      <c r="H991" s="29">
        <f t="shared" si="227"/>
        <v>0</v>
      </c>
      <c r="I991" s="29">
        <f t="shared" si="228"/>
        <v>0</v>
      </c>
      <c r="J991" s="29">
        <f t="shared" si="229"/>
        <v>0</v>
      </c>
      <c r="K991" s="32" t="str" cm="1">
        <f t="array" ref="K991">IF(AF991&lt;&gt;"",IFERROR(INDEX('Group List A'!B:B,MATCH(AI991,'Group List A'!A:A,0),0),"-"),"")</f>
        <v/>
      </c>
      <c r="L991" s="33">
        <f t="shared" si="230"/>
        <v>0</v>
      </c>
      <c r="M991" s="33">
        <f t="shared" si="231"/>
        <v>0</v>
      </c>
      <c r="N991" s="33">
        <f t="shared" si="232"/>
        <v>0</v>
      </c>
      <c r="O991" s="28"/>
      <c r="P991" s="33">
        <f t="shared" si="233"/>
        <v>0</v>
      </c>
      <c r="Q991" s="35" t="str" cm="1">
        <f t="array" ref="Q991">IF(AF991&lt;&gt;"",IFERROR(INDEX('Group List B'!B:B,MATCH(AI991,'Group List B'!A:A,0),0),"-"),"")</f>
        <v/>
      </c>
      <c r="R991" s="36">
        <f t="shared" si="234"/>
        <v>0</v>
      </c>
      <c r="S991" s="36">
        <f t="shared" si="235"/>
        <v>0</v>
      </c>
      <c r="T991" s="36">
        <f t="shared" si="236"/>
        <v>0</v>
      </c>
      <c r="U991" s="28"/>
      <c r="V991" s="37">
        <f t="shared" si="237"/>
        <v>0</v>
      </c>
      <c r="W991" s="41"/>
      <c r="X991" s="27"/>
      <c r="Y991" s="27"/>
      <c r="Z991" s="27"/>
      <c r="AA991" s="15"/>
      <c r="AB991" s="17"/>
      <c r="AC991" s="17"/>
      <c r="AD991" s="17"/>
      <c r="AE991" s="90"/>
      <c r="AF991" s="82" t="str">
        <f t="shared" si="238"/>
        <v/>
      </c>
      <c r="AG991" s="83" t="str">
        <f t="shared" si="239"/>
        <v/>
      </c>
      <c r="AH991" s="82" t="str">
        <f t="shared" si="240"/>
        <v/>
      </c>
      <c r="AI991" s="82" t="str">
        <f t="shared" si="241"/>
        <v/>
      </c>
      <c r="AJ991" s="90"/>
      <c r="AP991" s="88"/>
    </row>
    <row r="992" spans="1:42" x14ac:dyDescent="0.25">
      <c r="A992" s="2"/>
      <c r="C992" s="68" t="str" cm="1">
        <f t="array" ref="C992">IF(AF992&lt;&gt;"",
IFERROR(INDEX('LaunchPad Markbook'!A:A,MATCH(AH992,'LaunchPad Markbook'!D:D,0),0),"-"),"")</f>
        <v/>
      </c>
      <c r="D992" s="27"/>
      <c r="E992" s="27"/>
      <c r="F992" s="27"/>
      <c r="G992" s="14">
        <f>IF(OR(H992&gt;AB$2,I992&gt;AC$2,J992&gt;AD$2,
P992&gt;1,V992&gt;1,
L992&gt;'Group List A'!E$2,M992&gt;'Group List A'!F$2,N992&gt;'Group List A'!G$2,
R992&gt;'Group List B'!E$2,S992&gt;'Group List B'!F$2,T992&gt;'Group List B'!G$2),"Exceed",
IF(OR(H992=AB$2,I992=AC$2,J992=AD$2,
P992=1,V992=1,
L992='Group List A'!E$2,M992='Group List A'!F$2,N992='Group List A'!G$2,
R992='Group List B'!E$2,S992='Group List B'!F$2,T992='Group List B'!G$2),"Limit",0))</f>
        <v>0</v>
      </c>
      <c r="H992" s="29">
        <f t="shared" si="227"/>
        <v>0</v>
      </c>
      <c r="I992" s="29">
        <f t="shared" si="228"/>
        <v>0</v>
      </c>
      <c r="J992" s="29">
        <f t="shared" si="229"/>
        <v>0</v>
      </c>
      <c r="K992" s="32" t="str" cm="1">
        <f t="array" ref="K992">IF(AF992&lt;&gt;"",IFERROR(INDEX('Group List A'!B:B,MATCH(AI992,'Group List A'!A:A,0),0),"-"),"")</f>
        <v/>
      </c>
      <c r="L992" s="33">
        <f t="shared" si="230"/>
        <v>0</v>
      </c>
      <c r="M992" s="33">
        <f t="shared" si="231"/>
        <v>0</v>
      </c>
      <c r="N992" s="33">
        <f t="shared" si="232"/>
        <v>0</v>
      </c>
      <c r="O992" s="28"/>
      <c r="P992" s="33">
        <f t="shared" si="233"/>
        <v>0</v>
      </c>
      <c r="Q992" s="35" t="str" cm="1">
        <f t="array" ref="Q992">IF(AF992&lt;&gt;"",IFERROR(INDEX('Group List B'!B:B,MATCH(AI992,'Group List B'!A:A,0),0),"-"),"")</f>
        <v/>
      </c>
      <c r="R992" s="36">
        <f t="shared" si="234"/>
        <v>0</v>
      </c>
      <c r="S992" s="36">
        <f t="shared" si="235"/>
        <v>0</v>
      </c>
      <c r="T992" s="36">
        <f t="shared" si="236"/>
        <v>0</v>
      </c>
      <c r="U992" s="28"/>
      <c r="V992" s="37">
        <f t="shared" si="237"/>
        <v>0</v>
      </c>
      <c r="W992" s="41"/>
      <c r="X992" s="27"/>
      <c r="Y992" s="27"/>
      <c r="Z992" s="27"/>
      <c r="AA992" s="15"/>
      <c r="AB992" s="17"/>
      <c r="AC992" s="17"/>
      <c r="AD992" s="17"/>
      <c r="AE992" s="90"/>
      <c r="AF992" s="82" t="str">
        <f t="shared" si="238"/>
        <v/>
      </c>
      <c r="AG992" s="83" t="str">
        <f t="shared" si="239"/>
        <v/>
      </c>
      <c r="AH992" s="82" t="str">
        <f t="shared" si="240"/>
        <v/>
      </c>
      <c r="AI992" s="82" t="str">
        <f t="shared" si="241"/>
        <v/>
      </c>
      <c r="AJ992" s="90"/>
      <c r="AP992" s="88"/>
    </row>
    <row r="993" spans="1:42" x14ac:dyDescent="0.25">
      <c r="A993" s="2"/>
      <c r="C993" s="68" t="str" cm="1">
        <f t="array" ref="C993">IF(AF993&lt;&gt;"",
IFERROR(INDEX('LaunchPad Markbook'!A:A,MATCH(AH993,'LaunchPad Markbook'!D:D,0),0),"-"),"")</f>
        <v/>
      </c>
      <c r="D993" s="27"/>
      <c r="E993" s="27"/>
      <c r="F993" s="27"/>
      <c r="G993" s="14">
        <f>IF(OR(H993&gt;AB$2,I993&gt;AC$2,J993&gt;AD$2,
P993&gt;1,V993&gt;1,
L993&gt;'Group List A'!E$2,M993&gt;'Group List A'!F$2,N993&gt;'Group List A'!G$2,
R993&gt;'Group List B'!E$2,S993&gt;'Group List B'!F$2,T993&gt;'Group List B'!G$2),"Exceed",
IF(OR(H993=AB$2,I993=AC$2,J993=AD$2,
P993=1,V993=1,
L993='Group List A'!E$2,M993='Group List A'!F$2,N993='Group List A'!G$2,
R993='Group List B'!E$2,S993='Group List B'!F$2,T993='Group List B'!G$2),"Limit",0))</f>
        <v>0</v>
      </c>
      <c r="H993" s="29">
        <f t="shared" si="227"/>
        <v>0</v>
      </c>
      <c r="I993" s="29">
        <f t="shared" si="228"/>
        <v>0</v>
      </c>
      <c r="J993" s="29">
        <f t="shared" si="229"/>
        <v>0</v>
      </c>
      <c r="K993" s="32" t="str" cm="1">
        <f t="array" ref="K993">IF(AF993&lt;&gt;"",IFERROR(INDEX('Group List A'!B:B,MATCH(AI993,'Group List A'!A:A,0),0),"-"),"")</f>
        <v/>
      </c>
      <c r="L993" s="33">
        <f t="shared" si="230"/>
        <v>0</v>
      </c>
      <c r="M993" s="33">
        <f t="shared" si="231"/>
        <v>0</v>
      </c>
      <c r="N993" s="33">
        <f t="shared" si="232"/>
        <v>0</v>
      </c>
      <c r="O993" s="28"/>
      <c r="P993" s="33">
        <f t="shared" si="233"/>
        <v>0</v>
      </c>
      <c r="Q993" s="35" t="str" cm="1">
        <f t="array" ref="Q993">IF(AF993&lt;&gt;"",IFERROR(INDEX('Group List B'!B:B,MATCH(AI993,'Group List B'!A:A,0),0),"-"),"")</f>
        <v/>
      </c>
      <c r="R993" s="36">
        <f t="shared" si="234"/>
        <v>0</v>
      </c>
      <c r="S993" s="36">
        <f t="shared" si="235"/>
        <v>0</v>
      </c>
      <c r="T993" s="36">
        <f t="shared" si="236"/>
        <v>0</v>
      </c>
      <c r="U993" s="28"/>
      <c r="V993" s="37">
        <f t="shared" si="237"/>
        <v>0</v>
      </c>
      <c r="W993" s="41"/>
      <c r="X993" s="27"/>
      <c r="Y993" s="27"/>
      <c r="Z993" s="27"/>
      <c r="AA993" s="15"/>
      <c r="AB993" s="17"/>
      <c r="AC993" s="17"/>
      <c r="AD993" s="17"/>
      <c r="AE993" s="90"/>
      <c r="AF993" s="82" t="str">
        <f t="shared" si="238"/>
        <v/>
      </c>
      <c r="AG993" s="83" t="str">
        <f t="shared" si="239"/>
        <v/>
      </c>
      <c r="AH993" s="82" t="str">
        <f t="shared" si="240"/>
        <v/>
      </c>
      <c r="AI993" s="82" t="str">
        <f t="shared" si="241"/>
        <v/>
      </c>
      <c r="AJ993" s="90"/>
      <c r="AP993" s="88"/>
    </row>
    <row r="994" spans="1:42" x14ac:dyDescent="0.25">
      <c r="A994" s="2"/>
      <c r="C994" s="68" t="str" cm="1">
        <f t="array" ref="C994">IF(AF994&lt;&gt;"",
IFERROR(INDEX('LaunchPad Markbook'!A:A,MATCH(AH994,'LaunchPad Markbook'!D:D,0),0),"-"),"")</f>
        <v/>
      </c>
      <c r="D994" s="27"/>
      <c r="E994" s="27"/>
      <c r="F994" s="27"/>
      <c r="G994" s="14">
        <f>IF(OR(H994&gt;AB$2,I994&gt;AC$2,J994&gt;AD$2,
P994&gt;1,V994&gt;1,
L994&gt;'Group List A'!E$2,M994&gt;'Group List A'!F$2,N994&gt;'Group List A'!G$2,
R994&gt;'Group List B'!E$2,S994&gt;'Group List B'!F$2,T994&gt;'Group List B'!G$2),"Exceed",
IF(OR(H994=AB$2,I994=AC$2,J994=AD$2,
P994=1,V994=1,
L994='Group List A'!E$2,M994='Group List A'!F$2,N994='Group List A'!G$2,
R994='Group List B'!E$2,S994='Group List B'!F$2,T994='Group List B'!G$2),"Limit",0))</f>
        <v>0</v>
      </c>
      <c r="H994" s="29">
        <f t="shared" si="227"/>
        <v>0</v>
      </c>
      <c r="I994" s="29">
        <f t="shared" si="228"/>
        <v>0</v>
      </c>
      <c r="J994" s="29">
        <f t="shared" si="229"/>
        <v>0</v>
      </c>
      <c r="K994" s="32" t="str" cm="1">
        <f t="array" ref="K994">IF(AF994&lt;&gt;"",IFERROR(INDEX('Group List A'!B:B,MATCH(AI994,'Group List A'!A:A,0),0),"-"),"")</f>
        <v/>
      </c>
      <c r="L994" s="33">
        <f t="shared" si="230"/>
        <v>0</v>
      </c>
      <c r="M994" s="33">
        <f t="shared" si="231"/>
        <v>0</v>
      </c>
      <c r="N994" s="33">
        <f t="shared" si="232"/>
        <v>0</v>
      </c>
      <c r="O994" s="28"/>
      <c r="P994" s="33">
        <f t="shared" si="233"/>
        <v>0</v>
      </c>
      <c r="Q994" s="35" t="str" cm="1">
        <f t="array" ref="Q994">IF(AF994&lt;&gt;"",IFERROR(INDEX('Group List B'!B:B,MATCH(AI994,'Group List B'!A:A,0),0),"-"),"")</f>
        <v/>
      </c>
      <c r="R994" s="36">
        <f t="shared" si="234"/>
        <v>0</v>
      </c>
      <c r="S994" s="36">
        <f t="shared" si="235"/>
        <v>0</v>
      </c>
      <c r="T994" s="36">
        <f t="shared" si="236"/>
        <v>0</v>
      </c>
      <c r="U994" s="28"/>
      <c r="V994" s="37">
        <f t="shared" si="237"/>
        <v>0</v>
      </c>
      <c r="W994" s="41"/>
      <c r="X994" s="27"/>
      <c r="Y994" s="27"/>
      <c r="Z994" s="27"/>
      <c r="AA994" s="15"/>
      <c r="AB994" s="17"/>
      <c r="AC994" s="17"/>
      <c r="AD994" s="17"/>
      <c r="AE994" s="90"/>
      <c r="AF994" s="82" t="str">
        <f t="shared" si="238"/>
        <v/>
      </c>
      <c r="AG994" s="83" t="str">
        <f t="shared" si="239"/>
        <v/>
      </c>
      <c r="AH994" s="82" t="str">
        <f t="shared" si="240"/>
        <v/>
      </c>
      <c r="AI994" s="82" t="str">
        <f t="shared" si="241"/>
        <v/>
      </c>
      <c r="AJ994" s="90"/>
      <c r="AP994" s="88"/>
    </row>
    <row r="995" spans="1:42" x14ac:dyDescent="0.25">
      <c r="A995" s="2"/>
      <c r="C995" s="68" t="str" cm="1">
        <f t="array" ref="C995">IF(AF995&lt;&gt;"",
IFERROR(INDEX('LaunchPad Markbook'!A:A,MATCH(AH995,'LaunchPad Markbook'!D:D,0),0),"-"),"")</f>
        <v/>
      </c>
      <c r="D995" s="27"/>
      <c r="E995" s="27"/>
      <c r="F995" s="27"/>
      <c r="G995" s="14">
        <f>IF(OR(H995&gt;AB$2,I995&gt;AC$2,J995&gt;AD$2,
P995&gt;1,V995&gt;1,
L995&gt;'Group List A'!E$2,M995&gt;'Group List A'!F$2,N995&gt;'Group List A'!G$2,
R995&gt;'Group List B'!E$2,S995&gt;'Group List B'!F$2,T995&gt;'Group List B'!G$2),"Exceed",
IF(OR(H995=AB$2,I995=AC$2,J995=AD$2,
P995=1,V995=1,
L995='Group List A'!E$2,M995='Group List A'!F$2,N995='Group List A'!G$2,
R995='Group List B'!E$2,S995='Group List B'!F$2,T995='Group List B'!G$2),"Limit",0))</f>
        <v>0</v>
      </c>
      <c r="H995" s="29">
        <f t="shared" si="227"/>
        <v>0</v>
      </c>
      <c r="I995" s="29">
        <f t="shared" si="228"/>
        <v>0</v>
      </c>
      <c r="J995" s="29">
        <f t="shared" si="229"/>
        <v>0</v>
      </c>
      <c r="K995" s="32" t="str" cm="1">
        <f t="array" ref="K995">IF(AF995&lt;&gt;"",IFERROR(INDEX('Group List A'!B:B,MATCH(AI995,'Group List A'!A:A,0),0),"-"),"")</f>
        <v/>
      </c>
      <c r="L995" s="33">
        <f t="shared" si="230"/>
        <v>0</v>
      </c>
      <c r="M995" s="33">
        <f t="shared" si="231"/>
        <v>0</v>
      </c>
      <c r="N995" s="33">
        <f t="shared" si="232"/>
        <v>0</v>
      </c>
      <c r="O995" s="28"/>
      <c r="P995" s="33">
        <f t="shared" si="233"/>
        <v>0</v>
      </c>
      <c r="Q995" s="35" t="str" cm="1">
        <f t="array" ref="Q995">IF(AF995&lt;&gt;"",IFERROR(INDEX('Group List B'!B:B,MATCH(AI995,'Group List B'!A:A,0),0),"-"),"")</f>
        <v/>
      </c>
      <c r="R995" s="36">
        <f t="shared" si="234"/>
        <v>0</v>
      </c>
      <c r="S995" s="36">
        <f t="shared" si="235"/>
        <v>0</v>
      </c>
      <c r="T995" s="36">
        <f t="shared" si="236"/>
        <v>0</v>
      </c>
      <c r="U995" s="28"/>
      <c r="V995" s="37">
        <f t="shared" si="237"/>
        <v>0</v>
      </c>
      <c r="W995" s="41"/>
      <c r="X995" s="27"/>
      <c r="Y995" s="27"/>
      <c r="Z995" s="27"/>
      <c r="AA995" s="15"/>
      <c r="AB995" s="17"/>
      <c r="AC995" s="17"/>
      <c r="AD995" s="17"/>
      <c r="AE995" s="90"/>
      <c r="AF995" s="82" t="str">
        <f t="shared" si="238"/>
        <v/>
      </c>
      <c r="AG995" s="83" t="str">
        <f t="shared" si="239"/>
        <v/>
      </c>
      <c r="AH995" s="82" t="str">
        <f t="shared" si="240"/>
        <v/>
      </c>
      <c r="AI995" s="82" t="str">
        <f t="shared" si="241"/>
        <v/>
      </c>
      <c r="AJ995" s="90"/>
      <c r="AP995" s="88"/>
    </row>
    <row r="996" spans="1:42" x14ac:dyDescent="0.25">
      <c r="A996" s="2"/>
      <c r="C996" s="68" t="str" cm="1">
        <f t="array" ref="C996">IF(AF996&lt;&gt;"",
IFERROR(INDEX('LaunchPad Markbook'!A:A,MATCH(AH996,'LaunchPad Markbook'!D:D,0),0),"-"),"")</f>
        <v/>
      </c>
      <c r="D996" s="27"/>
      <c r="E996" s="27"/>
      <c r="F996" s="27"/>
      <c r="G996" s="14">
        <f>IF(OR(H996&gt;AB$2,I996&gt;AC$2,J996&gt;AD$2,
P996&gt;1,V996&gt;1,
L996&gt;'Group List A'!E$2,M996&gt;'Group List A'!F$2,N996&gt;'Group List A'!G$2,
R996&gt;'Group List B'!E$2,S996&gt;'Group List B'!F$2,T996&gt;'Group List B'!G$2),"Exceed",
IF(OR(H996=AB$2,I996=AC$2,J996=AD$2,
P996=1,V996=1,
L996='Group List A'!E$2,M996='Group List A'!F$2,N996='Group List A'!G$2,
R996='Group List B'!E$2,S996='Group List B'!F$2,T996='Group List B'!G$2),"Limit",0))</f>
        <v>0</v>
      </c>
      <c r="H996" s="29">
        <f t="shared" si="227"/>
        <v>0</v>
      </c>
      <c r="I996" s="29">
        <f t="shared" si="228"/>
        <v>0</v>
      </c>
      <c r="J996" s="29">
        <f t="shared" si="229"/>
        <v>0</v>
      </c>
      <c r="K996" s="32" t="str" cm="1">
        <f t="array" ref="K996">IF(AF996&lt;&gt;"",IFERROR(INDEX('Group List A'!B:B,MATCH(AI996,'Group List A'!A:A,0),0),"-"),"")</f>
        <v/>
      </c>
      <c r="L996" s="33">
        <f t="shared" si="230"/>
        <v>0</v>
      </c>
      <c r="M996" s="33">
        <f t="shared" si="231"/>
        <v>0</v>
      </c>
      <c r="N996" s="33">
        <f t="shared" si="232"/>
        <v>0</v>
      </c>
      <c r="O996" s="28"/>
      <c r="P996" s="33">
        <f t="shared" si="233"/>
        <v>0</v>
      </c>
      <c r="Q996" s="35" t="str" cm="1">
        <f t="array" ref="Q996">IF(AF996&lt;&gt;"",IFERROR(INDEX('Group List B'!B:B,MATCH(AI996,'Group List B'!A:A,0),0),"-"),"")</f>
        <v/>
      </c>
      <c r="R996" s="36">
        <f t="shared" si="234"/>
        <v>0</v>
      </c>
      <c r="S996" s="36">
        <f t="shared" si="235"/>
        <v>0</v>
      </c>
      <c r="T996" s="36">
        <f t="shared" si="236"/>
        <v>0</v>
      </c>
      <c r="U996" s="28"/>
      <c r="V996" s="37">
        <f t="shared" si="237"/>
        <v>0</v>
      </c>
      <c r="W996" s="41"/>
      <c r="X996" s="27"/>
      <c r="Y996" s="27"/>
      <c r="Z996" s="27"/>
      <c r="AA996" s="15"/>
      <c r="AB996" s="17"/>
      <c r="AC996" s="17"/>
      <c r="AD996" s="17"/>
      <c r="AE996" s="90"/>
      <c r="AF996" s="82" t="str">
        <f t="shared" si="238"/>
        <v/>
      </c>
      <c r="AG996" s="83" t="str">
        <f t="shared" si="239"/>
        <v/>
      </c>
      <c r="AH996" s="82" t="str">
        <f t="shared" si="240"/>
        <v/>
      </c>
      <c r="AI996" s="82" t="str">
        <f t="shared" si="241"/>
        <v/>
      </c>
      <c r="AJ996" s="90"/>
      <c r="AP996" s="88"/>
    </row>
    <row r="997" spans="1:42" x14ac:dyDescent="0.25">
      <c r="A997" s="2"/>
      <c r="C997" s="68" t="str" cm="1">
        <f t="array" ref="C997">IF(AF997&lt;&gt;"",
IFERROR(INDEX('LaunchPad Markbook'!A:A,MATCH(AH997,'LaunchPad Markbook'!D:D,0),0),"-"),"")</f>
        <v/>
      </c>
      <c r="D997" s="27"/>
      <c r="E997" s="27"/>
      <c r="F997" s="27"/>
      <c r="G997" s="14">
        <f>IF(OR(H997&gt;AB$2,I997&gt;AC$2,J997&gt;AD$2,
P997&gt;1,V997&gt;1,
L997&gt;'Group List A'!E$2,M997&gt;'Group List A'!F$2,N997&gt;'Group List A'!G$2,
R997&gt;'Group List B'!E$2,S997&gt;'Group List B'!F$2,T997&gt;'Group List B'!G$2),"Exceed",
IF(OR(H997=AB$2,I997=AC$2,J997=AD$2,
P997=1,V997=1,
L997='Group List A'!E$2,M997='Group List A'!F$2,N997='Group List A'!G$2,
R997='Group List B'!E$2,S997='Group List B'!F$2,T997='Group List B'!G$2),"Limit",0))</f>
        <v>0</v>
      </c>
      <c r="H997" s="29">
        <f t="shared" si="227"/>
        <v>0</v>
      </c>
      <c r="I997" s="29">
        <f t="shared" si="228"/>
        <v>0</v>
      </c>
      <c r="J997" s="29">
        <f t="shared" si="229"/>
        <v>0</v>
      </c>
      <c r="K997" s="32" t="str" cm="1">
        <f t="array" ref="K997">IF(AF997&lt;&gt;"",IFERROR(INDEX('Group List A'!B:B,MATCH(AI997,'Group List A'!A:A,0),0),"-"),"")</f>
        <v/>
      </c>
      <c r="L997" s="33">
        <f t="shared" si="230"/>
        <v>0</v>
      </c>
      <c r="M997" s="33">
        <f t="shared" si="231"/>
        <v>0</v>
      </c>
      <c r="N997" s="33">
        <f t="shared" si="232"/>
        <v>0</v>
      </c>
      <c r="O997" s="28"/>
      <c r="P997" s="33">
        <f t="shared" si="233"/>
        <v>0</v>
      </c>
      <c r="Q997" s="35" t="str" cm="1">
        <f t="array" ref="Q997">IF(AF997&lt;&gt;"",IFERROR(INDEX('Group List B'!B:B,MATCH(AI997,'Group List B'!A:A,0),0),"-"),"")</f>
        <v/>
      </c>
      <c r="R997" s="36">
        <f t="shared" si="234"/>
        <v>0</v>
      </c>
      <c r="S997" s="36">
        <f t="shared" si="235"/>
        <v>0</v>
      </c>
      <c r="T997" s="36">
        <f t="shared" si="236"/>
        <v>0</v>
      </c>
      <c r="U997" s="28"/>
      <c r="V997" s="37">
        <f t="shared" si="237"/>
        <v>0</v>
      </c>
      <c r="W997" s="41"/>
      <c r="X997" s="27"/>
      <c r="Y997" s="27"/>
      <c r="Z997" s="27"/>
      <c r="AA997" s="15"/>
      <c r="AB997" s="17"/>
      <c r="AC997" s="17"/>
      <c r="AD997" s="17"/>
      <c r="AE997" s="90"/>
      <c r="AF997" s="82" t="str">
        <f t="shared" si="238"/>
        <v/>
      </c>
      <c r="AG997" s="83" t="str">
        <f t="shared" si="239"/>
        <v/>
      </c>
      <c r="AH997" s="82" t="str">
        <f t="shared" si="240"/>
        <v/>
      </c>
      <c r="AI997" s="82" t="str">
        <f t="shared" si="241"/>
        <v/>
      </c>
      <c r="AJ997" s="90"/>
      <c r="AP997" s="88"/>
    </row>
    <row r="998" spans="1:42" x14ac:dyDescent="0.25">
      <c r="A998" s="2"/>
      <c r="C998" s="68" t="str" cm="1">
        <f t="array" ref="C998">IF(AF998&lt;&gt;"",
IFERROR(INDEX('LaunchPad Markbook'!A:A,MATCH(AH998,'LaunchPad Markbook'!D:D,0),0),"-"),"")</f>
        <v/>
      </c>
      <c r="D998" s="27"/>
      <c r="E998" s="27"/>
      <c r="F998" s="27"/>
      <c r="G998" s="14">
        <f>IF(OR(H998&gt;AB$2,I998&gt;AC$2,J998&gt;AD$2,
P998&gt;1,V998&gt;1,
L998&gt;'Group List A'!E$2,M998&gt;'Group List A'!F$2,N998&gt;'Group List A'!G$2,
R998&gt;'Group List B'!E$2,S998&gt;'Group List B'!F$2,T998&gt;'Group List B'!G$2),"Exceed",
IF(OR(H998=AB$2,I998=AC$2,J998=AD$2,
P998=1,V998=1,
L998='Group List A'!E$2,M998='Group List A'!F$2,N998='Group List A'!G$2,
R998='Group List B'!E$2,S998='Group List B'!F$2,T998='Group List B'!G$2),"Limit",0))</f>
        <v>0</v>
      </c>
      <c r="H998" s="29">
        <f t="shared" si="227"/>
        <v>0</v>
      </c>
      <c r="I998" s="29">
        <f t="shared" si="228"/>
        <v>0</v>
      </c>
      <c r="J998" s="29">
        <f t="shared" si="229"/>
        <v>0</v>
      </c>
      <c r="K998" s="32" t="str" cm="1">
        <f t="array" ref="K998">IF(AF998&lt;&gt;"",IFERROR(INDEX('Group List A'!B:B,MATCH(AI998,'Group List A'!A:A,0),0),"-"),"")</f>
        <v/>
      </c>
      <c r="L998" s="33">
        <f t="shared" si="230"/>
        <v>0</v>
      </c>
      <c r="M998" s="33">
        <f t="shared" si="231"/>
        <v>0</v>
      </c>
      <c r="N998" s="33">
        <f t="shared" si="232"/>
        <v>0</v>
      </c>
      <c r="O998" s="28"/>
      <c r="P998" s="33">
        <f t="shared" si="233"/>
        <v>0</v>
      </c>
      <c r="Q998" s="35" t="str" cm="1">
        <f t="array" ref="Q998">IF(AF998&lt;&gt;"",IFERROR(INDEX('Group List B'!B:B,MATCH(AI998,'Group List B'!A:A,0),0),"-"),"")</f>
        <v/>
      </c>
      <c r="R998" s="36">
        <f t="shared" si="234"/>
        <v>0</v>
      </c>
      <c r="S998" s="36">
        <f t="shared" si="235"/>
        <v>0</v>
      </c>
      <c r="T998" s="36">
        <f t="shared" si="236"/>
        <v>0</v>
      </c>
      <c r="U998" s="28"/>
      <c r="V998" s="37">
        <f t="shared" si="237"/>
        <v>0</v>
      </c>
      <c r="W998" s="41"/>
      <c r="X998" s="27"/>
      <c r="Y998" s="27"/>
      <c r="Z998" s="27"/>
      <c r="AA998" s="15"/>
      <c r="AB998" s="17"/>
      <c r="AC998" s="17"/>
      <c r="AD998" s="17"/>
      <c r="AE998" s="90"/>
      <c r="AF998" s="82" t="str">
        <f t="shared" si="238"/>
        <v/>
      </c>
      <c r="AG998" s="83" t="str">
        <f t="shared" si="239"/>
        <v/>
      </c>
      <c r="AH998" s="82" t="str">
        <f t="shared" si="240"/>
        <v/>
      </c>
      <c r="AI998" s="82" t="str">
        <f t="shared" si="241"/>
        <v/>
      </c>
      <c r="AJ998" s="90"/>
      <c r="AP998" s="88"/>
    </row>
    <row r="999" spans="1:42" x14ac:dyDescent="0.25">
      <c r="A999" s="2"/>
      <c r="C999" s="68" t="str" cm="1">
        <f t="array" ref="C999">IF(AF999&lt;&gt;"",
IFERROR(INDEX('LaunchPad Markbook'!A:A,MATCH(AH999,'LaunchPad Markbook'!D:D,0),0),"-"),"")</f>
        <v/>
      </c>
      <c r="D999" s="27"/>
      <c r="E999" s="27"/>
      <c r="F999" s="27"/>
      <c r="G999" s="14">
        <f>IF(OR(H999&gt;AB$2,I999&gt;AC$2,J999&gt;AD$2,
P999&gt;1,V999&gt;1,
L999&gt;'Group List A'!E$2,M999&gt;'Group List A'!F$2,N999&gt;'Group List A'!G$2,
R999&gt;'Group List B'!E$2,S999&gt;'Group List B'!F$2,T999&gt;'Group List B'!G$2),"Exceed",
IF(OR(H999=AB$2,I999=AC$2,J999=AD$2,
P999=1,V999=1,
L999='Group List A'!E$2,M999='Group List A'!F$2,N999='Group List A'!G$2,
R999='Group List B'!E$2,S999='Group List B'!F$2,T999='Group List B'!G$2),"Limit",0))</f>
        <v>0</v>
      </c>
      <c r="H999" s="29">
        <f t="shared" si="227"/>
        <v>0</v>
      </c>
      <c r="I999" s="29">
        <f t="shared" si="228"/>
        <v>0</v>
      </c>
      <c r="J999" s="29">
        <f t="shared" si="229"/>
        <v>0</v>
      </c>
      <c r="K999" s="32" t="str" cm="1">
        <f t="array" ref="K999">IF(AF999&lt;&gt;"",IFERROR(INDEX('Group List A'!B:B,MATCH(AI999,'Group List A'!A:A,0),0),"-"),"")</f>
        <v/>
      </c>
      <c r="L999" s="33">
        <f t="shared" si="230"/>
        <v>0</v>
      </c>
      <c r="M999" s="33">
        <f t="shared" si="231"/>
        <v>0</v>
      </c>
      <c r="N999" s="33">
        <f t="shared" si="232"/>
        <v>0</v>
      </c>
      <c r="O999" s="28"/>
      <c r="P999" s="33">
        <f t="shared" si="233"/>
        <v>0</v>
      </c>
      <c r="Q999" s="35" t="str" cm="1">
        <f t="array" ref="Q999">IF(AF999&lt;&gt;"",IFERROR(INDEX('Group List B'!B:B,MATCH(AI999,'Group List B'!A:A,0),0),"-"),"")</f>
        <v/>
      </c>
      <c r="R999" s="36">
        <f t="shared" si="234"/>
        <v>0</v>
      </c>
      <c r="S999" s="36">
        <f t="shared" si="235"/>
        <v>0</v>
      </c>
      <c r="T999" s="36">
        <f t="shared" si="236"/>
        <v>0</v>
      </c>
      <c r="U999" s="28"/>
      <c r="V999" s="37">
        <f t="shared" si="237"/>
        <v>0</v>
      </c>
      <c r="W999" s="41"/>
      <c r="X999" s="27"/>
      <c r="Y999" s="27"/>
      <c r="Z999" s="27"/>
      <c r="AA999" s="15"/>
      <c r="AB999" s="17"/>
      <c r="AC999" s="17"/>
      <c r="AD999" s="17"/>
      <c r="AE999" s="90"/>
      <c r="AF999" s="82" t="str">
        <f t="shared" si="238"/>
        <v/>
      </c>
      <c r="AG999" s="83" t="str">
        <f t="shared" si="239"/>
        <v/>
      </c>
      <c r="AH999" s="82" t="str">
        <f t="shared" si="240"/>
        <v/>
      </c>
      <c r="AI999" s="82" t="str">
        <f t="shared" si="241"/>
        <v/>
      </c>
      <c r="AJ999" s="90"/>
      <c r="AP999" s="88"/>
    </row>
    <row r="1000" spans="1:42" x14ac:dyDescent="0.25">
      <c r="A1000" s="2"/>
      <c r="C1000" s="68" t="str" cm="1">
        <f t="array" ref="C1000">IF(AF1000&lt;&gt;"",
IFERROR(INDEX('LaunchPad Markbook'!A:A,MATCH(AH1000,'LaunchPad Markbook'!D:D,0),0),"-"),"")</f>
        <v/>
      </c>
      <c r="D1000" s="27"/>
      <c r="E1000" s="27"/>
      <c r="F1000" s="27"/>
      <c r="G1000" s="14">
        <f>IF(OR(H1000&gt;AB$2,I1000&gt;AC$2,J1000&gt;AD$2,
P1000&gt;1,V1000&gt;1,
L1000&gt;'Group List A'!E$2,M1000&gt;'Group List A'!F$2,N1000&gt;'Group List A'!G$2,
R1000&gt;'Group List B'!E$2,S1000&gt;'Group List B'!F$2,T1000&gt;'Group List B'!G$2),"Exceed",
IF(OR(H1000=AB$2,I1000=AC$2,J1000=AD$2,
P1000=1,V1000=1,
L1000='Group List A'!E$2,M1000='Group List A'!F$2,N1000='Group List A'!G$2,
R1000='Group List B'!E$2,S1000='Group List B'!F$2,T1000='Group List B'!G$2),"Limit",0))</f>
        <v>0</v>
      </c>
      <c r="H1000" s="29">
        <f t="shared" si="227"/>
        <v>0</v>
      </c>
      <c r="I1000" s="29">
        <f t="shared" si="228"/>
        <v>0</v>
      </c>
      <c r="J1000" s="29">
        <f t="shared" si="229"/>
        <v>0</v>
      </c>
      <c r="K1000" s="32" t="str" cm="1">
        <f t="array" ref="K1000">IF(AF1000&lt;&gt;"",IFERROR(INDEX('Group List A'!B:B,MATCH(AI1000,'Group List A'!A:A,0),0),"-"),"")</f>
        <v/>
      </c>
      <c r="L1000" s="33">
        <f t="shared" si="230"/>
        <v>0</v>
      </c>
      <c r="M1000" s="33">
        <f t="shared" si="231"/>
        <v>0</v>
      </c>
      <c r="N1000" s="33">
        <f t="shared" si="232"/>
        <v>0</v>
      </c>
      <c r="O1000" s="28"/>
      <c r="P1000" s="33">
        <f t="shared" si="233"/>
        <v>0</v>
      </c>
      <c r="Q1000" s="35" t="str" cm="1">
        <f t="array" ref="Q1000">IF(AF1000&lt;&gt;"",IFERROR(INDEX('Group List B'!B:B,MATCH(AI1000,'Group List B'!A:A,0),0),"-"),"")</f>
        <v/>
      </c>
      <c r="R1000" s="36">
        <f t="shared" si="234"/>
        <v>0</v>
      </c>
      <c r="S1000" s="36">
        <f t="shared" si="235"/>
        <v>0</v>
      </c>
      <c r="T1000" s="36">
        <f t="shared" si="236"/>
        <v>0</v>
      </c>
      <c r="U1000" s="28"/>
      <c r="V1000" s="37">
        <f t="shared" si="237"/>
        <v>0</v>
      </c>
      <c r="W1000" s="41"/>
      <c r="X1000" s="27"/>
      <c r="Y1000" s="27"/>
      <c r="Z1000" s="27"/>
      <c r="AA1000" s="15"/>
      <c r="AB1000" s="17"/>
      <c r="AC1000" s="17"/>
      <c r="AD1000" s="17"/>
      <c r="AE1000" s="90"/>
      <c r="AF1000" s="82" t="str">
        <f t="shared" si="238"/>
        <v/>
      </c>
      <c r="AG1000" s="83" t="str">
        <f t="shared" si="239"/>
        <v/>
      </c>
      <c r="AH1000" s="82" t="str">
        <f t="shared" si="240"/>
        <v/>
      </c>
      <c r="AI1000" s="82" t="str">
        <f t="shared" si="241"/>
        <v/>
      </c>
      <c r="AJ1000" s="90"/>
      <c r="AP1000" s="88"/>
    </row>
    <row r="1001" spans="1:42" x14ac:dyDescent="0.25">
      <c r="A1001" s="2"/>
      <c r="C1001" s="68" t="str" cm="1">
        <f t="array" ref="C1001">IF(AF1001&lt;&gt;"",
IFERROR(INDEX('LaunchPad Markbook'!A:A,MATCH(AH1001,'LaunchPad Markbook'!D:D,0),0),"-"),"")</f>
        <v/>
      </c>
      <c r="D1001" s="27"/>
      <c r="E1001" s="27"/>
      <c r="F1001" s="27"/>
      <c r="G1001" s="14">
        <f>IF(OR(H1001&gt;AB$2,I1001&gt;AC$2,J1001&gt;AD$2,
P1001&gt;1,V1001&gt;1,
L1001&gt;'Group List A'!E$2,M1001&gt;'Group List A'!F$2,N1001&gt;'Group List A'!G$2,
R1001&gt;'Group List B'!E$2,S1001&gt;'Group List B'!F$2,T1001&gt;'Group List B'!G$2),"Exceed",
IF(OR(H1001=AB$2,I1001=AC$2,J1001=AD$2,
P1001=1,V1001=1,
L1001='Group List A'!E$2,M1001='Group List A'!F$2,N1001='Group List A'!G$2,
R1001='Group List B'!E$2,S1001='Group List B'!F$2,T1001='Group List B'!G$2),"Limit",0))</f>
        <v>0</v>
      </c>
      <c r="H1001" s="29">
        <f t="shared" si="227"/>
        <v>0</v>
      </c>
      <c r="I1001" s="29">
        <f t="shared" si="228"/>
        <v>0</v>
      </c>
      <c r="J1001" s="29">
        <f t="shared" si="229"/>
        <v>0</v>
      </c>
      <c r="K1001" s="32" t="str" cm="1">
        <f t="array" ref="K1001">IF(AF1001&lt;&gt;"",IFERROR(INDEX('Group List A'!B:B,MATCH(AI1001,'Group List A'!A:A,0),0),"-"),"")</f>
        <v/>
      </c>
      <c r="L1001" s="33">
        <f t="shared" si="230"/>
        <v>0</v>
      </c>
      <c r="M1001" s="33">
        <f t="shared" si="231"/>
        <v>0</v>
      </c>
      <c r="N1001" s="33">
        <f t="shared" si="232"/>
        <v>0</v>
      </c>
      <c r="O1001" s="28"/>
      <c r="P1001" s="33">
        <f t="shared" si="233"/>
        <v>0</v>
      </c>
      <c r="Q1001" s="35" t="str" cm="1">
        <f t="array" ref="Q1001">IF(AF1001&lt;&gt;"",IFERROR(INDEX('Group List B'!B:B,MATCH(AI1001,'Group List B'!A:A,0),0),"-"),"")</f>
        <v/>
      </c>
      <c r="R1001" s="36">
        <f t="shared" si="234"/>
        <v>0</v>
      </c>
      <c r="S1001" s="36">
        <f t="shared" si="235"/>
        <v>0</v>
      </c>
      <c r="T1001" s="36">
        <f t="shared" si="236"/>
        <v>0</v>
      </c>
      <c r="U1001" s="28"/>
      <c r="V1001" s="37">
        <f t="shared" si="237"/>
        <v>0</v>
      </c>
      <c r="W1001" s="41"/>
      <c r="X1001" s="27"/>
      <c r="Y1001" s="27"/>
      <c r="Z1001" s="27"/>
      <c r="AA1001" s="15"/>
      <c r="AB1001" s="17"/>
      <c r="AC1001" s="17"/>
      <c r="AD1001" s="17"/>
      <c r="AE1001" s="90"/>
      <c r="AF1001" s="82" t="str">
        <f t="shared" si="238"/>
        <v/>
      </c>
      <c r="AG1001" s="83" t="str">
        <f t="shared" si="239"/>
        <v/>
      </c>
      <c r="AH1001" s="82" t="str">
        <f t="shared" si="240"/>
        <v/>
      </c>
      <c r="AI1001" s="82" t="str">
        <f t="shared" si="241"/>
        <v/>
      </c>
      <c r="AJ1001" s="90"/>
      <c r="AP1001" s="88"/>
    </row>
    <row r="1002" spans="1:42" x14ac:dyDescent="0.25">
      <c r="A1002" s="2"/>
      <c r="C1002" s="68" t="str" cm="1">
        <f t="array" ref="C1002">IF(AF1002&lt;&gt;"",
IFERROR(INDEX('LaunchPad Markbook'!A:A,MATCH(AH1002,'LaunchPad Markbook'!D:D,0),0),"-"),"")</f>
        <v/>
      </c>
      <c r="D1002" s="27"/>
      <c r="E1002" s="27"/>
      <c r="F1002" s="27"/>
      <c r="G1002" s="14">
        <f>IF(OR(H1002&gt;AB$2,I1002&gt;AC$2,J1002&gt;AD$2,
P1002&gt;1,V1002&gt;1,
L1002&gt;'Group List A'!E$2,M1002&gt;'Group List A'!F$2,N1002&gt;'Group List A'!G$2,
R1002&gt;'Group List B'!E$2,S1002&gt;'Group List B'!F$2,T1002&gt;'Group List B'!G$2),"Exceed",
IF(OR(H1002=AB$2,I1002=AC$2,J1002=AD$2,
P1002=1,V1002=1,
L1002='Group List A'!E$2,M1002='Group List A'!F$2,N1002='Group List A'!G$2,
R1002='Group List B'!E$2,S1002='Group List B'!F$2,T1002='Group List B'!G$2),"Limit",0))</f>
        <v>0</v>
      </c>
      <c r="H1002" s="29">
        <f t="shared" si="227"/>
        <v>0</v>
      </c>
      <c r="I1002" s="29">
        <f t="shared" si="228"/>
        <v>0</v>
      </c>
      <c r="J1002" s="29">
        <f t="shared" si="229"/>
        <v>0</v>
      </c>
      <c r="K1002" s="32" t="str" cm="1">
        <f t="array" ref="K1002">IF(AF1002&lt;&gt;"",IFERROR(INDEX('Group List A'!B:B,MATCH(AI1002,'Group List A'!A:A,0),0),"-"),"")</f>
        <v/>
      </c>
      <c r="L1002" s="33">
        <f t="shared" si="230"/>
        <v>0</v>
      </c>
      <c r="M1002" s="33">
        <f t="shared" si="231"/>
        <v>0</v>
      </c>
      <c r="N1002" s="33">
        <f t="shared" si="232"/>
        <v>0</v>
      </c>
      <c r="O1002" s="28"/>
      <c r="P1002" s="33">
        <f t="shared" si="233"/>
        <v>0</v>
      </c>
      <c r="Q1002" s="35" t="str" cm="1">
        <f t="array" ref="Q1002">IF(AF1002&lt;&gt;"",IFERROR(INDEX('Group List B'!B:B,MATCH(AI1002,'Group List B'!A:A,0),0),"-"),"")</f>
        <v/>
      </c>
      <c r="R1002" s="36">
        <f t="shared" si="234"/>
        <v>0</v>
      </c>
      <c r="S1002" s="36">
        <f t="shared" si="235"/>
        <v>0</v>
      </c>
      <c r="T1002" s="36">
        <f t="shared" si="236"/>
        <v>0</v>
      </c>
      <c r="U1002" s="28"/>
      <c r="V1002" s="37">
        <f t="shared" si="237"/>
        <v>0</v>
      </c>
      <c r="W1002" s="41"/>
      <c r="X1002" s="27"/>
      <c r="Y1002" s="27"/>
      <c r="Z1002" s="27"/>
      <c r="AA1002" s="15"/>
      <c r="AB1002" s="17"/>
      <c r="AC1002" s="17"/>
      <c r="AD1002" s="17"/>
      <c r="AE1002" s="90"/>
      <c r="AF1002" s="82" t="str">
        <f t="shared" si="238"/>
        <v/>
      </c>
      <c r="AG1002" s="83" t="str">
        <f t="shared" si="239"/>
        <v/>
      </c>
      <c r="AH1002" s="82" t="str">
        <f t="shared" si="240"/>
        <v/>
      </c>
      <c r="AI1002" s="82" t="str">
        <f t="shared" si="241"/>
        <v/>
      </c>
      <c r="AJ1002" s="90"/>
      <c r="AP1002" s="88"/>
    </row>
    <row r="1003" spans="1:42" x14ac:dyDescent="0.25">
      <c r="A1003" s="2"/>
      <c r="C1003" s="68" t="str" cm="1">
        <f t="array" ref="C1003">IF(AF1003&lt;&gt;"",
IFERROR(INDEX('LaunchPad Markbook'!A:A,MATCH(AH1003,'LaunchPad Markbook'!D:D,0),0),"-"),"")</f>
        <v/>
      </c>
      <c r="D1003" s="27"/>
      <c r="E1003" s="27"/>
      <c r="F1003" s="27"/>
      <c r="G1003" s="14">
        <f>IF(OR(H1003&gt;AB$2,I1003&gt;AC$2,J1003&gt;AD$2,
P1003&gt;1,V1003&gt;1,
L1003&gt;'Group List A'!E$2,M1003&gt;'Group List A'!F$2,N1003&gt;'Group List A'!G$2,
R1003&gt;'Group List B'!E$2,S1003&gt;'Group List B'!F$2,T1003&gt;'Group List B'!G$2),"Exceed",
IF(OR(H1003=AB$2,I1003=AC$2,J1003=AD$2,
P1003=1,V1003=1,
L1003='Group List A'!E$2,M1003='Group List A'!F$2,N1003='Group List A'!G$2,
R1003='Group List B'!E$2,S1003='Group List B'!F$2,T1003='Group List B'!G$2),"Limit",0))</f>
        <v>0</v>
      </c>
      <c r="H1003" s="29">
        <f t="shared" si="227"/>
        <v>0</v>
      </c>
      <c r="I1003" s="29">
        <f t="shared" si="228"/>
        <v>0</v>
      </c>
      <c r="J1003" s="29">
        <f t="shared" si="229"/>
        <v>0</v>
      </c>
      <c r="K1003" s="32" t="str" cm="1">
        <f t="array" ref="K1003">IF(AF1003&lt;&gt;"",IFERROR(INDEX('Group List A'!B:B,MATCH(AI1003,'Group List A'!A:A,0),0),"-"),"")</f>
        <v/>
      </c>
      <c r="L1003" s="33">
        <f t="shared" si="230"/>
        <v>0</v>
      </c>
      <c r="M1003" s="33">
        <f t="shared" si="231"/>
        <v>0</v>
      </c>
      <c r="N1003" s="33">
        <f t="shared" si="232"/>
        <v>0</v>
      </c>
      <c r="O1003" s="28"/>
      <c r="P1003" s="33">
        <f t="shared" si="233"/>
        <v>0</v>
      </c>
      <c r="Q1003" s="35" t="str" cm="1">
        <f t="array" ref="Q1003">IF(AF1003&lt;&gt;"",IFERROR(INDEX('Group List B'!B:B,MATCH(AI1003,'Group List B'!A:A,0),0),"-"),"")</f>
        <v/>
      </c>
      <c r="R1003" s="36">
        <f t="shared" si="234"/>
        <v>0</v>
      </c>
      <c r="S1003" s="36">
        <f t="shared" si="235"/>
        <v>0</v>
      </c>
      <c r="T1003" s="36">
        <f t="shared" si="236"/>
        <v>0</v>
      </c>
      <c r="U1003" s="28"/>
      <c r="V1003" s="37">
        <f t="shared" si="237"/>
        <v>0</v>
      </c>
      <c r="W1003" s="41"/>
      <c r="X1003" s="27"/>
      <c r="Y1003" s="27"/>
      <c r="Z1003" s="27"/>
      <c r="AA1003" s="15"/>
      <c r="AB1003" s="17"/>
      <c r="AC1003" s="17"/>
      <c r="AD1003" s="17"/>
      <c r="AE1003" s="90"/>
      <c r="AF1003" s="82" t="str">
        <f t="shared" si="238"/>
        <v/>
      </c>
      <c r="AG1003" s="83" t="str">
        <f t="shared" si="239"/>
        <v/>
      </c>
      <c r="AH1003" s="82" t="str">
        <f t="shared" si="240"/>
        <v/>
      </c>
      <c r="AI1003" s="82" t="str">
        <f t="shared" si="241"/>
        <v/>
      </c>
      <c r="AJ1003" s="90"/>
      <c r="AP1003" s="88"/>
    </row>
    <row r="1004" spans="1:42" x14ac:dyDescent="0.25">
      <c r="A1004" s="2"/>
      <c r="C1004" s="68" t="str" cm="1">
        <f t="array" ref="C1004">IF(AF1004&lt;&gt;"",
IFERROR(INDEX('LaunchPad Markbook'!A:A,MATCH(AH1004,'LaunchPad Markbook'!D:D,0),0),"-"),"")</f>
        <v/>
      </c>
      <c r="D1004" s="27"/>
      <c r="E1004" s="27"/>
      <c r="F1004" s="27"/>
      <c r="G1004" s="14">
        <f>IF(OR(H1004&gt;AB$2,I1004&gt;AC$2,J1004&gt;AD$2,
P1004&gt;1,V1004&gt;1,
L1004&gt;'Group List A'!E$2,M1004&gt;'Group List A'!F$2,N1004&gt;'Group List A'!G$2,
R1004&gt;'Group List B'!E$2,S1004&gt;'Group List B'!F$2,T1004&gt;'Group List B'!G$2),"Exceed",
IF(OR(H1004=AB$2,I1004=AC$2,J1004=AD$2,
P1004=1,V1004=1,
L1004='Group List A'!E$2,M1004='Group List A'!F$2,N1004='Group List A'!G$2,
R1004='Group List B'!E$2,S1004='Group List B'!F$2,T1004='Group List B'!G$2),"Limit",0))</f>
        <v>0</v>
      </c>
      <c r="H1004" s="29">
        <f t="shared" si="227"/>
        <v>0</v>
      </c>
      <c r="I1004" s="29">
        <f t="shared" si="228"/>
        <v>0</v>
      </c>
      <c r="J1004" s="29">
        <f t="shared" si="229"/>
        <v>0</v>
      </c>
      <c r="K1004" s="32" t="str" cm="1">
        <f t="array" ref="K1004">IF(AF1004&lt;&gt;"",IFERROR(INDEX('Group List A'!B:B,MATCH(AI1004,'Group List A'!A:A,0),0),"-"),"")</f>
        <v/>
      </c>
      <c r="L1004" s="33">
        <f t="shared" si="230"/>
        <v>0</v>
      </c>
      <c r="M1004" s="33">
        <f t="shared" si="231"/>
        <v>0</v>
      </c>
      <c r="N1004" s="33">
        <f t="shared" si="232"/>
        <v>0</v>
      </c>
      <c r="O1004" s="28"/>
      <c r="P1004" s="33">
        <f t="shared" si="233"/>
        <v>0</v>
      </c>
      <c r="Q1004" s="35" t="str" cm="1">
        <f t="array" ref="Q1004">IF(AF1004&lt;&gt;"",IFERROR(INDEX('Group List B'!B:B,MATCH(AI1004,'Group List B'!A:A,0),0),"-"),"")</f>
        <v/>
      </c>
      <c r="R1004" s="36">
        <f t="shared" si="234"/>
        <v>0</v>
      </c>
      <c r="S1004" s="36">
        <f t="shared" si="235"/>
        <v>0</v>
      </c>
      <c r="T1004" s="36">
        <f t="shared" si="236"/>
        <v>0</v>
      </c>
      <c r="U1004" s="28"/>
      <c r="V1004" s="37">
        <f t="shared" si="237"/>
        <v>0</v>
      </c>
      <c r="W1004" s="41"/>
      <c r="X1004" s="27"/>
      <c r="Y1004" s="27"/>
      <c r="Z1004" s="27"/>
      <c r="AA1004" s="15"/>
      <c r="AB1004" s="17"/>
      <c r="AC1004" s="17"/>
      <c r="AD1004" s="17"/>
      <c r="AE1004" s="90"/>
      <c r="AF1004" s="82" t="str">
        <f t="shared" si="238"/>
        <v/>
      </c>
      <c r="AG1004" s="83" t="str">
        <f t="shared" si="239"/>
        <v/>
      </c>
      <c r="AH1004" s="82" t="str">
        <f t="shared" si="240"/>
        <v/>
      </c>
      <c r="AI1004" s="82" t="str">
        <f t="shared" si="241"/>
        <v/>
      </c>
      <c r="AJ1004" s="90"/>
      <c r="AP1004" s="88"/>
    </row>
    <row r="1005" spans="1:42" x14ac:dyDescent="0.25">
      <c r="A1005" s="2"/>
      <c r="C1005" s="68" t="str" cm="1">
        <f t="array" ref="C1005">IF(AF1005&lt;&gt;"",
IFERROR(INDEX('LaunchPad Markbook'!A:A,MATCH(AH1005,'LaunchPad Markbook'!D:D,0),0),"-"),"")</f>
        <v/>
      </c>
      <c r="D1005" s="27"/>
      <c r="E1005" s="27"/>
      <c r="F1005" s="27"/>
      <c r="G1005" s="14">
        <f>IF(OR(H1005&gt;AB$2,I1005&gt;AC$2,J1005&gt;AD$2,
P1005&gt;1,V1005&gt;1,
L1005&gt;'Group List A'!E$2,M1005&gt;'Group List A'!F$2,N1005&gt;'Group List A'!G$2,
R1005&gt;'Group List B'!E$2,S1005&gt;'Group List B'!F$2,T1005&gt;'Group List B'!G$2),"Exceed",
IF(OR(H1005=AB$2,I1005=AC$2,J1005=AD$2,
P1005=1,V1005=1,
L1005='Group List A'!E$2,M1005='Group List A'!F$2,N1005='Group List A'!G$2,
R1005='Group List B'!E$2,S1005='Group List B'!F$2,T1005='Group List B'!G$2),"Limit",0))</f>
        <v>0</v>
      </c>
      <c r="H1005" s="29">
        <f t="shared" si="227"/>
        <v>0</v>
      </c>
      <c r="I1005" s="29">
        <f t="shared" si="228"/>
        <v>0</v>
      </c>
      <c r="J1005" s="29">
        <f t="shared" si="229"/>
        <v>0</v>
      </c>
      <c r="K1005" s="32" t="str" cm="1">
        <f t="array" ref="K1005">IF(AF1005&lt;&gt;"",IFERROR(INDEX('Group List A'!B:B,MATCH(AI1005,'Group List A'!A:A,0),0),"-"),"")</f>
        <v/>
      </c>
      <c r="L1005" s="33">
        <f t="shared" si="230"/>
        <v>0</v>
      </c>
      <c r="M1005" s="33">
        <f t="shared" si="231"/>
        <v>0</v>
      </c>
      <c r="N1005" s="33">
        <f t="shared" si="232"/>
        <v>0</v>
      </c>
      <c r="O1005" s="28"/>
      <c r="P1005" s="33">
        <f t="shared" si="233"/>
        <v>0</v>
      </c>
      <c r="Q1005" s="35" t="str" cm="1">
        <f t="array" ref="Q1005">IF(AF1005&lt;&gt;"",IFERROR(INDEX('Group List B'!B:B,MATCH(AI1005,'Group List B'!A:A,0),0),"-"),"")</f>
        <v/>
      </c>
      <c r="R1005" s="36">
        <f t="shared" si="234"/>
        <v>0</v>
      </c>
      <c r="S1005" s="36">
        <f t="shared" si="235"/>
        <v>0</v>
      </c>
      <c r="T1005" s="36">
        <f t="shared" si="236"/>
        <v>0</v>
      </c>
      <c r="U1005" s="28"/>
      <c r="V1005" s="37">
        <f t="shared" si="237"/>
        <v>0</v>
      </c>
      <c r="W1005" s="41"/>
      <c r="X1005" s="27"/>
      <c r="Y1005" s="27"/>
      <c r="Z1005" s="27"/>
      <c r="AA1005" s="15"/>
      <c r="AB1005" s="17"/>
      <c r="AC1005" s="17"/>
      <c r="AD1005" s="17"/>
      <c r="AE1005" s="90"/>
      <c r="AF1005" s="82" t="str">
        <f t="shared" si="238"/>
        <v/>
      </c>
      <c r="AG1005" s="83" t="str">
        <f t="shared" si="239"/>
        <v/>
      </c>
      <c r="AH1005" s="82" t="str">
        <f t="shared" si="240"/>
        <v/>
      </c>
      <c r="AI1005" s="82" t="str">
        <f t="shared" si="241"/>
        <v/>
      </c>
      <c r="AJ1005" s="90"/>
      <c r="AP1005" s="88"/>
    </row>
    <row r="1006" spans="1:42" x14ac:dyDescent="0.25">
      <c r="A1006" s="2"/>
      <c r="C1006" s="68" t="str" cm="1">
        <f t="array" ref="C1006">IF(AF1006&lt;&gt;"",
IFERROR(INDEX('LaunchPad Markbook'!A:A,MATCH(AH1006,'LaunchPad Markbook'!D:D,0),0),"-"),"")</f>
        <v/>
      </c>
      <c r="D1006" s="27"/>
      <c r="E1006" s="27"/>
      <c r="F1006" s="27"/>
      <c r="G1006" s="14">
        <f>IF(OR(H1006&gt;AB$2,I1006&gt;AC$2,J1006&gt;AD$2,
P1006&gt;1,V1006&gt;1,
L1006&gt;'Group List A'!E$2,M1006&gt;'Group List A'!F$2,N1006&gt;'Group List A'!G$2,
R1006&gt;'Group List B'!E$2,S1006&gt;'Group List B'!F$2,T1006&gt;'Group List B'!G$2),"Exceed",
IF(OR(H1006=AB$2,I1006=AC$2,J1006=AD$2,
P1006=1,V1006=1,
L1006='Group List A'!E$2,M1006='Group List A'!F$2,N1006='Group List A'!G$2,
R1006='Group List B'!E$2,S1006='Group List B'!F$2,T1006='Group List B'!G$2),"Limit",0))</f>
        <v>0</v>
      </c>
      <c r="H1006" s="29">
        <f t="shared" si="227"/>
        <v>0</v>
      </c>
      <c r="I1006" s="29">
        <f t="shared" si="228"/>
        <v>0</v>
      </c>
      <c r="J1006" s="29">
        <f t="shared" si="229"/>
        <v>0</v>
      </c>
      <c r="K1006" s="32" t="str" cm="1">
        <f t="array" ref="K1006">IF(AF1006&lt;&gt;"",IFERROR(INDEX('Group List A'!B:B,MATCH(AI1006,'Group List A'!A:A,0),0),"-"),"")</f>
        <v/>
      </c>
      <c r="L1006" s="33">
        <f t="shared" si="230"/>
        <v>0</v>
      </c>
      <c r="M1006" s="33">
        <f t="shared" si="231"/>
        <v>0</v>
      </c>
      <c r="N1006" s="33">
        <f t="shared" si="232"/>
        <v>0</v>
      </c>
      <c r="O1006" s="28"/>
      <c r="P1006" s="33">
        <f t="shared" si="233"/>
        <v>0</v>
      </c>
      <c r="Q1006" s="35" t="str" cm="1">
        <f t="array" ref="Q1006">IF(AF1006&lt;&gt;"",IFERROR(INDEX('Group List B'!B:B,MATCH(AI1006,'Group List B'!A:A,0),0),"-"),"")</f>
        <v/>
      </c>
      <c r="R1006" s="36">
        <f t="shared" si="234"/>
        <v>0</v>
      </c>
      <c r="S1006" s="36">
        <f t="shared" si="235"/>
        <v>0</v>
      </c>
      <c r="T1006" s="36">
        <f t="shared" si="236"/>
        <v>0</v>
      </c>
      <c r="U1006" s="28"/>
      <c r="V1006" s="37">
        <f t="shared" si="237"/>
        <v>0</v>
      </c>
      <c r="W1006" s="41"/>
      <c r="X1006" s="27"/>
      <c r="Y1006" s="27"/>
      <c r="Z1006" s="27"/>
      <c r="AA1006" s="15"/>
      <c r="AB1006" s="17"/>
      <c r="AC1006" s="17"/>
      <c r="AD1006" s="17"/>
      <c r="AE1006" s="90"/>
      <c r="AF1006" s="82" t="str">
        <f t="shared" si="238"/>
        <v/>
      </c>
      <c r="AG1006" s="83" t="str">
        <f t="shared" si="239"/>
        <v/>
      </c>
      <c r="AH1006" s="82" t="str">
        <f t="shared" si="240"/>
        <v/>
      </c>
      <c r="AI1006" s="82" t="str">
        <f t="shared" si="241"/>
        <v/>
      </c>
      <c r="AJ1006" s="90"/>
      <c r="AP1006" s="88"/>
    </row>
    <row r="1007" spans="1:42" x14ac:dyDescent="0.25">
      <c r="A1007" s="2"/>
      <c r="C1007" s="68" t="str" cm="1">
        <f t="array" ref="C1007">IF(AF1007&lt;&gt;"",
IFERROR(INDEX('LaunchPad Markbook'!A:A,MATCH(AH1007,'LaunchPad Markbook'!D:D,0),0),"-"),"")</f>
        <v/>
      </c>
      <c r="D1007" s="27"/>
      <c r="E1007" s="27"/>
      <c r="F1007" s="27"/>
      <c r="G1007" s="14">
        <f>IF(OR(H1007&gt;AB$2,I1007&gt;AC$2,J1007&gt;AD$2,
P1007&gt;1,V1007&gt;1,
L1007&gt;'Group List A'!E$2,M1007&gt;'Group List A'!F$2,N1007&gt;'Group List A'!G$2,
R1007&gt;'Group List B'!E$2,S1007&gt;'Group List B'!F$2,T1007&gt;'Group List B'!G$2),"Exceed",
IF(OR(H1007=AB$2,I1007=AC$2,J1007=AD$2,
P1007=1,V1007=1,
L1007='Group List A'!E$2,M1007='Group List A'!F$2,N1007='Group List A'!G$2,
R1007='Group List B'!E$2,S1007='Group List B'!F$2,T1007='Group List B'!G$2),"Limit",0))</f>
        <v>0</v>
      </c>
      <c r="H1007" s="29">
        <f t="shared" si="227"/>
        <v>0</v>
      </c>
      <c r="I1007" s="29">
        <f t="shared" si="228"/>
        <v>0</v>
      </c>
      <c r="J1007" s="29">
        <f t="shared" si="229"/>
        <v>0</v>
      </c>
      <c r="K1007" s="32" t="str" cm="1">
        <f t="array" ref="K1007">IF(AF1007&lt;&gt;"",IFERROR(INDEX('Group List A'!B:B,MATCH(AI1007,'Group List A'!A:A,0),0),"-"),"")</f>
        <v/>
      </c>
      <c r="L1007" s="33">
        <f t="shared" si="230"/>
        <v>0</v>
      </c>
      <c r="M1007" s="33">
        <f t="shared" si="231"/>
        <v>0</v>
      </c>
      <c r="N1007" s="33">
        <f t="shared" si="232"/>
        <v>0</v>
      </c>
      <c r="O1007" s="28"/>
      <c r="P1007" s="33">
        <f t="shared" si="233"/>
        <v>0</v>
      </c>
      <c r="Q1007" s="35" t="str" cm="1">
        <f t="array" ref="Q1007">IF(AF1007&lt;&gt;"",IFERROR(INDEX('Group List B'!B:B,MATCH(AI1007,'Group List B'!A:A,0),0),"-"),"")</f>
        <v/>
      </c>
      <c r="R1007" s="36">
        <f t="shared" si="234"/>
        <v>0</v>
      </c>
      <c r="S1007" s="36">
        <f t="shared" si="235"/>
        <v>0</v>
      </c>
      <c r="T1007" s="36">
        <f t="shared" si="236"/>
        <v>0</v>
      </c>
      <c r="U1007" s="28"/>
      <c r="V1007" s="37">
        <f t="shared" si="237"/>
        <v>0</v>
      </c>
      <c r="W1007" s="41"/>
      <c r="X1007" s="27"/>
      <c r="Y1007" s="27"/>
      <c r="Z1007" s="27"/>
      <c r="AA1007" s="15"/>
      <c r="AB1007" s="17"/>
      <c r="AC1007" s="17"/>
      <c r="AD1007" s="17"/>
      <c r="AE1007" s="90"/>
      <c r="AF1007" s="82" t="str">
        <f t="shared" si="238"/>
        <v/>
      </c>
      <c r="AG1007" s="83" t="str">
        <f t="shared" si="239"/>
        <v/>
      </c>
      <c r="AH1007" s="82" t="str">
        <f t="shared" si="240"/>
        <v/>
      </c>
      <c r="AI1007" s="82" t="str">
        <f t="shared" si="241"/>
        <v/>
      </c>
      <c r="AJ1007" s="90"/>
      <c r="AP1007" s="88"/>
    </row>
    <row r="1008" spans="1:42" x14ac:dyDescent="0.25">
      <c r="A1008" s="2"/>
      <c r="C1008" s="68" t="str" cm="1">
        <f t="array" ref="C1008">IF(AF1008&lt;&gt;"",
IFERROR(INDEX('LaunchPad Markbook'!A:A,MATCH(AH1008,'LaunchPad Markbook'!D:D,0),0),"-"),"")</f>
        <v/>
      </c>
      <c r="D1008" s="27"/>
      <c r="E1008" s="27"/>
      <c r="F1008" s="27"/>
      <c r="G1008" s="14">
        <f>IF(OR(H1008&gt;AB$2,I1008&gt;AC$2,J1008&gt;AD$2,
P1008&gt;1,V1008&gt;1,
L1008&gt;'Group List A'!E$2,M1008&gt;'Group List A'!F$2,N1008&gt;'Group List A'!G$2,
R1008&gt;'Group List B'!E$2,S1008&gt;'Group List B'!F$2,T1008&gt;'Group List B'!G$2),"Exceed",
IF(OR(H1008=AB$2,I1008=AC$2,J1008=AD$2,
P1008=1,V1008=1,
L1008='Group List A'!E$2,M1008='Group List A'!F$2,N1008='Group List A'!G$2,
R1008='Group List B'!E$2,S1008='Group List B'!F$2,T1008='Group List B'!G$2),"Limit",0))</f>
        <v>0</v>
      </c>
      <c r="H1008" s="29">
        <f t="shared" si="227"/>
        <v>0</v>
      </c>
      <c r="I1008" s="29">
        <f t="shared" si="228"/>
        <v>0</v>
      </c>
      <c r="J1008" s="29">
        <f t="shared" si="229"/>
        <v>0</v>
      </c>
      <c r="K1008" s="32" t="str" cm="1">
        <f t="array" ref="K1008">IF(AF1008&lt;&gt;"",IFERROR(INDEX('Group List A'!B:B,MATCH(AI1008,'Group List A'!A:A,0),0),"-"),"")</f>
        <v/>
      </c>
      <c r="L1008" s="33">
        <f t="shared" si="230"/>
        <v>0</v>
      </c>
      <c r="M1008" s="33">
        <f t="shared" si="231"/>
        <v>0</v>
      </c>
      <c r="N1008" s="33">
        <f t="shared" si="232"/>
        <v>0</v>
      </c>
      <c r="O1008" s="28"/>
      <c r="P1008" s="33">
        <f t="shared" si="233"/>
        <v>0</v>
      </c>
      <c r="Q1008" s="35" t="str" cm="1">
        <f t="array" ref="Q1008">IF(AF1008&lt;&gt;"",IFERROR(INDEX('Group List B'!B:B,MATCH(AI1008,'Group List B'!A:A,0),0),"-"),"")</f>
        <v/>
      </c>
      <c r="R1008" s="36">
        <f t="shared" si="234"/>
        <v>0</v>
      </c>
      <c r="S1008" s="36">
        <f t="shared" si="235"/>
        <v>0</v>
      </c>
      <c r="T1008" s="36">
        <f t="shared" si="236"/>
        <v>0</v>
      </c>
      <c r="U1008" s="28"/>
      <c r="V1008" s="37">
        <f t="shared" si="237"/>
        <v>0</v>
      </c>
      <c r="W1008" s="41"/>
      <c r="X1008" s="27"/>
      <c r="Y1008" s="27"/>
      <c r="Z1008" s="27"/>
      <c r="AA1008" s="15"/>
      <c r="AB1008" s="17"/>
      <c r="AC1008" s="17"/>
      <c r="AD1008" s="17"/>
      <c r="AE1008" s="90"/>
      <c r="AF1008" s="82" t="str">
        <f t="shared" si="238"/>
        <v/>
      </c>
      <c r="AG1008" s="83" t="str">
        <f t="shared" si="239"/>
        <v/>
      </c>
      <c r="AH1008" s="82" t="str">
        <f t="shared" si="240"/>
        <v/>
      </c>
      <c r="AI1008" s="82" t="str">
        <f t="shared" si="241"/>
        <v/>
      </c>
      <c r="AJ1008" s="90"/>
      <c r="AP1008" s="88"/>
    </row>
    <row r="1009" spans="1:42" x14ac:dyDescent="0.25">
      <c r="A1009" s="2"/>
      <c r="C1009" s="68" t="str" cm="1">
        <f t="array" ref="C1009">IF(AF1009&lt;&gt;"",
IFERROR(INDEX('LaunchPad Markbook'!A:A,MATCH(AH1009,'LaunchPad Markbook'!D:D,0),0),"-"),"")</f>
        <v/>
      </c>
      <c r="D1009" s="27"/>
      <c r="E1009" s="27"/>
      <c r="F1009" s="27"/>
      <c r="G1009" s="14">
        <f>IF(OR(H1009&gt;AB$2,I1009&gt;AC$2,J1009&gt;AD$2,
P1009&gt;1,V1009&gt;1,
L1009&gt;'Group List A'!E$2,M1009&gt;'Group List A'!F$2,N1009&gt;'Group List A'!G$2,
R1009&gt;'Group List B'!E$2,S1009&gt;'Group List B'!F$2,T1009&gt;'Group List B'!G$2),"Exceed",
IF(OR(H1009=AB$2,I1009=AC$2,J1009=AD$2,
P1009=1,V1009=1,
L1009='Group List A'!E$2,M1009='Group List A'!F$2,N1009='Group List A'!G$2,
R1009='Group List B'!E$2,S1009='Group List B'!F$2,T1009='Group List B'!G$2),"Limit",0))</f>
        <v>0</v>
      </c>
      <c r="H1009" s="29">
        <f t="shared" si="227"/>
        <v>0</v>
      </c>
      <c r="I1009" s="29">
        <f t="shared" si="228"/>
        <v>0</v>
      </c>
      <c r="J1009" s="29">
        <f t="shared" si="229"/>
        <v>0</v>
      </c>
      <c r="K1009" s="32" t="str" cm="1">
        <f t="array" ref="K1009">IF(AF1009&lt;&gt;"",IFERROR(INDEX('Group List A'!B:B,MATCH(AI1009,'Group List A'!A:A,0),0),"-"),"")</f>
        <v/>
      </c>
      <c r="L1009" s="33">
        <f t="shared" si="230"/>
        <v>0</v>
      </c>
      <c r="M1009" s="33">
        <f t="shared" si="231"/>
        <v>0</v>
      </c>
      <c r="N1009" s="33">
        <f t="shared" si="232"/>
        <v>0</v>
      </c>
      <c r="O1009" s="28"/>
      <c r="P1009" s="33">
        <f t="shared" si="233"/>
        <v>0</v>
      </c>
      <c r="Q1009" s="35" t="str" cm="1">
        <f t="array" ref="Q1009">IF(AF1009&lt;&gt;"",IFERROR(INDEX('Group List B'!B:B,MATCH(AI1009,'Group List B'!A:A,0),0),"-"),"")</f>
        <v/>
      </c>
      <c r="R1009" s="36">
        <f t="shared" si="234"/>
        <v>0</v>
      </c>
      <c r="S1009" s="36">
        <f t="shared" si="235"/>
        <v>0</v>
      </c>
      <c r="T1009" s="36">
        <f t="shared" si="236"/>
        <v>0</v>
      </c>
      <c r="U1009" s="28"/>
      <c r="V1009" s="37">
        <f t="shared" si="237"/>
        <v>0</v>
      </c>
      <c r="W1009" s="41"/>
      <c r="X1009" s="27"/>
      <c r="Y1009" s="27"/>
      <c r="Z1009" s="27"/>
      <c r="AA1009" s="15"/>
      <c r="AB1009" s="17"/>
      <c r="AC1009" s="17"/>
      <c r="AD1009" s="17"/>
      <c r="AE1009" s="90"/>
      <c r="AF1009" s="82" t="str">
        <f t="shared" si="238"/>
        <v/>
      </c>
      <c r="AG1009" s="83" t="str">
        <f t="shared" si="239"/>
        <v/>
      </c>
      <c r="AH1009" s="82" t="str">
        <f t="shared" si="240"/>
        <v/>
      </c>
      <c r="AI1009" s="82" t="str">
        <f t="shared" si="241"/>
        <v/>
      </c>
      <c r="AJ1009" s="90"/>
      <c r="AP1009" s="88"/>
    </row>
    <row r="1010" spans="1:42" x14ac:dyDescent="0.25">
      <c r="A1010" s="2"/>
      <c r="C1010" s="68" t="str" cm="1">
        <f t="array" ref="C1010">IF(AF1010&lt;&gt;"",
IFERROR(INDEX('LaunchPad Markbook'!A:A,MATCH(AH1010,'LaunchPad Markbook'!D:D,0),0),"-"),"")</f>
        <v/>
      </c>
      <c r="D1010" s="27"/>
      <c r="E1010" s="27"/>
      <c r="F1010" s="27"/>
      <c r="G1010" s="14">
        <f>IF(OR(H1010&gt;AB$2,I1010&gt;AC$2,J1010&gt;AD$2,
P1010&gt;1,V1010&gt;1,
L1010&gt;'Group List A'!E$2,M1010&gt;'Group List A'!F$2,N1010&gt;'Group List A'!G$2,
R1010&gt;'Group List B'!E$2,S1010&gt;'Group List B'!F$2,T1010&gt;'Group List B'!G$2),"Exceed",
IF(OR(H1010=AB$2,I1010=AC$2,J1010=AD$2,
P1010=1,V1010=1,
L1010='Group List A'!E$2,M1010='Group List A'!F$2,N1010='Group List A'!G$2,
R1010='Group List B'!E$2,S1010='Group List B'!F$2,T1010='Group List B'!G$2),"Limit",0))</f>
        <v>0</v>
      </c>
      <c r="H1010" s="29">
        <f t="shared" si="227"/>
        <v>0</v>
      </c>
      <c r="I1010" s="29">
        <f t="shared" si="228"/>
        <v>0</v>
      </c>
      <c r="J1010" s="29">
        <f t="shared" si="229"/>
        <v>0</v>
      </c>
      <c r="K1010" s="32" t="str" cm="1">
        <f t="array" ref="K1010">IF(AF1010&lt;&gt;"",IFERROR(INDEX('Group List A'!B:B,MATCH(AI1010,'Group List A'!A:A,0),0),"-"),"")</f>
        <v/>
      </c>
      <c r="L1010" s="33">
        <f t="shared" si="230"/>
        <v>0</v>
      </c>
      <c r="M1010" s="33">
        <f t="shared" si="231"/>
        <v>0</v>
      </c>
      <c r="N1010" s="33">
        <f t="shared" si="232"/>
        <v>0</v>
      </c>
      <c r="O1010" s="28"/>
      <c r="P1010" s="33">
        <f t="shared" si="233"/>
        <v>0</v>
      </c>
      <c r="Q1010" s="35" t="str" cm="1">
        <f t="array" ref="Q1010">IF(AF1010&lt;&gt;"",IFERROR(INDEX('Group List B'!B:B,MATCH(AI1010,'Group List B'!A:A,0),0),"-"),"")</f>
        <v/>
      </c>
      <c r="R1010" s="36">
        <f t="shared" si="234"/>
        <v>0</v>
      </c>
      <c r="S1010" s="36">
        <f t="shared" si="235"/>
        <v>0</v>
      </c>
      <c r="T1010" s="36">
        <f t="shared" si="236"/>
        <v>0</v>
      </c>
      <c r="U1010" s="28"/>
      <c r="V1010" s="37">
        <f t="shared" si="237"/>
        <v>0</v>
      </c>
      <c r="W1010" s="41"/>
      <c r="X1010" s="27"/>
      <c r="Y1010" s="27"/>
      <c r="Z1010" s="27"/>
      <c r="AA1010" s="15"/>
      <c r="AB1010" s="17"/>
      <c r="AC1010" s="17"/>
      <c r="AD1010" s="17"/>
      <c r="AE1010" s="90"/>
      <c r="AF1010" s="82" t="str">
        <f t="shared" si="238"/>
        <v/>
      </c>
      <c r="AG1010" s="83" t="str">
        <f t="shared" si="239"/>
        <v/>
      </c>
      <c r="AH1010" s="82" t="str">
        <f t="shared" si="240"/>
        <v/>
      </c>
      <c r="AI1010" s="82" t="str">
        <f t="shared" si="241"/>
        <v/>
      </c>
      <c r="AJ1010" s="90"/>
      <c r="AP1010" s="88"/>
    </row>
    <row r="1011" spans="1:42" x14ac:dyDescent="0.25">
      <c r="A1011" s="2"/>
      <c r="C1011" s="68" t="str" cm="1">
        <f t="array" ref="C1011">IF(AF1011&lt;&gt;"",
IFERROR(INDEX('LaunchPad Markbook'!A:A,MATCH(AH1011,'LaunchPad Markbook'!D:D,0),0),"-"),"")</f>
        <v/>
      </c>
      <c r="D1011" s="27"/>
      <c r="E1011" s="27"/>
      <c r="F1011" s="27"/>
      <c r="G1011" s="14">
        <f>IF(OR(H1011&gt;AB$2,I1011&gt;AC$2,J1011&gt;AD$2,
P1011&gt;1,V1011&gt;1,
L1011&gt;'Group List A'!E$2,M1011&gt;'Group List A'!F$2,N1011&gt;'Group List A'!G$2,
R1011&gt;'Group List B'!E$2,S1011&gt;'Group List B'!F$2,T1011&gt;'Group List B'!G$2),"Exceed",
IF(OR(H1011=AB$2,I1011=AC$2,J1011=AD$2,
P1011=1,V1011=1,
L1011='Group List A'!E$2,M1011='Group List A'!F$2,N1011='Group List A'!G$2,
R1011='Group List B'!E$2,S1011='Group List B'!F$2,T1011='Group List B'!G$2),"Limit",0))</f>
        <v>0</v>
      </c>
      <c r="H1011" s="29">
        <f t="shared" si="227"/>
        <v>0</v>
      </c>
      <c r="I1011" s="29">
        <f t="shared" si="228"/>
        <v>0</v>
      </c>
      <c r="J1011" s="29">
        <f t="shared" si="229"/>
        <v>0</v>
      </c>
      <c r="K1011" s="32" t="str" cm="1">
        <f t="array" ref="K1011">IF(AF1011&lt;&gt;"",IFERROR(INDEX('Group List A'!B:B,MATCH(AI1011,'Group List A'!A:A,0),0),"-"),"")</f>
        <v/>
      </c>
      <c r="L1011" s="33">
        <f t="shared" si="230"/>
        <v>0</v>
      </c>
      <c r="M1011" s="33">
        <f t="shared" si="231"/>
        <v>0</v>
      </c>
      <c r="N1011" s="33">
        <f t="shared" si="232"/>
        <v>0</v>
      </c>
      <c r="O1011" s="28"/>
      <c r="P1011" s="33">
        <f t="shared" si="233"/>
        <v>0</v>
      </c>
      <c r="Q1011" s="35" t="str" cm="1">
        <f t="array" ref="Q1011">IF(AF1011&lt;&gt;"",IFERROR(INDEX('Group List B'!B:B,MATCH(AI1011,'Group List B'!A:A,0),0),"-"),"")</f>
        <v/>
      </c>
      <c r="R1011" s="36">
        <f t="shared" si="234"/>
        <v>0</v>
      </c>
      <c r="S1011" s="36">
        <f t="shared" si="235"/>
        <v>0</v>
      </c>
      <c r="T1011" s="36">
        <f t="shared" si="236"/>
        <v>0</v>
      </c>
      <c r="U1011" s="28"/>
      <c r="V1011" s="37">
        <f t="shared" si="237"/>
        <v>0</v>
      </c>
      <c r="W1011" s="41"/>
      <c r="X1011" s="27"/>
      <c r="Y1011" s="27"/>
      <c r="Z1011" s="27"/>
      <c r="AA1011" s="15"/>
      <c r="AB1011" s="17"/>
      <c r="AC1011" s="17"/>
      <c r="AD1011" s="17"/>
      <c r="AE1011" s="90"/>
      <c r="AF1011" s="82" t="str">
        <f t="shared" si="238"/>
        <v/>
      </c>
      <c r="AG1011" s="83" t="str">
        <f t="shared" si="239"/>
        <v/>
      </c>
      <c r="AH1011" s="82" t="str">
        <f t="shared" si="240"/>
        <v/>
      </c>
      <c r="AI1011" s="82" t="str">
        <f t="shared" si="241"/>
        <v/>
      </c>
      <c r="AJ1011" s="90"/>
      <c r="AP1011" s="88"/>
    </row>
    <row r="1012" spans="1:42" x14ac:dyDescent="0.25">
      <c r="A1012" s="2"/>
      <c r="C1012" s="68" t="str" cm="1">
        <f t="array" ref="C1012">IF(AF1012&lt;&gt;"",
IFERROR(INDEX('LaunchPad Markbook'!A:A,MATCH(AH1012,'LaunchPad Markbook'!D:D,0),0),"-"),"")</f>
        <v/>
      </c>
      <c r="D1012" s="27"/>
      <c r="E1012" s="27"/>
      <c r="F1012" s="27"/>
      <c r="G1012" s="14">
        <f>IF(OR(H1012&gt;AB$2,I1012&gt;AC$2,J1012&gt;AD$2,
P1012&gt;1,V1012&gt;1,
L1012&gt;'Group List A'!E$2,M1012&gt;'Group List A'!F$2,N1012&gt;'Group List A'!G$2,
R1012&gt;'Group List B'!E$2,S1012&gt;'Group List B'!F$2,T1012&gt;'Group List B'!G$2),"Exceed",
IF(OR(H1012=AB$2,I1012=AC$2,J1012=AD$2,
P1012=1,V1012=1,
L1012='Group List A'!E$2,M1012='Group List A'!F$2,N1012='Group List A'!G$2,
R1012='Group List B'!E$2,S1012='Group List B'!F$2,T1012='Group List B'!G$2),"Limit",0))</f>
        <v>0</v>
      </c>
      <c r="H1012" s="29">
        <f t="shared" si="227"/>
        <v>0</v>
      </c>
      <c r="I1012" s="29">
        <f t="shared" si="228"/>
        <v>0</v>
      </c>
      <c r="J1012" s="29">
        <f t="shared" si="229"/>
        <v>0</v>
      </c>
      <c r="K1012" s="32" t="str" cm="1">
        <f t="array" ref="K1012">IF(AF1012&lt;&gt;"",IFERROR(INDEX('Group List A'!B:B,MATCH(AI1012,'Group List A'!A:A,0),0),"-"),"")</f>
        <v/>
      </c>
      <c r="L1012" s="33">
        <f t="shared" si="230"/>
        <v>0</v>
      </c>
      <c r="M1012" s="33">
        <f t="shared" si="231"/>
        <v>0</v>
      </c>
      <c r="N1012" s="33">
        <f t="shared" si="232"/>
        <v>0</v>
      </c>
      <c r="O1012" s="28"/>
      <c r="P1012" s="33">
        <f t="shared" si="233"/>
        <v>0</v>
      </c>
      <c r="Q1012" s="35" t="str" cm="1">
        <f t="array" ref="Q1012">IF(AF1012&lt;&gt;"",IFERROR(INDEX('Group List B'!B:B,MATCH(AI1012,'Group List B'!A:A,0),0),"-"),"")</f>
        <v/>
      </c>
      <c r="R1012" s="36">
        <f t="shared" si="234"/>
        <v>0</v>
      </c>
      <c r="S1012" s="36">
        <f t="shared" si="235"/>
        <v>0</v>
      </c>
      <c r="T1012" s="36">
        <f t="shared" si="236"/>
        <v>0</v>
      </c>
      <c r="U1012" s="28"/>
      <c r="V1012" s="37">
        <f t="shared" si="237"/>
        <v>0</v>
      </c>
      <c r="W1012" s="41"/>
      <c r="X1012" s="27"/>
      <c r="Y1012" s="27"/>
      <c r="Z1012" s="27"/>
      <c r="AA1012" s="15"/>
      <c r="AB1012" s="17"/>
      <c r="AC1012" s="17"/>
      <c r="AD1012" s="17"/>
      <c r="AE1012" s="90"/>
      <c r="AF1012" s="82" t="str">
        <f t="shared" si="238"/>
        <v/>
      </c>
      <c r="AG1012" s="83" t="str">
        <f t="shared" si="239"/>
        <v/>
      </c>
      <c r="AH1012" s="82" t="str">
        <f t="shared" si="240"/>
        <v/>
      </c>
      <c r="AI1012" s="82" t="str">
        <f t="shared" si="241"/>
        <v/>
      </c>
      <c r="AJ1012" s="90"/>
      <c r="AP1012" s="88"/>
    </row>
    <row r="1013" spans="1:42" x14ac:dyDescent="0.25">
      <c r="A1013" s="2"/>
      <c r="C1013" s="68" t="str" cm="1">
        <f t="array" ref="C1013">IF(AF1013&lt;&gt;"",
IFERROR(INDEX('LaunchPad Markbook'!A:A,MATCH(AH1013,'LaunchPad Markbook'!D:D,0),0),"-"),"")</f>
        <v/>
      </c>
      <c r="D1013" s="27"/>
      <c r="E1013" s="27"/>
      <c r="F1013" s="27"/>
      <c r="G1013" s="14">
        <f>IF(OR(H1013&gt;AB$2,I1013&gt;AC$2,J1013&gt;AD$2,
P1013&gt;1,V1013&gt;1,
L1013&gt;'Group List A'!E$2,M1013&gt;'Group List A'!F$2,N1013&gt;'Group List A'!G$2,
R1013&gt;'Group List B'!E$2,S1013&gt;'Group List B'!F$2,T1013&gt;'Group List B'!G$2),"Exceed",
IF(OR(H1013=AB$2,I1013=AC$2,J1013=AD$2,
P1013=1,V1013=1,
L1013='Group List A'!E$2,M1013='Group List A'!F$2,N1013='Group List A'!G$2,
R1013='Group List B'!E$2,S1013='Group List B'!F$2,T1013='Group List B'!G$2),"Limit",0))</f>
        <v>0</v>
      </c>
      <c r="H1013" s="29">
        <f t="shared" si="227"/>
        <v>0</v>
      </c>
      <c r="I1013" s="29">
        <f t="shared" si="228"/>
        <v>0</v>
      </c>
      <c r="J1013" s="29">
        <f t="shared" si="229"/>
        <v>0</v>
      </c>
      <c r="K1013" s="32" t="str" cm="1">
        <f t="array" ref="K1013">IF(AF1013&lt;&gt;"",IFERROR(INDEX('Group List A'!B:B,MATCH(AI1013,'Group List A'!A:A,0),0),"-"),"")</f>
        <v/>
      </c>
      <c r="L1013" s="33">
        <f t="shared" si="230"/>
        <v>0</v>
      </c>
      <c r="M1013" s="33">
        <f t="shared" si="231"/>
        <v>0</v>
      </c>
      <c r="N1013" s="33">
        <f t="shared" si="232"/>
        <v>0</v>
      </c>
      <c r="O1013" s="28"/>
      <c r="P1013" s="33">
        <f t="shared" si="233"/>
        <v>0</v>
      </c>
      <c r="Q1013" s="35" t="str" cm="1">
        <f t="array" ref="Q1013">IF(AF1013&lt;&gt;"",IFERROR(INDEX('Group List B'!B:B,MATCH(AI1013,'Group List B'!A:A,0),0),"-"),"")</f>
        <v/>
      </c>
      <c r="R1013" s="36">
        <f t="shared" si="234"/>
        <v>0</v>
      </c>
      <c r="S1013" s="36">
        <f t="shared" si="235"/>
        <v>0</v>
      </c>
      <c r="T1013" s="36">
        <f t="shared" si="236"/>
        <v>0</v>
      </c>
      <c r="U1013" s="28"/>
      <c r="V1013" s="37">
        <f t="shared" si="237"/>
        <v>0</v>
      </c>
      <c r="W1013" s="41"/>
      <c r="X1013" s="27"/>
      <c r="Y1013" s="27"/>
      <c r="Z1013" s="27"/>
      <c r="AA1013" s="15"/>
      <c r="AB1013" s="17"/>
      <c r="AC1013" s="17"/>
      <c r="AD1013" s="17"/>
      <c r="AE1013" s="90"/>
      <c r="AF1013" s="82" t="str">
        <f t="shared" si="238"/>
        <v/>
      </c>
      <c r="AG1013" s="83" t="str">
        <f t="shared" si="239"/>
        <v/>
      </c>
      <c r="AH1013" s="82" t="str">
        <f t="shared" si="240"/>
        <v/>
      </c>
      <c r="AI1013" s="82" t="str">
        <f t="shared" si="241"/>
        <v/>
      </c>
      <c r="AJ1013" s="90"/>
      <c r="AP1013" s="88"/>
    </row>
    <row r="1014" spans="1:42" x14ac:dyDescent="0.25">
      <c r="A1014" s="2"/>
      <c r="C1014" s="68" t="str" cm="1">
        <f t="array" ref="C1014">IF(AF1014&lt;&gt;"",
IFERROR(INDEX('LaunchPad Markbook'!A:A,MATCH(AH1014,'LaunchPad Markbook'!D:D,0),0),"-"),"")</f>
        <v/>
      </c>
      <c r="D1014" s="27"/>
      <c r="E1014" s="27"/>
      <c r="F1014" s="27"/>
      <c r="G1014" s="14">
        <f>IF(OR(H1014&gt;AB$2,I1014&gt;AC$2,J1014&gt;AD$2,
P1014&gt;1,V1014&gt;1,
L1014&gt;'Group List A'!E$2,M1014&gt;'Group List A'!F$2,N1014&gt;'Group List A'!G$2,
R1014&gt;'Group List B'!E$2,S1014&gt;'Group List B'!F$2,T1014&gt;'Group List B'!G$2),"Exceed",
IF(OR(H1014=AB$2,I1014=AC$2,J1014=AD$2,
P1014=1,V1014=1,
L1014='Group List A'!E$2,M1014='Group List A'!F$2,N1014='Group List A'!G$2,
R1014='Group List B'!E$2,S1014='Group List B'!F$2,T1014='Group List B'!G$2),"Limit",0))</f>
        <v>0</v>
      </c>
      <c r="H1014" s="29">
        <f t="shared" si="227"/>
        <v>0</v>
      </c>
      <c r="I1014" s="29">
        <f t="shared" si="228"/>
        <v>0</v>
      </c>
      <c r="J1014" s="29">
        <f t="shared" si="229"/>
        <v>0</v>
      </c>
      <c r="K1014" s="32" t="str" cm="1">
        <f t="array" ref="K1014">IF(AF1014&lt;&gt;"",IFERROR(INDEX('Group List A'!B:B,MATCH(AI1014,'Group List A'!A:A,0),0),"-"),"")</f>
        <v/>
      </c>
      <c r="L1014" s="33">
        <f t="shared" si="230"/>
        <v>0</v>
      </c>
      <c r="M1014" s="33">
        <f t="shared" si="231"/>
        <v>0</v>
      </c>
      <c r="N1014" s="33">
        <f t="shared" si="232"/>
        <v>0</v>
      </c>
      <c r="O1014" s="28"/>
      <c r="P1014" s="33">
        <f t="shared" si="233"/>
        <v>0</v>
      </c>
      <c r="Q1014" s="35" t="str" cm="1">
        <f t="array" ref="Q1014">IF(AF1014&lt;&gt;"",IFERROR(INDEX('Group List B'!B:B,MATCH(AI1014,'Group List B'!A:A,0),0),"-"),"")</f>
        <v/>
      </c>
      <c r="R1014" s="36">
        <f t="shared" si="234"/>
        <v>0</v>
      </c>
      <c r="S1014" s="36">
        <f t="shared" si="235"/>
        <v>0</v>
      </c>
      <c r="T1014" s="36">
        <f t="shared" si="236"/>
        <v>0</v>
      </c>
      <c r="U1014" s="28"/>
      <c r="V1014" s="37">
        <f t="shared" si="237"/>
        <v>0</v>
      </c>
      <c r="W1014" s="41"/>
      <c r="X1014" s="27"/>
      <c r="Y1014" s="27"/>
      <c r="Z1014" s="27"/>
      <c r="AA1014" s="15"/>
      <c r="AB1014" s="17"/>
      <c r="AC1014" s="17"/>
      <c r="AD1014" s="17"/>
      <c r="AE1014" s="90"/>
      <c r="AF1014" s="82" t="str">
        <f t="shared" si="238"/>
        <v/>
      </c>
      <c r="AG1014" s="83" t="str">
        <f t="shared" si="239"/>
        <v/>
      </c>
      <c r="AH1014" s="82" t="str">
        <f t="shared" si="240"/>
        <v/>
      </c>
      <c r="AI1014" s="82" t="str">
        <f t="shared" si="241"/>
        <v/>
      </c>
      <c r="AJ1014" s="90"/>
      <c r="AP1014" s="88"/>
    </row>
    <row r="1015" spans="1:42" x14ac:dyDescent="0.25">
      <c r="A1015" s="2"/>
      <c r="C1015" s="68" t="str" cm="1">
        <f t="array" ref="C1015">IF(AF1015&lt;&gt;"",
IFERROR(INDEX('LaunchPad Markbook'!A:A,MATCH(AH1015,'LaunchPad Markbook'!D:D,0),0),"-"),"")</f>
        <v/>
      </c>
      <c r="D1015" s="27"/>
      <c r="E1015" s="27"/>
      <c r="F1015" s="27"/>
      <c r="G1015" s="14">
        <f>IF(OR(H1015&gt;AB$2,I1015&gt;AC$2,J1015&gt;AD$2,
P1015&gt;1,V1015&gt;1,
L1015&gt;'Group List A'!E$2,M1015&gt;'Group List A'!F$2,N1015&gt;'Group List A'!G$2,
R1015&gt;'Group List B'!E$2,S1015&gt;'Group List B'!F$2,T1015&gt;'Group List B'!G$2),"Exceed",
IF(OR(H1015=AB$2,I1015=AC$2,J1015=AD$2,
P1015=1,V1015=1,
L1015='Group List A'!E$2,M1015='Group List A'!F$2,N1015='Group List A'!G$2,
R1015='Group List B'!E$2,S1015='Group List B'!F$2,T1015='Group List B'!G$2),"Limit",0))</f>
        <v>0</v>
      </c>
      <c r="H1015" s="29">
        <f t="shared" si="227"/>
        <v>0</v>
      </c>
      <c r="I1015" s="29">
        <f t="shared" si="228"/>
        <v>0</v>
      </c>
      <c r="J1015" s="29">
        <f t="shared" si="229"/>
        <v>0</v>
      </c>
      <c r="K1015" s="32" t="str" cm="1">
        <f t="array" ref="K1015">IF(AF1015&lt;&gt;"",IFERROR(INDEX('Group List A'!B:B,MATCH(AI1015,'Group List A'!A:A,0),0),"-"),"")</f>
        <v/>
      </c>
      <c r="L1015" s="33">
        <f t="shared" si="230"/>
        <v>0</v>
      </c>
      <c r="M1015" s="33">
        <f t="shared" si="231"/>
        <v>0</v>
      </c>
      <c r="N1015" s="33">
        <f t="shared" si="232"/>
        <v>0</v>
      </c>
      <c r="O1015" s="28"/>
      <c r="P1015" s="33">
        <f t="shared" si="233"/>
        <v>0</v>
      </c>
      <c r="Q1015" s="35" t="str" cm="1">
        <f t="array" ref="Q1015">IF(AF1015&lt;&gt;"",IFERROR(INDEX('Group List B'!B:B,MATCH(AI1015,'Group List B'!A:A,0),0),"-"),"")</f>
        <v/>
      </c>
      <c r="R1015" s="36">
        <f t="shared" si="234"/>
        <v>0</v>
      </c>
      <c r="S1015" s="36">
        <f t="shared" si="235"/>
        <v>0</v>
      </c>
      <c r="T1015" s="36">
        <f t="shared" si="236"/>
        <v>0</v>
      </c>
      <c r="U1015" s="28"/>
      <c r="V1015" s="37">
        <f t="shared" si="237"/>
        <v>0</v>
      </c>
      <c r="W1015" s="41"/>
      <c r="X1015" s="27"/>
      <c r="Y1015" s="27"/>
      <c r="Z1015" s="27"/>
      <c r="AA1015" s="15"/>
      <c r="AB1015" s="17"/>
      <c r="AC1015" s="17"/>
      <c r="AD1015" s="17"/>
      <c r="AE1015" s="90"/>
      <c r="AF1015" s="82" t="str">
        <f t="shared" si="238"/>
        <v/>
      </c>
      <c r="AG1015" s="83" t="str">
        <f t="shared" si="239"/>
        <v/>
      </c>
      <c r="AH1015" s="82" t="str">
        <f t="shared" si="240"/>
        <v/>
      </c>
      <c r="AI1015" s="82" t="str">
        <f t="shared" si="241"/>
        <v/>
      </c>
      <c r="AJ1015" s="90"/>
      <c r="AP1015" s="88"/>
    </row>
    <row r="1016" spans="1:42" x14ac:dyDescent="0.25">
      <c r="A1016" s="2"/>
      <c r="C1016" s="68" t="str" cm="1">
        <f t="array" ref="C1016">IF(AF1016&lt;&gt;"",
IFERROR(INDEX('LaunchPad Markbook'!A:A,MATCH(AH1016,'LaunchPad Markbook'!D:D,0),0),"-"),"")</f>
        <v/>
      </c>
      <c r="D1016" s="27"/>
      <c r="E1016" s="27"/>
      <c r="F1016" s="27"/>
      <c r="G1016" s="14">
        <f>IF(OR(H1016&gt;AB$2,I1016&gt;AC$2,J1016&gt;AD$2,
P1016&gt;1,V1016&gt;1,
L1016&gt;'Group List A'!E$2,M1016&gt;'Group List A'!F$2,N1016&gt;'Group List A'!G$2,
R1016&gt;'Group List B'!E$2,S1016&gt;'Group List B'!F$2,T1016&gt;'Group List B'!G$2),"Exceed",
IF(OR(H1016=AB$2,I1016=AC$2,J1016=AD$2,
P1016=1,V1016=1,
L1016='Group List A'!E$2,M1016='Group List A'!F$2,N1016='Group List A'!G$2,
R1016='Group List B'!E$2,S1016='Group List B'!F$2,T1016='Group List B'!G$2),"Limit",0))</f>
        <v>0</v>
      </c>
      <c r="H1016" s="29">
        <f t="shared" si="227"/>
        <v>0</v>
      </c>
      <c r="I1016" s="29">
        <f t="shared" si="228"/>
        <v>0</v>
      </c>
      <c r="J1016" s="29">
        <f t="shared" si="229"/>
        <v>0</v>
      </c>
      <c r="K1016" s="32" t="str" cm="1">
        <f t="array" ref="K1016">IF(AF1016&lt;&gt;"",IFERROR(INDEX('Group List A'!B:B,MATCH(AI1016,'Group List A'!A:A,0),0),"-"),"")</f>
        <v/>
      </c>
      <c r="L1016" s="33">
        <f t="shared" si="230"/>
        <v>0</v>
      </c>
      <c r="M1016" s="33">
        <f t="shared" si="231"/>
        <v>0</v>
      </c>
      <c r="N1016" s="33">
        <f t="shared" si="232"/>
        <v>0</v>
      </c>
      <c r="O1016" s="28"/>
      <c r="P1016" s="33">
        <f t="shared" si="233"/>
        <v>0</v>
      </c>
      <c r="Q1016" s="35" t="str" cm="1">
        <f t="array" ref="Q1016">IF(AF1016&lt;&gt;"",IFERROR(INDEX('Group List B'!B:B,MATCH(AI1016,'Group List B'!A:A,0),0),"-"),"")</f>
        <v/>
      </c>
      <c r="R1016" s="36">
        <f t="shared" si="234"/>
        <v>0</v>
      </c>
      <c r="S1016" s="36">
        <f t="shared" si="235"/>
        <v>0</v>
      </c>
      <c r="T1016" s="36">
        <f t="shared" si="236"/>
        <v>0</v>
      </c>
      <c r="U1016" s="28"/>
      <c r="V1016" s="37">
        <f t="shared" si="237"/>
        <v>0</v>
      </c>
      <c r="W1016" s="41"/>
      <c r="X1016" s="27"/>
      <c r="Y1016" s="27"/>
      <c r="Z1016" s="27"/>
      <c r="AA1016" s="15"/>
      <c r="AB1016" s="17"/>
      <c r="AC1016" s="17"/>
      <c r="AD1016" s="17"/>
      <c r="AE1016" s="90"/>
      <c r="AF1016" s="82" t="str">
        <f t="shared" si="238"/>
        <v/>
      </c>
      <c r="AG1016" s="83" t="str">
        <f t="shared" si="239"/>
        <v/>
      </c>
      <c r="AH1016" s="82" t="str">
        <f t="shared" si="240"/>
        <v/>
      </c>
      <c r="AI1016" s="82" t="str">
        <f t="shared" si="241"/>
        <v/>
      </c>
      <c r="AJ1016" s="90"/>
      <c r="AP1016" s="88"/>
    </row>
    <row r="1017" spans="1:42" x14ac:dyDescent="0.25">
      <c r="A1017" s="2"/>
      <c r="C1017" s="68" t="str" cm="1">
        <f t="array" ref="C1017">IF(AF1017&lt;&gt;"",
IFERROR(INDEX('LaunchPad Markbook'!A:A,MATCH(AH1017,'LaunchPad Markbook'!D:D,0),0),"-"),"")</f>
        <v/>
      </c>
      <c r="D1017" s="27"/>
      <c r="E1017" s="27"/>
      <c r="F1017" s="27"/>
      <c r="G1017" s="14">
        <f>IF(OR(H1017&gt;AB$2,I1017&gt;AC$2,J1017&gt;AD$2,
P1017&gt;1,V1017&gt;1,
L1017&gt;'Group List A'!E$2,M1017&gt;'Group List A'!F$2,N1017&gt;'Group List A'!G$2,
R1017&gt;'Group List B'!E$2,S1017&gt;'Group List B'!F$2,T1017&gt;'Group List B'!G$2),"Exceed",
IF(OR(H1017=AB$2,I1017=AC$2,J1017=AD$2,
P1017=1,V1017=1,
L1017='Group List A'!E$2,M1017='Group List A'!F$2,N1017='Group List A'!G$2,
R1017='Group List B'!E$2,S1017='Group List B'!F$2,T1017='Group List B'!G$2),"Limit",0))</f>
        <v>0</v>
      </c>
      <c r="H1017" s="29">
        <f t="shared" si="227"/>
        <v>0</v>
      </c>
      <c r="I1017" s="29">
        <f t="shared" si="228"/>
        <v>0</v>
      </c>
      <c r="J1017" s="29">
        <f t="shared" si="229"/>
        <v>0</v>
      </c>
      <c r="K1017" s="32" t="str" cm="1">
        <f t="array" ref="K1017">IF(AF1017&lt;&gt;"",IFERROR(INDEX('Group List A'!B:B,MATCH(AI1017,'Group List A'!A:A,0),0),"-"),"")</f>
        <v/>
      </c>
      <c r="L1017" s="33">
        <f t="shared" si="230"/>
        <v>0</v>
      </c>
      <c r="M1017" s="33">
        <f t="shared" si="231"/>
        <v>0</v>
      </c>
      <c r="N1017" s="33">
        <f t="shared" si="232"/>
        <v>0</v>
      </c>
      <c r="O1017" s="28"/>
      <c r="P1017" s="33">
        <f t="shared" si="233"/>
        <v>0</v>
      </c>
      <c r="Q1017" s="35" t="str" cm="1">
        <f t="array" ref="Q1017">IF(AF1017&lt;&gt;"",IFERROR(INDEX('Group List B'!B:B,MATCH(AI1017,'Group List B'!A:A,0),0),"-"),"")</f>
        <v/>
      </c>
      <c r="R1017" s="36">
        <f t="shared" si="234"/>
        <v>0</v>
      </c>
      <c r="S1017" s="36">
        <f t="shared" si="235"/>
        <v>0</v>
      </c>
      <c r="T1017" s="36">
        <f t="shared" si="236"/>
        <v>0</v>
      </c>
      <c r="U1017" s="28"/>
      <c r="V1017" s="37">
        <f t="shared" si="237"/>
        <v>0</v>
      </c>
      <c r="W1017" s="41"/>
      <c r="X1017" s="27"/>
      <c r="Y1017" s="27"/>
      <c r="Z1017" s="27"/>
      <c r="AA1017" s="15"/>
      <c r="AB1017" s="17"/>
      <c r="AC1017" s="17"/>
      <c r="AD1017" s="17"/>
      <c r="AE1017" s="90"/>
      <c r="AF1017" s="82" t="str">
        <f t="shared" si="238"/>
        <v/>
      </c>
      <c r="AG1017" s="83" t="str">
        <f t="shared" si="239"/>
        <v/>
      </c>
      <c r="AH1017" s="82" t="str">
        <f t="shared" si="240"/>
        <v/>
      </c>
      <c r="AI1017" s="82" t="str">
        <f t="shared" si="241"/>
        <v/>
      </c>
      <c r="AJ1017" s="90"/>
      <c r="AP1017" s="88"/>
    </row>
    <row r="1018" spans="1:42" x14ac:dyDescent="0.25">
      <c r="A1018" s="2"/>
      <c r="C1018" s="68" t="str" cm="1">
        <f t="array" ref="C1018">IF(AF1018&lt;&gt;"",
IFERROR(INDEX('LaunchPad Markbook'!A:A,MATCH(AH1018,'LaunchPad Markbook'!D:D,0),0),"-"),"")</f>
        <v/>
      </c>
      <c r="D1018" s="27"/>
      <c r="E1018" s="27"/>
      <c r="F1018" s="27"/>
      <c r="G1018" s="14">
        <f>IF(OR(H1018&gt;AB$2,I1018&gt;AC$2,J1018&gt;AD$2,
P1018&gt;1,V1018&gt;1,
L1018&gt;'Group List A'!E$2,M1018&gt;'Group List A'!F$2,N1018&gt;'Group List A'!G$2,
R1018&gt;'Group List B'!E$2,S1018&gt;'Group List B'!F$2,T1018&gt;'Group List B'!G$2),"Exceed",
IF(OR(H1018=AB$2,I1018=AC$2,J1018=AD$2,
P1018=1,V1018=1,
L1018='Group List A'!E$2,M1018='Group List A'!F$2,N1018='Group List A'!G$2,
R1018='Group List B'!E$2,S1018='Group List B'!F$2,T1018='Group List B'!G$2),"Limit",0))</f>
        <v>0</v>
      </c>
      <c r="H1018" s="29">
        <f t="shared" si="227"/>
        <v>0</v>
      </c>
      <c r="I1018" s="29">
        <f t="shared" si="228"/>
        <v>0</v>
      </c>
      <c r="J1018" s="29">
        <f t="shared" si="229"/>
        <v>0</v>
      </c>
      <c r="K1018" s="32" t="str" cm="1">
        <f t="array" ref="K1018">IF(AF1018&lt;&gt;"",IFERROR(INDEX('Group List A'!B:B,MATCH(AI1018,'Group List A'!A:A,0),0),"-"),"")</f>
        <v/>
      </c>
      <c r="L1018" s="33">
        <f t="shared" si="230"/>
        <v>0</v>
      </c>
      <c r="M1018" s="33">
        <f t="shared" si="231"/>
        <v>0</v>
      </c>
      <c r="N1018" s="33">
        <f t="shared" si="232"/>
        <v>0</v>
      </c>
      <c r="O1018" s="28"/>
      <c r="P1018" s="33">
        <f t="shared" si="233"/>
        <v>0</v>
      </c>
      <c r="Q1018" s="35" t="str" cm="1">
        <f t="array" ref="Q1018">IF(AF1018&lt;&gt;"",IFERROR(INDEX('Group List B'!B:B,MATCH(AI1018,'Group List B'!A:A,0),0),"-"),"")</f>
        <v/>
      </c>
      <c r="R1018" s="36">
        <f t="shared" si="234"/>
        <v>0</v>
      </c>
      <c r="S1018" s="36">
        <f t="shared" si="235"/>
        <v>0</v>
      </c>
      <c r="T1018" s="36">
        <f t="shared" si="236"/>
        <v>0</v>
      </c>
      <c r="U1018" s="28"/>
      <c r="V1018" s="37">
        <f t="shared" si="237"/>
        <v>0</v>
      </c>
      <c r="W1018" s="41"/>
      <c r="X1018" s="27"/>
      <c r="Y1018" s="27"/>
      <c r="Z1018" s="27"/>
      <c r="AA1018" s="15"/>
      <c r="AB1018" s="17"/>
      <c r="AC1018" s="17"/>
      <c r="AD1018" s="17"/>
      <c r="AE1018" s="90"/>
      <c r="AF1018" s="82" t="str">
        <f t="shared" si="238"/>
        <v/>
      </c>
      <c r="AG1018" s="83" t="str">
        <f t="shared" si="239"/>
        <v/>
      </c>
      <c r="AH1018" s="82" t="str">
        <f t="shared" si="240"/>
        <v/>
      </c>
      <c r="AI1018" s="82" t="str">
        <f t="shared" si="241"/>
        <v/>
      </c>
      <c r="AJ1018" s="90"/>
      <c r="AP1018" s="88"/>
    </row>
    <row r="1019" spans="1:42" x14ac:dyDescent="0.25">
      <c r="A1019" s="2"/>
      <c r="C1019" s="68" t="str" cm="1">
        <f t="array" ref="C1019">IF(AF1019&lt;&gt;"",
IFERROR(INDEX('LaunchPad Markbook'!A:A,MATCH(AH1019,'LaunchPad Markbook'!D:D,0),0),"-"),"")</f>
        <v/>
      </c>
      <c r="D1019" s="27"/>
      <c r="E1019" s="27"/>
      <c r="F1019" s="27"/>
      <c r="G1019" s="14">
        <f>IF(OR(H1019&gt;AB$2,I1019&gt;AC$2,J1019&gt;AD$2,
P1019&gt;1,V1019&gt;1,
L1019&gt;'Group List A'!E$2,M1019&gt;'Group List A'!F$2,N1019&gt;'Group List A'!G$2,
R1019&gt;'Group List B'!E$2,S1019&gt;'Group List B'!F$2,T1019&gt;'Group List B'!G$2),"Exceed",
IF(OR(H1019=AB$2,I1019=AC$2,J1019=AD$2,
P1019=1,V1019=1,
L1019='Group List A'!E$2,M1019='Group List A'!F$2,N1019='Group List A'!G$2,
R1019='Group List B'!E$2,S1019='Group List B'!F$2,T1019='Group List B'!G$2),"Limit",0))</f>
        <v>0</v>
      </c>
      <c r="H1019" s="29">
        <f t="shared" si="227"/>
        <v>0</v>
      </c>
      <c r="I1019" s="29">
        <f t="shared" si="228"/>
        <v>0</v>
      </c>
      <c r="J1019" s="29">
        <f t="shared" si="229"/>
        <v>0</v>
      </c>
      <c r="K1019" s="32" t="str" cm="1">
        <f t="array" ref="K1019">IF(AF1019&lt;&gt;"",IFERROR(INDEX('Group List A'!B:B,MATCH(AI1019,'Group List A'!A:A,0),0),"-"),"")</f>
        <v/>
      </c>
      <c r="L1019" s="33">
        <f t="shared" si="230"/>
        <v>0</v>
      </c>
      <c r="M1019" s="33">
        <f t="shared" si="231"/>
        <v>0</v>
      </c>
      <c r="N1019" s="33">
        <f t="shared" si="232"/>
        <v>0</v>
      </c>
      <c r="O1019" s="28"/>
      <c r="P1019" s="33">
        <f t="shared" si="233"/>
        <v>0</v>
      </c>
      <c r="Q1019" s="35" t="str" cm="1">
        <f t="array" ref="Q1019">IF(AF1019&lt;&gt;"",IFERROR(INDEX('Group List B'!B:B,MATCH(AI1019,'Group List B'!A:A,0),0),"-"),"")</f>
        <v/>
      </c>
      <c r="R1019" s="36">
        <f t="shared" si="234"/>
        <v>0</v>
      </c>
      <c r="S1019" s="36">
        <f t="shared" si="235"/>
        <v>0</v>
      </c>
      <c r="T1019" s="36">
        <f t="shared" si="236"/>
        <v>0</v>
      </c>
      <c r="U1019" s="28"/>
      <c r="V1019" s="37">
        <f t="shared" si="237"/>
        <v>0</v>
      </c>
      <c r="W1019" s="41"/>
      <c r="X1019" s="27"/>
      <c r="Y1019" s="27"/>
      <c r="Z1019" s="27"/>
      <c r="AA1019" s="15"/>
      <c r="AB1019" s="17"/>
      <c r="AC1019" s="17"/>
      <c r="AD1019" s="17"/>
      <c r="AE1019" s="90"/>
      <c r="AF1019" s="82" t="str">
        <f t="shared" si="238"/>
        <v/>
      </c>
      <c r="AG1019" s="83" t="str">
        <f t="shared" si="239"/>
        <v/>
      </c>
      <c r="AH1019" s="82" t="str">
        <f t="shared" si="240"/>
        <v/>
      </c>
      <c r="AI1019" s="82" t="str">
        <f t="shared" si="241"/>
        <v/>
      </c>
      <c r="AJ1019" s="90"/>
      <c r="AP1019" s="88"/>
    </row>
    <row r="1020" spans="1:42" x14ac:dyDescent="0.25">
      <c r="A1020" s="2"/>
      <c r="C1020" s="68" t="str" cm="1">
        <f t="array" ref="C1020">IF(AF1020&lt;&gt;"",
IFERROR(INDEX('LaunchPad Markbook'!A:A,MATCH(AH1020,'LaunchPad Markbook'!D:D,0),0),"-"),"")</f>
        <v/>
      </c>
      <c r="D1020" s="27"/>
      <c r="E1020" s="27"/>
      <c r="F1020" s="27"/>
      <c r="G1020" s="14">
        <f>IF(OR(H1020&gt;AB$2,I1020&gt;AC$2,J1020&gt;AD$2,
P1020&gt;1,V1020&gt;1,
L1020&gt;'Group List A'!E$2,M1020&gt;'Group List A'!F$2,N1020&gt;'Group List A'!G$2,
R1020&gt;'Group List B'!E$2,S1020&gt;'Group List B'!F$2,T1020&gt;'Group List B'!G$2),"Exceed",
IF(OR(H1020=AB$2,I1020=AC$2,J1020=AD$2,
P1020=1,V1020=1,
L1020='Group List A'!E$2,M1020='Group List A'!F$2,N1020='Group List A'!G$2,
R1020='Group List B'!E$2,S1020='Group List B'!F$2,T1020='Group List B'!G$2),"Limit",0))</f>
        <v>0</v>
      </c>
      <c r="H1020" s="29">
        <f t="shared" si="227"/>
        <v>0</v>
      </c>
      <c r="I1020" s="29">
        <f t="shared" si="228"/>
        <v>0</v>
      </c>
      <c r="J1020" s="29">
        <f t="shared" si="229"/>
        <v>0</v>
      </c>
      <c r="K1020" s="32" t="str" cm="1">
        <f t="array" ref="K1020">IF(AF1020&lt;&gt;"",IFERROR(INDEX('Group List A'!B:B,MATCH(AI1020,'Group List A'!A:A,0),0),"-"),"")</f>
        <v/>
      </c>
      <c r="L1020" s="33">
        <f t="shared" si="230"/>
        <v>0</v>
      </c>
      <c r="M1020" s="33">
        <f t="shared" si="231"/>
        <v>0</v>
      </c>
      <c r="N1020" s="33">
        <f t="shared" si="232"/>
        <v>0</v>
      </c>
      <c r="O1020" s="28"/>
      <c r="P1020" s="33">
        <f t="shared" si="233"/>
        <v>0</v>
      </c>
      <c r="Q1020" s="35" t="str" cm="1">
        <f t="array" ref="Q1020">IF(AF1020&lt;&gt;"",IFERROR(INDEX('Group List B'!B:B,MATCH(AI1020,'Group List B'!A:A,0),0),"-"),"")</f>
        <v/>
      </c>
      <c r="R1020" s="36">
        <f t="shared" si="234"/>
        <v>0</v>
      </c>
      <c r="S1020" s="36">
        <f t="shared" si="235"/>
        <v>0</v>
      </c>
      <c r="T1020" s="36">
        <f t="shared" si="236"/>
        <v>0</v>
      </c>
      <c r="U1020" s="28"/>
      <c r="V1020" s="37">
        <f t="shared" si="237"/>
        <v>0</v>
      </c>
      <c r="W1020" s="41"/>
      <c r="X1020" s="27"/>
      <c r="Y1020" s="27"/>
      <c r="Z1020" s="27"/>
      <c r="AA1020" s="15"/>
      <c r="AB1020" s="17"/>
      <c r="AC1020" s="17"/>
      <c r="AD1020" s="17"/>
      <c r="AE1020" s="90"/>
      <c r="AF1020" s="82" t="str">
        <f t="shared" si="238"/>
        <v/>
      </c>
      <c r="AG1020" s="83" t="str">
        <f t="shared" si="239"/>
        <v/>
      </c>
      <c r="AH1020" s="82" t="str">
        <f t="shared" si="240"/>
        <v/>
      </c>
      <c r="AI1020" s="82" t="str">
        <f t="shared" si="241"/>
        <v/>
      </c>
      <c r="AJ1020" s="90"/>
      <c r="AP1020" s="88"/>
    </row>
    <row r="1021" spans="1:42" x14ac:dyDescent="0.25">
      <c r="A1021" s="2"/>
      <c r="C1021" s="68" t="str" cm="1">
        <f t="array" ref="C1021">IF(AF1021&lt;&gt;"",
IFERROR(INDEX('LaunchPad Markbook'!A:A,MATCH(AH1021,'LaunchPad Markbook'!D:D,0),0),"-"),"")</f>
        <v/>
      </c>
      <c r="D1021" s="27"/>
      <c r="E1021" s="27"/>
      <c r="F1021" s="27"/>
      <c r="G1021" s="14">
        <f>IF(OR(H1021&gt;AB$2,I1021&gt;AC$2,J1021&gt;AD$2,
P1021&gt;1,V1021&gt;1,
L1021&gt;'Group List A'!E$2,M1021&gt;'Group List A'!F$2,N1021&gt;'Group List A'!G$2,
R1021&gt;'Group List B'!E$2,S1021&gt;'Group List B'!F$2,T1021&gt;'Group List B'!G$2),"Exceed",
IF(OR(H1021=AB$2,I1021=AC$2,J1021=AD$2,
P1021=1,V1021=1,
L1021='Group List A'!E$2,M1021='Group List A'!F$2,N1021='Group List A'!G$2,
R1021='Group List B'!E$2,S1021='Group List B'!F$2,T1021='Group List B'!G$2),"Limit",0))</f>
        <v>0</v>
      </c>
      <c r="H1021" s="29">
        <f t="shared" si="227"/>
        <v>0</v>
      </c>
      <c r="I1021" s="29">
        <f t="shared" si="228"/>
        <v>0</v>
      </c>
      <c r="J1021" s="29">
        <f t="shared" si="229"/>
        <v>0</v>
      </c>
      <c r="K1021" s="32" t="str" cm="1">
        <f t="array" ref="K1021">IF(AF1021&lt;&gt;"",IFERROR(INDEX('Group List A'!B:B,MATCH(AI1021,'Group List A'!A:A,0),0),"-"),"")</f>
        <v/>
      </c>
      <c r="L1021" s="33">
        <f t="shared" si="230"/>
        <v>0</v>
      </c>
      <c r="M1021" s="33">
        <f t="shared" si="231"/>
        <v>0</v>
      </c>
      <c r="N1021" s="33">
        <f t="shared" si="232"/>
        <v>0</v>
      </c>
      <c r="O1021" s="28"/>
      <c r="P1021" s="33">
        <f t="shared" si="233"/>
        <v>0</v>
      </c>
      <c r="Q1021" s="35" t="str" cm="1">
        <f t="array" ref="Q1021">IF(AF1021&lt;&gt;"",IFERROR(INDEX('Group List B'!B:B,MATCH(AI1021,'Group List B'!A:A,0),0),"-"),"")</f>
        <v/>
      </c>
      <c r="R1021" s="36">
        <f t="shared" si="234"/>
        <v>0</v>
      </c>
      <c r="S1021" s="36">
        <f t="shared" si="235"/>
        <v>0</v>
      </c>
      <c r="T1021" s="36">
        <f t="shared" si="236"/>
        <v>0</v>
      </c>
      <c r="U1021" s="28"/>
      <c r="V1021" s="37">
        <f t="shared" si="237"/>
        <v>0</v>
      </c>
      <c r="W1021" s="41"/>
      <c r="X1021" s="27"/>
      <c r="Y1021" s="27"/>
      <c r="Z1021" s="27"/>
      <c r="AA1021" s="15"/>
      <c r="AB1021" s="17"/>
      <c r="AC1021" s="17"/>
      <c r="AD1021" s="17"/>
      <c r="AE1021" s="90"/>
      <c r="AF1021" s="82" t="str">
        <f t="shared" si="238"/>
        <v/>
      </c>
      <c r="AG1021" s="83" t="str">
        <f t="shared" si="239"/>
        <v/>
      </c>
      <c r="AH1021" s="82" t="str">
        <f t="shared" si="240"/>
        <v/>
      </c>
      <c r="AI1021" s="82" t="str">
        <f t="shared" si="241"/>
        <v/>
      </c>
      <c r="AJ1021" s="90"/>
      <c r="AP1021" s="88"/>
    </row>
    <row r="1022" spans="1:42" x14ac:dyDescent="0.25">
      <c r="A1022" s="2"/>
      <c r="C1022" s="68" t="str" cm="1">
        <f t="array" ref="C1022">IF(AF1022&lt;&gt;"",
IFERROR(INDEX('LaunchPad Markbook'!A:A,MATCH(AH1022,'LaunchPad Markbook'!D:D,0),0),"-"),"")</f>
        <v/>
      </c>
      <c r="D1022" s="27"/>
      <c r="E1022" s="27"/>
      <c r="F1022" s="27"/>
      <c r="G1022" s="14">
        <f>IF(OR(H1022&gt;AB$2,I1022&gt;AC$2,J1022&gt;AD$2,
P1022&gt;1,V1022&gt;1,
L1022&gt;'Group List A'!E$2,M1022&gt;'Group List A'!F$2,N1022&gt;'Group List A'!G$2,
R1022&gt;'Group List B'!E$2,S1022&gt;'Group List B'!F$2,T1022&gt;'Group List B'!G$2),"Exceed",
IF(OR(H1022=AB$2,I1022=AC$2,J1022=AD$2,
P1022=1,V1022=1,
L1022='Group List A'!E$2,M1022='Group List A'!F$2,N1022='Group List A'!G$2,
R1022='Group List B'!E$2,S1022='Group List B'!F$2,T1022='Group List B'!G$2),"Limit",0))</f>
        <v>0</v>
      </c>
      <c r="H1022" s="29">
        <f t="shared" si="227"/>
        <v>0</v>
      </c>
      <c r="I1022" s="29">
        <f t="shared" si="228"/>
        <v>0</v>
      </c>
      <c r="J1022" s="29">
        <f t="shared" si="229"/>
        <v>0</v>
      </c>
      <c r="K1022" s="32" t="str" cm="1">
        <f t="array" ref="K1022">IF(AF1022&lt;&gt;"",IFERROR(INDEX('Group List A'!B:B,MATCH(AI1022,'Group List A'!A:A,0),0),"-"),"")</f>
        <v/>
      </c>
      <c r="L1022" s="33">
        <f t="shared" si="230"/>
        <v>0</v>
      </c>
      <c r="M1022" s="33">
        <f t="shared" si="231"/>
        <v>0</v>
      </c>
      <c r="N1022" s="33">
        <f t="shared" si="232"/>
        <v>0</v>
      </c>
      <c r="O1022" s="28"/>
      <c r="P1022" s="33">
        <f t="shared" si="233"/>
        <v>0</v>
      </c>
      <c r="Q1022" s="35" t="str" cm="1">
        <f t="array" ref="Q1022">IF(AF1022&lt;&gt;"",IFERROR(INDEX('Group List B'!B:B,MATCH(AI1022,'Group List B'!A:A,0),0),"-"),"")</f>
        <v/>
      </c>
      <c r="R1022" s="36">
        <f t="shared" si="234"/>
        <v>0</v>
      </c>
      <c r="S1022" s="36">
        <f t="shared" si="235"/>
        <v>0</v>
      </c>
      <c r="T1022" s="36">
        <f t="shared" si="236"/>
        <v>0</v>
      </c>
      <c r="U1022" s="28"/>
      <c r="V1022" s="37">
        <f t="shared" si="237"/>
        <v>0</v>
      </c>
      <c r="W1022" s="41"/>
      <c r="X1022" s="27"/>
      <c r="Y1022" s="27"/>
      <c r="Z1022" s="27"/>
      <c r="AA1022" s="15"/>
      <c r="AB1022" s="17"/>
      <c r="AC1022" s="17"/>
      <c r="AD1022" s="17"/>
      <c r="AE1022" s="90"/>
      <c r="AF1022" s="82" t="str">
        <f t="shared" si="238"/>
        <v/>
      </c>
      <c r="AG1022" s="83" t="str">
        <f t="shared" si="239"/>
        <v/>
      </c>
      <c r="AH1022" s="82" t="str">
        <f t="shared" si="240"/>
        <v/>
      </c>
      <c r="AI1022" s="82" t="str">
        <f t="shared" si="241"/>
        <v/>
      </c>
      <c r="AJ1022" s="90"/>
      <c r="AP1022" s="88"/>
    </row>
    <row r="1023" spans="1:42" x14ac:dyDescent="0.25">
      <c r="A1023" s="2"/>
      <c r="C1023" s="68" t="str" cm="1">
        <f t="array" ref="C1023">IF(AF1023&lt;&gt;"",
IFERROR(INDEX('LaunchPad Markbook'!A:A,MATCH(AH1023,'LaunchPad Markbook'!D:D,0),0),"-"),"")</f>
        <v/>
      </c>
      <c r="D1023" s="27"/>
      <c r="E1023" s="27"/>
      <c r="F1023" s="27"/>
      <c r="G1023" s="14">
        <f>IF(OR(H1023&gt;AB$2,I1023&gt;AC$2,J1023&gt;AD$2,
P1023&gt;1,V1023&gt;1,
L1023&gt;'Group List A'!E$2,M1023&gt;'Group List A'!F$2,N1023&gt;'Group List A'!G$2,
R1023&gt;'Group List B'!E$2,S1023&gt;'Group List B'!F$2,T1023&gt;'Group List B'!G$2),"Exceed",
IF(OR(H1023=AB$2,I1023=AC$2,J1023=AD$2,
P1023=1,V1023=1,
L1023='Group List A'!E$2,M1023='Group List A'!F$2,N1023='Group List A'!G$2,
R1023='Group List B'!E$2,S1023='Group List B'!F$2,T1023='Group List B'!G$2),"Limit",0))</f>
        <v>0</v>
      </c>
      <c r="H1023" s="29">
        <f t="shared" si="227"/>
        <v>0</v>
      </c>
      <c r="I1023" s="29">
        <f t="shared" si="228"/>
        <v>0</v>
      </c>
      <c r="J1023" s="29">
        <f t="shared" si="229"/>
        <v>0</v>
      </c>
      <c r="K1023" s="32" t="str" cm="1">
        <f t="array" ref="K1023">IF(AF1023&lt;&gt;"",IFERROR(INDEX('Group List A'!B:B,MATCH(AI1023,'Group List A'!A:A,0),0),"-"),"")</f>
        <v/>
      </c>
      <c r="L1023" s="33">
        <f t="shared" si="230"/>
        <v>0</v>
      </c>
      <c r="M1023" s="33">
        <f t="shared" si="231"/>
        <v>0</v>
      </c>
      <c r="N1023" s="33">
        <f t="shared" si="232"/>
        <v>0</v>
      </c>
      <c r="O1023" s="28"/>
      <c r="P1023" s="33">
        <f t="shared" si="233"/>
        <v>0</v>
      </c>
      <c r="Q1023" s="35" t="str" cm="1">
        <f t="array" ref="Q1023">IF(AF1023&lt;&gt;"",IFERROR(INDEX('Group List B'!B:B,MATCH(AI1023,'Group List B'!A:A,0),0),"-"),"")</f>
        <v/>
      </c>
      <c r="R1023" s="36">
        <f t="shared" si="234"/>
        <v>0</v>
      </c>
      <c r="S1023" s="36">
        <f t="shared" si="235"/>
        <v>0</v>
      </c>
      <c r="T1023" s="36">
        <f t="shared" si="236"/>
        <v>0</v>
      </c>
      <c r="U1023" s="28"/>
      <c r="V1023" s="37">
        <f t="shared" si="237"/>
        <v>0</v>
      </c>
      <c r="W1023" s="41"/>
      <c r="X1023" s="27"/>
      <c r="Y1023" s="27"/>
      <c r="Z1023" s="27"/>
      <c r="AA1023" s="15"/>
      <c r="AB1023" s="17"/>
      <c r="AC1023" s="17"/>
      <c r="AD1023" s="17"/>
      <c r="AE1023" s="90"/>
      <c r="AF1023" s="82" t="str">
        <f t="shared" si="238"/>
        <v/>
      </c>
      <c r="AG1023" s="83" t="str">
        <f t="shared" si="239"/>
        <v/>
      </c>
      <c r="AH1023" s="82" t="str">
        <f t="shared" si="240"/>
        <v/>
      </c>
      <c r="AI1023" s="82" t="str">
        <f t="shared" si="241"/>
        <v/>
      </c>
      <c r="AJ1023" s="90"/>
      <c r="AP1023" s="88"/>
    </row>
    <row r="1024" spans="1:42" x14ac:dyDescent="0.25">
      <c r="A1024" s="2"/>
      <c r="C1024" s="68" t="str" cm="1">
        <f t="array" ref="C1024">IF(AF1024&lt;&gt;"",
IFERROR(INDEX('LaunchPad Markbook'!A:A,MATCH(AH1024,'LaunchPad Markbook'!D:D,0),0),"-"),"")</f>
        <v/>
      </c>
      <c r="D1024" s="27"/>
      <c r="E1024" s="27"/>
      <c r="F1024" s="27"/>
      <c r="G1024" s="14">
        <f>IF(OR(H1024&gt;AB$2,I1024&gt;AC$2,J1024&gt;AD$2,
P1024&gt;1,V1024&gt;1,
L1024&gt;'Group List A'!E$2,M1024&gt;'Group List A'!F$2,N1024&gt;'Group List A'!G$2,
R1024&gt;'Group List B'!E$2,S1024&gt;'Group List B'!F$2,T1024&gt;'Group List B'!G$2),"Exceed",
IF(OR(H1024=AB$2,I1024=AC$2,J1024=AD$2,
P1024=1,V1024=1,
L1024='Group List A'!E$2,M1024='Group List A'!F$2,N1024='Group List A'!G$2,
R1024='Group List B'!E$2,S1024='Group List B'!F$2,T1024='Group List B'!G$2),"Limit",0))</f>
        <v>0</v>
      </c>
      <c r="H1024" s="29">
        <f t="shared" si="227"/>
        <v>0</v>
      </c>
      <c r="I1024" s="29">
        <f t="shared" si="228"/>
        <v>0</v>
      </c>
      <c r="J1024" s="29">
        <f t="shared" si="229"/>
        <v>0</v>
      </c>
      <c r="K1024" s="32" t="str" cm="1">
        <f t="array" ref="K1024">IF(AF1024&lt;&gt;"",IFERROR(INDEX('Group List A'!B:B,MATCH(AI1024,'Group List A'!A:A,0),0),"-"),"")</f>
        <v/>
      </c>
      <c r="L1024" s="33">
        <f t="shared" si="230"/>
        <v>0</v>
      </c>
      <c r="M1024" s="33">
        <f t="shared" si="231"/>
        <v>0</v>
      </c>
      <c r="N1024" s="33">
        <f t="shared" si="232"/>
        <v>0</v>
      </c>
      <c r="O1024" s="28"/>
      <c r="P1024" s="33">
        <f t="shared" si="233"/>
        <v>0</v>
      </c>
      <c r="Q1024" s="35" t="str" cm="1">
        <f t="array" ref="Q1024">IF(AF1024&lt;&gt;"",IFERROR(INDEX('Group List B'!B:B,MATCH(AI1024,'Group List B'!A:A,0),0),"-"),"")</f>
        <v/>
      </c>
      <c r="R1024" s="36">
        <f t="shared" si="234"/>
        <v>0</v>
      </c>
      <c r="S1024" s="36">
        <f t="shared" si="235"/>
        <v>0</v>
      </c>
      <c r="T1024" s="36">
        <f t="shared" si="236"/>
        <v>0</v>
      </c>
      <c r="U1024" s="28"/>
      <c r="V1024" s="37">
        <f t="shared" si="237"/>
        <v>0</v>
      </c>
      <c r="W1024" s="41"/>
      <c r="X1024" s="27"/>
      <c r="Y1024" s="27"/>
      <c r="Z1024" s="27"/>
      <c r="AA1024" s="15"/>
      <c r="AB1024" s="17"/>
      <c r="AC1024" s="17"/>
      <c r="AD1024" s="17"/>
      <c r="AE1024" s="90"/>
      <c r="AF1024" s="82" t="str">
        <f t="shared" si="238"/>
        <v/>
      </c>
      <c r="AG1024" s="83" t="str">
        <f t="shared" si="239"/>
        <v/>
      </c>
      <c r="AH1024" s="82" t="str">
        <f t="shared" si="240"/>
        <v/>
      </c>
      <c r="AI1024" s="82" t="str">
        <f t="shared" si="241"/>
        <v/>
      </c>
      <c r="AJ1024" s="90"/>
      <c r="AP1024" s="88"/>
    </row>
    <row r="1025" spans="1:42" x14ac:dyDescent="0.25">
      <c r="A1025" s="2"/>
      <c r="C1025" s="68" t="str" cm="1">
        <f t="array" ref="C1025">IF(AF1025&lt;&gt;"",
IFERROR(INDEX('LaunchPad Markbook'!A:A,MATCH(AH1025,'LaunchPad Markbook'!D:D,0),0),"-"),"")</f>
        <v/>
      </c>
      <c r="D1025" s="27"/>
      <c r="E1025" s="27"/>
      <c r="F1025" s="27"/>
      <c r="G1025" s="14">
        <f>IF(OR(H1025&gt;AB$2,I1025&gt;AC$2,J1025&gt;AD$2,
P1025&gt;1,V1025&gt;1,
L1025&gt;'Group List A'!E$2,M1025&gt;'Group List A'!F$2,N1025&gt;'Group List A'!G$2,
R1025&gt;'Group List B'!E$2,S1025&gt;'Group List B'!F$2,T1025&gt;'Group List B'!G$2),"Exceed",
IF(OR(H1025=AB$2,I1025=AC$2,J1025=AD$2,
P1025=1,V1025=1,
L1025='Group List A'!E$2,M1025='Group List A'!F$2,N1025='Group List A'!G$2,
R1025='Group List B'!E$2,S1025='Group List B'!F$2,T1025='Group List B'!G$2),"Limit",0))</f>
        <v>0</v>
      </c>
      <c r="H1025" s="29">
        <f t="shared" si="227"/>
        <v>0</v>
      </c>
      <c r="I1025" s="29">
        <f t="shared" si="228"/>
        <v>0</v>
      </c>
      <c r="J1025" s="29">
        <f t="shared" si="229"/>
        <v>0</v>
      </c>
      <c r="K1025" s="32" t="str" cm="1">
        <f t="array" ref="K1025">IF(AF1025&lt;&gt;"",IFERROR(INDEX('Group List A'!B:B,MATCH(AI1025,'Group List A'!A:A,0),0),"-"),"")</f>
        <v/>
      </c>
      <c r="L1025" s="33">
        <f t="shared" si="230"/>
        <v>0</v>
      </c>
      <c r="M1025" s="33">
        <f t="shared" si="231"/>
        <v>0</v>
      </c>
      <c r="N1025" s="33">
        <f t="shared" si="232"/>
        <v>0</v>
      </c>
      <c r="O1025" s="28"/>
      <c r="P1025" s="33">
        <f t="shared" si="233"/>
        <v>0</v>
      </c>
      <c r="Q1025" s="35" t="str" cm="1">
        <f t="array" ref="Q1025">IF(AF1025&lt;&gt;"",IFERROR(INDEX('Group List B'!B:B,MATCH(AI1025,'Group List B'!A:A,0),0),"-"),"")</f>
        <v/>
      </c>
      <c r="R1025" s="36">
        <f t="shared" si="234"/>
        <v>0</v>
      </c>
      <c r="S1025" s="36">
        <f t="shared" si="235"/>
        <v>0</v>
      </c>
      <c r="T1025" s="36">
        <f t="shared" si="236"/>
        <v>0</v>
      </c>
      <c r="U1025" s="28"/>
      <c r="V1025" s="37">
        <f t="shared" si="237"/>
        <v>0</v>
      </c>
      <c r="W1025" s="41"/>
      <c r="X1025" s="27"/>
      <c r="Y1025" s="27"/>
      <c r="Z1025" s="27"/>
      <c r="AA1025" s="15"/>
      <c r="AB1025" s="17"/>
      <c r="AC1025" s="17"/>
      <c r="AD1025" s="17"/>
      <c r="AE1025" s="90"/>
      <c r="AF1025" s="82" t="str">
        <f t="shared" si="238"/>
        <v/>
      </c>
      <c r="AG1025" s="83" t="str">
        <f t="shared" si="239"/>
        <v/>
      </c>
      <c r="AH1025" s="82" t="str">
        <f t="shared" si="240"/>
        <v/>
      </c>
      <c r="AI1025" s="82" t="str">
        <f t="shared" si="241"/>
        <v/>
      </c>
      <c r="AJ1025" s="90"/>
      <c r="AP1025" s="88"/>
    </row>
    <row r="1026" spans="1:42" x14ac:dyDescent="0.25">
      <c r="A1026" s="2"/>
      <c r="C1026" s="68" t="str" cm="1">
        <f t="array" ref="C1026">IF(AF1026&lt;&gt;"",
IFERROR(INDEX('LaunchPad Markbook'!A:A,MATCH(AH1026,'LaunchPad Markbook'!D:D,0),0),"-"),"")</f>
        <v/>
      </c>
      <c r="D1026" s="27"/>
      <c r="E1026" s="27"/>
      <c r="F1026" s="27"/>
      <c r="G1026" s="14">
        <f>IF(OR(H1026&gt;AB$2,I1026&gt;AC$2,J1026&gt;AD$2,
P1026&gt;1,V1026&gt;1,
L1026&gt;'Group List A'!E$2,M1026&gt;'Group List A'!F$2,N1026&gt;'Group List A'!G$2,
R1026&gt;'Group List B'!E$2,S1026&gt;'Group List B'!F$2,T1026&gt;'Group List B'!G$2),"Exceed",
IF(OR(H1026=AB$2,I1026=AC$2,J1026=AD$2,
P1026=1,V1026=1,
L1026='Group List A'!E$2,M1026='Group List A'!F$2,N1026='Group List A'!G$2,
R1026='Group List B'!E$2,S1026='Group List B'!F$2,T1026='Group List B'!G$2),"Limit",0))</f>
        <v>0</v>
      </c>
      <c r="H1026" s="29">
        <f t="shared" si="227"/>
        <v>0</v>
      </c>
      <c r="I1026" s="29">
        <f t="shared" si="228"/>
        <v>0</v>
      </c>
      <c r="J1026" s="29">
        <f t="shared" si="229"/>
        <v>0</v>
      </c>
      <c r="K1026" s="32" t="str" cm="1">
        <f t="array" ref="K1026">IF(AF1026&lt;&gt;"",IFERROR(INDEX('Group List A'!B:B,MATCH(AI1026,'Group List A'!A:A,0),0),"-"),"")</f>
        <v/>
      </c>
      <c r="L1026" s="33">
        <f t="shared" si="230"/>
        <v>0</v>
      </c>
      <c r="M1026" s="33">
        <f t="shared" si="231"/>
        <v>0</v>
      </c>
      <c r="N1026" s="33">
        <f t="shared" si="232"/>
        <v>0</v>
      </c>
      <c r="O1026" s="28"/>
      <c r="P1026" s="33">
        <f t="shared" si="233"/>
        <v>0</v>
      </c>
      <c r="Q1026" s="35" t="str" cm="1">
        <f t="array" ref="Q1026">IF(AF1026&lt;&gt;"",IFERROR(INDEX('Group List B'!B:B,MATCH(AI1026,'Group List B'!A:A,0),0),"-"),"")</f>
        <v/>
      </c>
      <c r="R1026" s="36">
        <f t="shared" si="234"/>
        <v>0</v>
      </c>
      <c r="S1026" s="36">
        <f t="shared" si="235"/>
        <v>0</v>
      </c>
      <c r="T1026" s="36">
        <f t="shared" si="236"/>
        <v>0</v>
      </c>
      <c r="U1026" s="28"/>
      <c r="V1026" s="37">
        <f t="shared" si="237"/>
        <v>0</v>
      </c>
      <c r="W1026" s="41"/>
      <c r="X1026" s="27"/>
      <c r="Y1026" s="27"/>
      <c r="Z1026" s="27"/>
      <c r="AA1026" s="15"/>
      <c r="AB1026" s="17"/>
      <c r="AC1026" s="17"/>
      <c r="AD1026" s="17"/>
      <c r="AE1026" s="90"/>
      <c r="AF1026" s="82" t="str">
        <f t="shared" si="238"/>
        <v/>
      </c>
      <c r="AG1026" s="83" t="str">
        <f t="shared" si="239"/>
        <v/>
      </c>
      <c r="AH1026" s="82" t="str">
        <f t="shared" si="240"/>
        <v/>
      </c>
      <c r="AI1026" s="82" t="str">
        <f t="shared" si="241"/>
        <v/>
      </c>
      <c r="AJ1026" s="90"/>
      <c r="AP1026" s="88"/>
    </row>
    <row r="1027" spans="1:42" x14ac:dyDescent="0.25">
      <c r="A1027" s="2"/>
      <c r="C1027" s="68" t="str" cm="1">
        <f t="array" ref="C1027">IF(AF1027&lt;&gt;"",
IFERROR(INDEX('LaunchPad Markbook'!A:A,MATCH(AH1027,'LaunchPad Markbook'!D:D,0),0),"-"),"")</f>
        <v/>
      </c>
      <c r="D1027" s="27"/>
      <c r="E1027" s="27"/>
      <c r="F1027" s="27"/>
      <c r="G1027" s="14">
        <f>IF(OR(H1027&gt;AB$2,I1027&gt;AC$2,J1027&gt;AD$2,
P1027&gt;1,V1027&gt;1,
L1027&gt;'Group List A'!E$2,M1027&gt;'Group List A'!F$2,N1027&gt;'Group List A'!G$2,
R1027&gt;'Group List B'!E$2,S1027&gt;'Group List B'!F$2,T1027&gt;'Group List B'!G$2),"Exceed",
IF(OR(H1027=AB$2,I1027=AC$2,J1027=AD$2,
P1027=1,V1027=1,
L1027='Group List A'!E$2,M1027='Group List A'!F$2,N1027='Group List A'!G$2,
R1027='Group List B'!E$2,S1027='Group List B'!F$2,T1027='Group List B'!G$2),"Limit",0))</f>
        <v>0</v>
      </c>
      <c r="H1027" s="29">
        <f t="shared" ref="H1027:H1090" si="242">IF(AND(K1027="-",Q1027="-"),
SUMIFS(D$2:D$2000,$AH$2:$AH$2000,$AH1027),0)</f>
        <v>0</v>
      </c>
      <c r="I1027" s="29">
        <f t="shared" ref="I1027:I1090" si="243">IF(AND(K1027="-",Q1027="-"),
SUMIFS(E$2:E$2000,$AH$2:$AH$2000,$AH1027),0)</f>
        <v>0</v>
      </c>
      <c r="J1027" s="29">
        <f t="shared" ref="J1027:J1090" si="244">IF(AND(K1027="-",Q1027="-"),
SUMIFS(F$2:F$2000,$AH$2:$AH$2000,$AH1027),0)</f>
        <v>0</v>
      </c>
      <c r="K1027" s="32" t="str" cm="1">
        <f t="array" ref="K1027">IF(AF1027&lt;&gt;"",IFERROR(INDEX('Group List A'!B:B,MATCH(AI1027,'Group List A'!A:A,0),0),"-"),"")</f>
        <v/>
      </c>
      <c r="L1027" s="33">
        <f t="shared" ref="L1027:L1090" si="245">IF($K1027&lt;&gt;"-",SUMIFS(D$2:D$2000,$K$2:$K$2000,$K1027),0)</f>
        <v>0</v>
      </c>
      <c r="M1027" s="33">
        <f t="shared" ref="M1027:M1090" si="246">IF($K1027&lt;&gt;"-",SUMIFS(E$2:E$2000,$K$2:$K$2000,$K1027),0)</f>
        <v>0</v>
      </c>
      <c r="N1027" s="33">
        <f t="shared" ref="N1027:N1090" si="247">IF($K1027&lt;&gt;"-",SUMIFS(F$2:F$2000,$K$2:$K$2000,$K1027),0)</f>
        <v>0</v>
      </c>
      <c r="O1027" s="28"/>
      <c r="P1027" s="33">
        <f t="shared" ref="P1027:P1090" si="248">SUMIFS(O$2:O$2000,$AH$2:$AH$2000,$AH1027)</f>
        <v>0</v>
      </c>
      <c r="Q1027" s="35" t="str" cm="1">
        <f t="array" ref="Q1027">IF(AF1027&lt;&gt;"",IFERROR(INDEX('Group List B'!B:B,MATCH(AI1027,'Group List B'!A:A,0),0),"-"),"")</f>
        <v/>
      </c>
      <c r="R1027" s="36">
        <f t="shared" ref="R1027:R1090" si="249">IF($Q1027&lt;&gt;"-",SUMIFS(D$2:D$2000,$Q$2:$Q$2000,$Q1027),0)</f>
        <v>0</v>
      </c>
      <c r="S1027" s="36">
        <f t="shared" ref="S1027:S1090" si="250">IF($Q1027&lt;&gt;"-",SUMIFS(E$2:E$2000,$Q$2:$Q$2000,$Q1027),0)</f>
        <v>0</v>
      </c>
      <c r="T1027" s="36">
        <f t="shared" ref="T1027:T1090" si="251">IF($Q1027&lt;&gt;"-",SUMIFS(F$2:F$2000,$Q$2:$Q$2000,$Q1027),0)</f>
        <v>0</v>
      </c>
      <c r="U1027" s="28"/>
      <c r="V1027" s="37">
        <f t="shared" ref="V1027:V1090" si="252">SUMIFS(U$2:U$2000,$AH$2:$AH$2000,$AH1027)</f>
        <v>0</v>
      </c>
      <c r="W1027" s="41"/>
      <c r="X1027" s="27"/>
      <c r="Y1027" s="27"/>
      <c r="Z1027" s="27"/>
      <c r="AA1027" s="15"/>
      <c r="AB1027" s="17"/>
      <c r="AC1027" s="17"/>
      <c r="AD1027" s="17"/>
      <c r="AE1027" s="90"/>
      <c r="AF1027" s="82" t="str">
        <f t="shared" ref="AF1027:AF1090" si="253">IF(A1027&lt;&gt;"",A1027,"")</f>
        <v/>
      </c>
      <c r="AG1027" s="83" t="str">
        <f t="shared" ref="AG1027:AG1090" si="254">IF(MID(AF1027,1,1)="N","STUDENT",
IF(MID(AF1027,1,1)="S","STAFF",
IF(MID(AF1027,1,1)="V","VISITOR",
IF(AF1027&lt;&gt;"","ERROR",""))))</f>
        <v/>
      </c>
      <c r="AH1027" s="82" t="str">
        <f t="shared" ref="AH1027:AH1090" si="255">IF(AG1027="STUDENT","N"&amp;(MID(AF1027,2,8)-0),
IF(AG1027="STAFF","S"&amp;MID(AF1027,2,8),""))</f>
        <v/>
      </c>
      <c r="AI1027" s="82" t="str">
        <f t="shared" ref="AI1027:AI1090" si="256">IF(AG1027="STUDENT",(MID(AF1027,2,8)-0),
IF(AG1027="STAFF","STAFF",""))</f>
        <v/>
      </c>
      <c r="AJ1027" s="90"/>
      <c r="AP1027" s="88"/>
    </row>
    <row r="1028" spans="1:42" x14ac:dyDescent="0.25">
      <c r="A1028" s="2"/>
      <c r="C1028" s="68" t="str" cm="1">
        <f t="array" ref="C1028">IF(AF1028&lt;&gt;"",
IFERROR(INDEX('LaunchPad Markbook'!A:A,MATCH(AH1028,'LaunchPad Markbook'!D:D,0),0),"-"),"")</f>
        <v/>
      </c>
      <c r="D1028" s="27"/>
      <c r="E1028" s="27"/>
      <c r="F1028" s="27"/>
      <c r="G1028" s="14">
        <f>IF(OR(H1028&gt;AB$2,I1028&gt;AC$2,J1028&gt;AD$2,
P1028&gt;1,V1028&gt;1,
L1028&gt;'Group List A'!E$2,M1028&gt;'Group List A'!F$2,N1028&gt;'Group List A'!G$2,
R1028&gt;'Group List B'!E$2,S1028&gt;'Group List B'!F$2,T1028&gt;'Group List B'!G$2),"Exceed",
IF(OR(H1028=AB$2,I1028=AC$2,J1028=AD$2,
P1028=1,V1028=1,
L1028='Group List A'!E$2,M1028='Group List A'!F$2,N1028='Group List A'!G$2,
R1028='Group List B'!E$2,S1028='Group List B'!F$2,T1028='Group List B'!G$2),"Limit",0))</f>
        <v>0</v>
      </c>
      <c r="H1028" s="29">
        <f t="shared" si="242"/>
        <v>0</v>
      </c>
      <c r="I1028" s="29">
        <f t="shared" si="243"/>
        <v>0</v>
      </c>
      <c r="J1028" s="29">
        <f t="shared" si="244"/>
        <v>0</v>
      </c>
      <c r="K1028" s="32" t="str" cm="1">
        <f t="array" ref="K1028">IF(AF1028&lt;&gt;"",IFERROR(INDEX('Group List A'!B:B,MATCH(AI1028,'Group List A'!A:A,0),0),"-"),"")</f>
        <v/>
      </c>
      <c r="L1028" s="33">
        <f t="shared" si="245"/>
        <v>0</v>
      </c>
      <c r="M1028" s="33">
        <f t="shared" si="246"/>
        <v>0</v>
      </c>
      <c r="N1028" s="33">
        <f t="shared" si="247"/>
        <v>0</v>
      </c>
      <c r="O1028" s="28"/>
      <c r="P1028" s="33">
        <f t="shared" si="248"/>
        <v>0</v>
      </c>
      <c r="Q1028" s="35" t="str" cm="1">
        <f t="array" ref="Q1028">IF(AF1028&lt;&gt;"",IFERROR(INDEX('Group List B'!B:B,MATCH(AI1028,'Group List B'!A:A,0),0),"-"),"")</f>
        <v/>
      </c>
      <c r="R1028" s="36">
        <f t="shared" si="249"/>
        <v>0</v>
      </c>
      <c r="S1028" s="36">
        <f t="shared" si="250"/>
        <v>0</v>
      </c>
      <c r="T1028" s="36">
        <f t="shared" si="251"/>
        <v>0</v>
      </c>
      <c r="U1028" s="28"/>
      <c r="V1028" s="37">
        <f t="shared" si="252"/>
        <v>0</v>
      </c>
      <c r="W1028" s="41"/>
      <c r="X1028" s="27"/>
      <c r="Y1028" s="27"/>
      <c r="Z1028" s="27"/>
      <c r="AA1028" s="15"/>
      <c r="AB1028" s="17"/>
      <c r="AC1028" s="17"/>
      <c r="AD1028" s="17"/>
      <c r="AE1028" s="90"/>
      <c r="AF1028" s="82" t="str">
        <f t="shared" si="253"/>
        <v/>
      </c>
      <c r="AG1028" s="83" t="str">
        <f t="shared" si="254"/>
        <v/>
      </c>
      <c r="AH1028" s="82" t="str">
        <f t="shared" si="255"/>
        <v/>
      </c>
      <c r="AI1028" s="82" t="str">
        <f t="shared" si="256"/>
        <v/>
      </c>
      <c r="AJ1028" s="90"/>
      <c r="AP1028" s="88"/>
    </row>
    <row r="1029" spans="1:42" x14ac:dyDescent="0.25">
      <c r="A1029" s="2"/>
      <c r="C1029" s="68" t="str" cm="1">
        <f t="array" ref="C1029">IF(AF1029&lt;&gt;"",
IFERROR(INDEX('LaunchPad Markbook'!A:A,MATCH(AH1029,'LaunchPad Markbook'!D:D,0),0),"-"),"")</f>
        <v/>
      </c>
      <c r="D1029" s="27"/>
      <c r="E1029" s="27"/>
      <c r="F1029" s="27"/>
      <c r="G1029" s="14">
        <f>IF(OR(H1029&gt;AB$2,I1029&gt;AC$2,J1029&gt;AD$2,
P1029&gt;1,V1029&gt;1,
L1029&gt;'Group List A'!E$2,M1029&gt;'Group List A'!F$2,N1029&gt;'Group List A'!G$2,
R1029&gt;'Group List B'!E$2,S1029&gt;'Group List B'!F$2,T1029&gt;'Group List B'!G$2),"Exceed",
IF(OR(H1029=AB$2,I1029=AC$2,J1029=AD$2,
P1029=1,V1029=1,
L1029='Group List A'!E$2,M1029='Group List A'!F$2,N1029='Group List A'!G$2,
R1029='Group List B'!E$2,S1029='Group List B'!F$2,T1029='Group List B'!G$2),"Limit",0))</f>
        <v>0</v>
      </c>
      <c r="H1029" s="29">
        <f t="shared" si="242"/>
        <v>0</v>
      </c>
      <c r="I1029" s="29">
        <f t="shared" si="243"/>
        <v>0</v>
      </c>
      <c r="J1029" s="29">
        <f t="shared" si="244"/>
        <v>0</v>
      </c>
      <c r="K1029" s="32" t="str" cm="1">
        <f t="array" ref="K1029">IF(AF1029&lt;&gt;"",IFERROR(INDEX('Group List A'!B:B,MATCH(AI1029,'Group List A'!A:A,0),0),"-"),"")</f>
        <v/>
      </c>
      <c r="L1029" s="33">
        <f t="shared" si="245"/>
        <v>0</v>
      </c>
      <c r="M1029" s="33">
        <f t="shared" si="246"/>
        <v>0</v>
      </c>
      <c r="N1029" s="33">
        <f t="shared" si="247"/>
        <v>0</v>
      </c>
      <c r="O1029" s="28"/>
      <c r="P1029" s="33">
        <f t="shared" si="248"/>
        <v>0</v>
      </c>
      <c r="Q1029" s="35" t="str" cm="1">
        <f t="array" ref="Q1029">IF(AF1029&lt;&gt;"",IFERROR(INDEX('Group List B'!B:B,MATCH(AI1029,'Group List B'!A:A,0),0),"-"),"")</f>
        <v/>
      </c>
      <c r="R1029" s="36">
        <f t="shared" si="249"/>
        <v>0</v>
      </c>
      <c r="S1029" s="36">
        <f t="shared" si="250"/>
        <v>0</v>
      </c>
      <c r="T1029" s="36">
        <f t="shared" si="251"/>
        <v>0</v>
      </c>
      <c r="U1029" s="28"/>
      <c r="V1029" s="37">
        <f t="shared" si="252"/>
        <v>0</v>
      </c>
      <c r="W1029" s="41"/>
      <c r="X1029" s="27"/>
      <c r="Y1029" s="27"/>
      <c r="Z1029" s="27"/>
      <c r="AA1029" s="15"/>
      <c r="AB1029" s="17"/>
      <c r="AC1029" s="17"/>
      <c r="AD1029" s="17"/>
      <c r="AE1029" s="90"/>
      <c r="AF1029" s="82" t="str">
        <f t="shared" si="253"/>
        <v/>
      </c>
      <c r="AG1029" s="83" t="str">
        <f t="shared" si="254"/>
        <v/>
      </c>
      <c r="AH1029" s="82" t="str">
        <f t="shared" si="255"/>
        <v/>
      </c>
      <c r="AI1029" s="82" t="str">
        <f t="shared" si="256"/>
        <v/>
      </c>
      <c r="AJ1029" s="90"/>
      <c r="AP1029" s="88"/>
    </row>
    <row r="1030" spans="1:42" x14ac:dyDescent="0.25">
      <c r="A1030" s="2"/>
      <c r="C1030" s="68" t="str" cm="1">
        <f t="array" ref="C1030">IF(AF1030&lt;&gt;"",
IFERROR(INDEX('LaunchPad Markbook'!A:A,MATCH(AH1030,'LaunchPad Markbook'!D:D,0),0),"-"),"")</f>
        <v/>
      </c>
      <c r="D1030" s="27"/>
      <c r="E1030" s="27"/>
      <c r="F1030" s="27"/>
      <c r="G1030" s="14">
        <f>IF(OR(H1030&gt;AB$2,I1030&gt;AC$2,J1030&gt;AD$2,
P1030&gt;1,V1030&gt;1,
L1030&gt;'Group List A'!E$2,M1030&gt;'Group List A'!F$2,N1030&gt;'Group List A'!G$2,
R1030&gt;'Group List B'!E$2,S1030&gt;'Group List B'!F$2,T1030&gt;'Group List B'!G$2),"Exceed",
IF(OR(H1030=AB$2,I1030=AC$2,J1030=AD$2,
P1030=1,V1030=1,
L1030='Group List A'!E$2,M1030='Group List A'!F$2,N1030='Group List A'!G$2,
R1030='Group List B'!E$2,S1030='Group List B'!F$2,T1030='Group List B'!G$2),"Limit",0))</f>
        <v>0</v>
      </c>
      <c r="H1030" s="29">
        <f t="shared" si="242"/>
        <v>0</v>
      </c>
      <c r="I1030" s="29">
        <f t="shared" si="243"/>
        <v>0</v>
      </c>
      <c r="J1030" s="29">
        <f t="shared" si="244"/>
        <v>0</v>
      </c>
      <c r="K1030" s="32" t="str" cm="1">
        <f t="array" ref="K1030">IF(AF1030&lt;&gt;"",IFERROR(INDEX('Group List A'!B:B,MATCH(AI1030,'Group List A'!A:A,0),0),"-"),"")</f>
        <v/>
      </c>
      <c r="L1030" s="33">
        <f t="shared" si="245"/>
        <v>0</v>
      </c>
      <c r="M1030" s="33">
        <f t="shared" si="246"/>
        <v>0</v>
      </c>
      <c r="N1030" s="33">
        <f t="shared" si="247"/>
        <v>0</v>
      </c>
      <c r="O1030" s="28"/>
      <c r="P1030" s="33">
        <f t="shared" si="248"/>
        <v>0</v>
      </c>
      <c r="Q1030" s="35" t="str" cm="1">
        <f t="array" ref="Q1030">IF(AF1030&lt;&gt;"",IFERROR(INDEX('Group List B'!B:B,MATCH(AI1030,'Group List B'!A:A,0),0),"-"),"")</f>
        <v/>
      </c>
      <c r="R1030" s="36">
        <f t="shared" si="249"/>
        <v>0</v>
      </c>
      <c r="S1030" s="36">
        <f t="shared" si="250"/>
        <v>0</v>
      </c>
      <c r="T1030" s="36">
        <f t="shared" si="251"/>
        <v>0</v>
      </c>
      <c r="U1030" s="28"/>
      <c r="V1030" s="37">
        <f t="shared" si="252"/>
        <v>0</v>
      </c>
      <c r="W1030" s="41"/>
      <c r="X1030" s="27"/>
      <c r="Y1030" s="27"/>
      <c r="Z1030" s="27"/>
      <c r="AA1030" s="15"/>
      <c r="AB1030" s="17"/>
      <c r="AC1030" s="17"/>
      <c r="AD1030" s="17"/>
      <c r="AE1030" s="90"/>
      <c r="AF1030" s="82" t="str">
        <f t="shared" si="253"/>
        <v/>
      </c>
      <c r="AG1030" s="83" t="str">
        <f t="shared" si="254"/>
        <v/>
      </c>
      <c r="AH1030" s="82" t="str">
        <f t="shared" si="255"/>
        <v/>
      </c>
      <c r="AI1030" s="82" t="str">
        <f t="shared" si="256"/>
        <v/>
      </c>
      <c r="AJ1030" s="90"/>
      <c r="AP1030" s="88"/>
    </row>
    <row r="1031" spans="1:42" x14ac:dyDescent="0.25">
      <c r="A1031" s="2"/>
      <c r="C1031" s="68" t="str" cm="1">
        <f t="array" ref="C1031">IF(AF1031&lt;&gt;"",
IFERROR(INDEX('LaunchPad Markbook'!A:A,MATCH(AH1031,'LaunchPad Markbook'!D:D,0),0),"-"),"")</f>
        <v/>
      </c>
      <c r="D1031" s="27"/>
      <c r="E1031" s="27"/>
      <c r="F1031" s="27"/>
      <c r="G1031" s="14">
        <f>IF(OR(H1031&gt;AB$2,I1031&gt;AC$2,J1031&gt;AD$2,
P1031&gt;1,V1031&gt;1,
L1031&gt;'Group List A'!E$2,M1031&gt;'Group List A'!F$2,N1031&gt;'Group List A'!G$2,
R1031&gt;'Group List B'!E$2,S1031&gt;'Group List B'!F$2,T1031&gt;'Group List B'!G$2),"Exceed",
IF(OR(H1031=AB$2,I1031=AC$2,J1031=AD$2,
P1031=1,V1031=1,
L1031='Group List A'!E$2,M1031='Group List A'!F$2,N1031='Group List A'!G$2,
R1031='Group List B'!E$2,S1031='Group List B'!F$2,T1031='Group List B'!G$2),"Limit",0))</f>
        <v>0</v>
      </c>
      <c r="H1031" s="29">
        <f t="shared" si="242"/>
        <v>0</v>
      </c>
      <c r="I1031" s="29">
        <f t="shared" si="243"/>
        <v>0</v>
      </c>
      <c r="J1031" s="29">
        <f t="shared" si="244"/>
        <v>0</v>
      </c>
      <c r="K1031" s="32" t="str" cm="1">
        <f t="array" ref="K1031">IF(AF1031&lt;&gt;"",IFERROR(INDEX('Group List A'!B:B,MATCH(AI1031,'Group List A'!A:A,0),0),"-"),"")</f>
        <v/>
      </c>
      <c r="L1031" s="33">
        <f t="shared" si="245"/>
        <v>0</v>
      </c>
      <c r="M1031" s="33">
        <f t="shared" si="246"/>
        <v>0</v>
      </c>
      <c r="N1031" s="33">
        <f t="shared" si="247"/>
        <v>0</v>
      </c>
      <c r="O1031" s="28"/>
      <c r="P1031" s="33">
        <f t="shared" si="248"/>
        <v>0</v>
      </c>
      <c r="Q1031" s="35" t="str" cm="1">
        <f t="array" ref="Q1031">IF(AF1031&lt;&gt;"",IFERROR(INDEX('Group List B'!B:B,MATCH(AI1031,'Group List B'!A:A,0),0),"-"),"")</f>
        <v/>
      </c>
      <c r="R1031" s="36">
        <f t="shared" si="249"/>
        <v>0</v>
      </c>
      <c r="S1031" s="36">
        <f t="shared" si="250"/>
        <v>0</v>
      </c>
      <c r="T1031" s="36">
        <f t="shared" si="251"/>
        <v>0</v>
      </c>
      <c r="U1031" s="28"/>
      <c r="V1031" s="37">
        <f t="shared" si="252"/>
        <v>0</v>
      </c>
      <c r="W1031" s="41"/>
      <c r="X1031" s="27"/>
      <c r="Y1031" s="27"/>
      <c r="Z1031" s="27"/>
      <c r="AA1031" s="15"/>
      <c r="AB1031" s="17"/>
      <c r="AC1031" s="17"/>
      <c r="AD1031" s="17"/>
      <c r="AE1031" s="90"/>
      <c r="AF1031" s="82" t="str">
        <f t="shared" si="253"/>
        <v/>
      </c>
      <c r="AG1031" s="83" t="str">
        <f t="shared" si="254"/>
        <v/>
      </c>
      <c r="AH1031" s="82" t="str">
        <f t="shared" si="255"/>
        <v/>
      </c>
      <c r="AI1031" s="82" t="str">
        <f t="shared" si="256"/>
        <v/>
      </c>
      <c r="AJ1031" s="90"/>
      <c r="AP1031" s="88"/>
    </row>
    <row r="1032" spans="1:42" x14ac:dyDescent="0.25">
      <c r="A1032" s="2"/>
      <c r="C1032" s="68" t="str" cm="1">
        <f t="array" ref="C1032">IF(AF1032&lt;&gt;"",
IFERROR(INDEX('LaunchPad Markbook'!A:A,MATCH(AH1032,'LaunchPad Markbook'!D:D,0),0),"-"),"")</f>
        <v/>
      </c>
      <c r="D1032" s="27"/>
      <c r="E1032" s="27"/>
      <c r="F1032" s="27"/>
      <c r="G1032" s="14">
        <f>IF(OR(H1032&gt;AB$2,I1032&gt;AC$2,J1032&gt;AD$2,
P1032&gt;1,V1032&gt;1,
L1032&gt;'Group List A'!E$2,M1032&gt;'Group List A'!F$2,N1032&gt;'Group List A'!G$2,
R1032&gt;'Group List B'!E$2,S1032&gt;'Group List B'!F$2,T1032&gt;'Group List B'!G$2),"Exceed",
IF(OR(H1032=AB$2,I1032=AC$2,J1032=AD$2,
P1032=1,V1032=1,
L1032='Group List A'!E$2,M1032='Group List A'!F$2,N1032='Group List A'!G$2,
R1032='Group List B'!E$2,S1032='Group List B'!F$2,T1032='Group List B'!G$2),"Limit",0))</f>
        <v>0</v>
      </c>
      <c r="H1032" s="29">
        <f t="shared" si="242"/>
        <v>0</v>
      </c>
      <c r="I1032" s="29">
        <f t="shared" si="243"/>
        <v>0</v>
      </c>
      <c r="J1032" s="29">
        <f t="shared" si="244"/>
        <v>0</v>
      </c>
      <c r="K1032" s="32" t="str" cm="1">
        <f t="array" ref="K1032">IF(AF1032&lt;&gt;"",IFERROR(INDEX('Group List A'!B:B,MATCH(AI1032,'Group List A'!A:A,0),0),"-"),"")</f>
        <v/>
      </c>
      <c r="L1032" s="33">
        <f t="shared" si="245"/>
        <v>0</v>
      </c>
      <c r="M1032" s="33">
        <f t="shared" si="246"/>
        <v>0</v>
      </c>
      <c r="N1032" s="33">
        <f t="shared" si="247"/>
        <v>0</v>
      </c>
      <c r="O1032" s="28"/>
      <c r="P1032" s="33">
        <f t="shared" si="248"/>
        <v>0</v>
      </c>
      <c r="Q1032" s="35" t="str" cm="1">
        <f t="array" ref="Q1032">IF(AF1032&lt;&gt;"",IFERROR(INDEX('Group List B'!B:B,MATCH(AI1032,'Group List B'!A:A,0),0),"-"),"")</f>
        <v/>
      </c>
      <c r="R1032" s="36">
        <f t="shared" si="249"/>
        <v>0</v>
      </c>
      <c r="S1032" s="36">
        <f t="shared" si="250"/>
        <v>0</v>
      </c>
      <c r="T1032" s="36">
        <f t="shared" si="251"/>
        <v>0</v>
      </c>
      <c r="U1032" s="28"/>
      <c r="V1032" s="37">
        <f t="shared" si="252"/>
        <v>0</v>
      </c>
      <c r="W1032" s="41"/>
      <c r="X1032" s="27"/>
      <c r="Y1032" s="27"/>
      <c r="Z1032" s="27"/>
      <c r="AA1032" s="15"/>
      <c r="AB1032" s="17"/>
      <c r="AC1032" s="17"/>
      <c r="AD1032" s="17"/>
      <c r="AE1032" s="90"/>
      <c r="AF1032" s="82" t="str">
        <f t="shared" si="253"/>
        <v/>
      </c>
      <c r="AG1032" s="83" t="str">
        <f t="shared" si="254"/>
        <v/>
      </c>
      <c r="AH1032" s="82" t="str">
        <f t="shared" si="255"/>
        <v/>
      </c>
      <c r="AI1032" s="82" t="str">
        <f t="shared" si="256"/>
        <v/>
      </c>
      <c r="AJ1032" s="90"/>
      <c r="AP1032" s="88"/>
    </row>
    <row r="1033" spans="1:42" x14ac:dyDescent="0.25">
      <c r="A1033" s="2"/>
      <c r="C1033" s="68" t="str" cm="1">
        <f t="array" ref="C1033">IF(AF1033&lt;&gt;"",
IFERROR(INDEX('LaunchPad Markbook'!A:A,MATCH(AH1033,'LaunchPad Markbook'!D:D,0),0),"-"),"")</f>
        <v/>
      </c>
      <c r="D1033" s="27"/>
      <c r="E1033" s="27"/>
      <c r="F1033" s="27"/>
      <c r="G1033" s="14">
        <f>IF(OR(H1033&gt;AB$2,I1033&gt;AC$2,J1033&gt;AD$2,
P1033&gt;1,V1033&gt;1,
L1033&gt;'Group List A'!E$2,M1033&gt;'Group List A'!F$2,N1033&gt;'Group List A'!G$2,
R1033&gt;'Group List B'!E$2,S1033&gt;'Group List B'!F$2,T1033&gt;'Group List B'!G$2),"Exceed",
IF(OR(H1033=AB$2,I1033=AC$2,J1033=AD$2,
P1033=1,V1033=1,
L1033='Group List A'!E$2,M1033='Group List A'!F$2,N1033='Group List A'!G$2,
R1033='Group List B'!E$2,S1033='Group List B'!F$2,T1033='Group List B'!G$2),"Limit",0))</f>
        <v>0</v>
      </c>
      <c r="H1033" s="29">
        <f t="shared" si="242"/>
        <v>0</v>
      </c>
      <c r="I1033" s="29">
        <f t="shared" si="243"/>
        <v>0</v>
      </c>
      <c r="J1033" s="29">
        <f t="shared" si="244"/>
        <v>0</v>
      </c>
      <c r="K1033" s="32" t="str" cm="1">
        <f t="array" ref="K1033">IF(AF1033&lt;&gt;"",IFERROR(INDEX('Group List A'!B:B,MATCH(AI1033,'Group List A'!A:A,0),0),"-"),"")</f>
        <v/>
      </c>
      <c r="L1033" s="33">
        <f t="shared" si="245"/>
        <v>0</v>
      </c>
      <c r="M1033" s="33">
        <f t="shared" si="246"/>
        <v>0</v>
      </c>
      <c r="N1033" s="33">
        <f t="shared" si="247"/>
        <v>0</v>
      </c>
      <c r="O1033" s="28"/>
      <c r="P1033" s="33">
        <f t="shared" si="248"/>
        <v>0</v>
      </c>
      <c r="Q1033" s="35" t="str" cm="1">
        <f t="array" ref="Q1033">IF(AF1033&lt;&gt;"",IFERROR(INDEX('Group List B'!B:B,MATCH(AI1033,'Group List B'!A:A,0),0),"-"),"")</f>
        <v/>
      </c>
      <c r="R1033" s="36">
        <f t="shared" si="249"/>
        <v>0</v>
      </c>
      <c r="S1033" s="36">
        <f t="shared" si="250"/>
        <v>0</v>
      </c>
      <c r="T1033" s="36">
        <f t="shared" si="251"/>
        <v>0</v>
      </c>
      <c r="U1033" s="28"/>
      <c r="V1033" s="37">
        <f t="shared" si="252"/>
        <v>0</v>
      </c>
      <c r="W1033" s="41"/>
      <c r="X1033" s="27"/>
      <c r="Y1033" s="27"/>
      <c r="Z1033" s="27"/>
      <c r="AA1033" s="15"/>
      <c r="AB1033" s="17"/>
      <c r="AC1033" s="17"/>
      <c r="AD1033" s="17"/>
      <c r="AE1033" s="90"/>
      <c r="AF1033" s="82" t="str">
        <f t="shared" si="253"/>
        <v/>
      </c>
      <c r="AG1033" s="83" t="str">
        <f t="shared" si="254"/>
        <v/>
      </c>
      <c r="AH1033" s="82" t="str">
        <f t="shared" si="255"/>
        <v/>
      </c>
      <c r="AI1033" s="82" t="str">
        <f t="shared" si="256"/>
        <v/>
      </c>
      <c r="AJ1033" s="90"/>
      <c r="AP1033" s="88"/>
    </row>
    <row r="1034" spans="1:42" x14ac:dyDescent="0.25">
      <c r="A1034" s="2"/>
      <c r="C1034" s="68" t="str" cm="1">
        <f t="array" ref="C1034">IF(AF1034&lt;&gt;"",
IFERROR(INDEX('LaunchPad Markbook'!A:A,MATCH(AH1034,'LaunchPad Markbook'!D:D,0),0),"-"),"")</f>
        <v/>
      </c>
      <c r="D1034" s="27"/>
      <c r="E1034" s="27"/>
      <c r="F1034" s="27"/>
      <c r="G1034" s="14">
        <f>IF(OR(H1034&gt;AB$2,I1034&gt;AC$2,J1034&gt;AD$2,
P1034&gt;1,V1034&gt;1,
L1034&gt;'Group List A'!E$2,M1034&gt;'Group List A'!F$2,N1034&gt;'Group List A'!G$2,
R1034&gt;'Group List B'!E$2,S1034&gt;'Group List B'!F$2,T1034&gt;'Group List B'!G$2),"Exceed",
IF(OR(H1034=AB$2,I1034=AC$2,J1034=AD$2,
P1034=1,V1034=1,
L1034='Group List A'!E$2,M1034='Group List A'!F$2,N1034='Group List A'!G$2,
R1034='Group List B'!E$2,S1034='Group List B'!F$2,T1034='Group List B'!G$2),"Limit",0))</f>
        <v>0</v>
      </c>
      <c r="H1034" s="29">
        <f t="shared" si="242"/>
        <v>0</v>
      </c>
      <c r="I1034" s="29">
        <f t="shared" si="243"/>
        <v>0</v>
      </c>
      <c r="J1034" s="29">
        <f t="shared" si="244"/>
        <v>0</v>
      </c>
      <c r="K1034" s="32" t="str" cm="1">
        <f t="array" ref="K1034">IF(AF1034&lt;&gt;"",IFERROR(INDEX('Group List A'!B:B,MATCH(AI1034,'Group List A'!A:A,0),0),"-"),"")</f>
        <v/>
      </c>
      <c r="L1034" s="33">
        <f t="shared" si="245"/>
        <v>0</v>
      </c>
      <c r="M1034" s="33">
        <f t="shared" si="246"/>
        <v>0</v>
      </c>
      <c r="N1034" s="33">
        <f t="shared" si="247"/>
        <v>0</v>
      </c>
      <c r="O1034" s="28"/>
      <c r="P1034" s="33">
        <f t="shared" si="248"/>
        <v>0</v>
      </c>
      <c r="Q1034" s="35" t="str" cm="1">
        <f t="array" ref="Q1034">IF(AF1034&lt;&gt;"",IFERROR(INDEX('Group List B'!B:B,MATCH(AI1034,'Group List B'!A:A,0),0),"-"),"")</f>
        <v/>
      </c>
      <c r="R1034" s="36">
        <f t="shared" si="249"/>
        <v>0</v>
      </c>
      <c r="S1034" s="36">
        <f t="shared" si="250"/>
        <v>0</v>
      </c>
      <c r="T1034" s="36">
        <f t="shared" si="251"/>
        <v>0</v>
      </c>
      <c r="U1034" s="28"/>
      <c r="V1034" s="37">
        <f t="shared" si="252"/>
        <v>0</v>
      </c>
      <c r="W1034" s="41"/>
      <c r="X1034" s="27"/>
      <c r="Y1034" s="27"/>
      <c r="Z1034" s="27"/>
      <c r="AA1034" s="15"/>
      <c r="AB1034" s="17"/>
      <c r="AC1034" s="17"/>
      <c r="AD1034" s="17"/>
      <c r="AE1034" s="90"/>
      <c r="AF1034" s="82" t="str">
        <f t="shared" si="253"/>
        <v/>
      </c>
      <c r="AG1034" s="83" t="str">
        <f t="shared" si="254"/>
        <v/>
      </c>
      <c r="AH1034" s="82" t="str">
        <f t="shared" si="255"/>
        <v/>
      </c>
      <c r="AI1034" s="82" t="str">
        <f t="shared" si="256"/>
        <v/>
      </c>
      <c r="AJ1034" s="90"/>
      <c r="AP1034" s="88"/>
    </row>
    <row r="1035" spans="1:42" x14ac:dyDescent="0.25">
      <c r="A1035" s="2"/>
      <c r="C1035" s="68" t="str" cm="1">
        <f t="array" ref="C1035">IF(AF1035&lt;&gt;"",
IFERROR(INDEX('LaunchPad Markbook'!A:A,MATCH(AH1035,'LaunchPad Markbook'!D:D,0),0),"-"),"")</f>
        <v/>
      </c>
      <c r="D1035" s="27"/>
      <c r="E1035" s="27"/>
      <c r="F1035" s="27"/>
      <c r="G1035" s="14">
        <f>IF(OR(H1035&gt;AB$2,I1035&gt;AC$2,J1035&gt;AD$2,
P1035&gt;1,V1035&gt;1,
L1035&gt;'Group List A'!E$2,M1035&gt;'Group List A'!F$2,N1035&gt;'Group List A'!G$2,
R1035&gt;'Group List B'!E$2,S1035&gt;'Group List B'!F$2,T1035&gt;'Group List B'!G$2),"Exceed",
IF(OR(H1035=AB$2,I1035=AC$2,J1035=AD$2,
P1035=1,V1035=1,
L1035='Group List A'!E$2,M1035='Group List A'!F$2,N1035='Group List A'!G$2,
R1035='Group List B'!E$2,S1035='Group List B'!F$2,T1035='Group List B'!G$2),"Limit",0))</f>
        <v>0</v>
      </c>
      <c r="H1035" s="29">
        <f t="shared" si="242"/>
        <v>0</v>
      </c>
      <c r="I1035" s="29">
        <f t="shared" si="243"/>
        <v>0</v>
      </c>
      <c r="J1035" s="29">
        <f t="shared" si="244"/>
        <v>0</v>
      </c>
      <c r="K1035" s="32" t="str" cm="1">
        <f t="array" ref="K1035">IF(AF1035&lt;&gt;"",IFERROR(INDEX('Group List A'!B:B,MATCH(AI1035,'Group List A'!A:A,0),0),"-"),"")</f>
        <v/>
      </c>
      <c r="L1035" s="33">
        <f t="shared" si="245"/>
        <v>0</v>
      </c>
      <c r="M1035" s="33">
        <f t="shared" si="246"/>
        <v>0</v>
      </c>
      <c r="N1035" s="33">
        <f t="shared" si="247"/>
        <v>0</v>
      </c>
      <c r="O1035" s="28"/>
      <c r="P1035" s="33">
        <f t="shared" si="248"/>
        <v>0</v>
      </c>
      <c r="Q1035" s="35" t="str" cm="1">
        <f t="array" ref="Q1035">IF(AF1035&lt;&gt;"",IFERROR(INDEX('Group List B'!B:B,MATCH(AI1035,'Group List B'!A:A,0),0),"-"),"")</f>
        <v/>
      </c>
      <c r="R1035" s="36">
        <f t="shared" si="249"/>
        <v>0</v>
      </c>
      <c r="S1035" s="36">
        <f t="shared" si="250"/>
        <v>0</v>
      </c>
      <c r="T1035" s="36">
        <f t="shared" si="251"/>
        <v>0</v>
      </c>
      <c r="U1035" s="28"/>
      <c r="V1035" s="37">
        <f t="shared" si="252"/>
        <v>0</v>
      </c>
      <c r="W1035" s="41"/>
      <c r="X1035" s="27"/>
      <c r="Y1035" s="27"/>
      <c r="Z1035" s="27"/>
      <c r="AA1035" s="15"/>
      <c r="AB1035" s="17"/>
      <c r="AC1035" s="17"/>
      <c r="AD1035" s="17"/>
      <c r="AE1035" s="90"/>
      <c r="AF1035" s="82" t="str">
        <f t="shared" si="253"/>
        <v/>
      </c>
      <c r="AG1035" s="83" t="str">
        <f t="shared" si="254"/>
        <v/>
      </c>
      <c r="AH1035" s="82" t="str">
        <f t="shared" si="255"/>
        <v/>
      </c>
      <c r="AI1035" s="82" t="str">
        <f t="shared" si="256"/>
        <v/>
      </c>
      <c r="AJ1035" s="90"/>
      <c r="AP1035" s="88"/>
    </row>
    <row r="1036" spans="1:42" x14ac:dyDescent="0.25">
      <c r="A1036" s="2"/>
      <c r="C1036" s="68" t="str" cm="1">
        <f t="array" ref="C1036">IF(AF1036&lt;&gt;"",
IFERROR(INDEX('LaunchPad Markbook'!A:A,MATCH(AH1036,'LaunchPad Markbook'!D:D,0),0),"-"),"")</f>
        <v/>
      </c>
      <c r="D1036" s="27"/>
      <c r="E1036" s="27"/>
      <c r="F1036" s="27"/>
      <c r="G1036" s="14">
        <f>IF(OR(H1036&gt;AB$2,I1036&gt;AC$2,J1036&gt;AD$2,
P1036&gt;1,V1036&gt;1,
L1036&gt;'Group List A'!E$2,M1036&gt;'Group List A'!F$2,N1036&gt;'Group List A'!G$2,
R1036&gt;'Group List B'!E$2,S1036&gt;'Group List B'!F$2,T1036&gt;'Group List B'!G$2),"Exceed",
IF(OR(H1036=AB$2,I1036=AC$2,J1036=AD$2,
P1036=1,V1036=1,
L1036='Group List A'!E$2,M1036='Group List A'!F$2,N1036='Group List A'!G$2,
R1036='Group List B'!E$2,S1036='Group List B'!F$2,T1036='Group List B'!G$2),"Limit",0))</f>
        <v>0</v>
      </c>
      <c r="H1036" s="29">
        <f t="shared" si="242"/>
        <v>0</v>
      </c>
      <c r="I1036" s="29">
        <f t="shared" si="243"/>
        <v>0</v>
      </c>
      <c r="J1036" s="29">
        <f t="shared" si="244"/>
        <v>0</v>
      </c>
      <c r="K1036" s="32" t="str" cm="1">
        <f t="array" ref="K1036">IF(AF1036&lt;&gt;"",IFERROR(INDEX('Group List A'!B:B,MATCH(AI1036,'Group List A'!A:A,0),0),"-"),"")</f>
        <v/>
      </c>
      <c r="L1036" s="33">
        <f t="shared" si="245"/>
        <v>0</v>
      </c>
      <c r="M1036" s="33">
        <f t="shared" si="246"/>
        <v>0</v>
      </c>
      <c r="N1036" s="33">
        <f t="shared" si="247"/>
        <v>0</v>
      </c>
      <c r="O1036" s="28"/>
      <c r="P1036" s="33">
        <f t="shared" si="248"/>
        <v>0</v>
      </c>
      <c r="Q1036" s="35" t="str" cm="1">
        <f t="array" ref="Q1036">IF(AF1036&lt;&gt;"",IFERROR(INDEX('Group List B'!B:B,MATCH(AI1036,'Group List B'!A:A,0),0),"-"),"")</f>
        <v/>
      </c>
      <c r="R1036" s="36">
        <f t="shared" si="249"/>
        <v>0</v>
      </c>
      <c r="S1036" s="36">
        <f t="shared" si="250"/>
        <v>0</v>
      </c>
      <c r="T1036" s="36">
        <f t="shared" si="251"/>
        <v>0</v>
      </c>
      <c r="U1036" s="28"/>
      <c r="V1036" s="37">
        <f t="shared" si="252"/>
        <v>0</v>
      </c>
      <c r="W1036" s="41"/>
      <c r="X1036" s="27"/>
      <c r="Y1036" s="27"/>
      <c r="Z1036" s="27"/>
      <c r="AA1036" s="15"/>
      <c r="AB1036" s="17"/>
      <c r="AC1036" s="17"/>
      <c r="AD1036" s="17"/>
      <c r="AE1036" s="90"/>
      <c r="AF1036" s="82" t="str">
        <f t="shared" si="253"/>
        <v/>
      </c>
      <c r="AG1036" s="83" t="str">
        <f t="shared" si="254"/>
        <v/>
      </c>
      <c r="AH1036" s="82" t="str">
        <f t="shared" si="255"/>
        <v/>
      </c>
      <c r="AI1036" s="82" t="str">
        <f t="shared" si="256"/>
        <v/>
      </c>
      <c r="AJ1036" s="90"/>
      <c r="AP1036" s="88"/>
    </row>
    <row r="1037" spans="1:42" x14ac:dyDescent="0.25">
      <c r="A1037" s="2"/>
      <c r="C1037" s="68" t="str" cm="1">
        <f t="array" ref="C1037">IF(AF1037&lt;&gt;"",
IFERROR(INDEX('LaunchPad Markbook'!A:A,MATCH(AH1037,'LaunchPad Markbook'!D:D,0),0),"-"),"")</f>
        <v/>
      </c>
      <c r="D1037" s="27"/>
      <c r="E1037" s="27"/>
      <c r="F1037" s="27"/>
      <c r="G1037" s="14">
        <f>IF(OR(H1037&gt;AB$2,I1037&gt;AC$2,J1037&gt;AD$2,
P1037&gt;1,V1037&gt;1,
L1037&gt;'Group List A'!E$2,M1037&gt;'Group List A'!F$2,N1037&gt;'Group List A'!G$2,
R1037&gt;'Group List B'!E$2,S1037&gt;'Group List B'!F$2,T1037&gt;'Group List B'!G$2),"Exceed",
IF(OR(H1037=AB$2,I1037=AC$2,J1037=AD$2,
P1037=1,V1037=1,
L1037='Group List A'!E$2,M1037='Group List A'!F$2,N1037='Group List A'!G$2,
R1037='Group List B'!E$2,S1037='Group List B'!F$2,T1037='Group List B'!G$2),"Limit",0))</f>
        <v>0</v>
      </c>
      <c r="H1037" s="29">
        <f t="shared" si="242"/>
        <v>0</v>
      </c>
      <c r="I1037" s="29">
        <f t="shared" si="243"/>
        <v>0</v>
      </c>
      <c r="J1037" s="29">
        <f t="shared" si="244"/>
        <v>0</v>
      </c>
      <c r="K1037" s="32" t="str" cm="1">
        <f t="array" ref="K1037">IF(AF1037&lt;&gt;"",IFERROR(INDEX('Group List A'!B:B,MATCH(AI1037,'Group List A'!A:A,0),0),"-"),"")</f>
        <v/>
      </c>
      <c r="L1037" s="33">
        <f t="shared" si="245"/>
        <v>0</v>
      </c>
      <c r="M1037" s="33">
        <f t="shared" si="246"/>
        <v>0</v>
      </c>
      <c r="N1037" s="33">
        <f t="shared" si="247"/>
        <v>0</v>
      </c>
      <c r="O1037" s="28"/>
      <c r="P1037" s="33">
        <f t="shared" si="248"/>
        <v>0</v>
      </c>
      <c r="Q1037" s="35" t="str" cm="1">
        <f t="array" ref="Q1037">IF(AF1037&lt;&gt;"",IFERROR(INDEX('Group List B'!B:B,MATCH(AI1037,'Group List B'!A:A,0),0),"-"),"")</f>
        <v/>
      </c>
      <c r="R1037" s="36">
        <f t="shared" si="249"/>
        <v>0</v>
      </c>
      <c r="S1037" s="36">
        <f t="shared" si="250"/>
        <v>0</v>
      </c>
      <c r="T1037" s="36">
        <f t="shared" si="251"/>
        <v>0</v>
      </c>
      <c r="U1037" s="28"/>
      <c r="V1037" s="37">
        <f t="shared" si="252"/>
        <v>0</v>
      </c>
      <c r="W1037" s="41"/>
      <c r="X1037" s="27"/>
      <c r="Y1037" s="27"/>
      <c r="Z1037" s="27"/>
      <c r="AA1037" s="15"/>
      <c r="AB1037" s="17"/>
      <c r="AC1037" s="17"/>
      <c r="AD1037" s="17"/>
      <c r="AE1037" s="90"/>
      <c r="AF1037" s="82" t="str">
        <f t="shared" si="253"/>
        <v/>
      </c>
      <c r="AG1037" s="83" t="str">
        <f t="shared" si="254"/>
        <v/>
      </c>
      <c r="AH1037" s="82" t="str">
        <f t="shared" si="255"/>
        <v/>
      </c>
      <c r="AI1037" s="82" t="str">
        <f t="shared" si="256"/>
        <v/>
      </c>
      <c r="AJ1037" s="90"/>
      <c r="AP1037" s="88"/>
    </row>
    <row r="1038" spans="1:42" x14ac:dyDescent="0.25">
      <c r="A1038" s="2"/>
      <c r="C1038" s="68" t="str" cm="1">
        <f t="array" ref="C1038">IF(AF1038&lt;&gt;"",
IFERROR(INDEX('LaunchPad Markbook'!A:A,MATCH(AH1038,'LaunchPad Markbook'!D:D,0),0),"-"),"")</f>
        <v/>
      </c>
      <c r="D1038" s="27"/>
      <c r="E1038" s="27"/>
      <c r="F1038" s="27"/>
      <c r="G1038" s="14">
        <f>IF(OR(H1038&gt;AB$2,I1038&gt;AC$2,J1038&gt;AD$2,
P1038&gt;1,V1038&gt;1,
L1038&gt;'Group List A'!E$2,M1038&gt;'Group List A'!F$2,N1038&gt;'Group List A'!G$2,
R1038&gt;'Group List B'!E$2,S1038&gt;'Group List B'!F$2,T1038&gt;'Group List B'!G$2),"Exceed",
IF(OR(H1038=AB$2,I1038=AC$2,J1038=AD$2,
P1038=1,V1038=1,
L1038='Group List A'!E$2,M1038='Group List A'!F$2,N1038='Group List A'!G$2,
R1038='Group List B'!E$2,S1038='Group List B'!F$2,T1038='Group List B'!G$2),"Limit",0))</f>
        <v>0</v>
      </c>
      <c r="H1038" s="29">
        <f t="shared" si="242"/>
        <v>0</v>
      </c>
      <c r="I1038" s="29">
        <f t="shared" si="243"/>
        <v>0</v>
      </c>
      <c r="J1038" s="29">
        <f t="shared" si="244"/>
        <v>0</v>
      </c>
      <c r="K1038" s="32" t="str" cm="1">
        <f t="array" ref="K1038">IF(AF1038&lt;&gt;"",IFERROR(INDEX('Group List A'!B:B,MATCH(AI1038,'Group List A'!A:A,0),0),"-"),"")</f>
        <v/>
      </c>
      <c r="L1038" s="33">
        <f t="shared" si="245"/>
        <v>0</v>
      </c>
      <c r="M1038" s="33">
        <f t="shared" si="246"/>
        <v>0</v>
      </c>
      <c r="N1038" s="33">
        <f t="shared" si="247"/>
        <v>0</v>
      </c>
      <c r="O1038" s="28"/>
      <c r="P1038" s="33">
        <f t="shared" si="248"/>
        <v>0</v>
      </c>
      <c r="Q1038" s="35" t="str" cm="1">
        <f t="array" ref="Q1038">IF(AF1038&lt;&gt;"",IFERROR(INDEX('Group List B'!B:B,MATCH(AI1038,'Group List B'!A:A,0),0),"-"),"")</f>
        <v/>
      </c>
      <c r="R1038" s="36">
        <f t="shared" si="249"/>
        <v>0</v>
      </c>
      <c r="S1038" s="36">
        <f t="shared" si="250"/>
        <v>0</v>
      </c>
      <c r="T1038" s="36">
        <f t="shared" si="251"/>
        <v>0</v>
      </c>
      <c r="U1038" s="28"/>
      <c r="V1038" s="37">
        <f t="shared" si="252"/>
        <v>0</v>
      </c>
      <c r="W1038" s="41"/>
      <c r="X1038" s="27"/>
      <c r="Y1038" s="27"/>
      <c r="Z1038" s="27"/>
      <c r="AA1038" s="15"/>
      <c r="AB1038" s="17"/>
      <c r="AC1038" s="17"/>
      <c r="AD1038" s="17"/>
      <c r="AE1038" s="90"/>
      <c r="AF1038" s="82" t="str">
        <f t="shared" si="253"/>
        <v/>
      </c>
      <c r="AG1038" s="83" t="str">
        <f t="shared" si="254"/>
        <v/>
      </c>
      <c r="AH1038" s="82" t="str">
        <f t="shared" si="255"/>
        <v/>
      </c>
      <c r="AI1038" s="82" t="str">
        <f t="shared" si="256"/>
        <v/>
      </c>
      <c r="AJ1038" s="90"/>
      <c r="AP1038" s="88"/>
    </row>
    <row r="1039" spans="1:42" x14ac:dyDescent="0.25">
      <c r="A1039" s="2"/>
      <c r="C1039" s="68" t="str" cm="1">
        <f t="array" ref="C1039">IF(AF1039&lt;&gt;"",
IFERROR(INDEX('LaunchPad Markbook'!A:A,MATCH(AH1039,'LaunchPad Markbook'!D:D,0),0),"-"),"")</f>
        <v/>
      </c>
      <c r="D1039" s="27"/>
      <c r="E1039" s="27"/>
      <c r="F1039" s="27"/>
      <c r="G1039" s="14">
        <f>IF(OR(H1039&gt;AB$2,I1039&gt;AC$2,J1039&gt;AD$2,
P1039&gt;1,V1039&gt;1,
L1039&gt;'Group List A'!E$2,M1039&gt;'Group List A'!F$2,N1039&gt;'Group List A'!G$2,
R1039&gt;'Group List B'!E$2,S1039&gt;'Group List B'!F$2,T1039&gt;'Group List B'!G$2),"Exceed",
IF(OR(H1039=AB$2,I1039=AC$2,J1039=AD$2,
P1039=1,V1039=1,
L1039='Group List A'!E$2,M1039='Group List A'!F$2,N1039='Group List A'!G$2,
R1039='Group List B'!E$2,S1039='Group List B'!F$2,T1039='Group List B'!G$2),"Limit",0))</f>
        <v>0</v>
      </c>
      <c r="H1039" s="29">
        <f t="shared" si="242"/>
        <v>0</v>
      </c>
      <c r="I1039" s="29">
        <f t="shared" si="243"/>
        <v>0</v>
      </c>
      <c r="J1039" s="29">
        <f t="shared" si="244"/>
        <v>0</v>
      </c>
      <c r="K1039" s="32" t="str" cm="1">
        <f t="array" ref="K1039">IF(AF1039&lt;&gt;"",IFERROR(INDEX('Group List A'!B:B,MATCH(AI1039,'Group List A'!A:A,0),0),"-"),"")</f>
        <v/>
      </c>
      <c r="L1039" s="33">
        <f t="shared" si="245"/>
        <v>0</v>
      </c>
      <c r="M1039" s="33">
        <f t="shared" si="246"/>
        <v>0</v>
      </c>
      <c r="N1039" s="33">
        <f t="shared" si="247"/>
        <v>0</v>
      </c>
      <c r="O1039" s="28"/>
      <c r="P1039" s="33">
        <f t="shared" si="248"/>
        <v>0</v>
      </c>
      <c r="Q1039" s="35" t="str" cm="1">
        <f t="array" ref="Q1039">IF(AF1039&lt;&gt;"",IFERROR(INDEX('Group List B'!B:B,MATCH(AI1039,'Group List B'!A:A,0),0),"-"),"")</f>
        <v/>
      </c>
      <c r="R1039" s="36">
        <f t="shared" si="249"/>
        <v>0</v>
      </c>
      <c r="S1039" s="36">
        <f t="shared" si="250"/>
        <v>0</v>
      </c>
      <c r="T1039" s="36">
        <f t="shared" si="251"/>
        <v>0</v>
      </c>
      <c r="U1039" s="28"/>
      <c r="V1039" s="37">
        <f t="shared" si="252"/>
        <v>0</v>
      </c>
      <c r="W1039" s="41"/>
      <c r="X1039" s="27"/>
      <c r="Y1039" s="27"/>
      <c r="Z1039" s="27"/>
      <c r="AA1039" s="15"/>
      <c r="AB1039" s="17"/>
      <c r="AC1039" s="17"/>
      <c r="AD1039" s="17"/>
      <c r="AE1039" s="90"/>
      <c r="AF1039" s="82" t="str">
        <f t="shared" si="253"/>
        <v/>
      </c>
      <c r="AG1039" s="83" t="str">
        <f t="shared" si="254"/>
        <v/>
      </c>
      <c r="AH1039" s="82" t="str">
        <f t="shared" si="255"/>
        <v/>
      </c>
      <c r="AI1039" s="82" t="str">
        <f t="shared" si="256"/>
        <v/>
      </c>
      <c r="AJ1039" s="90"/>
      <c r="AP1039" s="88"/>
    </row>
    <row r="1040" spans="1:42" x14ac:dyDescent="0.25">
      <c r="A1040" s="2"/>
      <c r="C1040" s="68" t="str" cm="1">
        <f t="array" ref="C1040">IF(AF1040&lt;&gt;"",
IFERROR(INDEX('LaunchPad Markbook'!A:A,MATCH(AH1040,'LaunchPad Markbook'!D:D,0),0),"-"),"")</f>
        <v/>
      </c>
      <c r="D1040" s="27"/>
      <c r="E1040" s="27"/>
      <c r="F1040" s="27"/>
      <c r="G1040" s="14">
        <f>IF(OR(H1040&gt;AB$2,I1040&gt;AC$2,J1040&gt;AD$2,
P1040&gt;1,V1040&gt;1,
L1040&gt;'Group List A'!E$2,M1040&gt;'Group List A'!F$2,N1040&gt;'Group List A'!G$2,
R1040&gt;'Group List B'!E$2,S1040&gt;'Group List B'!F$2,T1040&gt;'Group List B'!G$2),"Exceed",
IF(OR(H1040=AB$2,I1040=AC$2,J1040=AD$2,
P1040=1,V1040=1,
L1040='Group List A'!E$2,M1040='Group List A'!F$2,N1040='Group List A'!G$2,
R1040='Group List B'!E$2,S1040='Group List B'!F$2,T1040='Group List B'!G$2),"Limit",0))</f>
        <v>0</v>
      </c>
      <c r="H1040" s="29">
        <f t="shared" si="242"/>
        <v>0</v>
      </c>
      <c r="I1040" s="29">
        <f t="shared" si="243"/>
        <v>0</v>
      </c>
      <c r="J1040" s="29">
        <f t="shared" si="244"/>
        <v>0</v>
      </c>
      <c r="K1040" s="32" t="str" cm="1">
        <f t="array" ref="K1040">IF(AF1040&lt;&gt;"",IFERROR(INDEX('Group List A'!B:B,MATCH(AI1040,'Group List A'!A:A,0),0),"-"),"")</f>
        <v/>
      </c>
      <c r="L1040" s="33">
        <f t="shared" si="245"/>
        <v>0</v>
      </c>
      <c r="M1040" s="33">
        <f t="shared" si="246"/>
        <v>0</v>
      </c>
      <c r="N1040" s="33">
        <f t="shared" si="247"/>
        <v>0</v>
      </c>
      <c r="O1040" s="28"/>
      <c r="P1040" s="33">
        <f t="shared" si="248"/>
        <v>0</v>
      </c>
      <c r="Q1040" s="35" t="str" cm="1">
        <f t="array" ref="Q1040">IF(AF1040&lt;&gt;"",IFERROR(INDEX('Group List B'!B:B,MATCH(AI1040,'Group List B'!A:A,0),0),"-"),"")</f>
        <v/>
      </c>
      <c r="R1040" s="36">
        <f t="shared" si="249"/>
        <v>0</v>
      </c>
      <c r="S1040" s="36">
        <f t="shared" si="250"/>
        <v>0</v>
      </c>
      <c r="T1040" s="36">
        <f t="shared" si="251"/>
        <v>0</v>
      </c>
      <c r="U1040" s="28"/>
      <c r="V1040" s="37">
        <f t="shared" si="252"/>
        <v>0</v>
      </c>
      <c r="W1040" s="41"/>
      <c r="X1040" s="27"/>
      <c r="Y1040" s="27"/>
      <c r="Z1040" s="27"/>
      <c r="AA1040" s="15"/>
      <c r="AB1040" s="17"/>
      <c r="AC1040" s="17"/>
      <c r="AD1040" s="17"/>
      <c r="AE1040" s="90"/>
      <c r="AF1040" s="82" t="str">
        <f t="shared" si="253"/>
        <v/>
      </c>
      <c r="AG1040" s="83" t="str">
        <f t="shared" si="254"/>
        <v/>
      </c>
      <c r="AH1040" s="82" t="str">
        <f t="shared" si="255"/>
        <v/>
      </c>
      <c r="AI1040" s="82" t="str">
        <f t="shared" si="256"/>
        <v/>
      </c>
      <c r="AJ1040" s="90"/>
      <c r="AP1040" s="88"/>
    </row>
    <row r="1041" spans="1:42" x14ac:dyDescent="0.25">
      <c r="A1041" s="2"/>
      <c r="C1041" s="68" t="str" cm="1">
        <f t="array" ref="C1041">IF(AF1041&lt;&gt;"",
IFERROR(INDEX('LaunchPad Markbook'!A:A,MATCH(AH1041,'LaunchPad Markbook'!D:D,0),0),"-"),"")</f>
        <v/>
      </c>
      <c r="D1041" s="27"/>
      <c r="E1041" s="27"/>
      <c r="F1041" s="27"/>
      <c r="G1041" s="14">
        <f>IF(OR(H1041&gt;AB$2,I1041&gt;AC$2,J1041&gt;AD$2,
P1041&gt;1,V1041&gt;1,
L1041&gt;'Group List A'!E$2,M1041&gt;'Group List A'!F$2,N1041&gt;'Group List A'!G$2,
R1041&gt;'Group List B'!E$2,S1041&gt;'Group List B'!F$2,T1041&gt;'Group List B'!G$2),"Exceed",
IF(OR(H1041=AB$2,I1041=AC$2,J1041=AD$2,
P1041=1,V1041=1,
L1041='Group List A'!E$2,M1041='Group List A'!F$2,N1041='Group List A'!G$2,
R1041='Group List B'!E$2,S1041='Group List B'!F$2,T1041='Group List B'!G$2),"Limit",0))</f>
        <v>0</v>
      </c>
      <c r="H1041" s="29">
        <f t="shared" si="242"/>
        <v>0</v>
      </c>
      <c r="I1041" s="29">
        <f t="shared" si="243"/>
        <v>0</v>
      </c>
      <c r="J1041" s="29">
        <f t="shared" si="244"/>
        <v>0</v>
      </c>
      <c r="K1041" s="32" t="str" cm="1">
        <f t="array" ref="K1041">IF(AF1041&lt;&gt;"",IFERROR(INDEX('Group List A'!B:B,MATCH(AI1041,'Group List A'!A:A,0),0),"-"),"")</f>
        <v/>
      </c>
      <c r="L1041" s="33">
        <f t="shared" si="245"/>
        <v>0</v>
      </c>
      <c r="M1041" s="33">
        <f t="shared" si="246"/>
        <v>0</v>
      </c>
      <c r="N1041" s="33">
        <f t="shared" si="247"/>
        <v>0</v>
      </c>
      <c r="O1041" s="28"/>
      <c r="P1041" s="33">
        <f t="shared" si="248"/>
        <v>0</v>
      </c>
      <c r="Q1041" s="35" t="str" cm="1">
        <f t="array" ref="Q1041">IF(AF1041&lt;&gt;"",IFERROR(INDEX('Group List B'!B:B,MATCH(AI1041,'Group List B'!A:A,0),0),"-"),"")</f>
        <v/>
      </c>
      <c r="R1041" s="36">
        <f t="shared" si="249"/>
        <v>0</v>
      </c>
      <c r="S1041" s="36">
        <f t="shared" si="250"/>
        <v>0</v>
      </c>
      <c r="T1041" s="36">
        <f t="shared" si="251"/>
        <v>0</v>
      </c>
      <c r="U1041" s="28"/>
      <c r="V1041" s="37">
        <f t="shared" si="252"/>
        <v>0</v>
      </c>
      <c r="W1041" s="41"/>
      <c r="X1041" s="27"/>
      <c r="Y1041" s="27"/>
      <c r="Z1041" s="27"/>
      <c r="AA1041" s="15"/>
      <c r="AB1041" s="17"/>
      <c r="AC1041" s="17"/>
      <c r="AD1041" s="17"/>
      <c r="AE1041" s="90"/>
      <c r="AF1041" s="82" t="str">
        <f t="shared" si="253"/>
        <v/>
      </c>
      <c r="AG1041" s="83" t="str">
        <f t="shared" si="254"/>
        <v/>
      </c>
      <c r="AH1041" s="82" t="str">
        <f t="shared" si="255"/>
        <v/>
      </c>
      <c r="AI1041" s="82" t="str">
        <f t="shared" si="256"/>
        <v/>
      </c>
      <c r="AJ1041" s="90"/>
      <c r="AP1041" s="88"/>
    </row>
    <row r="1042" spans="1:42" x14ac:dyDescent="0.25">
      <c r="A1042" s="2"/>
      <c r="C1042" s="68" t="str" cm="1">
        <f t="array" ref="C1042">IF(AF1042&lt;&gt;"",
IFERROR(INDEX('LaunchPad Markbook'!A:A,MATCH(AH1042,'LaunchPad Markbook'!D:D,0),0),"-"),"")</f>
        <v/>
      </c>
      <c r="D1042" s="27"/>
      <c r="E1042" s="27"/>
      <c r="F1042" s="27"/>
      <c r="G1042" s="14">
        <f>IF(OR(H1042&gt;AB$2,I1042&gt;AC$2,J1042&gt;AD$2,
P1042&gt;1,V1042&gt;1,
L1042&gt;'Group List A'!E$2,M1042&gt;'Group List A'!F$2,N1042&gt;'Group List A'!G$2,
R1042&gt;'Group List B'!E$2,S1042&gt;'Group List B'!F$2,T1042&gt;'Group List B'!G$2),"Exceed",
IF(OR(H1042=AB$2,I1042=AC$2,J1042=AD$2,
P1042=1,V1042=1,
L1042='Group List A'!E$2,M1042='Group List A'!F$2,N1042='Group List A'!G$2,
R1042='Group List B'!E$2,S1042='Group List B'!F$2,T1042='Group List B'!G$2),"Limit",0))</f>
        <v>0</v>
      </c>
      <c r="H1042" s="29">
        <f t="shared" si="242"/>
        <v>0</v>
      </c>
      <c r="I1042" s="29">
        <f t="shared" si="243"/>
        <v>0</v>
      </c>
      <c r="J1042" s="29">
        <f t="shared" si="244"/>
        <v>0</v>
      </c>
      <c r="K1042" s="32" t="str" cm="1">
        <f t="array" ref="K1042">IF(AF1042&lt;&gt;"",IFERROR(INDEX('Group List A'!B:B,MATCH(AI1042,'Group List A'!A:A,0),0),"-"),"")</f>
        <v/>
      </c>
      <c r="L1042" s="33">
        <f t="shared" si="245"/>
        <v>0</v>
      </c>
      <c r="M1042" s="33">
        <f t="shared" si="246"/>
        <v>0</v>
      </c>
      <c r="N1042" s="33">
        <f t="shared" si="247"/>
        <v>0</v>
      </c>
      <c r="O1042" s="28"/>
      <c r="P1042" s="33">
        <f t="shared" si="248"/>
        <v>0</v>
      </c>
      <c r="Q1042" s="35" t="str" cm="1">
        <f t="array" ref="Q1042">IF(AF1042&lt;&gt;"",IFERROR(INDEX('Group List B'!B:B,MATCH(AI1042,'Group List B'!A:A,0),0),"-"),"")</f>
        <v/>
      </c>
      <c r="R1042" s="36">
        <f t="shared" si="249"/>
        <v>0</v>
      </c>
      <c r="S1042" s="36">
        <f t="shared" si="250"/>
        <v>0</v>
      </c>
      <c r="T1042" s="36">
        <f t="shared" si="251"/>
        <v>0</v>
      </c>
      <c r="U1042" s="28"/>
      <c r="V1042" s="37">
        <f t="shared" si="252"/>
        <v>0</v>
      </c>
      <c r="W1042" s="41"/>
      <c r="X1042" s="27"/>
      <c r="Y1042" s="27"/>
      <c r="Z1042" s="27"/>
      <c r="AA1042" s="15"/>
      <c r="AB1042" s="17"/>
      <c r="AC1042" s="17"/>
      <c r="AD1042" s="17"/>
      <c r="AE1042" s="90"/>
      <c r="AF1042" s="82" t="str">
        <f t="shared" si="253"/>
        <v/>
      </c>
      <c r="AG1042" s="83" t="str">
        <f t="shared" si="254"/>
        <v/>
      </c>
      <c r="AH1042" s="82" t="str">
        <f t="shared" si="255"/>
        <v/>
      </c>
      <c r="AI1042" s="82" t="str">
        <f t="shared" si="256"/>
        <v/>
      </c>
      <c r="AJ1042" s="90"/>
      <c r="AP1042" s="88"/>
    </row>
    <row r="1043" spans="1:42" x14ac:dyDescent="0.25">
      <c r="A1043" s="2"/>
      <c r="C1043" s="68" t="str" cm="1">
        <f t="array" ref="C1043">IF(AF1043&lt;&gt;"",
IFERROR(INDEX('LaunchPad Markbook'!A:A,MATCH(AH1043,'LaunchPad Markbook'!D:D,0),0),"-"),"")</f>
        <v/>
      </c>
      <c r="D1043" s="27"/>
      <c r="E1043" s="27"/>
      <c r="F1043" s="27"/>
      <c r="G1043" s="14">
        <f>IF(OR(H1043&gt;AB$2,I1043&gt;AC$2,J1043&gt;AD$2,
P1043&gt;1,V1043&gt;1,
L1043&gt;'Group List A'!E$2,M1043&gt;'Group List A'!F$2,N1043&gt;'Group List A'!G$2,
R1043&gt;'Group List B'!E$2,S1043&gt;'Group List B'!F$2,T1043&gt;'Group List B'!G$2),"Exceed",
IF(OR(H1043=AB$2,I1043=AC$2,J1043=AD$2,
P1043=1,V1043=1,
L1043='Group List A'!E$2,M1043='Group List A'!F$2,N1043='Group List A'!G$2,
R1043='Group List B'!E$2,S1043='Group List B'!F$2,T1043='Group List B'!G$2),"Limit",0))</f>
        <v>0</v>
      </c>
      <c r="H1043" s="29">
        <f t="shared" si="242"/>
        <v>0</v>
      </c>
      <c r="I1043" s="29">
        <f t="shared" si="243"/>
        <v>0</v>
      </c>
      <c r="J1043" s="29">
        <f t="shared" si="244"/>
        <v>0</v>
      </c>
      <c r="K1043" s="32" t="str" cm="1">
        <f t="array" ref="K1043">IF(AF1043&lt;&gt;"",IFERROR(INDEX('Group List A'!B:B,MATCH(AI1043,'Group List A'!A:A,0),0),"-"),"")</f>
        <v/>
      </c>
      <c r="L1043" s="33">
        <f t="shared" si="245"/>
        <v>0</v>
      </c>
      <c r="M1043" s="33">
        <f t="shared" si="246"/>
        <v>0</v>
      </c>
      <c r="N1043" s="33">
        <f t="shared" si="247"/>
        <v>0</v>
      </c>
      <c r="O1043" s="28"/>
      <c r="P1043" s="33">
        <f t="shared" si="248"/>
        <v>0</v>
      </c>
      <c r="Q1043" s="35" t="str" cm="1">
        <f t="array" ref="Q1043">IF(AF1043&lt;&gt;"",IFERROR(INDEX('Group List B'!B:B,MATCH(AI1043,'Group List B'!A:A,0),0),"-"),"")</f>
        <v/>
      </c>
      <c r="R1043" s="36">
        <f t="shared" si="249"/>
        <v>0</v>
      </c>
      <c r="S1043" s="36">
        <f t="shared" si="250"/>
        <v>0</v>
      </c>
      <c r="T1043" s="36">
        <f t="shared" si="251"/>
        <v>0</v>
      </c>
      <c r="U1043" s="28"/>
      <c r="V1043" s="37">
        <f t="shared" si="252"/>
        <v>0</v>
      </c>
      <c r="W1043" s="41"/>
      <c r="X1043" s="27"/>
      <c r="Y1043" s="27"/>
      <c r="Z1043" s="27"/>
      <c r="AA1043" s="15"/>
      <c r="AB1043" s="17"/>
      <c r="AC1043" s="17"/>
      <c r="AD1043" s="17"/>
      <c r="AE1043" s="90"/>
      <c r="AF1043" s="82" t="str">
        <f t="shared" si="253"/>
        <v/>
      </c>
      <c r="AG1043" s="83" t="str">
        <f t="shared" si="254"/>
        <v/>
      </c>
      <c r="AH1043" s="82" t="str">
        <f t="shared" si="255"/>
        <v/>
      </c>
      <c r="AI1043" s="82" t="str">
        <f t="shared" si="256"/>
        <v/>
      </c>
      <c r="AJ1043" s="90"/>
      <c r="AP1043" s="88"/>
    </row>
    <row r="1044" spans="1:42" x14ac:dyDescent="0.25">
      <c r="A1044" s="2"/>
      <c r="C1044" s="68" t="str" cm="1">
        <f t="array" ref="C1044">IF(AF1044&lt;&gt;"",
IFERROR(INDEX('LaunchPad Markbook'!A:A,MATCH(AH1044,'LaunchPad Markbook'!D:D,0),0),"-"),"")</f>
        <v/>
      </c>
      <c r="D1044" s="27"/>
      <c r="E1044" s="27"/>
      <c r="F1044" s="27"/>
      <c r="G1044" s="14">
        <f>IF(OR(H1044&gt;AB$2,I1044&gt;AC$2,J1044&gt;AD$2,
P1044&gt;1,V1044&gt;1,
L1044&gt;'Group List A'!E$2,M1044&gt;'Group List A'!F$2,N1044&gt;'Group List A'!G$2,
R1044&gt;'Group List B'!E$2,S1044&gt;'Group List B'!F$2,T1044&gt;'Group List B'!G$2),"Exceed",
IF(OR(H1044=AB$2,I1044=AC$2,J1044=AD$2,
P1044=1,V1044=1,
L1044='Group List A'!E$2,M1044='Group List A'!F$2,N1044='Group List A'!G$2,
R1044='Group List B'!E$2,S1044='Group List B'!F$2,T1044='Group List B'!G$2),"Limit",0))</f>
        <v>0</v>
      </c>
      <c r="H1044" s="29">
        <f t="shared" si="242"/>
        <v>0</v>
      </c>
      <c r="I1044" s="29">
        <f t="shared" si="243"/>
        <v>0</v>
      </c>
      <c r="J1044" s="29">
        <f t="shared" si="244"/>
        <v>0</v>
      </c>
      <c r="K1044" s="32" t="str" cm="1">
        <f t="array" ref="K1044">IF(AF1044&lt;&gt;"",IFERROR(INDEX('Group List A'!B:B,MATCH(AI1044,'Group List A'!A:A,0),0),"-"),"")</f>
        <v/>
      </c>
      <c r="L1044" s="33">
        <f t="shared" si="245"/>
        <v>0</v>
      </c>
      <c r="M1044" s="33">
        <f t="shared" si="246"/>
        <v>0</v>
      </c>
      <c r="N1044" s="33">
        <f t="shared" si="247"/>
        <v>0</v>
      </c>
      <c r="O1044" s="28"/>
      <c r="P1044" s="33">
        <f t="shared" si="248"/>
        <v>0</v>
      </c>
      <c r="Q1044" s="35" t="str" cm="1">
        <f t="array" ref="Q1044">IF(AF1044&lt;&gt;"",IFERROR(INDEX('Group List B'!B:B,MATCH(AI1044,'Group List B'!A:A,0),0),"-"),"")</f>
        <v/>
      </c>
      <c r="R1044" s="36">
        <f t="shared" si="249"/>
        <v>0</v>
      </c>
      <c r="S1044" s="36">
        <f t="shared" si="250"/>
        <v>0</v>
      </c>
      <c r="T1044" s="36">
        <f t="shared" si="251"/>
        <v>0</v>
      </c>
      <c r="U1044" s="28"/>
      <c r="V1044" s="37">
        <f t="shared" si="252"/>
        <v>0</v>
      </c>
      <c r="W1044" s="41"/>
      <c r="X1044" s="27"/>
      <c r="Y1044" s="27"/>
      <c r="Z1044" s="27"/>
      <c r="AA1044" s="15"/>
      <c r="AB1044" s="17"/>
      <c r="AC1044" s="17"/>
      <c r="AD1044" s="17"/>
      <c r="AE1044" s="90"/>
      <c r="AF1044" s="82" t="str">
        <f t="shared" si="253"/>
        <v/>
      </c>
      <c r="AG1044" s="83" t="str">
        <f t="shared" si="254"/>
        <v/>
      </c>
      <c r="AH1044" s="82" t="str">
        <f t="shared" si="255"/>
        <v/>
      </c>
      <c r="AI1044" s="82" t="str">
        <f t="shared" si="256"/>
        <v/>
      </c>
      <c r="AJ1044" s="90"/>
      <c r="AP1044" s="88"/>
    </row>
    <row r="1045" spans="1:42" x14ac:dyDescent="0.25">
      <c r="A1045" s="2"/>
      <c r="C1045" s="68" t="str" cm="1">
        <f t="array" ref="C1045">IF(AF1045&lt;&gt;"",
IFERROR(INDEX('LaunchPad Markbook'!A:A,MATCH(AH1045,'LaunchPad Markbook'!D:D,0),0),"-"),"")</f>
        <v/>
      </c>
      <c r="D1045" s="27"/>
      <c r="E1045" s="27"/>
      <c r="F1045" s="27"/>
      <c r="G1045" s="14">
        <f>IF(OR(H1045&gt;AB$2,I1045&gt;AC$2,J1045&gt;AD$2,
P1045&gt;1,V1045&gt;1,
L1045&gt;'Group List A'!E$2,M1045&gt;'Group List A'!F$2,N1045&gt;'Group List A'!G$2,
R1045&gt;'Group List B'!E$2,S1045&gt;'Group List B'!F$2,T1045&gt;'Group List B'!G$2),"Exceed",
IF(OR(H1045=AB$2,I1045=AC$2,J1045=AD$2,
P1045=1,V1045=1,
L1045='Group List A'!E$2,M1045='Group List A'!F$2,N1045='Group List A'!G$2,
R1045='Group List B'!E$2,S1045='Group List B'!F$2,T1045='Group List B'!G$2),"Limit",0))</f>
        <v>0</v>
      </c>
      <c r="H1045" s="29">
        <f t="shared" si="242"/>
        <v>0</v>
      </c>
      <c r="I1045" s="29">
        <f t="shared" si="243"/>
        <v>0</v>
      </c>
      <c r="J1045" s="29">
        <f t="shared" si="244"/>
        <v>0</v>
      </c>
      <c r="K1045" s="32" t="str" cm="1">
        <f t="array" ref="K1045">IF(AF1045&lt;&gt;"",IFERROR(INDEX('Group List A'!B:B,MATCH(AI1045,'Group List A'!A:A,0),0),"-"),"")</f>
        <v/>
      </c>
      <c r="L1045" s="33">
        <f t="shared" si="245"/>
        <v>0</v>
      </c>
      <c r="M1045" s="33">
        <f t="shared" si="246"/>
        <v>0</v>
      </c>
      <c r="N1045" s="33">
        <f t="shared" si="247"/>
        <v>0</v>
      </c>
      <c r="O1045" s="28"/>
      <c r="P1045" s="33">
        <f t="shared" si="248"/>
        <v>0</v>
      </c>
      <c r="Q1045" s="35" t="str" cm="1">
        <f t="array" ref="Q1045">IF(AF1045&lt;&gt;"",IFERROR(INDEX('Group List B'!B:B,MATCH(AI1045,'Group List B'!A:A,0),0),"-"),"")</f>
        <v/>
      </c>
      <c r="R1045" s="36">
        <f t="shared" si="249"/>
        <v>0</v>
      </c>
      <c r="S1045" s="36">
        <f t="shared" si="250"/>
        <v>0</v>
      </c>
      <c r="T1045" s="36">
        <f t="shared" si="251"/>
        <v>0</v>
      </c>
      <c r="U1045" s="28"/>
      <c r="V1045" s="37">
        <f t="shared" si="252"/>
        <v>0</v>
      </c>
      <c r="W1045" s="41"/>
      <c r="X1045" s="27"/>
      <c r="Y1045" s="27"/>
      <c r="Z1045" s="27"/>
      <c r="AA1045" s="15"/>
      <c r="AB1045" s="17"/>
      <c r="AC1045" s="17"/>
      <c r="AD1045" s="17"/>
      <c r="AE1045" s="90"/>
      <c r="AF1045" s="82" t="str">
        <f t="shared" si="253"/>
        <v/>
      </c>
      <c r="AG1045" s="83" t="str">
        <f t="shared" si="254"/>
        <v/>
      </c>
      <c r="AH1045" s="82" t="str">
        <f t="shared" si="255"/>
        <v/>
      </c>
      <c r="AI1045" s="82" t="str">
        <f t="shared" si="256"/>
        <v/>
      </c>
      <c r="AJ1045" s="90"/>
      <c r="AP1045" s="88"/>
    </row>
    <row r="1046" spans="1:42" x14ac:dyDescent="0.25">
      <c r="A1046" s="2"/>
      <c r="C1046" s="68" t="str" cm="1">
        <f t="array" ref="C1046">IF(AF1046&lt;&gt;"",
IFERROR(INDEX('LaunchPad Markbook'!A:A,MATCH(AH1046,'LaunchPad Markbook'!D:D,0),0),"-"),"")</f>
        <v/>
      </c>
      <c r="D1046" s="27"/>
      <c r="E1046" s="27"/>
      <c r="F1046" s="27"/>
      <c r="G1046" s="14">
        <f>IF(OR(H1046&gt;AB$2,I1046&gt;AC$2,J1046&gt;AD$2,
P1046&gt;1,V1046&gt;1,
L1046&gt;'Group List A'!E$2,M1046&gt;'Group List A'!F$2,N1046&gt;'Group List A'!G$2,
R1046&gt;'Group List B'!E$2,S1046&gt;'Group List B'!F$2,T1046&gt;'Group List B'!G$2),"Exceed",
IF(OR(H1046=AB$2,I1046=AC$2,J1046=AD$2,
P1046=1,V1046=1,
L1046='Group List A'!E$2,M1046='Group List A'!F$2,N1046='Group List A'!G$2,
R1046='Group List B'!E$2,S1046='Group List B'!F$2,T1046='Group List B'!G$2),"Limit",0))</f>
        <v>0</v>
      </c>
      <c r="H1046" s="29">
        <f t="shared" si="242"/>
        <v>0</v>
      </c>
      <c r="I1046" s="29">
        <f t="shared" si="243"/>
        <v>0</v>
      </c>
      <c r="J1046" s="29">
        <f t="shared" si="244"/>
        <v>0</v>
      </c>
      <c r="K1046" s="32" t="str" cm="1">
        <f t="array" ref="K1046">IF(AF1046&lt;&gt;"",IFERROR(INDEX('Group List A'!B:B,MATCH(AI1046,'Group List A'!A:A,0),0),"-"),"")</f>
        <v/>
      </c>
      <c r="L1046" s="33">
        <f t="shared" si="245"/>
        <v>0</v>
      </c>
      <c r="M1046" s="33">
        <f t="shared" si="246"/>
        <v>0</v>
      </c>
      <c r="N1046" s="33">
        <f t="shared" si="247"/>
        <v>0</v>
      </c>
      <c r="O1046" s="28"/>
      <c r="P1046" s="33">
        <f t="shared" si="248"/>
        <v>0</v>
      </c>
      <c r="Q1046" s="35" t="str" cm="1">
        <f t="array" ref="Q1046">IF(AF1046&lt;&gt;"",IFERROR(INDEX('Group List B'!B:B,MATCH(AI1046,'Group List B'!A:A,0),0),"-"),"")</f>
        <v/>
      </c>
      <c r="R1046" s="36">
        <f t="shared" si="249"/>
        <v>0</v>
      </c>
      <c r="S1046" s="36">
        <f t="shared" si="250"/>
        <v>0</v>
      </c>
      <c r="T1046" s="36">
        <f t="shared" si="251"/>
        <v>0</v>
      </c>
      <c r="U1046" s="28"/>
      <c r="V1046" s="37">
        <f t="shared" si="252"/>
        <v>0</v>
      </c>
      <c r="W1046" s="41"/>
      <c r="X1046" s="27"/>
      <c r="Y1046" s="27"/>
      <c r="Z1046" s="27"/>
      <c r="AA1046" s="15"/>
      <c r="AB1046" s="17"/>
      <c r="AC1046" s="17"/>
      <c r="AD1046" s="17"/>
      <c r="AE1046" s="90"/>
      <c r="AF1046" s="82" t="str">
        <f t="shared" si="253"/>
        <v/>
      </c>
      <c r="AG1046" s="83" t="str">
        <f t="shared" si="254"/>
        <v/>
      </c>
      <c r="AH1046" s="82" t="str">
        <f t="shared" si="255"/>
        <v/>
      </c>
      <c r="AI1046" s="82" t="str">
        <f t="shared" si="256"/>
        <v/>
      </c>
      <c r="AJ1046" s="90"/>
      <c r="AP1046" s="88"/>
    </row>
    <row r="1047" spans="1:42" x14ac:dyDescent="0.25">
      <c r="A1047" s="2"/>
      <c r="C1047" s="68" t="str" cm="1">
        <f t="array" ref="C1047">IF(AF1047&lt;&gt;"",
IFERROR(INDEX('LaunchPad Markbook'!A:A,MATCH(AH1047,'LaunchPad Markbook'!D:D,0),0),"-"),"")</f>
        <v/>
      </c>
      <c r="D1047" s="27"/>
      <c r="E1047" s="27"/>
      <c r="F1047" s="27"/>
      <c r="G1047" s="14">
        <f>IF(OR(H1047&gt;AB$2,I1047&gt;AC$2,J1047&gt;AD$2,
P1047&gt;1,V1047&gt;1,
L1047&gt;'Group List A'!E$2,M1047&gt;'Group List A'!F$2,N1047&gt;'Group List A'!G$2,
R1047&gt;'Group List B'!E$2,S1047&gt;'Group List B'!F$2,T1047&gt;'Group List B'!G$2),"Exceed",
IF(OR(H1047=AB$2,I1047=AC$2,J1047=AD$2,
P1047=1,V1047=1,
L1047='Group List A'!E$2,M1047='Group List A'!F$2,N1047='Group List A'!G$2,
R1047='Group List B'!E$2,S1047='Group List B'!F$2,T1047='Group List B'!G$2),"Limit",0))</f>
        <v>0</v>
      </c>
      <c r="H1047" s="29">
        <f t="shared" si="242"/>
        <v>0</v>
      </c>
      <c r="I1047" s="29">
        <f t="shared" si="243"/>
        <v>0</v>
      </c>
      <c r="J1047" s="29">
        <f t="shared" si="244"/>
        <v>0</v>
      </c>
      <c r="K1047" s="32" t="str" cm="1">
        <f t="array" ref="K1047">IF(AF1047&lt;&gt;"",IFERROR(INDEX('Group List A'!B:B,MATCH(AI1047,'Group List A'!A:A,0),0),"-"),"")</f>
        <v/>
      </c>
      <c r="L1047" s="33">
        <f t="shared" si="245"/>
        <v>0</v>
      </c>
      <c r="M1047" s="33">
        <f t="shared" si="246"/>
        <v>0</v>
      </c>
      <c r="N1047" s="33">
        <f t="shared" si="247"/>
        <v>0</v>
      </c>
      <c r="O1047" s="28"/>
      <c r="P1047" s="33">
        <f t="shared" si="248"/>
        <v>0</v>
      </c>
      <c r="Q1047" s="35" t="str" cm="1">
        <f t="array" ref="Q1047">IF(AF1047&lt;&gt;"",IFERROR(INDEX('Group List B'!B:B,MATCH(AI1047,'Group List B'!A:A,0),0),"-"),"")</f>
        <v/>
      </c>
      <c r="R1047" s="36">
        <f t="shared" si="249"/>
        <v>0</v>
      </c>
      <c r="S1047" s="36">
        <f t="shared" si="250"/>
        <v>0</v>
      </c>
      <c r="T1047" s="36">
        <f t="shared" si="251"/>
        <v>0</v>
      </c>
      <c r="U1047" s="28"/>
      <c r="V1047" s="37">
        <f t="shared" si="252"/>
        <v>0</v>
      </c>
      <c r="W1047" s="41"/>
      <c r="X1047" s="27"/>
      <c r="Y1047" s="27"/>
      <c r="Z1047" s="27"/>
      <c r="AA1047" s="15"/>
      <c r="AB1047" s="17"/>
      <c r="AC1047" s="17"/>
      <c r="AD1047" s="17"/>
      <c r="AE1047" s="90"/>
      <c r="AF1047" s="82" t="str">
        <f t="shared" si="253"/>
        <v/>
      </c>
      <c r="AG1047" s="83" t="str">
        <f t="shared" si="254"/>
        <v/>
      </c>
      <c r="AH1047" s="82" t="str">
        <f t="shared" si="255"/>
        <v/>
      </c>
      <c r="AI1047" s="82" t="str">
        <f t="shared" si="256"/>
        <v/>
      </c>
      <c r="AJ1047" s="90"/>
      <c r="AP1047" s="88"/>
    </row>
    <row r="1048" spans="1:42" x14ac:dyDescent="0.25">
      <c r="A1048" s="2"/>
      <c r="C1048" s="68" t="str" cm="1">
        <f t="array" ref="C1048">IF(AF1048&lt;&gt;"",
IFERROR(INDEX('LaunchPad Markbook'!A:A,MATCH(AH1048,'LaunchPad Markbook'!D:D,0),0),"-"),"")</f>
        <v/>
      </c>
      <c r="D1048" s="27"/>
      <c r="E1048" s="27"/>
      <c r="F1048" s="27"/>
      <c r="G1048" s="14">
        <f>IF(OR(H1048&gt;AB$2,I1048&gt;AC$2,J1048&gt;AD$2,
P1048&gt;1,V1048&gt;1,
L1048&gt;'Group List A'!E$2,M1048&gt;'Group List A'!F$2,N1048&gt;'Group List A'!G$2,
R1048&gt;'Group List B'!E$2,S1048&gt;'Group List B'!F$2,T1048&gt;'Group List B'!G$2),"Exceed",
IF(OR(H1048=AB$2,I1048=AC$2,J1048=AD$2,
P1048=1,V1048=1,
L1048='Group List A'!E$2,M1048='Group List A'!F$2,N1048='Group List A'!G$2,
R1048='Group List B'!E$2,S1048='Group List B'!F$2,T1048='Group List B'!G$2),"Limit",0))</f>
        <v>0</v>
      </c>
      <c r="H1048" s="29">
        <f t="shared" si="242"/>
        <v>0</v>
      </c>
      <c r="I1048" s="29">
        <f t="shared" si="243"/>
        <v>0</v>
      </c>
      <c r="J1048" s="29">
        <f t="shared" si="244"/>
        <v>0</v>
      </c>
      <c r="K1048" s="32" t="str" cm="1">
        <f t="array" ref="K1048">IF(AF1048&lt;&gt;"",IFERROR(INDEX('Group List A'!B:B,MATCH(AI1048,'Group List A'!A:A,0),0),"-"),"")</f>
        <v/>
      </c>
      <c r="L1048" s="33">
        <f t="shared" si="245"/>
        <v>0</v>
      </c>
      <c r="M1048" s="33">
        <f t="shared" si="246"/>
        <v>0</v>
      </c>
      <c r="N1048" s="33">
        <f t="shared" si="247"/>
        <v>0</v>
      </c>
      <c r="O1048" s="28"/>
      <c r="P1048" s="33">
        <f t="shared" si="248"/>
        <v>0</v>
      </c>
      <c r="Q1048" s="35" t="str" cm="1">
        <f t="array" ref="Q1048">IF(AF1048&lt;&gt;"",IFERROR(INDEX('Group List B'!B:B,MATCH(AI1048,'Group List B'!A:A,0),0),"-"),"")</f>
        <v/>
      </c>
      <c r="R1048" s="36">
        <f t="shared" si="249"/>
        <v>0</v>
      </c>
      <c r="S1048" s="36">
        <f t="shared" si="250"/>
        <v>0</v>
      </c>
      <c r="T1048" s="36">
        <f t="shared" si="251"/>
        <v>0</v>
      </c>
      <c r="U1048" s="28"/>
      <c r="V1048" s="37">
        <f t="shared" si="252"/>
        <v>0</v>
      </c>
      <c r="W1048" s="41"/>
      <c r="X1048" s="27"/>
      <c r="Y1048" s="27"/>
      <c r="Z1048" s="27"/>
      <c r="AA1048" s="15"/>
      <c r="AB1048" s="17"/>
      <c r="AC1048" s="17"/>
      <c r="AD1048" s="17"/>
      <c r="AE1048" s="90"/>
      <c r="AF1048" s="82" t="str">
        <f t="shared" si="253"/>
        <v/>
      </c>
      <c r="AG1048" s="83" t="str">
        <f t="shared" si="254"/>
        <v/>
      </c>
      <c r="AH1048" s="82" t="str">
        <f t="shared" si="255"/>
        <v/>
      </c>
      <c r="AI1048" s="82" t="str">
        <f t="shared" si="256"/>
        <v/>
      </c>
      <c r="AJ1048" s="90"/>
      <c r="AP1048" s="88"/>
    </row>
    <row r="1049" spans="1:42" x14ac:dyDescent="0.25">
      <c r="A1049" s="2"/>
      <c r="C1049" s="68" t="str" cm="1">
        <f t="array" ref="C1049">IF(AF1049&lt;&gt;"",
IFERROR(INDEX('LaunchPad Markbook'!A:A,MATCH(AH1049,'LaunchPad Markbook'!D:D,0),0),"-"),"")</f>
        <v/>
      </c>
      <c r="D1049" s="27"/>
      <c r="E1049" s="27"/>
      <c r="F1049" s="27"/>
      <c r="G1049" s="14">
        <f>IF(OR(H1049&gt;AB$2,I1049&gt;AC$2,J1049&gt;AD$2,
P1049&gt;1,V1049&gt;1,
L1049&gt;'Group List A'!E$2,M1049&gt;'Group List A'!F$2,N1049&gt;'Group List A'!G$2,
R1049&gt;'Group List B'!E$2,S1049&gt;'Group List B'!F$2,T1049&gt;'Group List B'!G$2),"Exceed",
IF(OR(H1049=AB$2,I1049=AC$2,J1049=AD$2,
P1049=1,V1049=1,
L1049='Group List A'!E$2,M1049='Group List A'!F$2,N1049='Group List A'!G$2,
R1049='Group List B'!E$2,S1049='Group List B'!F$2,T1049='Group List B'!G$2),"Limit",0))</f>
        <v>0</v>
      </c>
      <c r="H1049" s="29">
        <f t="shared" si="242"/>
        <v>0</v>
      </c>
      <c r="I1049" s="29">
        <f t="shared" si="243"/>
        <v>0</v>
      </c>
      <c r="J1049" s="29">
        <f t="shared" si="244"/>
        <v>0</v>
      </c>
      <c r="K1049" s="32" t="str" cm="1">
        <f t="array" ref="K1049">IF(AF1049&lt;&gt;"",IFERROR(INDEX('Group List A'!B:B,MATCH(AI1049,'Group List A'!A:A,0),0),"-"),"")</f>
        <v/>
      </c>
      <c r="L1049" s="33">
        <f t="shared" si="245"/>
        <v>0</v>
      </c>
      <c r="M1049" s="33">
        <f t="shared" si="246"/>
        <v>0</v>
      </c>
      <c r="N1049" s="33">
        <f t="shared" si="247"/>
        <v>0</v>
      </c>
      <c r="O1049" s="28"/>
      <c r="P1049" s="33">
        <f t="shared" si="248"/>
        <v>0</v>
      </c>
      <c r="Q1049" s="35" t="str" cm="1">
        <f t="array" ref="Q1049">IF(AF1049&lt;&gt;"",IFERROR(INDEX('Group List B'!B:B,MATCH(AI1049,'Group List B'!A:A,0),0),"-"),"")</f>
        <v/>
      </c>
      <c r="R1049" s="36">
        <f t="shared" si="249"/>
        <v>0</v>
      </c>
      <c r="S1049" s="36">
        <f t="shared" si="250"/>
        <v>0</v>
      </c>
      <c r="T1049" s="36">
        <f t="shared" si="251"/>
        <v>0</v>
      </c>
      <c r="U1049" s="28"/>
      <c r="V1049" s="37">
        <f t="shared" si="252"/>
        <v>0</v>
      </c>
      <c r="W1049" s="41"/>
      <c r="X1049" s="27"/>
      <c r="Y1049" s="27"/>
      <c r="Z1049" s="27"/>
      <c r="AA1049" s="15"/>
      <c r="AB1049" s="17"/>
      <c r="AC1049" s="17"/>
      <c r="AD1049" s="17"/>
      <c r="AE1049" s="90"/>
      <c r="AF1049" s="82" t="str">
        <f t="shared" si="253"/>
        <v/>
      </c>
      <c r="AG1049" s="83" t="str">
        <f t="shared" si="254"/>
        <v/>
      </c>
      <c r="AH1049" s="82" t="str">
        <f t="shared" si="255"/>
        <v/>
      </c>
      <c r="AI1049" s="82" t="str">
        <f t="shared" si="256"/>
        <v/>
      </c>
      <c r="AJ1049" s="90"/>
      <c r="AP1049" s="88"/>
    </row>
    <row r="1050" spans="1:42" x14ac:dyDescent="0.25">
      <c r="A1050" s="2"/>
      <c r="C1050" s="68" t="str" cm="1">
        <f t="array" ref="C1050">IF(AF1050&lt;&gt;"",
IFERROR(INDEX('LaunchPad Markbook'!A:A,MATCH(AH1050,'LaunchPad Markbook'!D:D,0),0),"-"),"")</f>
        <v/>
      </c>
      <c r="D1050" s="27"/>
      <c r="E1050" s="27"/>
      <c r="F1050" s="27"/>
      <c r="G1050" s="14">
        <f>IF(OR(H1050&gt;AB$2,I1050&gt;AC$2,J1050&gt;AD$2,
P1050&gt;1,V1050&gt;1,
L1050&gt;'Group List A'!E$2,M1050&gt;'Group List A'!F$2,N1050&gt;'Group List A'!G$2,
R1050&gt;'Group List B'!E$2,S1050&gt;'Group List B'!F$2,T1050&gt;'Group List B'!G$2),"Exceed",
IF(OR(H1050=AB$2,I1050=AC$2,J1050=AD$2,
P1050=1,V1050=1,
L1050='Group List A'!E$2,M1050='Group List A'!F$2,N1050='Group List A'!G$2,
R1050='Group List B'!E$2,S1050='Group List B'!F$2,T1050='Group List B'!G$2),"Limit",0))</f>
        <v>0</v>
      </c>
      <c r="H1050" s="29">
        <f t="shared" si="242"/>
        <v>0</v>
      </c>
      <c r="I1050" s="29">
        <f t="shared" si="243"/>
        <v>0</v>
      </c>
      <c r="J1050" s="29">
        <f t="shared" si="244"/>
        <v>0</v>
      </c>
      <c r="K1050" s="32" t="str" cm="1">
        <f t="array" ref="K1050">IF(AF1050&lt;&gt;"",IFERROR(INDEX('Group List A'!B:B,MATCH(AI1050,'Group List A'!A:A,0),0),"-"),"")</f>
        <v/>
      </c>
      <c r="L1050" s="33">
        <f t="shared" si="245"/>
        <v>0</v>
      </c>
      <c r="M1050" s="33">
        <f t="shared" si="246"/>
        <v>0</v>
      </c>
      <c r="N1050" s="33">
        <f t="shared" si="247"/>
        <v>0</v>
      </c>
      <c r="O1050" s="28"/>
      <c r="P1050" s="33">
        <f t="shared" si="248"/>
        <v>0</v>
      </c>
      <c r="Q1050" s="35" t="str" cm="1">
        <f t="array" ref="Q1050">IF(AF1050&lt;&gt;"",IFERROR(INDEX('Group List B'!B:B,MATCH(AI1050,'Group List B'!A:A,0),0),"-"),"")</f>
        <v/>
      </c>
      <c r="R1050" s="36">
        <f t="shared" si="249"/>
        <v>0</v>
      </c>
      <c r="S1050" s="36">
        <f t="shared" si="250"/>
        <v>0</v>
      </c>
      <c r="T1050" s="36">
        <f t="shared" si="251"/>
        <v>0</v>
      </c>
      <c r="U1050" s="28"/>
      <c r="V1050" s="37">
        <f t="shared" si="252"/>
        <v>0</v>
      </c>
      <c r="W1050" s="41"/>
      <c r="X1050" s="27"/>
      <c r="Y1050" s="27"/>
      <c r="Z1050" s="27"/>
      <c r="AA1050" s="15"/>
      <c r="AB1050" s="17"/>
      <c r="AC1050" s="17"/>
      <c r="AD1050" s="17"/>
      <c r="AE1050" s="90"/>
      <c r="AF1050" s="82" t="str">
        <f t="shared" si="253"/>
        <v/>
      </c>
      <c r="AG1050" s="83" t="str">
        <f t="shared" si="254"/>
        <v/>
      </c>
      <c r="AH1050" s="82" t="str">
        <f t="shared" si="255"/>
        <v/>
      </c>
      <c r="AI1050" s="82" t="str">
        <f t="shared" si="256"/>
        <v/>
      </c>
      <c r="AJ1050" s="90"/>
      <c r="AP1050" s="88"/>
    </row>
    <row r="1051" spans="1:42" x14ac:dyDescent="0.25">
      <c r="A1051" s="2"/>
      <c r="C1051" s="68" t="str" cm="1">
        <f t="array" ref="C1051">IF(AF1051&lt;&gt;"",
IFERROR(INDEX('LaunchPad Markbook'!A:A,MATCH(AH1051,'LaunchPad Markbook'!D:D,0),0),"-"),"")</f>
        <v/>
      </c>
      <c r="D1051" s="27"/>
      <c r="E1051" s="27"/>
      <c r="F1051" s="27"/>
      <c r="G1051" s="14">
        <f>IF(OR(H1051&gt;AB$2,I1051&gt;AC$2,J1051&gt;AD$2,
P1051&gt;1,V1051&gt;1,
L1051&gt;'Group List A'!E$2,M1051&gt;'Group List A'!F$2,N1051&gt;'Group List A'!G$2,
R1051&gt;'Group List B'!E$2,S1051&gt;'Group List B'!F$2,T1051&gt;'Group List B'!G$2),"Exceed",
IF(OR(H1051=AB$2,I1051=AC$2,J1051=AD$2,
P1051=1,V1051=1,
L1051='Group List A'!E$2,M1051='Group List A'!F$2,N1051='Group List A'!G$2,
R1051='Group List B'!E$2,S1051='Group List B'!F$2,T1051='Group List B'!G$2),"Limit",0))</f>
        <v>0</v>
      </c>
      <c r="H1051" s="29">
        <f t="shared" si="242"/>
        <v>0</v>
      </c>
      <c r="I1051" s="29">
        <f t="shared" si="243"/>
        <v>0</v>
      </c>
      <c r="J1051" s="29">
        <f t="shared" si="244"/>
        <v>0</v>
      </c>
      <c r="K1051" s="32" t="str" cm="1">
        <f t="array" ref="K1051">IF(AF1051&lt;&gt;"",IFERROR(INDEX('Group List A'!B:B,MATCH(AI1051,'Group List A'!A:A,0),0),"-"),"")</f>
        <v/>
      </c>
      <c r="L1051" s="33">
        <f t="shared" si="245"/>
        <v>0</v>
      </c>
      <c r="M1051" s="33">
        <f t="shared" si="246"/>
        <v>0</v>
      </c>
      <c r="N1051" s="33">
        <f t="shared" si="247"/>
        <v>0</v>
      </c>
      <c r="O1051" s="28"/>
      <c r="P1051" s="33">
        <f t="shared" si="248"/>
        <v>0</v>
      </c>
      <c r="Q1051" s="35" t="str" cm="1">
        <f t="array" ref="Q1051">IF(AF1051&lt;&gt;"",IFERROR(INDEX('Group List B'!B:B,MATCH(AI1051,'Group List B'!A:A,0),0),"-"),"")</f>
        <v/>
      </c>
      <c r="R1051" s="36">
        <f t="shared" si="249"/>
        <v>0</v>
      </c>
      <c r="S1051" s="36">
        <f t="shared" si="250"/>
        <v>0</v>
      </c>
      <c r="T1051" s="36">
        <f t="shared" si="251"/>
        <v>0</v>
      </c>
      <c r="U1051" s="28"/>
      <c r="V1051" s="37">
        <f t="shared" si="252"/>
        <v>0</v>
      </c>
      <c r="W1051" s="41"/>
      <c r="X1051" s="27"/>
      <c r="Y1051" s="27"/>
      <c r="Z1051" s="27"/>
      <c r="AA1051" s="15"/>
      <c r="AB1051" s="17"/>
      <c r="AC1051" s="17"/>
      <c r="AD1051" s="17"/>
      <c r="AE1051" s="90"/>
      <c r="AF1051" s="82" t="str">
        <f t="shared" si="253"/>
        <v/>
      </c>
      <c r="AG1051" s="83" t="str">
        <f t="shared" si="254"/>
        <v/>
      </c>
      <c r="AH1051" s="82" t="str">
        <f t="shared" si="255"/>
        <v/>
      </c>
      <c r="AI1051" s="82" t="str">
        <f t="shared" si="256"/>
        <v/>
      </c>
      <c r="AJ1051" s="90"/>
      <c r="AP1051" s="88"/>
    </row>
    <row r="1052" spans="1:42" x14ac:dyDescent="0.25">
      <c r="A1052" s="2"/>
      <c r="C1052" s="68" t="str" cm="1">
        <f t="array" ref="C1052">IF(AF1052&lt;&gt;"",
IFERROR(INDEX('LaunchPad Markbook'!A:A,MATCH(AH1052,'LaunchPad Markbook'!D:D,0),0),"-"),"")</f>
        <v/>
      </c>
      <c r="D1052" s="27"/>
      <c r="E1052" s="27"/>
      <c r="F1052" s="27"/>
      <c r="G1052" s="14">
        <f>IF(OR(H1052&gt;AB$2,I1052&gt;AC$2,J1052&gt;AD$2,
P1052&gt;1,V1052&gt;1,
L1052&gt;'Group List A'!E$2,M1052&gt;'Group List A'!F$2,N1052&gt;'Group List A'!G$2,
R1052&gt;'Group List B'!E$2,S1052&gt;'Group List B'!F$2,T1052&gt;'Group List B'!G$2),"Exceed",
IF(OR(H1052=AB$2,I1052=AC$2,J1052=AD$2,
P1052=1,V1052=1,
L1052='Group List A'!E$2,M1052='Group List A'!F$2,N1052='Group List A'!G$2,
R1052='Group List B'!E$2,S1052='Group List B'!F$2,T1052='Group List B'!G$2),"Limit",0))</f>
        <v>0</v>
      </c>
      <c r="H1052" s="29">
        <f t="shared" si="242"/>
        <v>0</v>
      </c>
      <c r="I1052" s="29">
        <f t="shared" si="243"/>
        <v>0</v>
      </c>
      <c r="J1052" s="29">
        <f t="shared" si="244"/>
        <v>0</v>
      </c>
      <c r="K1052" s="32" t="str" cm="1">
        <f t="array" ref="K1052">IF(AF1052&lt;&gt;"",IFERROR(INDEX('Group List A'!B:B,MATCH(AI1052,'Group List A'!A:A,0),0),"-"),"")</f>
        <v/>
      </c>
      <c r="L1052" s="33">
        <f t="shared" si="245"/>
        <v>0</v>
      </c>
      <c r="M1052" s="33">
        <f t="shared" si="246"/>
        <v>0</v>
      </c>
      <c r="N1052" s="33">
        <f t="shared" si="247"/>
        <v>0</v>
      </c>
      <c r="O1052" s="28"/>
      <c r="P1052" s="33">
        <f t="shared" si="248"/>
        <v>0</v>
      </c>
      <c r="Q1052" s="35" t="str" cm="1">
        <f t="array" ref="Q1052">IF(AF1052&lt;&gt;"",IFERROR(INDEX('Group List B'!B:B,MATCH(AI1052,'Group List B'!A:A,0),0),"-"),"")</f>
        <v/>
      </c>
      <c r="R1052" s="36">
        <f t="shared" si="249"/>
        <v>0</v>
      </c>
      <c r="S1052" s="36">
        <f t="shared" si="250"/>
        <v>0</v>
      </c>
      <c r="T1052" s="36">
        <f t="shared" si="251"/>
        <v>0</v>
      </c>
      <c r="U1052" s="28"/>
      <c r="V1052" s="37">
        <f t="shared" si="252"/>
        <v>0</v>
      </c>
      <c r="W1052" s="41"/>
      <c r="X1052" s="27"/>
      <c r="Y1052" s="27"/>
      <c r="Z1052" s="27"/>
      <c r="AA1052" s="15"/>
      <c r="AB1052" s="17"/>
      <c r="AC1052" s="17"/>
      <c r="AD1052" s="17"/>
      <c r="AE1052" s="90"/>
      <c r="AF1052" s="82" t="str">
        <f t="shared" si="253"/>
        <v/>
      </c>
      <c r="AG1052" s="83" t="str">
        <f t="shared" si="254"/>
        <v/>
      </c>
      <c r="AH1052" s="82" t="str">
        <f t="shared" si="255"/>
        <v/>
      </c>
      <c r="AI1052" s="82" t="str">
        <f t="shared" si="256"/>
        <v/>
      </c>
      <c r="AJ1052" s="90"/>
      <c r="AP1052" s="88"/>
    </row>
    <row r="1053" spans="1:42" x14ac:dyDescent="0.25">
      <c r="A1053" s="2"/>
      <c r="C1053" s="68" t="str" cm="1">
        <f t="array" ref="C1053">IF(AF1053&lt;&gt;"",
IFERROR(INDEX('LaunchPad Markbook'!A:A,MATCH(AH1053,'LaunchPad Markbook'!D:D,0),0),"-"),"")</f>
        <v/>
      </c>
      <c r="D1053" s="27"/>
      <c r="E1053" s="27"/>
      <c r="F1053" s="27"/>
      <c r="G1053" s="14">
        <f>IF(OR(H1053&gt;AB$2,I1053&gt;AC$2,J1053&gt;AD$2,
P1053&gt;1,V1053&gt;1,
L1053&gt;'Group List A'!E$2,M1053&gt;'Group List A'!F$2,N1053&gt;'Group List A'!G$2,
R1053&gt;'Group List B'!E$2,S1053&gt;'Group List B'!F$2,T1053&gt;'Group List B'!G$2),"Exceed",
IF(OR(H1053=AB$2,I1053=AC$2,J1053=AD$2,
P1053=1,V1053=1,
L1053='Group List A'!E$2,M1053='Group List A'!F$2,N1053='Group List A'!G$2,
R1053='Group List B'!E$2,S1053='Group List B'!F$2,T1053='Group List B'!G$2),"Limit",0))</f>
        <v>0</v>
      </c>
      <c r="H1053" s="29">
        <f t="shared" si="242"/>
        <v>0</v>
      </c>
      <c r="I1053" s="29">
        <f t="shared" si="243"/>
        <v>0</v>
      </c>
      <c r="J1053" s="29">
        <f t="shared" si="244"/>
        <v>0</v>
      </c>
      <c r="K1053" s="32" t="str" cm="1">
        <f t="array" ref="K1053">IF(AF1053&lt;&gt;"",IFERROR(INDEX('Group List A'!B:B,MATCH(AI1053,'Group List A'!A:A,0),0),"-"),"")</f>
        <v/>
      </c>
      <c r="L1053" s="33">
        <f t="shared" si="245"/>
        <v>0</v>
      </c>
      <c r="M1053" s="33">
        <f t="shared" si="246"/>
        <v>0</v>
      </c>
      <c r="N1053" s="33">
        <f t="shared" si="247"/>
        <v>0</v>
      </c>
      <c r="O1053" s="28"/>
      <c r="P1053" s="33">
        <f t="shared" si="248"/>
        <v>0</v>
      </c>
      <c r="Q1053" s="35" t="str" cm="1">
        <f t="array" ref="Q1053">IF(AF1053&lt;&gt;"",IFERROR(INDEX('Group List B'!B:B,MATCH(AI1053,'Group List B'!A:A,0),0),"-"),"")</f>
        <v/>
      </c>
      <c r="R1053" s="36">
        <f t="shared" si="249"/>
        <v>0</v>
      </c>
      <c r="S1053" s="36">
        <f t="shared" si="250"/>
        <v>0</v>
      </c>
      <c r="T1053" s="36">
        <f t="shared" si="251"/>
        <v>0</v>
      </c>
      <c r="U1053" s="28"/>
      <c r="V1053" s="37">
        <f t="shared" si="252"/>
        <v>0</v>
      </c>
      <c r="W1053" s="41"/>
      <c r="X1053" s="27"/>
      <c r="Y1053" s="27"/>
      <c r="Z1053" s="27"/>
      <c r="AA1053" s="15"/>
      <c r="AB1053" s="17"/>
      <c r="AC1053" s="17"/>
      <c r="AD1053" s="17"/>
      <c r="AE1053" s="90"/>
      <c r="AF1053" s="82" t="str">
        <f t="shared" si="253"/>
        <v/>
      </c>
      <c r="AG1053" s="83" t="str">
        <f t="shared" si="254"/>
        <v/>
      </c>
      <c r="AH1053" s="82" t="str">
        <f t="shared" si="255"/>
        <v/>
      </c>
      <c r="AI1053" s="82" t="str">
        <f t="shared" si="256"/>
        <v/>
      </c>
      <c r="AJ1053" s="90"/>
      <c r="AP1053" s="88"/>
    </row>
    <row r="1054" spans="1:42" x14ac:dyDescent="0.25">
      <c r="A1054" s="2"/>
      <c r="C1054" s="68" t="str" cm="1">
        <f t="array" ref="C1054">IF(AF1054&lt;&gt;"",
IFERROR(INDEX('LaunchPad Markbook'!A:A,MATCH(AH1054,'LaunchPad Markbook'!D:D,0),0),"-"),"")</f>
        <v/>
      </c>
      <c r="D1054" s="27"/>
      <c r="E1054" s="27"/>
      <c r="F1054" s="27"/>
      <c r="G1054" s="14">
        <f>IF(OR(H1054&gt;AB$2,I1054&gt;AC$2,J1054&gt;AD$2,
P1054&gt;1,V1054&gt;1,
L1054&gt;'Group List A'!E$2,M1054&gt;'Group List A'!F$2,N1054&gt;'Group List A'!G$2,
R1054&gt;'Group List B'!E$2,S1054&gt;'Group List B'!F$2,T1054&gt;'Group List B'!G$2),"Exceed",
IF(OR(H1054=AB$2,I1054=AC$2,J1054=AD$2,
P1054=1,V1054=1,
L1054='Group List A'!E$2,M1054='Group List A'!F$2,N1054='Group List A'!G$2,
R1054='Group List B'!E$2,S1054='Group List B'!F$2,T1054='Group List B'!G$2),"Limit",0))</f>
        <v>0</v>
      </c>
      <c r="H1054" s="29">
        <f t="shared" si="242"/>
        <v>0</v>
      </c>
      <c r="I1054" s="29">
        <f t="shared" si="243"/>
        <v>0</v>
      </c>
      <c r="J1054" s="29">
        <f t="shared" si="244"/>
        <v>0</v>
      </c>
      <c r="K1054" s="32" t="str" cm="1">
        <f t="array" ref="K1054">IF(AF1054&lt;&gt;"",IFERROR(INDEX('Group List A'!B:B,MATCH(AI1054,'Group List A'!A:A,0),0),"-"),"")</f>
        <v/>
      </c>
      <c r="L1054" s="33">
        <f t="shared" si="245"/>
        <v>0</v>
      </c>
      <c r="M1054" s="33">
        <f t="shared" si="246"/>
        <v>0</v>
      </c>
      <c r="N1054" s="33">
        <f t="shared" si="247"/>
        <v>0</v>
      </c>
      <c r="O1054" s="28"/>
      <c r="P1054" s="33">
        <f t="shared" si="248"/>
        <v>0</v>
      </c>
      <c r="Q1054" s="35" t="str" cm="1">
        <f t="array" ref="Q1054">IF(AF1054&lt;&gt;"",IFERROR(INDEX('Group List B'!B:B,MATCH(AI1054,'Group List B'!A:A,0),0),"-"),"")</f>
        <v/>
      </c>
      <c r="R1054" s="36">
        <f t="shared" si="249"/>
        <v>0</v>
      </c>
      <c r="S1054" s="36">
        <f t="shared" si="250"/>
        <v>0</v>
      </c>
      <c r="T1054" s="36">
        <f t="shared" si="251"/>
        <v>0</v>
      </c>
      <c r="U1054" s="28"/>
      <c r="V1054" s="37">
        <f t="shared" si="252"/>
        <v>0</v>
      </c>
      <c r="W1054" s="41"/>
      <c r="X1054" s="27"/>
      <c r="Y1054" s="27"/>
      <c r="Z1054" s="27"/>
      <c r="AA1054" s="15"/>
      <c r="AB1054" s="17"/>
      <c r="AC1054" s="17"/>
      <c r="AD1054" s="17"/>
      <c r="AE1054" s="90"/>
      <c r="AF1054" s="82" t="str">
        <f t="shared" si="253"/>
        <v/>
      </c>
      <c r="AG1054" s="83" t="str">
        <f t="shared" si="254"/>
        <v/>
      </c>
      <c r="AH1054" s="82" t="str">
        <f t="shared" si="255"/>
        <v/>
      </c>
      <c r="AI1054" s="82" t="str">
        <f t="shared" si="256"/>
        <v/>
      </c>
      <c r="AJ1054" s="90"/>
      <c r="AP1054" s="88"/>
    </row>
    <row r="1055" spans="1:42" x14ac:dyDescent="0.25">
      <c r="A1055" s="2"/>
      <c r="C1055" s="68" t="str" cm="1">
        <f t="array" ref="C1055">IF(AF1055&lt;&gt;"",
IFERROR(INDEX('LaunchPad Markbook'!A:A,MATCH(AH1055,'LaunchPad Markbook'!D:D,0),0),"-"),"")</f>
        <v/>
      </c>
      <c r="D1055" s="27"/>
      <c r="E1055" s="27"/>
      <c r="F1055" s="27"/>
      <c r="G1055" s="14">
        <f>IF(OR(H1055&gt;AB$2,I1055&gt;AC$2,J1055&gt;AD$2,
P1055&gt;1,V1055&gt;1,
L1055&gt;'Group List A'!E$2,M1055&gt;'Group List A'!F$2,N1055&gt;'Group List A'!G$2,
R1055&gt;'Group List B'!E$2,S1055&gt;'Group List B'!F$2,T1055&gt;'Group List B'!G$2),"Exceed",
IF(OR(H1055=AB$2,I1055=AC$2,J1055=AD$2,
P1055=1,V1055=1,
L1055='Group List A'!E$2,M1055='Group List A'!F$2,N1055='Group List A'!G$2,
R1055='Group List B'!E$2,S1055='Group List B'!F$2,T1055='Group List B'!G$2),"Limit",0))</f>
        <v>0</v>
      </c>
      <c r="H1055" s="29">
        <f t="shared" si="242"/>
        <v>0</v>
      </c>
      <c r="I1055" s="29">
        <f t="shared" si="243"/>
        <v>0</v>
      </c>
      <c r="J1055" s="29">
        <f t="shared" si="244"/>
        <v>0</v>
      </c>
      <c r="K1055" s="32" t="str" cm="1">
        <f t="array" ref="K1055">IF(AF1055&lt;&gt;"",IFERROR(INDEX('Group List A'!B:B,MATCH(AI1055,'Group List A'!A:A,0),0),"-"),"")</f>
        <v/>
      </c>
      <c r="L1055" s="33">
        <f t="shared" si="245"/>
        <v>0</v>
      </c>
      <c r="M1055" s="33">
        <f t="shared" si="246"/>
        <v>0</v>
      </c>
      <c r="N1055" s="33">
        <f t="shared" si="247"/>
        <v>0</v>
      </c>
      <c r="O1055" s="28"/>
      <c r="P1055" s="33">
        <f t="shared" si="248"/>
        <v>0</v>
      </c>
      <c r="Q1055" s="35" t="str" cm="1">
        <f t="array" ref="Q1055">IF(AF1055&lt;&gt;"",IFERROR(INDEX('Group List B'!B:B,MATCH(AI1055,'Group List B'!A:A,0),0),"-"),"")</f>
        <v/>
      </c>
      <c r="R1055" s="36">
        <f t="shared" si="249"/>
        <v>0</v>
      </c>
      <c r="S1055" s="36">
        <f t="shared" si="250"/>
        <v>0</v>
      </c>
      <c r="T1055" s="36">
        <f t="shared" si="251"/>
        <v>0</v>
      </c>
      <c r="U1055" s="28"/>
      <c r="V1055" s="37">
        <f t="shared" si="252"/>
        <v>0</v>
      </c>
      <c r="W1055" s="41"/>
      <c r="X1055" s="27"/>
      <c r="Y1055" s="27"/>
      <c r="Z1055" s="27"/>
      <c r="AA1055" s="15"/>
      <c r="AB1055" s="17"/>
      <c r="AC1055" s="17"/>
      <c r="AD1055" s="17"/>
      <c r="AE1055" s="90"/>
      <c r="AF1055" s="82" t="str">
        <f t="shared" si="253"/>
        <v/>
      </c>
      <c r="AG1055" s="83" t="str">
        <f t="shared" si="254"/>
        <v/>
      </c>
      <c r="AH1055" s="82" t="str">
        <f t="shared" si="255"/>
        <v/>
      </c>
      <c r="AI1055" s="82" t="str">
        <f t="shared" si="256"/>
        <v/>
      </c>
      <c r="AJ1055" s="90"/>
      <c r="AP1055" s="88"/>
    </row>
    <row r="1056" spans="1:42" x14ac:dyDescent="0.25">
      <c r="A1056" s="2"/>
      <c r="C1056" s="68" t="str" cm="1">
        <f t="array" ref="C1056">IF(AF1056&lt;&gt;"",
IFERROR(INDEX('LaunchPad Markbook'!A:A,MATCH(AH1056,'LaunchPad Markbook'!D:D,0),0),"-"),"")</f>
        <v/>
      </c>
      <c r="D1056" s="27"/>
      <c r="E1056" s="27"/>
      <c r="F1056" s="27"/>
      <c r="G1056" s="14">
        <f>IF(OR(H1056&gt;AB$2,I1056&gt;AC$2,J1056&gt;AD$2,
P1056&gt;1,V1056&gt;1,
L1056&gt;'Group List A'!E$2,M1056&gt;'Group List A'!F$2,N1056&gt;'Group List A'!G$2,
R1056&gt;'Group List B'!E$2,S1056&gt;'Group List B'!F$2,T1056&gt;'Group List B'!G$2),"Exceed",
IF(OR(H1056=AB$2,I1056=AC$2,J1056=AD$2,
P1056=1,V1056=1,
L1056='Group List A'!E$2,M1056='Group List A'!F$2,N1056='Group List A'!G$2,
R1056='Group List B'!E$2,S1056='Group List B'!F$2,T1056='Group List B'!G$2),"Limit",0))</f>
        <v>0</v>
      </c>
      <c r="H1056" s="29">
        <f t="shared" si="242"/>
        <v>0</v>
      </c>
      <c r="I1056" s="29">
        <f t="shared" si="243"/>
        <v>0</v>
      </c>
      <c r="J1056" s="29">
        <f t="shared" si="244"/>
        <v>0</v>
      </c>
      <c r="K1056" s="32" t="str" cm="1">
        <f t="array" ref="K1056">IF(AF1056&lt;&gt;"",IFERROR(INDEX('Group List A'!B:B,MATCH(AI1056,'Group List A'!A:A,0),0),"-"),"")</f>
        <v/>
      </c>
      <c r="L1056" s="33">
        <f t="shared" si="245"/>
        <v>0</v>
      </c>
      <c r="M1056" s="33">
        <f t="shared" si="246"/>
        <v>0</v>
      </c>
      <c r="N1056" s="33">
        <f t="shared" si="247"/>
        <v>0</v>
      </c>
      <c r="O1056" s="28"/>
      <c r="P1056" s="33">
        <f t="shared" si="248"/>
        <v>0</v>
      </c>
      <c r="Q1056" s="35" t="str" cm="1">
        <f t="array" ref="Q1056">IF(AF1056&lt;&gt;"",IFERROR(INDEX('Group List B'!B:B,MATCH(AI1056,'Group List B'!A:A,0),0),"-"),"")</f>
        <v/>
      </c>
      <c r="R1056" s="36">
        <f t="shared" si="249"/>
        <v>0</v>
      </c>
      <c r="S1056" s="36">
        <f t="shared" si="250"/>
        <v>0</v>
      </c>
      <c r="T1056" s="36">
        <f t="shared" si="251"/>
        <v>0</v>
      </c>
      <c r="U1056" s="28"/>
      <c r="V1056" s="37">
        <f t="shared" si="252"/>
        <v>0</v>
      </c>
      <c r="W1056" s="41"/>
      <c r="X1056" s="27"/>
      <c r="Y1056" s="27"/>
      <c r="Z1056" s="27"/>
      <c r="AA1056" s="15"/>
      <c r="AB1056" s="17"/>
      <c r="AC1056" s="17"/>
      <c r="AD1056" s="17"/>
      <c r="AE1056" s="90"/>
      <c r="AF1056" s="82" t="str">
        <f t="shared" si="253"/>
        <v/>
      </c>
      <c r="AG1056" s="83" t="str">
        <f t="shared" si="254"/>
        <v/>
      </c>
      <c r="AH1056" s="82" t="str">
        <f t="shared" si="255"/>
        <v/>
      </c>
      <c r="AI1056" s="82" t="str">
        <f t="shared" si="256"/>
        <v/>
      </c>
      <c r="AJ1056" s="90"/>
      <c r="AP1056" s="88"/>
    </row>
    <row r="1057" spans="1:42" x14ac:dyDescent="0.25">
      <c r="A1057" s="2"/>
      <c r="C1057" s="68" t="str" cm="1">
        <f t="array" ref="C1057">IF(AF1057&lt;&gt;"",
IFERROR(INDEX('LaunchPad Markbook'!A:A,MATCH(AH1057,'LaunchPad Markbook'!D:D,0),0),"-"),"")</f>
        <v/>
      </c>
      <c r="D1057" s="27"/>
      <c r="E1057" s="27"/>
      <c r="F1057" s="27"/>
      <c r="G1057" s="14">
        <f>IF(OR(H1057&gt;AB$2,I1057&gt;AC$2,J1057&gt;AD$2,
P1057&gt;1,V1057&gt;1,
L1057&gt;'Group List A'!E$2,M1057&gt;'Group List A'!F$2,N1057&gt;'Group List A'!G$2,
R1057&gt;'Group List B'!E$2,S1057&gt;'Group List B'!F$2,T1057&gt;'Group List B'!G$2),"Exceed",
IF(OR(H1057=AB$2,I1057=AC$2,J1057=AD$2,
P1057=1,V1057=1,
L1057='Group List A'!E$2,M1057='Group List A'!F$2,N1057='Group List A'!G$2,
R1057='Group List B'!E$2,S1057='Group List B'!F$2,T1057='Group List B'!G$2),"Limit",0))</f>
        <v>0</v>
      </c>
      <c r="H1057" s="29">
        <f t="shared" si="242"/>
        <v>0</v>
      </c>
      <c r="I1057" s="29">
        <f t="shared" si="243"/>
        <v>0</v>
      </c>
      <c r="J1057" s="29">
        <f t="shared" si="244"/>
        <v>0</v>
      </c>
      <c r="K1057" s="32" t="str" cm="1">
        <f t="array" ref="K1057">IF(AF1057&lt;&gt;"",IFERROR(INDEX('Group List A'!B:B,MATCH(AI1057,'Group List A'!A:A,0),0),"-"),"")</f>
        <v/>
      </c>
      <c r="L1057" s="33">
        <f t="shared" si="245"/>
        <v>0</v>
      </c>
      <c r="M1057" s="33">
        <f t="shared" si="246"/>
        <v>0</v>
      </c>
      <c r="N1057" s="33">
        <f t="shared" si="247"/>
        <v>0</v>
      </c>
      <c r="O1057" s="28"/>
      <c r="P1057" s="33">
        <f t="shared" si="248"/>
        <v>0</v>
      </c>
      <c r="Q1057" s="35" t="str" cm="1">
        <f t="array" ref="Q1057">IF(AF1057&lt;&gt;"",IFERROR(INDEX('Group List B'!B:B,MATCH(AI1057,'Group List B'!A:A,0),0),"-"),"")</f>
        <v/>
      </c>
      <c r="R1057" s="36">
        <f t="shared" si="249"/>
        <v>0</v>
      </c>
      <c r="S1057" s="36">
        <f t="shared" si="250"/>
        <v>0</v>
      </c>
      <c r="T1057" s="36">
        <f t="shared" si="251"/>
        <v>0</v>
      </c>
      <c r="U1057" s="28"/>
      <c r="V1057" s="37">
        <f t="shared" si="252"/>
        <v>0</v>
      </c>
      <c r="W1057" s="41"/>
      <c r="X1057" s="27"/>
      <c r="Y1057" s="27"/>
      <c r="Z1057" s="27"/>
      <c r="AA1057" s="15"/>
      <c r="AB1057" s="17"/>
      <c r="AC1057" s="17"/>
      <c r="AD1057" s="17"/>
      <c r="AE1057" s="90"/>
      <c r="AF1057" s="82" t="str">
        <f t="shared" si="253"/>
        <v/>
      </c>
      <c r="AG1057" s="83" t="str">
        <f t="shared" si="254"/>
        <v/>
      </c>
      <c r="AH1057" s="82" t="str">
        <f t="shared" si="255"/>
        <v/>
      </c>
      <c r="AI1057" s="82" t="str">
        <f t="shared" si="256"/>
        <v/>
      </c>
      <c r="AJ1057" s="90"/>
      <c r="AP1057" s="88"/>
    </row>
    <row r="1058" spans="1:42" x14ac:dyDescent="0.25">
      <c r="A1058" s="2"/>
      <c r="C1058" s="68" t="str" cm="1">
        <f t="array" ref="C1058">IF(AF1058&lt;&gt;"",
IFERROR(INDEX('LaunchPad Markbook'!A:A,MATCH(AH1058,'LaunchPad Markbook'!D:D,0),0),"-"),"")</f>
        <v/>
      </c>
      <c r="D1058" s="27"/>
      <c r="E1058" s="27"/>
      <c r="F1058" s="27"/>
      <c r="G1058" s="14">
        <f>IF(OR(H1058&gt;AB$2,I1058&gt;AC$2,J1058&gt;AD$2,
P1058&gt;1,V1058&gt;1,
L1058&gt;'Group List A'!E$2,M1058&gt;'Group List A'!F$2,N1058&gt;'Group List A'!G$2,
R1058&gt;'Group List B'!E$2,S1058&gt;'Group List B'!F$2,T1058&gt;'Group List B'!G$2),"Exceed",
IF(OR(H1058=AB$2,I1058=AC$2,J1058=AD$2,
P1058=1,V1058=1,
L1058='Group List A'!E$2,M1058='Group List A'!F$2,N1058='Group List A'!G$2,
R1058='Group List B'!E$2,S1058='Group List B'!F$2,T1058='Group List B'!G$2),"Limit",0))</f>
        <v>0</v>
      </c>
      <c r="H1058" s="29">
        <f t="shared" si="242"/>
        <v>0</v>
      </c>
      <c r="I1058" s="29">
        <f t="shared" si="243"/>
        <v>0</v>
      </c>
      <c r="J1058" s="29">
        <f t="shared" si="244"/>
        <v>0</v>
      </c>
      <c r="K1058" s="32" t="str" cm="1">
        <f t="array" ref="K1058">IF(AF1058&lt;&gt;"",IFERROR(INDEX('Group List A'!B:B,MATCH(AI1058,'Group List A'!A:A,0),0),"-"),"")</f>
        <v/>
      </c>
      <c r="L1058" s="33">
        <f t="shared" si="245"/>
        <v>0</v>
      </c>
      <c r="M1058" s="33">
        <f t="shared" si="246"/>
        <v>0</v>
      </c>
      <c r="N1058" s="33">
        <f t="shared" si="247"/>
        <v>0</v>
      </c>
      <c r="O1058" s="28"/>
      <c r="P1058" s="33">
        <f t="shared" si="248"/>
        <v>0</v>
      </c>
      <c r="Q1058" s="35" t="str" cm="1">
        <f t="array" ref="Q1058">IF(AF1058&lt;&gt;"",IFERROR(INDEX('Group List B'!B:B,MATCH(AI1058,'Group List B'!A:A,0),0),"-"),"")</f>
        <v/>
      </c>
      <c r="R1058" s="36">
        <f t="shared" si="249"/>
        <v>0</v>
      </c>
      <c r="S1058" s="36">
        <f t="shared" si="250"/>
        <v>0</v>
      </c>
      <c r="T1058" s="36">
        <f t="shared" si="251"/>
        <v>0</v>
      </c>
      <c r="U1058" s="28"/>
      <c r="V1058" s="37">
        <f t="shared" si="252"/>
        <v>0</v>
      </c>
      <c r="W1058" s="41"/>
      <c r="X1058" s="27"/>
      <c r="Y1058" s="27"/>
      <c r="Z1058" s="27"/>
      <c r="AA1058" s="15"/>
      <c r="AB1058" s="17"/>
      <c r="AC1058" s="17"/>
      <c r="AD1058" s="17"/>
      <c r="AE1058" s="90"/>
      <c r="AF1058" s="82" t="str">
        <f t="shared" si="253"/>
        <v/>
      </c>
      <c r="AG1058" s="83" t="str">
        <f t="shared" si="254"/>
        <v/>
      </c>
      <c r="AH1058" s="82" t="str">
        <f t="shared" si="255"/>
        <v/>
      </c>
      <c r="AI1058" s="82" t="str">
        <f t="shared" si="256"/>
        <v/>
      </c>
      <c r="AJ1058" s="90"/>
      <c r="AP1058" s="88"/>
    </row>
    <row r="1059" spans="1:42" x14ac:dyDescent="0.25">
      <c r="A1059" s="2"/>
      <c r="C1059" s="68" t="str" cm="1">
        <f t="array" ref="C1059">IF(AF1059&lt;&gt;"",
IFERROR(INDEX('LaunchPad Markbook'!A:A,MATCH(AH1059,'LaunchPad Markbook'!D:D,0),0),"-"),"")</f>
        <v/>
      </c>
      <c r="D1059" s="27"/>
      <c r="E1059" s="27"/>
      <c r="F1059" s="27"/>
      <c r="G1059" s="14">
        <f>IF(OR(H1059&gt;AB$2,I1059&gt;AC$2,J1059&gt;AD$2,
P1059&gt;1,V1059&gt;1,
L1059&gt;'Group List A'!E$2,M1059&gt;'Group List A'!F$2,N1059&gt;'Group List A'!G$2,
R1059&gt;'Group List B'!E$2,S1059&gt;'Group List B'!F$2,T1059&gt;'Group List B'!G$2),"Exceed",
IF(OR(H1059=AB$2,I1059=AC$2,J1059=AD$2,
P1059=1,V1059=1,
L1059='Group List A'!E$2,M1059='Group List A'!F$2,N1059='Group List A'!G$2,
R1059='Group List B'!E$2,S1059='Group List B'!F$2,T1059='Group List B'!G$2),"Limit",0))</f>
        <v>0</v>
      </c>
      <c r="H1059" s="29">
        <f t="shared" si="242"/>
        <v>0</v>
      </c>
      <c r="I1059" s="29">
        <f t="shared" si="243"/>
        <v>0</v>
      </c>
      <c r="J1059" s="29">
        <f t="shared" si="244"/>
        <v>0</v>
      </c>
      <c r="K1059" s="32" t="str" cm="1">
        <f t="array" ref="K1059">IF(AF1059&lt;&gt;"",IFERROR(INDEX('Group List A'!B:B,MATCH(AI1059,'Group List A'!A:A,0),0),"-"),"")</f>
        <v/>
      </c>
      <c r="L1059" s="33">
        <f t="shared" si="245"/>
        <v>0</v>
      </c>
      <c r="M1059" s="33">
        <f t="shared" si="246"/>
        <v>0</v>
      </c>
      <c r="N1059" s="33">
        <f t="shared" si="247"/>
        <v>0</v>
      </c>
      <c r="O1059" s="28"/>
      <c r="P1059" s="33">
        <f t="shared" si="248"/>
        <v>0</v>
      </c>
      <c r="Q1059" s="35" t="str" cm="1">
        <f t="array" ref="Q1059">IF(AF1059&lt;&gt;"",IFERROR(INDEX('Group List B'!B:B,MATCH(AI1059,'Group List B'!A:A,0),0),"-"),"")</f>
        <v/>
      </c>
      <c r="R1059" s="36">
        <f t="shared" si="249"/>
        <v>0</v>
      </c>
      <c r="S1059" s="36">
        <f t="shared" si="250"/>
        <v>0</v>
      </c>
      <c r="T1059" s="36">
        <f t="shared" si="251"/>
        <v>0</v>
      </c>
      <c r="U1059" s="28"/>
      <c r="V1059" s="37">
        <f t="shared" si="252"/>
        <v>0</v>
      </c>
      <c r="W1059" s="41"/>
      <c r="X1059" s="27"/>
      <c r="Y1059" s="27"/>
      <c r="Z1059" s="27"/>
      <c r="AA1059" s="15"/>
      <c r="AB1059" s="17"/>
      <c r="AC1059" s="17"/>
      <c r="AD1059" s="17"/>
      <c r="AE1059" s="90"/>
      <c r="AF1059" s="82" t="str">
        <f t="shared" si="253"/>
        <v/>
      </c>
      <c r="AG1059" s="83" t="str">
        <f t="shared" si="254"/>
        <v/>
      </c>
      <c r="AH1059" s="82" t="str">
        <f t="shared" si="255"/>
        <v/>
      </c>
      <c r="AI1059" s="82" t="str">
        <f t="shared" si="256"/>
        <v/>
      </c>
      <c r="AJ1059" s="90"/>
      <c r="AP1059" s="88"/>
    </row>
    <row r="1060" spans="1:42" x14ac:dyDescent="0.25">
      <c r="A1060" s="2"/>
      <c r="C1060" s="68" t="str" cm="1">
        <f t="array" ref="C1060">IF(AF1060&lt;&gt;"",
IFERROR(INDEX('LaunchPad Markbook'!A:A,MATCH(AH1060,'LaunchPad Markbook'!D:D,0),0),"-"),"")</f>
        <v/>
      </c>
      <c r="D1060" s="27"/>
      <c r="E1060" s="27"/>
      <c r="F1060" s="27"/>
      <c r="G1060" s="14">
        <f>IF(OR(H1060&gt;AB$2,I1060&gt;AC$2,J1060&gt;AD$2,
P1060&gt;1,V1060&gt;1,
L1060&gt;'Group List A'!E$2,M1060&gt;'Group List A'!F$2,N1060&gt;'Group List A'!G$2,
R1060&gt;'Group List B'!E$2,S1060&gt;'Group List B'!F$2,T1060&gt;'Group List B'!G$2),"Exceed",
IF(OR(H1060=AB$2,I1060=AC$2,J1060=AD$2,
P1060=1,V1060=1,
L1060='Group List A'!E$2,M1060='Group List A'!F$2,N1060='Group List A'!G$2,
R1060='Group List B'!E$2,S1060='Group List B'!F$2,T1060='Group List B'!G$2),"Limit",0))</f>
        <v>0</v>
      </c>
      <c r="H1060" s="29">
        <f t="shared" si="242"/>
        <v>0</v>
      </c>
      <c r="I1060" s="29">
        <f t="shared" si="243"/>
        <v>0</v>
      </c>
      <c r="J1060" s="29">
        <f t="shared" si="244"/>
        <v>0</v>
      </c>
      <c r="K1060" s="32" t="str" cm="1">
        <f t="array" ref="K1060">IF(AF1060&lt;&gt;"",IFERROR(INDEX('Group List A'!B:B,MATCH(AI1060,'Group List A'!A:A,0),0),"-"),"")</f>
        <v/>
      </c>
      <c r="L1060" s="33">
        <f t="shared" si="245"/>
        <v>0</v>
      </c>
      <c r="M1060" s="33">
        <f t="shared" si="246"/>
        <v>0</v>
      </c>
      <c r="N1060" s="33">
        <f t="shared" si="247"/>
        <v>0</v>
      </c>
      <c r="O1060" s="28"/>
      <c r="P1060" s="33">
        <f t="shared" si="248"/>
        <v>0</v>
      </c>
      <c r="Q1060" s="35" t="str" cm="1">
        <f t="array" ref="Q1060">IF(AF1060&lt;&gt;"",IFERROR(INDEX('Group List B'!B:B,MATCH(AI1060,'Group List B'!A:A,0),0),"-"),"")</f>
        <v/>
      </c>
      <c r="R1060" s="36">
        <f t="shared" si="249"/>
        <v>0</v>
      </c>
      <c r="S1060" s="36">
        <f t="shared" si="250"/>
        <v>0</v>
      </c>
      <c r="T1060" s="36">
        <f t="shared" si="251"/>
        <v>0</v>
      </c>
      <c r="U1060" s="28"/>
      <c r="V1060" s="37">
        <f t="shared" si="252"/>
        <v>0</v>
      </c>
      <c r="W1060" s="41"/>
      <c r="X1060" s="27"/>
      <c r="Y1060" s="27"/>
      <c r="Z1060" s="27"/>
      <c r="AA1060" s="15"/>
      <c r="AB1060" s="17"/>
      <c r="AC1060" s="17"/>
      <c r="AD1060" s="17"/>
      <c r="AE1060" s="90"/>
      <c r="AF1060" s="82" t="str">
        <f t="shared" si="253"/>
        <v/>
      </c>
      <c r="AG1060" s="83" t="str">
        <f t="shared" si="254"/>
        <v/>
      </c>
      <c r="AH1060" s="82" t="str">
        <f t="shared" si="255"/>
        <v/>
      </c>
      <c r="AI1060" s="82" t="str">
        <f t="shared" si="256"/>
        <v/>
      </c>
      <c r="AJ1060" s="90"/>
      <c r="AP1060" s="88"/>
    </row>
    <row r="1061" spans="1:42" x14ac:dyDescent="0.25">
      <c r="A1061" s="2"/>
      <c r="C1061" s="68" t="str" cm="1">
        <f t="array" ref="C1061">IF(AF1061&lt;&gt;"",
IFERROR(INDEX('LaunchPad Markbook'!A:A,MATCH(AH1061,'LaunchPad Markbook'!D:D,0),0),"-"),"")</f>
        <v/>
      </c>
      <c r="D1061" s="27"/>
      <c r="E1061" s="27"/>
      <c r="F1061" s="27"/>
      <c r="G1061" s="14">
        <f>IF(OR(H1061&gt;AB$2,I1061&gt;AC$2,J1061&gt;AD$2,
P1061&gt;1,V1061&gt;1,
L1061&gt;'Group List A'!E$2,M1061&gt;'Group List A'!F$2,N1061&gt;'Group List A'!G$2,
R1061&gt;'Group List B'!E$2,S1061&gt;'Group List B'!F$2,T1061&gt;'Group List B'!G$2),"Exceed",
IF(OR(H1061=AB$2,I1061=AC$2,J1061=AD$2,
P1061=1,V1061=1,
L1061='Group List A'!E$2,M1061='Group List A'!F$2,N1061='Group List A'!G$2,
R1061='Group List B'!E$2,S1061='Group List B'!F$2,T1061='Group List B'!G$2),"Limit",0))</f>
        <v>0</v>
      </c>
      <c r="H1061" s="29">
        <f t="shared" si="242"/>
        <v>0</v>
      </c>
      <c r="I1061" s="29">
        <f t="shared" si="243"/>
        <v>0</v>
      </c>
      <c r="J1061" s="29">
        <f t="shared" si="244"/>
        <v>0</v>
      </c>
      <c r="K1061" s="32" t="str" cm="1">
        <f t="array" ref="K1061">IF(AF1061&lt;&gt;"",IFERROR(INDEX('Group List A'!B:B,MATCH(AI1061,'Group List A'!A:A,0),0),"-"),"")</f>
        <v/>
      </c>
      <c r="L1061" s="33">
        <f t="shared" si="245"/>
        <v>0</v>
      </c>
      <c r="M1061" s="33">
        <f t="shared" si="246"/>
        <v>0</v>
      </c>
      <c r="N1061" s="33">
        <f t="shared" si="247"/>
        <v>0</v>
      </c>
      <c r="O1061" s="28"/>
      <c r="P1061" s="33">
        <f t="shared" si="248"/>
        <v>0</v>
      </c>
      <c r="Q1061" s="35" t="str" cm="1">
        <f t="array" ref="Q1061">IF(AF1061&lt;&gt;"",IFERROR(INDEX('Group List B'!B:B,MATCH(AI1061,'Group List B'!A:A,0),0),"-"),"")</f>
        <v/>
      </c>
      <c r="R1061" s="36">
        <f t="shared" si="249"/>
        <v>0</v>
      </c>
      <c r="S1061" s="36">
        <f t="shared" si="250"/>
        <v>0</v>
      </c>
      <c r="T1061" s="36">
        <f t="shared" si="251"/>
        <v>0</v>
      </c>
      <c r="U1061" s="28"/>
      <c r="V1061" s="37">
        <f t="shared" si="252"/>
        <v>0</v>
      </c>
      <c r="W1061" s="41"/>
      <c r="X1061" s="27"/>
      <c r="Y1061" s="27"/>
      <c r="Z1061" s="27"/>
      <c r="AA1061" s="15"/>
      <c r="AB1061" s="17"/>
      <c r="AC1061" s="17"/>
      <c r="AD1061" s="17"/>
      <c r="AE1061" s="90"/>
      <c r="AF1061" s="82" t="str">
        <f t="shared" si="253"/>
        <v/>
      </c>
      <c r="AG1061" s="83" t="str">
        <f t="shared" si="254"/>
        <v/>
      </c>
      <c r="AH1061" s="82" t="str">
        <f t="shared" si="255"/>
        <v/>
      </c>
      <c r="AI1061" s="82" t="str">
        <f t="shared" si="256"/>
        <v/>
      </c>
      <c r="AJ1061" s="90"/>
      <c r="AP1061" s="88"/>
    </row>
    <row r="1062" spans="1:42" x14ac:dyDescent="0.25">
      <c r="A1062" s="2"/>
      <c r="C1062" s="68" t="str" cm="1">
        <f t="array" ref="C1062">IF(AF1062&lt;&gt;"",
IFERROR(INDEX('LaunchPad Markbook'!A:A,MATCH(AH1062,'LaunchPad Markbook'!D:D,0),0),"-"),"")</f>
        <v/>
      </c>
      <c r="D1062" s="27"/>
      <c r="E1062" s="27"/>
      <c r="F1062" s="27"/>
      <c r="G1062" s="14">
        <f>IF(OR(H1062&gt;AB$2,I1062&gt;AC$2,J1062&gt;AD$2,
P1062&gt;1,V1062&gt;1,
L1062&gt;'Group List A'!E$2,M1062&gt;'Group List A'!F$2,N1062&gt;'Group List A'!G$2,
R1062&gt;'Group List B'!E$2,S1062&gt;'Group List B'!F$2,T1062&gt;'Group List B'!G$2),"Exceed",
IF(OR(H1062=AB$2,I1062=AC$2,J1062=AD$2,
P1062=1,V1062=1,
L1062='Group List A'!E$2,M1062='Group List A'!F$2,N1062='Group List A'!G$2,
R1062='Group List B'!E$2,S1062='Group List B'!F$2,T1062='Group List B'!G$2),"Limit",0))</f>
        <v>0</v>
      </c>
      <c r="H1062" s="29">
        <f t="shared" si="242"/>
        <v>0</v>
      </c>
      <c r="I1062" s="29">
        <f t="shared" si="243"/>
        <v>0</v>
      </c>
      <c r="J1062" s="29">
        <f t="shared" si="244"/>
        <v>0</v>
      </c>
      <c r="K1062" s="32" t="str" cm="1">
        <f t="array" ref="K1062">IF(AF1062&lt;&gt;"",IFERROR(INDEX('Group List A'!B:B,MATCH(AI1062,'Group List A'!A:A,0),0),"-"),"")</f>
        <v/>
      </c>
      <c r="L1062" s="33">
        <f t="shared" si="245"/>
        <v>0</v>
      </c>
      <c r="M1062" s="33">
        <f t="shared" si="246"/>
        <v>0</v>
      </c>
      <c r="N1062" s="33">
        <f t="shared" si="247"/>
        <v>0</v>
      </c>
      <c r="O1062" s="28"/>
      <c r="P1062" s="33">
        <f t="shared" si="248"/>
        <v>0</v>
      </c>
      <c r="Q1062" s="35" t="str" cm="1">
        <f t="array" ref="Q1062">IF(AF1062&lt;&gt;"",IFERROR(INDEX('Group List B'!B:B,MATCH(AI1062,'Group List B'!A:A,0),0),"-"),"")</f>
        <v/>
      </c>
      <c r="R1062" s="36">
        <f t="shared" si="249"/>
        <v>0</v>
      </c>
      <c r="S1062" s="36">
        <f t="shared" si="250"/>
        <v>0</v>
      </c>
      <c r="T1062" s="36">
        <f t="shared" si="251"/>
        <v>0</v>
      </c>
      <c r="U1062" s="28"/>
      <c r="V1062" s="37">
        <f t="shared" si="252"/>
        <v>0</v>
      </c>
      <c r="W1062" s="41"/>
      <c r="X1062" s="27"/>
      <c r="Y1062" s="27"/>
      <c r="Z1062" s="27"/>
      <c r="AA1062" s="15"/>
      <c r="AB1062" s="17"/>
      <c r="AC1062" s="17"/>
      <c r="AD1062" s="17"/>
      <c r="AE1062" s="90"/>
      <c r="AF1062" s="82" t="str">
        <f t="shared" si="253"/>
        <v/>
      </c>
      <c r="AG1062" s="83" t="str">
        <f t="shared" si="254"/>
        <v/>
      </c>
      <c r="AH1062" s="82" t="str">
        <f t="shared" si="255"/>
        <v/>
      </c>
      <c r="AI1062" s="82" t="str">
        <f t="shared" si="256"/>
        <v/>
      </c>
      <c r="AJ1062" s="90"/>
      <c r="AP1062" s="88"/>
    </row>
    <row r="1063" spans="1:42" x14ac:dyDescent="0.25">
      <c r="A1063" s="2"/>
      <c r="C1063" s="68" t="str" cm="1">
        <f t="array" ref="C1063">IF(AF1063&lt;&gt;"",
IFERROR(INDEX('LaunchPad Markbook'!A:A,MATCH(AH1063,'LaunchPad Markbook'!D:D,0),0),"-"),"")</f>
        <v/>
      </c>
      <c r="D1063" s="27"/>
      <c r="E1063" s="27"/>
      <c r="F1063" s="27"/>
      <c r="G1063" s="14">
        <f>IF(OR(H1063&gt;AB$2,I1063&gt;AC$2,J1063&gt;AD$2,
P1063&gt;1,V1063&gt;1,
L1063&gt;'Group List A'!E$2,M1063&gt;'Group List A'!F$2,N1063&gt;'Group List A'!G$2,
R1063&gt;'Group List B'!E$2,S1063&gt;'Group List B'!F$2,T1063&gt;'Group List B'!G$2),"Exceed",
IF(OR(H1063=AB$2,I1063=AC$2,J1063=AD$2,
P1063=1,V1063=1,
L1063='Group List A'!E$2,M1063='Group List A'!F$2,N1063='Group List A'!G$2,
R1063='Group List B'!E$2,S1063='Group List B'!F$2,T1063='Group List B'!G$2),"Limit",0))</f>
        <v>0</v>
      </c>
      <c r="H1063" s="29">
        <f t="shared" si="242"/>
        <v>0</v>
      </c>
      <c r="I1063" s="29">
        <f t="shared" si="243"/>
        <v>0</v>
      </c>
      <c r="J1063" s="29">
        <f t="shared" si="244"/>
        <v>0</v>
      </c>
      <c r="K1063" s="32" t="str" cm="1">
        <f t="array" ref="K1063">IF(AF1063&lt;&gt;"",IFERROR(INDEX('Group List A'!B:B,MATCH(AI1063,'Group List A'!A:A,0),0),"-"),"")</f>
        <v/>
      </c>
      <c r="L1063" s="33">
        <f t="shared" si="245"/>
        <v>0</v>
      </c>
      <c r="M1063" s="33">
        <f t="shared" si="246"/>
        <v>0</v>
      </c>
      <c r="N1063" s="33">
        <f t="shared" si="247"/>
        <v>0</v>
      </c>
      <c r="O1063" s="28"/>
      <c r="P1063" s="33">
        <f t="shared" si="248"/>
        <v>0</v>
      </c>
      <c r="Q1063" s="35" t="str" cm="1">
        <f t="array" ref="Q1063">IF(AF1063&lt;&gt;"",IFERROR(INDEX('Group List B'!B:B,MATCH(AI1063,'Group List B'!A:A,0),0),"-"),"")</f>
        <v/>
      </c>
      <c r="R1063" s="36">
        <f t="shared" si="249"/>
        <v>0</v>
      </c>
      <c r="S1063" s="36">
        <f t="shared" si="250"/>
        <v>0</v>
      </c>
      <c r="T1063" s="36">
        <f t="shared" si="251"/>
        <v>0</v>
      </c>
      <c r="U1063" s="28"/>
      <c r="V1063" s="37">
        <f t="shared" si="252"/>
        <v>0</v>
      </c>
      <c r="W1063" s="41"/>
      <c r="X1063" s="27"/>
      <c r="Y1063" s="27"/>
      <c r="Z1063" s="27"/>
      <c r="AA1063" s="15"/>
      <c r="AB1063" s="17"/>
      <c r="AC1063" s="17"/>
      <c r="AD1063" s="17"/>
      <c r="AE1063" s="90"/>
      <c r="AF1063" s="82" t="str">
        <f t="shared" si="253"/>
        <v/>
      </c>
      <c r="AG1063" s="83" t="str">
        <f t="shared" si="254"/>
        <v/>
      </c>
      <c r="AH1063" s="82" t="str">
        <f t="shared" si="255"/>
        <v/>
      </c>
      <c r="AI1063" s="82" t="str">
        <f t="shared" si="256"/>
        <v/>
      </c>
      <c r="AJ1063" s="90"/>
      <c r="AP1063" s="88"/>
    </row>
    <row r="1064" spans="1:42" x14ac:dyDescent="0.25">
      <c r="A1064" s="2"/>
      <c r="C1064" s="68" t="str" cm="1">
        <f t="array" ref="C1064">IF(AF1064&lt;&gt;"",
IFERROR(INDEX('LaunchPad Markbook'!A:A,MATCH(AH1064,'LaunchPad Markbook'!D:D,0),0),"-"),"")</f>
        <v/>
      </c>
      <c r="D1064" s="27"/>
      <c r="E1064" s="27"/>
      <c r="F1064" s="27"/>
      <c r="G1064" s="14">
        <f>IF(OR(H1064&gt;AB$2,I1064&gt;AC$2,J1064&gt;AD$2,
P1064&gt;1,V1064&gt;1,
L1064&gt;'Group List A'!E$2,M1064&gt;'Group List A'!F$2,N1064&gt;'Group List A'!G$2,
R1064&gt;'Group List B'!E$2,S1064&gt;'Group List B'!F$2,T1064&gt;'Group List B'!G$2),"Exceed",
IF(OR(H1064=AB$2,I1064=AC$2,J1064=AD$2,
P1064=1,V1064=1,
L1064='Group List A'!E$2,M1064='Group List A'!F$2,N1064='Group List A'!G$2,
R1064='Group List B'!E$2,S1064='Group List B'!F$2,T1064='Group List B'!G$2),"Limit",0))</f>
        <v>0</v>
      </c>
      <c r="H1064" s="29">
        <f t="shared" si="242"/>
        <v>0</v>
      </c>
      <c r="I1064" s="29">
        <f t="shared" si="243"/>
        <v>0</v>
      </c>
      <c r="J1064" s="29">
        <f t="shared" si="244"/>
        <v>0</v>
      </c>
      <c r="K1064" s="32" t="str" cm="1">
        <f t="array" ref="K1064">IF(AF1064&lt;&gt;"",IFERROR(INDEX('Group List A'!B:B,MATCH(AI1064,'Group List A'!A:A,0),0),"-"),"")</f>
        <v/>
      </c>
      <c r="L1064" s="33">
        <f t="shared" si="245"/>
        <v>0</v>
      </c>
      <c r="M1064" s="33">
        <f t="shared" si="246"/>
        <v>0</v>
      </c>
      <c r="N1064" s="33">
        <f t="shared" si="247"/>
        <v>0</v>
      </c>
      <c r="O1064" s="28"/>
      <c r="P1064" s="33">
        <f t="shared" si="248"/>
        <v>0</v>
      </c>
      <c r="Q1064" s="35" t="str" cm="1">
        <f t="array" ref="Q1064">IF(AF1064&lt;&gt;"",IFERROR(INDEX('Group List B'!B:B,MATCH(AI1064,'Group List B'!A:A,0),0),"-"),"")</f>
        <v/>
      </c>
      <c r="R1064" s="36">
        <f t="shared" si="249"/>
        <v>0</v>
      </c>
      <c r="S1064" s="36">
        <f t="shared" si="250"/>
        <v>0</v>
      </c>
      <c r="T1064" s="36">
        <f t="shared" si="251"/>
        <v>0</v>
      </c>
      <c r="U1064" s="28"/>
      <c r="V1064" s="37">
        <f t="shared" si="252"/>
        <v>0</v>
      </c>
      <c r="W1064" s="41"/>
      <c r="X1064" s="27"/>
      <c r="Y1064" s="27"/>
      <c r="Z1064" s="27"/>
      <c r="AA1064" s="15"/>
      <c r="AB1064" s="17"/>
      <c r="AC1064" s="17"/>
      <c r="AD1064" s="17"/>
      <c r="AE1064" s="90"/>
      <c r="AF1064" s="82" t="str">
        <f t="shared" si="253"/>
        <v/>
      </c>
      <c r="AG1064" s="83" t="str">
        <f t="shared" si="254"/>
        <v/>
      </c>
      <c r="AH1064" s="82" t="str">
        <f t="shared" si="255"/>
        <v/>
      </c>
      <c r="AI1064" s="82" t="str">
        <f t="shared" si="256"/>
        <v/>
      </c>
      <c r="AJ1064" s="90"/>
      <c r="AP1064" s="88"/>
    </row>
    <row r="1065" spans="1:42" x14ac:dyDescent="0.25">
      <c r="A1065" s="2"/>
      <c r="C1065" s="68" t="str" cm="1">
        <f t="array" ref="C1065">IF(AF1065&lt;&gt;"",
IFERROR(INDEX('LaunchPad Markbook'!A:A,MATCH(AH1065,'LaunchPad Markbook'!D:D,0),0),"-"),"")</f>
        <v/>
      </c>
      <c r="D1065" s="27"/>
      <c r="E1065" s="27"/>
      <c r="F1065" s="27"/>
      <c r="G1065" s="14">
        <f>IF(OR(H1065&gt;AB$2,I1065&gt;AC$2,J1065&gt;AD$2,
P1065&gt;1,V1065&gt;1,
L1065&gt;'Group List A'!E$2,M1065&gt;'Group List A'!F$2,N1065&gt;'Group List A'!G$2,
R1065&gt;'Group List B'!E$2,S1065&gt;'Group List B'!F$2,T1065&gt;'Group List B'!G$2),"Exceed",
IF(OR(H1065=AB$2,I1065=AC$2,J1065=AD$2,
P1065=1,V1065=1,
L1065='Group List A'!E$2,M1065='Group List A'!F$2,N1065='Group List A'!G$2,
R1065='Group List B'!E$2,S1065='Group List B'!F$2,T1065='Group List B'!G$2),"Limit",0))</f>
        <v>0</v>
      </c>
      <c r="H1065" s="29">
        <f t="shared" si="242"/>
        <v>0</v>
      </c>
      <c r="I1065" s="29">
        <f t="shared" si="243"/>
        <v>0</v>
      </c>
      <c r="J1065" s="29">
        <f t="shared" si="244"/>
        <v>0</v>
      </c>
      <c r="K1065" s="32" t="str" cm="1">
        <f t="array" ref="K1065">IF(AF1065&lt;&gt;"",IFERROR(INDEX('Group List A'!B:B,MATCH(AI1065,'Group List A'!A:A,0),0),"-"),"")</f>
        <v/>
      </c>
      <c r="L1065" s="33">
        <f t="shared" si="245"/>
        <v>0</v>
      </c>
      <c r="M1065" s="33">
        <f t="shared" si="246"/>
        <v>0</v>
      </c>
      <c r="N1065" s="33">
        <f t="shared" si="247"/>
        <v>0</v>
      </c>
      <c r="O1065" s="28"/>
      <c r="P1065" s="33">
        <f t="shared" si="248"/>
        <v>0</v>
      </c>
      <c r="Q1065" s="35" t="str" cm="1">
        <f t="array" ref="Q1065">IF(AF1065&lt;&gt;"",IFERROR(INDEX('Group List B'!B:B,MATCH(AI1065,'Group List B'!A:A,0),0),"-"),"")</f>
        <v/>
      </c>
      <c r="R1065" s="36">
        <f t="shared" si="249"/>
        <v>0</v>
      </c>
      <c r="S1065" s="36">
        <f t="shared" si="250"/>
        <v>0</v>
      </c>
      <c r="T1065" s="36">
        <f t="shared" si="251"/>
        <v>0</v>
      </c>
      <c r="U1065" s="28"/>
      <c r="V1065" s="37">
        <f t="shared" si="252"/>
        <v>0</v>
      </c>
      <c r="W1065" s="41"/>
      <c r="X1065" s="27"/>
      <c r="Y1065" s="27"/>
      <c r="Z1065" s="27"/>
      <c r="AA1065" s="15"/>
      <c r="AB1065" s="17"/>
      <c r="AC1065" s="17"/>
      <c r="AD1065" s="17"/>
      <c r="AE1065" s="90"/>
      <c r="AF1065" s="82" t="str">
        <f t="shared" si="253"/>
        <v/>
      </c>
      <c r="AG1065" s="83" t="str">
        <f t="shared" si="254"/>
        <v/>
      </c>
      <c r="AH1065" s="82" t="str">
        <f t="shared" si="255"/>
        <v/>
      </c>
      <c r="AI1065" s="82" t="str">
        <f t="shared" si="256"/>
        <v/>
      </c>
      <c r="AJ1065" s="90"/>
      <c r="AP1065" s="88"/>
    </row>
    <row r="1066" spans="1:42" x14ac:dyDescent="0.25">
      <c r="A1066" s="2"/>
      <c r="C1066" s="68" t="str" cm="1">
        <f t="array" ref="C1066">IF(AF1066&lt;&gt;"",
IFERROR(INDEX('LaunchPad Markbook'!A:A,MATCH(AH1066,'LaunchPad Markbook'!D:D,0),0),"-"),"")</f>
        <v/>
      </c>
      <c r="D1066" s="27"/>
      <c r="E1066" s="27"/>
      <c r="F1066" s="27"/>
      <c r="G1066" s="14">
        <f>IF(OR(H1066&gt;AB$2,I1066&gt;AC$2,J1066&gt;AD$2,
P1066&gt;1,V1066&gt;1,
L1066&gt;'Group List A'!E$2,M1066&gt;'Group List A'!F$2,N1066&gt;'Group List A'!G$2,
R1066&gt;'Group List B'!E$2,S1066&gt;'Group List B'!F$2,T1066&gt;'Group List B'!G$2),"Exceed",
IF(OR(H1066=AB$2,I1066=AC$2,J1066=AD$2,
P1066=1,V1066=1,
L1066='Group List A'!E$2,M1066='Group List A'!F$2,N1066='Group List A'!G$2,
R1066='Group List B'!E$2,S1066='Group List B'!F$2,T1066='Group List B'!G$2),"Limit",0))</f>
        <v>0</v>
      </c>
      <c r="H1066" s="29">
        <f t="shared" si="242"/>
        <v>0</v>
      </c>
      <c r="I1066" s="29">
        <f t="shared" si="243"/>
        <v>0</v>
      </c>
      <c r="J1066" s="29">
        <f t="shared" si="244"/>
        <v>0</v>
      </c>
      <c r="K1066" s="32" t="str" cm="1">
        <f t="array" ref="K1066">IF(AF1066&lt;&gt;"",IFERROR(INDEX('Group List A'!B:B,MATCH(AI1066,'Group List A'!A:A,0),0),"-"),"")</f>
        <v/>
      </c>
      <c r="L1066" s="33">
        <f t="shared" si="245"/>
        <v>0</v>
      </c>
      <c r="M1066" s="33">
        <f t="shared" si="246"/>
        <v>0</v>
      </c>
      <c r="N1066" s="33">
        <f t="shared" si="247"/>
        <v>0</v>
      </c>
      <c r="O1066" s="28"/>
      <c r="P1066" s="33">
        <f t="shared" si="248"/>
        <v>0</v>
      </c>
      <c r="Q1066" s="35" t="str" cm="1">
        <f t="array" ref="Q1066">IF(AF1066&lt;&gt;"",IFERROR(INDEX('Group List B'!B:B,MATCH(AI1066,'Group List B'!A:A,0),0),"-"),"")</f>
        <v/>
      </c>
      <c r="R1066" s="36">
        <f t="shared" si="249"/>
        <v>0</v>
      </c>
      <c r="S1066" s="36">
        <f t="shared" si="250"/>
        <v>0</v>
      </c>
      <c r="T1066" s="36">
        <f t="shared" si="251"/>
        <v>0</v>
      </c>
      <c r="U1066" s="28"/>
      <c r="V1066" s="37">
        <f t="shared" si="252"/>
        <v>0</v>
      </c>
      <c r="W1066" s="41"/>
      <c r="X1066" s="27"/>
      <c r="Y1066" s="27"/>
      <c r="Z1066" s="27"/>
      <c r="AA1066" s="15"/>
      <c r="AB1066" s="17"/>
      <c r="AC1066" s="17"/>
      <c r="AD1066" s="17"/>
      <c r="AE1066" s="90"/>
      <c r="AF1066" s="82" t="str">
        <f t="shared" si="253"/>
        <v/>
      </c>
      <c r="AG1066" s="83" t="str">
        <f t="shared" si="254"/>
        <v/>
      </c>
      <c r="AH1066" s="82" t="str">
        <f t="shared" si="255"/>
        <v/>
      </c>
      <c r="AI1066" s="82" t="str">
        <f t="shared" si="256"/>
        <v/>
      </c>
      <c r="AJ1066" s="90"/>
      <c r="AP1066" s="88"/>
    </row>
    <row r="1067" spans="1:42" x14ac:dyDescent="0.25">
      <c r="A1067" s="2"/>
      <c r="C1067" s="68" t="str" cm="1">
        <f t="array" ref="C1067">IF(AF1067&lt;&gt;"",
IFERROR(INDEX('LaunchPad Markbook'!A:A,MATCH(AH1067,'LaunchPad Markbook'!D:D,0),0),"-"),"")</f>
        <v/>
      </c>
      <c r="D1067" s="27"/>
      <c r="E1067" s="27"/>
      <c r="F1067" s="27"/>
      <c r="G1067" s="14">
        <f>IF(OR(H1067&gt;AB$2,I1067&gt;AC$2,J1067&gt;AD$2,
P1067&gt;1,V1067&gt;1,
L1067&gt;'Group List A'!E$2,M1067&gt;'Group List A'!F$2,N1067&gt;'Group List A'!G$2,
R1067&gt;'Group List B'!E$2,S1067&gt;'Group List B'!F$2,T1067&gt;'Group List B'!G$2),"Exceed",
IF(OR(H1067=AB$2,I1067=AC$2,J1067=AD$2,
P1067=1,V1067=1,
L1067='Group List A'!E$2,M1067='Group List A'!F$2,N1067='Group List A'!G$2,
R1067='Group List B'!E$2,S1067='Group List B'!F$2,T1067='Group List B'!G$2),"Limit",0))</f>
        <v>0</v>
      </c>
      <c r="H1067" s="29">
        <f t="shared" si="242"/>
        <v>0</v>
      </c>
      <c r="I1067" s="29">
        <f t="shared" si="243"/>
        <v>0</v>
      </c>
      <c r="J1067" s="29">
        <f t="shared" si="244"/>
        <v>0</v>
      </c>
      <c r="K1067" s="32" t="str" cm="1">
        <f t="array" ref="K1067">IF(AF1067&lt;&gt;"",IFERROR(INDEX('Group List A'!B:B,MATCH(AI1067,'Group List A'!A:A,0),0),"-"),"")</f>
        <v/>
      </c>
      <c r="L1067" s="33">
        <f t="shared" si="245"/>
        <v>0</v>
      </c>
      <c r="M1067" s="33">
        <f t="shared" si="246"/>
        <v>0</v>
      </c>
      <c r="N1067" s="33">
        <f t="shared" si="247"/>
        <v>0</v>
      </c>
      <c r="O1067" s="28"/>
      <c r="P1067" s="33">
        <f t="shared" si="248"/>
        <v>0</v>
      </c>
      <c r="Q1067" s="35" t="str" cm="1">
        <f t="array" ref="Q1067">IF(AF1067&lt;&gt;"",IFERROR(INDEX('Group List B'!B:B,MATCH(AI1067,'Group List B'!A:A,0),0),"-"),"")</f>
        <v/>
      </c>
      <c r="R1067" s="36">
        <f t="shared" si="249"/>
        <v>0</v>
      </c>
      <c r="S1067" s="36">
        <f t="shared" si="250"/>
        <v>0</v>
      </c>
      <c r="T1067" s="36">
        <f t="shared" si="251"/>
        <v>0</v>
      </c>
      <c r="U1067" s="28"/>
      <c r="V1067" s="37">
        <f t="shared" si="252"/>
        <v>0</v>
      </c>
      <c r="W1067" s="41"/>
      <c r="X1067" s="27"/>
      <c r="Y1067" s="27"/>
      <c r="Z1067" s="27"/>
      <c r="AA1067" s="15"/>
      <c r="AB1067" s="17"/>
      <c r="AC1067" s="17"/>
      <c r="AD1067" s="17"/>
      <c r="AE1067" s="90"/>
      <c r="AF1067" s="82" t="str">
        <f t="shared" si="253"/>
        <v/>
      </c>
      <c r="AG1067" s="83" t="str">
        <f t="shared" si="254"/>
        <v/>
      </c>
      <c r="AH1067" s="82" t="str">
        <f t="shared" si="255"/>
        <v/>
      </c>
      <c r="AI1067" s="82" t="str">
        <f t="shared" si="256"/>
        <v/>
      </c>
      <c r="AJ1067" s="90"/>
      <c r="AP1067" s="88"/>
    </row>
    <row r="1068" spans="1:42" x14ac:dyDescent="0.25">
      <c r="A1068" s="2"/>
      <c r="C1068" s="68" t="str" cm="1">
        <f t="array" ref="C1068">IF(AF1068&lt;&gt;"",
IFERROR(INDEX('LaunchPad Markbook'!A:A,MATCH(AH1068,'LaunchPad Markbook'!D:D,0),0),"-"),"")</f>
        <v/>
      </c>
      <c r="D1068" s="27"/>
      <c r="E1068" s="27"/>
      <c r="F1068" s="27"/>
      <c r="G1068" s="14">
        <f>IF(OR(H1068&gt;AB$2,I1068&gt;AC$2,J1068&gt;AD$2,
P1068&gt;1,V1068&gt;1,
L1068&gt;'Group List A'!E$2,M1068&gt;'Group List A'!F$2,N1068&gt;'Group List A'!G$2,
R1068&gt;'Group List B'!E$2,S1068&gt;'Group List B'!F$2,T1068&gt;'Group List B'!G$2),"Exceed",
IF(OR(H1068=AB$2,I1068=AC$2,J1068=AD$2,
P1068=1,V1068=1,
L1068='Group List A'!E$2,M1068='Group List A'!F$2,N1068='Group List A'!G$2,
R1068='Group List B'!E$2,S1068='Group List B'!F$2,T1068='Group List B'!G$2),"Limit",0))</f>
        <v>0</v>
      </c>
      <c r="H1068" s="29">
        <f t="shared" si="242"/>
        <v>0</v>
      </c>
      <c r="I1068" s="29">
        <f t="shared" si="243"/>
        <v>0</v>
      </c>
      <c r="J1068" s="29">
        <f t="shared" si="244"/>
        <v>0</v>
      </c>
      <c r="K1068" s="32" t="str" cm="1">
        <f t="array" ref="K1068">IF(AF1068&lt;&gt;"",IFERROR(INDEX('Group List A'!B:B,MATCH(AI1068,'Group List A'!A:A,0),0),"-"),"")</f>
        <v/>
      </c>
      <c r="L1068" s="33">
        <f t="shared" si="245"/>
        <v>0</v>
      </c>
      <c r="M1068" s="33">
        <f t="shared" si="246"/>
        <v>0</v>
      </c>
      <c r="N1068" s="33">
        <f t="shared" si="247"/>
        <v>0</v>
      </c>
      <c r="O1068" s="28"/>
      <c r="P1068" s="33">
        <f t="shared" si="248"/>
        <v>0</v>
      </c>
      <c r="Q1068" s="35" t="str" cm="1">
        <f t="array" ref="Q1068">IF(AF1068&lt;&gt;"",IFERROR(INDEX('Group List B'!B:B,MATCH(AI1068,'Group List B'!A:A,0),0),"-"),"")</f>
        <v/>
      </c>
      <c r="R1068" s="36">
        <f t="shared" si="249"/>
        <v>0</v>
      </c>
      <c r="S1068" s="36">
        <f t="shared" si="250"/>
        <v>0</v>
      </c>
      <c r="T1068" s="36">
        <f t="shared" si="251"/>
        <v>0</v>
      </c>
      <c r="U1068" s="28"/>
      <c r="V1068" s="37">
        <f t="shared" si="252"/>
        <v>0</v>
      </c>
      <c r="W1068" s="41"/>
      <c r="X1068" s="27"/>
      <c r="Y1068" s="27"/>
      <c r="Z1068" s="27"/>
      <c r="AA1068" s="15"/>
      <c r="AB1068" s="17"/>
      <c r="AC1068" s="17"/>
      <c r="AD1068" s="17"/>
      <c r="AE1068" s="90"/>
      <c r="AF1068" s="82" t="str">
        <f t="shared" si="253"/>
        <v/>
      </c>
      <c r="AG1068" s="83" t="str">
        <f t="shared" si="254"/>
        <v/>
      </c>
      <c r="AH1068" s="82" t="str">
        <f t="shared" si="255"/>
        <v/>
      </c>
      <c r="AI1068" s="82" t="str">
        <f t="shared" si="256"/>
        <v/>
      </c>
      <c r="AJ1068" s="90"/>
      <c r="AP1068" s="88"/>
    </row>
    <row r="1069" spans="1:42" x14ac:dyDescent="0.25">
      <c r="A1069" s="2"/>
      <c r="C1069" s="68" t="str" cm="1">
        <f t="array" ref="C1069">IF(AF1069&lt;&gt;"",
IFERROR(INDEX('LaunchPad Markbook'!A:A,MATCH(AH1069,'LaunchPad Markbook'!D:D,0),0),"-"),"")</f>
        <v/>
      </c>
      <c r="D1069" s="27"/>
      <c r="E1069" s="27"/>
      <c r="F1069" s="27"/>
      <c r="G1069" s="14">
        <f>IF(OR(H1069&gt;AB$2,I1069&gt;AC$2,J1069&gt;AD$2,
P1069&gt;1,V1069&gt;1,
L1069&gt;'Group List A'!E$2,M1069&gt;'Group List A'!F$2,N1069&gt;'Group List A'!G$2,
R1069&gt;'Group List B'!E$2,S1069&gt;'Group List B'!F$2,T1069&gt;'Group List B'!G$2),"Exceed",
IF(OR(H1069=AB$2,I1069=AC$2,J1069=AD$2,
P1069=1,V1069=1,
L1069='Group List A'!E$2,M1069='Group List A'!F$2,N1069='Group List A'!G$2,
R1069='Group List B'!E$2,S1069='Group List B'!F$2,T1069='Group List B'!G$2),"Limit",0))</f>
        <v>0</v>
      </c>
      <c r="H1069" s="29">
        <f t="shared" si="242"/>
        <v>0</v>
      </c>
      <c r="I1069" s="29">
        <f t="shared" si="243"/>
        <v>0</v>
      </c>
      <c r="J1069" s="29">
        <f t="shared" si="244"/>
        <v>0</v>
      </c>
      <c r="K1069" s="32" t="str" cm="1">
        <f t="array" ref="K1069">IF(AF1069&lt;&gt;"",IFERROR(INDEX('Group List A'!B:B,MATCH(AI1069,'Group List A'!A:A,0),0),"-"),"")</f>
        <v/>
      </c>
      <c r="L1069" s="33">
        <f t="shared" si="245"/>
        <v>0</v>
      </c>
      <c r="M1069" s="33">
        <f t="shared" si="246"/>
        <v>0</v>
      </c>
      <c r="N1069" s="33">
        <f t="shared" si="247"/>
        <v>0</v>
      </c>
      <c r="O1069" s="28"/>
      <c r="P1069" s="33">
        <f t="shared" si="248"/>
        <v>0</v>
      </c>
      <c r="Q1069" s="35" t="str" cm="1">
        <f t="array" ref="Q1069">IF(AF1069&lt;&gt;"",IFERROR(INDEX('Group List B'!B:B,MATCH(AI1069,'Group List B'!A:A,0),0),"-"),"")</f>
        <v/>
      </c>
      <c r="R1069" s="36">
        <f t="shared" si="249"/>
        <v>0</v>
      </c>
      <c r="S1069" s="36">
        <f t="shared" si="250"/>
        <v>0</v>
      </c>
      <c r="T1069" s="36">
        <f t="shared" si="251"/>
        <v>0</v>
      </c>
      <c r="U1069" s="28"/>
      <c r="V1069" s="37">
        <f t="shared" si="252"/>
        <v>0</v>
      </c>
      <c r="W1069" s="41"/>
      <c r="X1069" s="27"/>
      <c r="Y1069" s="27"/>
      <c r="Z1069" s="27"/>
      <c r="AA1069" s="15"/>
      <c r="AB1069" s="17"/>
      <c r="AC1069" s="17"/>
      <c r="AD1069" s="17"/>
      <c r="AE1069" s="90"/>
      <c r="AF1069" s="82" t="str">
        <f t="shared" si="253"/>
        <v/>
      </c>
      <c r="AG1069" s="83" t="str">
        <f t="shared" si="254"/>
        <v/>
      </c>
      <c r="AH1069" s="82" t="str">
        <f t="shared" si="255"/>
        <v/>
      </c>
      <c r="AI1069" s="82" t="str">
        <f t="shared" si="256"/>
        <v/>
      </c>
      <c r="AJ1069" s="90"/>
      <c r="AP1069" s="88"/>
    </row>
    <row r="1070" spans="1:42" x14ac:dyDescent="0.25">
      <c r="A1070" s="2"/>
      <c r="C1070" s="68" t="str" cm="1">
        <f t="array" ref="C1070">IF(AF1070&lt;&gt;"",
IFERROR(INDEX('LaunchPad Markbook'!A:A,MATCH(AH1070,'LaunchPad Markbook'!D:D,0),0),"-"),"")</f>
        <v/>
      </c>
      <c r="D1070" s="27"/>
      <c r="E1070" s="27"/>
      <c r="F1070" s="27"/>
      <c r="G1070" s="14">
        <f>IF(OR(H1070&gt;AB$2,I1070&gt;AC$2,J1070&gt;AD$2,
P1070&gt;1,V1070&gt;1,
L1070&gt;'Group List A'!E$2,M1070&gt;'Group List A'!F$2,N1070&gt;'Group List A'!G$2,
R1070&gt;'Group List B'!E$2,S1070&gt;'Group List B'!F$2,T1070&gt;'Group List B'!G$2),"Exceed",
IF(OR(H1070=AB$2,I1070=AC$2,J1070=AD$2,
P1070=1,V1070=1,
L1070='Group List A'!E$2,M1070='Group List A'!F$2,N1070='Group List A'!G$2,
R1070='Group List B'!E$2,S1070='Group List B'!F$2,T1070='Group List B'!G$2),"Limit",0))</f>
        <v>0</v>
      </c>
      <c r="H1070" s="29">
        <f t="shared" si="242"/>
        <v>0</v>
      </c>
      <c r="I1070" s="29">
        <f t="shared" si="243"/>
        <v>0</v>
      </c>
      <c r="J1070" s="29">
        <f t="shared" si="244"/>
        <v>0</v>
      </c>
      <c r="K1070" s="32" t="str" cm="1">
        <f t="array" ref="K1070">IF(AF1070&lt;&gt;"",IFERROR(INDEX('Group List A'!B:B,MATCH(AI1070,'Group List A'!A:A,0),0),"-"),"")</f>
        <v/>
      </c>
      <c r="L1070" s="33">
        <f t="shared" si="245"/>
        <v>0</v>
      </c>
      <c r="M1070" s="33">
        <f t="shared" si="246"/>
        <v>0</v>
      </c>
      <c r="N1070" s="33">
        <f t="shared" si="247"/>
        <v>0</v>
      </c>
      <c r="O1070" s="28"/>
      <c r="P1070" s="33">
        <f t="shared" si="248"/>
        <v>0</v>
      </c>
      <c r="Q1070" s="35" t="str" cm="1">
        <f t="array" ref="Q1070">IF(AF1070&lt;&gt;"",IFERROR(INDEX('Group List B'!B:B,MATCH(AI1070,'Group List B'!A:A,0),0),"-"),"")</f>
        <v/>
      </c>
      <c r="R1070" s="36">
        <f t="shared" si="249"/>
        <v>0</v>
      </c>
      <c r="S1070" s="36">
        <f t="shared" si="250"/>
        <v>0</v>
      </c>
      <c r="T1070" s="36">
        <f t="shared" si="251"/>
        <v>0</v>
      </c>
      <c r="U1070" s="28"/>
      <c r="V1070" s="37">
        <f t="shared" si="252"/>
        <v>0</v>
      </c>
      <c r="W1070" s="41"/>
      <c r="X1070" s="27"/>
      <c r="Y1070" s="27"/>
      <c r="Z1070" s="27"/>
      <c r="AA1070" s="15"/>
      <c r="AB1070" s="17"/>
      <c r="AC1070" s="17"/>
      <c r="AD1070" s="17"/>
      <c r="AE1070" s="90"/>
      <c r="AF1070" s="82" t="str">
        <f t="shared" si="253"/>
        <v/>
      </c>
      <c r="AG1070" s="83" t="str">
        <f t="shared" si="254"/>
        <v/>
      </c>
      <c r="AH1070" s="82" t="str">
        <f t="shared" si="255"/>
        <v/>
      </c>
      <c r="AI1070" s="82" t="str">
        <f t="shared" si="256"/>
        <v/>
      </c>
      <c r="AJ1070" s="90"/>
      <c r="AP1070" s="88"/>
    </row>
    <row r="1071" spans="1:42" x14ac:dyDescent="0.25">
      <c r="A1071" s="2"/>
      <c r="C1071" s="68" t="str" cm="1">
        <f t="array" ref="C1071">IF(AF1071&lt;&gt;"",
IFERROR(INDEX('LaunchPad Markbook'!A:A,MATCH(AH1071,'LaunchPad Markbook'!D:D,0),0),"-"),"")</f>
        <v/>
      </c>
      <c r="D1071" s="27"/>
      <c r="E1071" s="27"/>
      <c r="F1071" s="27"/>
      <c r="G1071" s="14">
        <f>IF(OR(H1071&gt;AB$2,I1071&gt;AC$2,J1071&gt;AD$2,
P1071&gt;1,V1071&gt;1,
L1071&gt;'Group List A'!E$2,M1071&gt;'Group List A'!F$2,N1071&gt;'Group List A'!G$2,
R1071&gt;'Group List B'!E$2,S1071&gt;'Group List B'!F$2,T1071&gt;'Group List B'!G$2),"Exceed",
IF(OR(H1071=AB$2,I1071=AC$2,J1071=AD$2,
P1071=1,V1071=1,
L1071='Group List A'!E$2,M1071='Group List A'!F$2,N1071='Group List A'!G$2,
R1071='Group List B'!E$2,S1071='Group List B'!F$2,T1071='Group List B'!G$2),"Limit",0))</f>
        <v>0</v>
      </c>
      <c r="H1071" s="29">
        <f t="shared" si="242"/>
        <v>0</v>
      </c>
      <c r="I1071" s="29">
        <f t="shared" si="243"/>
        <v>0</v>
      </c>
      <c r="J1071" s="29">
        <f t="shared" si="244"/>
        <v>0</v>
      </c>
      <c r="K1071" s="32" t="str" cm="1">
        <f t="array" ref="K1071">IF(AF1071&lt;&gt;"",IFERROR(INDEX('Group List A'!B:B,MATCH(AI1071,'Group List A'!A:A,0),0),"-"),"")</f>
        <v/>
      </c>
      <c r="L1071" s="33">
        <f t="shared" si="245"/>
        <v>0</v>
      </c>
      <c r="M1071" s="33">
        <f t="shared" si="246"/>
        <v>0</v>
      </c>
      <c r="N1071" s="33">
        <f t="shared" si="247"/>
        <v>0</v>
      </c>
      <c r="O1071" s="28"/>
      <c r="P1071" s="33">
        <f t="shared" si="248"/>
        <v>0</v>
      </c>
      <c r="Q1071" s="35" t="str" cm="1">
        <f t="array" ref="Q1071">IF(AF1071&lt;&gt;"",IFERROR(INDEX('Group List B'!B:B,MATCH(AI1071,'Group List B'!A:A,0),0),"-"),"")</f>
        <v/>
      </c>
      <c r="R1071" s="36">
        <f t="shared" si="249"/>
        <v>0</v>
      </c>
      <c r="S1071" s="36">
        <f t="shared" si="250"/>
        <v>0</v>
      </c>
      <c r="T1071" s="36">
        <f t="shared" si="251"/>
        <v>0</v>
      </c>
      <c r="U1071" s="28"/>
      <c r="V1071" s="37">
        <f t="shared" si="252"/>
        <v>0</v>
      </c>
      <c r="W1071" s="41"/>
      <c r="X1071" s="27"/>
      <c r="Y1071" s="27"/>
      <c r="Z1071" s="27"/>
      <c r="AA1071" s="15"/>
      <c r="AB1071" s="17"/>
      <c r="AC1071" s="17"/>
      <c r="AD1071" s="17"/>
      <c r="AE1071" s="90"/>
      <c r="AF1071" s="82" t="str">
        <f t="shared" si="253"/>
        <v/>
      </c>
      <c r="AG1071" s="83" t="str">
        <f t="shared" si="254"/>
        <v/>
      </c>
      <c r="AH1071" s="82" t="str">
        <f t="shared" si="255"/>
        <v/>
      </c>
      <c r="AI1071" s="82" t="str">
        <f t="shared" si="256"/>
        <v/>
      </c>
      <c r="AJ1071" s="90"/>
      <c r="AP1071" s="88"/>
    </row>
    <row r="1072" spans="1:42" x14ac:dyDescent="0.25">
      <c r="A1072" s="2"/>
      <c r="C1072" s="68" t="str" cm="1">
        <f t="array" ref="C1072">IF(AF1072&lt;&gt;"",
IFERROR(INDEX('LaunchPad Markbook'!A:A,MATCH(AH1072,'LaunchPad Markbook'!D:D,0),0),"-"),"")</f>
        <v/>
      </c>
      <c r="D1072" s="27"/>
      <c r="E1072" s="27"/>
      <c r="F1072" s="27"/>
      <c r="G1072" s="14">
        <f>IF(OR(H1072&gt;AB$2,I1072&gt;AC$2,J1072&gt;AD$2,
P1072&gt;1,V1072&gt;1,
L1072&gt;'Group List A'!E$2,M1072&gt;'Group List A'!F$2,N1072&gt;'Group List A'!G$2,
R1072&gt;'Group List B'!E$2,S1072&gt;'Group List B'!F$2,T1072&gt;'Group List B'!G$2),"Exceed",
IF(OR(H1072=AB$2,I1072=AC$2,J1072=AD$2,
P1072=1,V1072=1,
L1072='Group List A'!E$2,M1072='Group List A'!F$2,N1072='Group List A'!G$2,
R1072='Group List B'!E$2,S1072='Group List B'!F$2,T1072='Group List B'!G$2),"Limit",0))</f>
        <v>0</v>
      </c>
      <c r="H1072" s="29">
        <f t="shared" si="242"/>
        <v>0</v>
      </c>
      <c r="I1072" s="29">
        <f t="shared" si="243"/>
        <v>0</v>
      </c>
      <c r="J1072" s="29">
        <f t="shared" si="244"/>
        <v>0</v>
      </c>
      <c r="K1072" s="32" t="str" cm="1">
        <f t="array" ref="K1072">IF(AF1072&lt;&gt;"",IFERROR(INDEX('Group List A'!B:B,MATCH(AI1072,'Group List A'!A:A,0),0),"-"),"")</f>
        <v/>
      </c>
      <c r="L1072" s="33">
        <f t="shared" si="245"/>
        <v>0</v>
      </c>
      <c r="M1072" s="33">
        <f t="shared" si="246"/>
        <v>0</v>
      </c>
      <c r="N1072" s="33">
        <f t="shared" si="247"/>
        <v>0</v>
      </c>
      <c r="O1072" s="28"/>
      <c r="P1072" s="33">
        <f t="shared" si="248"/>
        <v>0</v>
      </c>
      <c r="Q1072" s="35" t="str" cm="1">
        <f t="array" ref="Q1072">IF(AF1072&lt;&gt;"",IFERROR(INDEX('Group List B'!B:B,MATCH(AI1072,'Group List B'!A:A,0),0),"-"),"")</f>
        <v/>
      </c>
      <c r="R1072" s="36">
        <f t="shared" si="249"/>
        <v>0</v>
      </c>
      <c r="S1072" s="36">
        <f t="shared" si="250"/>
        <v>0</v>
      </c>
      <c r="T1072" s="36">
        <f t="shared" si="251"/>
        <v>0</v>
      </c>
      <c r="U1072" s="28"/>
      <c r="V1072" s="37">
        <f t="shared" si="252"/>
        <v>0</v>
      </c>
      <c r="W1072" s="41"/>
      <c r="X1072" s="27"/>
      <c r="Y1072" s="27"/>
      <c r="Z1072" s="27"/>
      <c r="AA1072" s="15"/>
      <c r="AB1072" s="17"/>
      <c r="AC1072" s="17"/>
      <c r="AD1072" s="17"/>
      <c r="AE1072" s="90"/>
      <c r="AF1072" s="82" t="str">
        <f t="shared" si="253"/>
        <v/>
      </c>
      <c r="AG1072" s="83" t="str">
        <f t="shared" si="254"/>
        <v/>
      </c>
      <c r="AH1072" s="82" t="str">
        <f t="shared" si="255"/>
        <v/>
      </c>
      <c r="AI1072" s="82" t="str">
        <f t="shared" si="256"/>
        <v/>
      </c>
      <c r="AJ1072" s="90"/>
      <c r="AP1072" s="88"/>
    </row>
    <row r="1073" spans="1:42" x14ac:dyDescent="0.25">
      <c r="A1073" s="2"/>
      <c r="C1073" s="68" t="str" cm="1">
        <f t="array" ref="C1073">IF(AF1073&lt;&gt;"",
IFERROR(INDEX('LaunchPad Markbook'!A:A,MATCH(AH1073,'LaunchPad Markbook'!D:D,0),0),"-"),"")</f>
        <v/>
      </c>
      <c r="D1073" s="27"/>
      <c r="E1073" s="27"/>
      <c r="F1073" s="27"/>
      <c r="G1073" s="14">
        <f>IF(OR(H1073&gt;AB$2,I1073&gt;AC$2,J1073&gt;AD$2,
P1073&gt;1,V1073&gt;1,
L1073&gt;'Group List A'!E$2,M1073&gt;'Group List A'!F$2,N1073&gt;'Group List A'!G$2,
R1073&gt;'Group List B'!E$2,S1073&gt;'Group List B'!F$2,T1073&gt;'Group List B'!G$2),"Exceed",
IF(OR(H1073=AB$2,I1073=AC$2,J1073=AD$2,
P1073=1,V1073=1,
L1073='Group List A'!E$2,M1073='Group List A'!F$2,N1073='Group List A'!G$2,
R1073='Group List B'!E$2,S1073='Group List B'!F$2,T1073='Group List B'!G$2),"Limit",0))</f>
        <v>0</v>
      </c>
      <c r="H1073" s="29">
        <f t="shared" si="242"/>
        <v>0</v>
      </c>
      <c r="I1073" s="29">
        <f t="shared" si="243"/>
        <v>0</v>
      </c>
      <c r="J1073" s="29">
        <f t="shared" si="244"/>
        <v>0</v>
      </c>
      <c r="K1073" s="32" t="str" cm="1">
        <f t="array" ref="K1073">IF(AF1073&lt;&gt;"",IFERROR(INDEX('Group List A'!B:B,MATCH(AI1073,'Group List A'!A:A,0),0),"-"),"")</f>
        <v/>
      </c>
      <c r="L1073" s="33">
        <f t="shared" si="245"/>
        <v>0</v>
      </c>
      <c r="M1073" s="33">
        <f t="shared" si="246"/>
        <v>0</v>
      </c>
      <c r="N1073" s="33">
        <f t="shared" si="247"/>
        <v>0</v>
      </c>
      <c r="O1073" s="28"/>
      <c r="P1073" s="33">
        <f t="shared" si="248"/>
        <v>0</v>
      </c>
      <c r="Q1073" s="35" t="str" cm="1">
        <f t="array" ref="Q1073">IF(AF1073&lt;&gt;"",IFERROR(INDEX('Group List B'!B:B,MATCH(AI1073,'Group List B'!A:A,0),0),"-"),"")</f>
        <v/>
      </c>
      <c r="R1073" s="36">
        <f t="shared" si="249"/>
        <v>0</v>
      </c>
      <c r="S1073" s="36">
        <f t="shared" si="250"/>
        <v>0</v>
      </c>
      <c r="T1073" s="36">
        <f t="shared" si="251"/>
        <v>0</v>
      </c>
      <c r="U1073" s="28"/>
      <c r="V1073" s="37">
        <f t="shared" si="252"/>
        <v>0</v>
      </c>
      <c r="W1073" s="41"/>
      <c r="X1073" s="27"/>
      <c r="Y1073" s="27"/>
      <c r="Z1073" s="27"/>
      <c r="AA1073" s="15"/>
      <c r="AB1073" s="17"/>
      <c r="AC1073" s="17"/>
      <c r="AD1073" s="17"/>
      <c r="AE1073" s="90"/>
      <c r="AF1073" s="82" t="str">
        <f t="shared" si="253"/>
        <v/>
      </c>
      <c r="AG1073" s="83" t="str">
        <f t="shared" si="254"/>
        <v/>
      </c>
      <c r="AH1073" s="82" t="str">
        <f t="shared" si="255"/>
        <v/>
      </c>
      <c r="AI1073" s="82" t="str">
        <f t="shared" si="256"/>
        <v/>
      </c>
      <c r="AJ1073" s="90"/>
      <c r="AP1073" s="88"/>
    </row>
    <row r="1074" spans="1:42" x14ac:dyDescent="0.25">
      <c r="A1074" s="2"/>
      <c r="C1074" s="68" t="str" cm="1">
        <f t="array" ref="C1074">IF(AF1074&lt;&gt;"",
IFERROR(INDEX('LaunchPad Markbook'!A:A,MATCH(AH1074,'LaunchPad Markbook'!D:D,0),0),"-"),"")</f>
        <v/>
      </c>
      <c r="D1074" s="27"/>
      <c r="E1074" s="27"/>
      <c r="F1074" s="27"/>
      <c r="G1074" s="14">
        <f>IF(OR(H1074&gt;AB$2,I1074&gt;AC$2,J1074&gt;AD$2,
P1074&gt;1,V1074&gt;1,
L1074&gt;'Group List A'!E$2,M1074&gt;'Group List A'!F$2,N1074&gt;'Group List A'!G$2,
R1074&gt;'Group List B'!E$2,S1074&gt;'Group List B'!F$2,T1074&gt;'Group List B'!G$2),"Exceed",
IF(OR(H1074=AB$2,I1074=AC$2,J1074=AD$2,
P1074=1,V1074=1,
L1074='Group List A'!E$2,M1074='Group List A'!F$2,N1074='Group List A'!G$2,
R1074='Group List B'!E$2,S1074='Group List B'!F$2,T1074='Group List B'!G$2),"Limit",0))</f>
        <v>0</v>
      </c>
      <c r="H1074" s="29">
        <f t="shared" si="242"/>
        <v>0</v>
      </c>
      <c r="I1074" s="29">
        <f t="shared" si="243"/>
        <v>0</v>
      </c>
      <c r="J1074" s="29">
        <f t="shared" si="244"/>
        <v>0</v>
      </c>
      <c r="K1074" s="32" t="str" cm="1">
        <f t="array" ref="K1074">IF(AF1074&lt;&gt;"",IFERROR(INDEX('Group List A'!B:B,MATCH(AI1074,'Group List A'!A:A,0),0),"-"),"")</f>
        <v/>
      </c>
      <c r="L1074" s="33">
        <f t="shared" si="245"/>
        <v>0</v>
      </c>
      <c r="M1074" s="33">
        <f t="shared" si="246"/>
        <v>0</v>
      </c>
      <c r="N1074" s="33">
        <f t="shared" si="247"/>
        <v>0</v>
      </c>
      <c r="O1074" s="28"/>
      <c r="P1074" s="33">
        <f t="shared" si="248"/>
        <v>0</v>
      </c>
      <c r="Q1074" s="35" t="str" cm="1">
        <f t="array" ref="Q1074">IF(AF1074&lt;&gt;"",IFERROR(INDEX('Group List B'!B:B,MATCH(AI1074,'Group List B'!A:A,0),0),"-"),"")</f>
        <v/>
      </c>
      <c r="R1074" s="36">
        <f t="shared" si="249"/>
        <v>0</v>
      </c>
      <c r="S1074" s="36">
        <f t="shared" si="250"/>
        <v>0</v>
      </c>
      <c r="T1074" s="36">
        <f t="shared" si="251"/>
        <v>0</v>
      </c>
      <c r="U1074" s="28"/>
      <c r="V1074" s="37">
        <f t="shared" si="252"/>
        <v>0</v>
      </c>
      <c r="W1074" s="41"/>
      <c r="X1074" s="27"/>
      <c r="Y1074" s="27"/>
      <c r="Z1074" s="27"/>
      <c r="AA1074" s="15"/>
      <c r="AB1074" s="17"/>
      <c r="AC1074" s="17"/>
      <c r="AD1074" s="17"/>
      <c r="AE1074" s="90"/>
      <c r="AF1074" s="82" t="str">
        <f t="shared" si="253"/>
        <v/>
      </c>
      <c r="AG1074" s="83" t="str">
        <f t="shared" si="254"/>
        <v/>
      </c>
      <c r="AH1074" s="82" t="str">
        <f t="shared" si="255"/>
        <v/>
      </c>
      <c r="AI1074" s="82" t="str">
        <f t="shared" si="256"/>
        <v/>
      </c>
      <c r="AJ1074" s="90"/>
      <c r="AP1074" s="88"/>
    </row>
    <row r="1075" spans="1:42" x14ac:dyDescent="0.25">
      <c r="A1075" s="2"/>
      <c r="C1075" s="68" t="str" cm="1">
        <f t="array" ref="C1075">IF(AF1075&lt;&gt;"",
IFERROR(INDEX('LaunchPad Markbook'!A:A,MATCH(AH1075,'LaunchPad Markbook'!D:D,0),0),"-"),"")</f>
        <v/>
      </c>
      <c r="D1075" s="27"/>
      <c r="E1075" s="27"/>
      <c r="F1075" s="27"/>
      <c r="G1075" s="14">
        <f>IF(OR(H1075&gt;AB$2,I1075&gt;AC$2,J1075&gt;AD$2,
P1075&gt;1,V1075&gt;1,
L1075&gt;'Group List A'!E$2,M1075&gt;'Group List A'!F$2,N1075&gt;'Group List A'!G$2,
R1075&gt;'Group List B'!E$2,S1075&gt;'Group List B'!F$2,T1075&gt;'Group List B'!G$2),"Exceed",
IF(OR(H1075=AB$2,I1075=AC$2,J1075=AD$2,
P1075=1,V1075=1,
L1075='Group List A'!E$2,M1075='Group List A'!F$2,N1075='Group List A'!G$2,
R1075='Group List B'!E$2,S1075='Group List B'!F$2,T1075='Group List B'!G$2),"Limit",0))</f>
        <v>0</v>
      </c>
      <c r="H1075" s="29">
        <f t="shared" si="242"/>
        <v>0</v>
      </c>
      <c r="I1075" s="29">
        <f t="shared" si="243"/>
        <v>0</v>
      </c>
      <c r="J1075" s="29">
        <f t="shared" si="244"/>
        <v>0</v>
      </c>
      <c r="K1075" s="32" t="str" cm="1">
        <f t="array" ref="K1075">IF(AF1075&lt;&gt;"",IFERROR(INDEX('Group List A'!B:B,MATCH(AI1075,'Group List A'!A:A,0),0),"-"),"")</f>
        <v/>
      </c>
      <c r="L1075" s="33">
        <f t="shared" si="245"/>
        <v>0</v>
      </c>
      <c r="M1075" s="33">
        <f t="shared" si="246"/>
        <v>0</v>
      </c>
      <c r="N1075" s="33">
        <f t="shared" si="247"/>
        <v>0</v>
      </c>
      <c r="O1075" s="28"/>
      <c r="P1075" s="33">
        <f t="shared" si="248"/>
        <v>0</v>
      </c>
      <c r="Q1075" s="35" t="str" cm="1">
        <f t="array" ref="Q1075">IF(AF1075&lt;&gt;"",IFERROR(INDEX('Group List B'!B:B,MATCH(AI1075,'Group List B'!A:A,0),0),"-"),"")</f>
        <v/>
      </c>
      <c r="R1075" s="36">
        <f t="shared" si="249"/>
        <v>0</v>
      </c>
      <c r="S1075" s="36">
        <f t="shared" si="250"/>
        <v>0</v>
      </c>
      <c r="T1075" s="36">
        <f t="shared" si="251"/>
        <v>0</v>
      </c>
      <c r="U1075" s="28"/>
      <c r="V1075" s="37">
        <f t="shared" si="252"/>
        <v>0</v>
      </c>
      <c r="W1075" s="41"/>
      <c r="X1075" s="27"/>
      <c r="Y1075" s="27"/>
      <c r="Z1075" s="27"/>
      <c r="AA1075" s="15"/>
      <c r="AB1075" s="17"/>
      <c r="AC1075" s="17"/>
      <c r="AD1075" s="17"/>
      <c r="AE1075" s="90"/>
      <c r="AF1075" s="82" t="str">
        <f t="shared" si="253"/>
        <v/>
      </c>
      <c r="AG1075" s="83" t="str">
        <f t="shared" si="254"/>
        <v/>
      </c>
      <c r="AH1075" s="82" t="str">
        <f t="shared" si="255"/>
        <v/>
      </c>
      <c r="AI1075" s="82" t="str">
        <f t="shared" si="256"/>
        <v/>
      </c>
      <c r="AJ1075" s="90"/>
      <c r="AP1075" s="88"/>
    </row>
    <row r="1076" spans="1:42" x14ac:dyDescent="0.25">
      <c r="A1076" s="2"/>
      <c r="C1076" s="68" t="str" cm="1">
        <f t="array" ref="C1076">IF(AF1076&lt;&gt;"",
IFERROR(INDEX('LaunchPad Markbook'!A:A,MATCH(AH1076,'LaunchPad Markbook'!D:D,0),0),"-"),"")</f>
        <v/>
      </c>
      <c r="D1076" s="27"/>
      <c r="E1076" s="27"/>
      <c r="F1076" s="27"/>
      <c r="G1076" s="14">
        <f>IF(OR(H1076&gt;AB$2,I1076&gt;AC$2,J1076&gt;AD$2,
P1076&gt;1,V1076&gt;1,
L1076&gt;'Group List A'!E$2,M1076&gt;'Group List A'!F$2,N1076&gt;'Group List A'!G$2,
R1076&gt;'Group List B'!E$2,S1076&gt;'Group List B'!F$2,T1076&gt;'Group List B'!G$2),"Exceed",
IF(OR(H1076=AB$2,I1076=AC$2,J1076=AD$2,
P1076=1,V1076=1,
L1076='Group List A'!E$2,M1076='Group List A'!F$2,N1076='Group List A'!G$2,
R1076='Group List B'!E$2,S1076='Group List B'!F$2,T1076='Group List B'!G$2),"Limit",0))</f>
        <v>0</v>
      </c>
      <c r="H1076" s="29">
        <f t="shared" si="242"/>
        <v>0</v>
      </c>
      <c r="I1076" s="29">
        <f t="shared" si="243"/>
        <v>0</v>
      </c>
      <c r="J1076" s="29">
        <f t="shared" si="244"/>
        <v>0</v>
      </c>
      <c r="K1076" s="32" t="str" cm="1">
        <f t="array" ref="K1076">IF(AF1076&lt;&gt;"",IFERROR(INDEX('Group List A'!B:B,MATCH(AI1076,'Group List A'!A:A,0),0),"-"),"")</f>
        <v/>
      </c>
      <c r="L1076" s="33">
        <f t="shared" si="245"/>
        <v>0</v>
      </c>
      <c r="M1076" s="33">
        <f t="shared" si="246"/>
        <v>0</v>
      </c>
      <c r="N1076" s="33">
        <f t="shared" si="247"/>
        <v>0</v>
      </c>
      <c r="O1076" s="28"/>
      <c r="P1076" s="33">
        <f t="shared" si="248"/>
        <v>0</v>
      </c>
      <c r="Q1076" s="35" t="str" cm="1">
        <f t="array" ref="Q1076">IF(AF1076&lt;&gt;"",IFERROR(INDEX('Group List B'!B:B,MATCH(AI1076,'Group List B'!A:A,0),0),"-"),"")</f>
        <v/>
      </c>
      <c r="R1076" s="36">
        <f t="shared" si="249"/>
        <v>0</v>
      </c>
      <c r="S1076" s="36">
        <f t="shared" si="250"/>
        <v>0</v>
      </c>
      <c r="T1076" s="36">
        <f t="shared" si="251"/>
        <v>0</v>
      </c>
      <c r="U1076" s="28"/>
      <c r="V1076" s="37">
        <f t="shared" si="252"/>
        <v>0</v>
      </c>
      <c r="W1076" s="41"/>
      <c r="X1076" s="27"/>
      <c r="Y1076" s="27"/>
      <c r="Z1076" s="27"/>
      <c r="AA1076" s="15"/>
      <c r="AB1076" s="17"/>
      <c r="AC1076" s="17"/>
      <c r="AD1076" s="17"/>
      <c r="AE1076" s="90"/>
      <c r="AF1076" s="82" t="str">
        <f t="shared" si="253"/>
        <v/>
      </c>
      <c r="AG1076" s="83" t="str">
        <f t="shared" si="254"/>
        <v/>
      </c>
      <c r="AH1076" s="82" t="str">
        <f t="shared" si="255"/>
        <v/>
      </c>
      <c r="AI1076" s="82" t="str">
        <f t="shared" si="256"/>
        <v/>
      </c>
      <c r="AJ1076" s="90"/>
      <c r="AP1076" s="88"/>
    </row>
    <row r="1077" spans="1:42" x14ac:dyDescent="0.25">
      <c r="A1077" s="2"/>
      <c r="C1077" s="68" t="str" cm="1">
        <f t="array" ref="C1077">IF(AF1077&lt;&gt;"",
IFERROR(INDEX('LaunchPad Markbook'!A:A,MATCH(AH1077,'LaunchPad Markbook'!D:D,0),0),"-"),"")</f>
        <v/>
      </c>
      <c r="D1077" s="27"/>
      <c r="E1077" s="27"/>
      <c r="F1077" s="27"/>
      <c r="G1077" s="14">
        <f>IF(OR(H1077&gt;AB$2,I1077&gt;AC$2,J1077&gt;AD$2,
P1077&gt;1,V1077&gt;1,
L1077&gt;'Group List A'!E$2,M1077&gt;'Group List A'!F$2,N1077&gt;'Group List A'!G$2,
R1077&gt;'Group List B'!E$2,S1077&gt;'Group List B'!F$2,T1077&gt;'Group List B'!G$2),"Exceed",
IF(OR(H1077=AB$2,I1077=AC$2,J1077=AD$2,
P1077=1,V1077=1,
L1077='Group List A'!E$2,M1077='Group List A'!F$2,N1077='Group List A'!G$2,
R1077='Group List B'!E$2,S1077='Group List B'!F$2,T1077='Group List B'!G$2),"Limit",0))</f>
        <v>0</v>
      </c>
      <c r="H1077" s="29">
        <f t="shared" si="242"/>
        <v>0</v>
      </c>
      <c r="I1077" s="29">
        <f t="shared" si="243"/>
        <v>0</v>
      </c>
      <c r="J1077" s="29">
        <f t="shared" si="244"/>
        <v>0</v>
      </c>
      <c r="K1077" s="32" t="str" cm="1">
        <f t="array" ref="K1077">IF(AF1077&lt;&gt;"",IFERROR(INDEX('Group List A'!B:B,MATCH(AI1077,'Group List A'!A:A,0),0),"-"),"")</f>
        <v/>
      </c>
      <c r="L1077" s="33">
        <f t="shared" si="245"/>
        <v>0</v>
      </c>
      <c r="M1077" s="33">
        <f t="shared" si="246"/>
        <v>0</v>
      </c>
      <c r="N1077" s="33">
        <f t="shared" si="247"/>
        <v>0</v>
      </c>
      <c r="O1077" s="28"/>
      <c r="P1077" s="33">
        <f t="shared" si="248"/>
        <v>0</v>
      </c>
      <c r="Q1077" s="35" t="str" cm="1">
        <f t="array" ref="Q1077">IF(AF1077&lt;&gt;"",IFERROR(INDEX('Group List B'!B:B,MATCH(AI1077,'Group List B'!A:A,0),0),"-"),"")</f>
        <v/>
      </c>
      <c r="R1077" s="36">
        <f t="shared" si="249"/>
        <v>0</v>
      </c>
      <c r="S1077" s="36">
        <f t="shared" si="250"/>
        <v>0</v>
      </c>
      <c r="T1077" s="36">
        <f t="shared" si="251"/>
        <v>0</v>
      </c>
      <c r="U1077" s="28"/>
      <c r="V1077" s="37">
        <f t="shared" si="252"/>
        <v>0</v>
      </c>
      <c r="W1077" s="41"/>
      <c r="X1077" s="27"/>
      <c r="Y1077" s="27"/>
      <c r="Z1077" s="27"/>
      <c r="AA1077" s="15"/>
      <c r="AB1077" s="17"/>
      <c r="AC1077" s="17"/>
      <c r="AD1077" s="17"/>
      <c r="AE1077" s="90"/>
      <c r="AF1077" s="82" t="str">
        <f t="shared" si="253"/>
        <v/>
      </c>
      <c r="AG1077" s="83" t="str">
        <f t="shared" si="254"/>
        <v/>
      </c>
      <c r="AH1077" s="82" t="str">
        <f t="shared" si="255"/>
        <v/>
      </c>
      <c r="AI1077" s="82" t="str">
        <f t="shared" si="256"/>
        <v/>
      </c>
      <c r="AJ1077" s="90"/>
      <c r="AP1077" s="88"/>
    </row>
    <row r="1078" spans="1:42" x14ac:dyDescent="0.25">
      <c r="A1078" s="2"/>
      <c r="C1078" s="68" t="str" cm="1">
        <f t="array" ref="C1078">IF(AF1078&lt;&gt;"",
IFERROR(INDEX('LaunchPad Markbook'!A:A,MATCH(AH1078,'LaunchPad Markbook'!D:D,0),0),"-"),"")</f>
        <v/>
      </c>
      <c r="D1078" s="27"/>
      <c r="E1078" s="27"/>
      <c r="F1078" s="27"/>
      <c r="G1078" s="14">
        <f>IF(OR(H1078&gt;AB$2,I1078&gt;AC$2,J1078&gt;AD$2,
P1078&gt;1,V1078&gt;1,
L1078&gt;'Group List A'!E$2,M1078&gt;'Group List A'!F$2,N1078&gt;'Group List A'!G$2,
R1078&gt;'Group List B'!E$2,S1078&gt;'Group List B'!F$2,T1078&gt;'Group List B'!G$2),"Exceed",
IF(OR(H1078=AB$2,I1078=AC$2,J1078=AD$2,
P1078=1,V1078=1,
L1078='Group List A'!E$2,M1078='Group List A'!F$2,N1078='Group List A'!G$2,
R1078='Group List B'!E$2,S1078='Group List B'!F$2,T1078='Group List B'!G$2),"Limit",0))</f>
        <v>0</v>
      </c>
      <c r="H1078" s="29">
        <f t="shared" si="242"/>
        <v>0</v>
      </c>
      <c r="I1078" s="29">
        <f t="shared" si="243"/>
        <v>0</v>
      </c>
      <c r="J1078" s="29">
        <f t="shared" si="244"/>
        <v>0</v>
      </c>
      <c r="K1078" s="32" t="str" cm="1">
        <f t="array" ref="K1078">IF(AF1078&lt;&gt;"",IFERROR(INDEX('Group List A'!B:B,MATCH(AI1078,'Group List A'!A:A,0),0),"-"),"")</f>
        <v/>
      </c>
      <c r="L1078" s="33">
        <f t="shared" si="245"/>
        <v>0</v>
      </c>
      <c r="M1078" s="33">
        <f t="shared" si="246"/>
        <v>0</v>
      </c>
      <c r="N1078" s="33">
        <f t="shared" si="247"/>
        <v>0</v>
      </c>
      <c r="O1078" s="28"/>
      <c r="P1078" s="33">
        <f t="shared" si="248"/>
        <v>0</v>
      </c>
      <c r="Q1078" s="35" t="str" cm="1">
        <f t="array" ref="Q1078">IF(AF1078&lt;&gt;"",IFERROR(INDEX('Group List B'!B:B,MATCH(AI1078,'Group List B'!A:A,0),0),"-"),"")</f>
        <v/>
      </c>
      <c r="R1078" s="36">
        <f t="shared" si="249"/>
        <v>0</v>
      </c>
      <c r="S1078" s="36">
        <f t="shared" si="250"/>
        <v>0</v>
      </c>
      <c r="T1078" s="36">
        <f t="shared" si="251"/>
        <v>0</v>
      </c>
      <c r="U1078" s="28"/>
      <c r="V1078" s="37">
        <f t="shared" si="252"/>
        <v>0</v>
      </c>
      <c r="W1078" s="41"/>
      <c r="X1078" s="27"/>
      <c r="Y1078" s="27"/>
      <c r="Z1078" s="27"/>
      <c r="AA1078" s="15"/>
      <c r="AB1078" s="17"/>
      <c r="AC1078" s="17"/>
      <c r="AD1078" s="17"/>
      <c r="AE1078" s="90"/>
      <c r="AF1078" s="82" t="str">
        <f t="shared" si="253"/>
        <v/>
      </c>
      <c r="AG1078" s="83" t="str">
        <f t="shared" si="254"/>
        <v/>
      </c>
      <c r="AH1078" s="82" t="str">
        <f t="shared" si="255"/>
        <v/>
      </c>
      <c r="AI1078" s="82" t="str">
        <f t="shared" si="256"/>
        <v/>
      </c>
      <c r="AJ1078" s="90"/>
      <c r="AP1078" s="88"/>
    </row>
    <row r="1079" spans="1:42" x14ac:dyDescent="0.25">
      <c r="A1079" s="2"/>
      <c r="C1079" s="68" t="str" cm="1">
        <f t="array" ref="C1079">IF(AF1079&lt;&gt;"",
IFERROR(INDEX('LaunchPad Markbook'!A:A,MATCH(AH1079,'LaunchPad Markbook'!D:D,0),0),"-"),"")</f>
        <v/>
      </c>
      <c r="D1079" s="27"/>
      <c r="E1079" s="27"/>
      <c r="F1079" s="27"/>
      <c r="G1079" s="14">
        <f>IF(OR(H1079&gt;AB$2,I1079&gt;AC$2,J1079&gt;AD$2,
P1079&gt;1,V1079&gt;1,
L1079&gt;'Group List A'!E$2,M1079&gt;'Group List A'!F$2,N1079&gt;'Group List A'!G$2,
R1079&gt;'Group List B'!E$2,S1079&gt;'Group List B'!F$2,T1079&gt;'Group List B'!G$2),"Exceed",
IF(OR(H1079=AB$2,I1079=AC$2,J1079=AD$2,
P1079=1,V1079=1,
L1079='Group List A'!E$2,M1079='Group List A'!F$2,N1079='Group List A'!G$2,
R1079='Group List B'!E$2,S1079='Group List B'!F$2,T1079='Group List B'!G$2),"Limit",0))</f>
        <v>0</v>
      </c>
      <c r="H1079" s="29">
        <f t="shared" si="242"/>
        <v>0</v>
      </c>
      <c r="I1079" s="29">
        <f t="shared" si="243"/>
        <v>0</v>
      </c>
      <c r="J1079" s="29">
        <f t="shared" si="244"/>
        <v>0</v>
      </c>
      <c r="K1079" s="32" t="str" cm="1">
        <f t="array" ref="K1079">IF(AF1079&lt;&gt;"",IFERROR(INDEX('Group List A'!B:B,MATCH(AI1079,'Group List A'!A:A,0),0),"-"),"")</f>
        <v/>
      </c>
      <c r="L1079" s="33">
        <f t="shared" si="245"/>
        <v>0</v>
      </c>
      <c r="M1079" s="33">
        <f t="shared" si="246"/>
        <v>0</v>
      </c>
      <c r="N1079" s="33">
        <f t="shared" si="247"/>
        <v>0</v>
      </c>
      <c r="O1079" s="28"/>
      <c r="P1079" s="33">
        <f t="shared" si="248"/>
        <v>0</v>
      </c>
      <c r="Q1079" s="35" t="str" cm="1">
        <f t="array" ref="Q1079">IF(AF1079&lt;&gt;"",IFERROR(INDEX('Group List B'!B:B,MATCH(AI1079,'Group List B'!A:A,0),0),"-"),"")</f>
        <v/>
      </c>
      <c r="R1079" s="36">
        <f t="shared" si="249"/>
        <v>0</v>
      </c>
      <c r="S1079" s="36">
        <f t="shared" si="250"/>
        <v>0</v>
      </c>
      <c r="T1079" s="36">
        <f t="shared" si="251"/>
        <v>0</v>
      </c>
      <c r="U1079" s="28"/>
      <c r="V1079" s="37">
        <f t="shared" si="252"/>
        <v>0</v>
      </c>
      <c r="W1079" s="41"/>
      <c r="X1079" s="27"/>
      <c r="Y1079" s="27"/>
      <c r="Z1079" s="27"/>
      <c r="AA1079" s="15"/>
      <c r="AB1079" s="17"/>
      <c r="AC1079" s="17"/>
      <c r="AD1079" s="17"/>
      <c r="AE1079" s="90"/>
      <c r="AF1079" s="82" t="str">
        <f t="shared" si="253"/>
        <v/>
      </c>
      <c r="AG1079" s="83" t="str">
        <f t="shared" si="254"/>
        <v/>
      </c>
      <c r="AH1079" s="82" t="str">
        <f t="shared" si="255"/>
        <v/>
      </c>
      <c r="AI1079" s="82" t="str">
        <f t="shared" si="256"/>
        <v/>
      </c>
      <c r="AJ1079" s="90"/>
      <c r="AP1079" s="88"/>
    </row>
    <row r="1080" spans="1:42" x14ac:dyDescent="0.25">
      <c r="A1080" s="2"/>
      <c r="C1080" s="68" t="str" cm="1">
        <f t="array" ref="C1080">IF(AF1080&lt;&gt;"",
IFERROR(INDEX('LaunchPad Markbook'!A:A,MATCH(AH1080,'LaunchPad Markbook'!D:D,0),0),"-"),"")</f>
        <v/>
      </c>
      <c r="D1080" s="27"/>
      <c r="E1080" s="27"/>
      <c r="F1080" s="27"/>
      <c r="G1080" s="14">
        <f>IF(OR(H1080&gt;AB$2,I1080&gt;AC$2,J1080&gt;AD$2,
P1080&gt;1,V1080&gt;1,
L1080&gt;'Group List A'!E$2,M1080&gt;'Group List A'!F$2,N1080&gt;'Group List A'!G$2,
R1080&gt;'Group List B'!E$2,S1080&gt;'Group List B'!F$2,T1080&gt;'Group List B'!G$2),"Exceed",
IF(OR(H1080=AB$2,I1080=AC$2,J1080=AD$2,
P1080=1,V1080=1,
L1080='Group List A'!E$2,M1080='Group List A'!F$2,N1080='Group List A'!G$2,
R1080='Group List B'!E$2,S1080='Group List B'!F$2,T1080='Group List B'!G$2),"Limit",0))</f>
        <v>0</v>
      </c>
      <c r="H1080" s="29">
        <f t="shared" si="242"/>
        <v>0</v>
      </c>
      <c r="I1080" s="29">
        <f t="shared" si="243"/>
        <v>0</v>
      </c>
      <c r="J1080" s="29">
        <f t="shared" si="244"/>
        <v>0</v>
      </c>
      <c r="K1080" s="32" t="str" cm="1">
        <f t="array" ref="K1080">IF(AF1080&lt;&gt;"",IFERROR(INDEX('Group List A'!B:B,MATCH(AI1080,'Group List A'!A:A,0),0),"-"),"")</f>
        <v/>
      </c>
      <c r="L1080" s="33">
        <f t="shared" si="245"/>
        <v>0</v>
      </c>
      <c r="M1080" s="33">
        <f t="shared" si="246"/>
        <v>0</v>
      </c>
      <c r="N1080" s="33">
        <f t="shared" si="247"/>
        <v>0</v>
      </c>
      <c r="O1080" s="28"/>
      <c r="P1080" s="33">
        <f t="shared" si="248"/>
        <v>0</v>
      </c>
      <c r="Q1080" s="35" t="str" cm="1">
        <f t="array" ref="Q1080">IF(AF1080&lt;&gt;"",IFERROR(INDEX('Group List B'!B:B,MATCH(AI1080,'Group List B'!A:A,0),0),"-"),"")</f>
        <v/>
      </c>
      <c r="R1080" s="36">
        <f t="shared" si="249"/>
        <v>0</v>
      </c>
      <c r="S1080" s="36">
        <f t="shared" si="250"/>
        <v>0</v>
      </c>
      <c r="T1080" s="36">
        <f t="shared" si="251"/>
        <v>0</v>
      </c>
      <c r="U1080" s="28"/>
      <c r="V1080" s="37">
        <f t="shared" si="252"/>
        <v>0</v>
      </c>
      <c r="W1080" s="41"/>
      <c r="X1080" s="27"/>
      <c r="Y1080" s="27"/>
      <c r="Z1080" s="27"/>
      <c r="AA1080" s="15"/>
      <c r="AB1080" s="17"/>
      <c r="AC1080" s="17"/>
      <c r="AD1080" s="17"/>
      <c r="AE1080" s="90"/>
      <c r="AF1080" s="82" t="str">
        <f t="shared" si="253"/>
        <v/>
      </c>
      <c r="AG1080" s="83" t="str">
        <f t="shared" si="254"/>
        <v/>
      </c>
      <c r="AH1080" s="82" t="str">
        <f t="shared" si="255"/>
        <v/>
      </c>
      <c r="AI1080" s="82" t="str">
        <f t="shared" si="256"/>
        <v/>
      </c>
      <c r="AJ1080" s="90"/>
      <c r="AP1080" s="88"/>
    </row>
    <row r="1081" spans="1:42" x14ac:dyDescent="0.25">
      <c r="A1081" s="2"/>
      <c r="C1081" s="68" t="str" cm="1">
        <f t="array" ref="C1081">IF(AF1081&lt;&gt;"",
IFERROR(INDEX('LaunchPad Markbook'!A:A,MATCH(AH1081,'LaunchPad Markbook'!D:D,0),0),"-"),"")</f>
        <v/>
      </c>
      <c r="D1081" s="27"/>
      <c r="E1081" s="27"/>
      <c r="F1081" s="27"/>
      <c r="G1081" s="14">
        <f>IF(OR(H1081&gt;AB$2,I1081&gt;AC$2,J1081&gt;AD$2,
P1081&gt;1,V1081&gt;1,
L1081&gt;'Group List A'!E$2,M1081&gt;'Group List A'!F$2,N1081&gt;'Group List A'!G$2,
R1081&gt;'Group List B'!E$2,S1081&gt;'Group List B'!F$2,T1081&gt;'Group List B'!G$2),"Exceed",
IF(OR(H1081=AB$2,I1081=AC$2,J1081=AD$2,
P1081=1,V1081=1,
L1081='Group List A'!E$2,M1081='Group List A'!F$2,N1081='Group List A'!G$2,
R1081='Group List B'!E$2,S1081='Group List B'!F$2,T1081='Group List B'!G$2),"Limit",0))</f>
        <v>0</v>
      </c>
      <c r="H1081" s="29">
        <f t="shared" si="242"/>
        <v>0</v>
      </c>
      <c r="I1081" s="29">
        <f t="shared" si="243"/>
        <v>0</v>
      </c>
      <c r="J1081" s="29">
        <f t="shared" si="244"/>
        <v>0</v>
      </c>
      <c r="K1081" s="32" t="str" cm="1">
        <f t="array" ref="K1081">IF(AF1081&lt;&gt;"",IFERROR(INDEX('Group List A'!B:B,MATCH(AI1081,'Group List A'!A:A,0),0),"-"),"")</f>
        <v/>
      </c>
      <c r="L1081" s="33">
        <f t="shared" si="245"/>
        <v>0</v>
      </c>
      <c r="M1081" s="33">
        <f t="shared" si="246"/>
        <v>0</v>
      </c>
      <c r="N1081" s="33">
        <f t="shared" si="247"/>
        <v>0</v>
      </c>
      <c r="O1081" s="28"/>
      <c r="P1081" s="33">
        <f t="shared" si="248"/>
        <v>0</v>
      </c>
      <c r="Q1081" s="35" t="str" cm="1">
        <f t="array" ref="Q1081">IF(AF1081&lt;&gt;"",IFERROR(INDEX('Group List B'!B:B,MATCH(AI1081,'Group List B'!A:A,0),0),"-"),"")</f>
        <v/>
      </c>
      <c r="R1081" s="36">
        <f t="shared" si="249"/>
        <v>0</v>
      </c>
      <c r="S1081" s="36">
        <f t="shared" si="250"/>
        <v>0</v>
      </c>
      <c r="T1081" s="36">
        <f t="shared" si="251"/>
        <v>0</v>
      </c>
      <c r="U1081" s="28"/>
      <c r="V1081" s="37">
        <f t="shared" si="252"/>
        <v>0</v>
      </c>
      <c r="W1081" s="41"/>
      <c r="X1081" s="27"/>
      <c r="Y1081" s="27"/>
      <c r="Z1081" s="27"/>
      <c r="AA1081" s="15"/>
      <c r="AB1081" s="17"/>
      <c r="AC1081" s="17"/>
      <c r="AD1081" s="17"/>
      <c r="AE1081" s="90"/>
      <c r="AF1081" s="82" t="str">
        <f t="shared" si="253"/>
        <v/>
      </c>
      <c r="AG1081" s="83" t="str">
        <f t="shared" si="254"/>
        <v/>
      </c>
      <c r="AH1081" s="82" t="str">
        <f t="shared" si="255"/>
        <v/>
      </c>
      <c r="AI1081" s="82" t="str">
        <f t="shared" si="256"/>
        <v/>
      </c>
      <c r="AJ1081" s="90"/>
      <c r="AP1081" s="88"/>
    </row>
    <row r="1082" spans="1:42" x14ac:dyDescent="0.25">
      <c r="A1082" s="2"/>
      <c r="C1082" s="68" t="str" cm="1">
        <f t="array" ref="C1082">IF(AF1082&lt;&gt;"",
IFERROR(INDEX('LaunchPad Markbook'!A:A,MATCH(AH1082,'LaunchPad Markbook'!D:D,0),0),"-"),"")</f>
        <v/>
      </c>
      <c r="D1082" s="27"/>
      <c r="E1082" s="27"/>
      <c r="F1082" s="27"/>
      <c r="G1082" s="14">
        <f>IF(OR(H1082&gt;AB$2,I1082&gt;AC$2,J1082&gt;AD$2,
P1082&gt;1,V1082&gt;1,
L1082&gt;'Group List A'!E$2,M1082&gt;'Group List A'!F$2,N1082&gt;'Group List A'!G$2,
R1082&gt;'Group List B'!E$2,S1082&gt;'Group List B'!F$2,T1082&gt;'Group List B'!G$2),"Exceed",
IF(OR(H1082=AB$2,I1082=AC$2,J1082=AD$2,
P1082=1,V1082=1,
L1082='Group List A'!E$2,M1082='Group List A'!F$2,N1082='Group List A'!G$2,
R1082='Group List B'!E$2,S1082='Group List B'!F$2,T1082='Group List B'!G$2),"Limit",0))</f>
        <v>0</v>
      </c>
      <c r="H1082" s="29">
        <f t="shared" si="242"/>
        <v>0</v>
      </c>
      <c r="I1082" s="29">
        <f t="shared" si="243"/>
        <v>0</v>
      </c>
      <c r="J1082" s="29">
        <f t="shared" si="244"/>
        <v>0</v>
      </c>
      <c r="K1082" s="32" t="str" cm="1">
        <f t="array" ref="K1082">IF(AF1082&lt;&gt;"",IFERROR(INDEX('Group List A'!B:B,MATCH(AI1082,'Group List A'!A:A,0),0),"-"),"")</f>
        <v/>
      </c>
      <c r="L1082" s="33">
        <f t="shared" si="245"/>
        <v>0</v>
      </c>
      <c r="M1082" s="33">
        <f t="shared" si="246"/>
        <v>0</v>
      </c>
      <c r="N1082" s="33">
        <f t="shared" si="247"/>
        <v>0</v>
      </c>
      <c r="O1082" s="28"/>
      <c r="P1082" s="33">
        <f t="shared" si="248"/>
        <v>0</v>
      </c>
      <c r="Q1082" s="35" t="str" cm="1">
        <f t="array" ref="Q1082">IF(AF1082&lt;&gt;"",IFERROR(INDEX('Group List B'!B:B,MATCH(AI1082,'Group List B'!A:A,0),0),"-"),"")</f>
        <v/>
      </c>
      <c r="R1082" s="36">
        <f t="shared" si="249"/>
        <v>0</v>
      </c>
      <c r="S1082" s="36">
        <f t="shared" si="250"/>
        <v>0</v>
      </c>
      <c r="T1082" s="36">
        <f t="shared" si="251"/>
        <v>0</v>
      </c>
      <c r="U1082" s="28"/>
      <c r="V1082" s="37">
        <f t="shared" si="252"/>
        <v>0</v>
      </c>
      <c r="W1082" s="41"/>
      <c r="X1082" s="27"/>
      <c r="Y1082" s="27"/>
      <c r="Z1082" s="27"/>
      <c r="AA1082" s="15"/>
      <c r="AB1082" s="17"/>
      <c r="AC1082" s="17"/>
      <c r="AD1082" s="17"/>
      <c r="AE1082" s="90"/>
      <c r="AF1082" s="82" t="str">
        <f t="shared" si="253"/>
        <v/>
      </c>
      <c r="AG1082" s="83" t="str">
        <f t="shared" si="254"/>
        <v/>
      </c>
      <c r="AH1082" s="82" t="str">
        <f t="shared" si="255"/>
        <v/>
      </c>
      <c r="AI1082" s="82" t="str">
        <f t="shared" si="256"/>
        <v/>
      </c>
      <c r="AJ1082" s="90"/>
      <c r="AP1082" s="88"/>
    </row>
    <row r="1083" spans="1:42" x14ac:dyDescent="0.25">
      <c r="A1083" s="2"/>
      <c r="C1083" s="68" t="str" cm="1">
        <f t="array" ref="C1083">IF(AF1083&lt;&gt;"",
IFERROR(INDEX('LaunchPad Markbook'!A:A,MATCH(AH1083,'LaunchPad Markbook'!D:D,0),0),"-"),"")</f>
        <v/>
      </c>
      <c r="D1083" s="27"/>
      <c r="E1083" s="27"/>
      <c r="F1083" s="27"/>
      <c r="G1083" s="14">
        <f>IF(OR(H1083&gt;AB$2,I1083&gt;AC$2,J1083&gt;AD$2,
P1083&gt;1,V1083&gt;1,
L1083&gt;'Group List A'!E$2,M1083&gt;'Group List A'!F$2,N1083&gt;'Group List A'!G$2,
R1083&gt;'Group List B'!E$2,S1083&gt;'Group List B'!F$2,T1083&gt;'Group List B'!G$2),"Exceed",
IF(OR(H1083=AB$2,I1083=AC$2,J1083=AD$2,
P1083=1,V1083=1,
L1083='Group List A'!E$2,M1083='Group List A'!F$2,N1083='Group List A'!G$2,
R1083='Group List B'!E$2,S1083='Group List B'!F$2,T1083='Group List B'!G$2),"Limit",0))</f>
        <v>0</v>
      </c>
      <c r="H1083" s="29">
        <f t="shared" si="242"/>
        <v>0</v>
      </c>
      <c r="I1083" s="29">
        <f t="shared" si="243"/>
        <v>0</v>
      </c>
      <c r="J1083" s="29">
        <f t="shared" si="244"/>
        <v>0</v>
      </c>
      <c r="K1083" s="32" t="str" cm="1">
        <f t="array" ref="K1083">IF(AF1083&lt;&gt;"",IFERROR(INDEX('Group List A'!B:B,MATCH(AI1083,'Group List A'!A:A,0),0),"-"),"")</f>
        <v/>
      </c>
      <c r="L1083" s="33">
        <f t="shared" si="245"/>
        <v>0</v>
      </c>
      <c r="M1083" s="33">
        <f t="shared" si="246"/>
        <v>0</v>
      </c>
      <c r="N1083" s="33">
        <f t="shared" si="247"/>
        <v>0</v>
      </c>
      <c r="O1083" s="28"/>
      <c r="P1083" s="33">
        <f t="shared" si="248"/>
        <v>0</v>
      </c>
      <c r="Q1083" s="35" t="str" cm="1">
        <f t="array" ref="Q1083">IF(AF1083&lt;&gt;"",IFERROR(INDEX('Group List B'!B:B,MATCH(AI1083,'Group List B'!A:A,0),0),"-"),"")</f>
        <v/>
      </c>
      <c r="R1083" s="36">
        <f t="shared" si="249"/>
        <v>0</v>
      </c>
      <c r="S1083" s="36">
        <f t="shared" si="250"/>
        <v>0</v>
      </c>
      <c r="T1083" s="36">
        <f t="shared" si="251"/>
        <v>0</v>
      </c>
      <c r="U1083" s="28"/>
      <c r="V1083" s="37">
        <f t="shared" si="252"/>
        <v>0</v>
      </c>
      <c r="W1083" s="41"/>
      <c r="X1083" s="27"/>
      <c r="Y1083" s="27"/>
      <c r="Z1083" s="27"/>
      <c r="AA1083" s="15"/>
      <c r="AB1083" s="17"/>
      <c r="AC1083" s="17"/>
      <c r="AD1083" s="17"/>
      <c r="AE1083" s="90"/>
      <c r="AF1083" s="82" t="str">
        <f t="shared" si="253"/>
        <v/>
      </c>
      <c r="AG1083" s="83" t="str">
        <f t="shared" si="254"/>
        <v/>
      </c>
      <c r="AH1083" s="82" t="str">
        <f t="shared" si="255"/>
        <v/>
      </c>
      <c r="AI1083" s="82" t="str">
        <f t="shared" si="256"/>
        <v/>
      </c>
      <c r="AJ1083" s="90"/>
      <c r="AP1083" s="88"/>
    </row>
    <row r="1084" spans="1:42" x14ac:dyDescent="0.25">
      <c r="A1084" s="2"/>
      <c r="C1084" s="68" t="str" cm="1">
        <f t="array" ref="C1084">IF(AF1084&lt;&gt;"",
IFERROR(INDEX('LaunchPad Markbook'!A:A,MATCH(AH1084,'LaunchPad Markbook'!D:D,0),0),"-"),"")</f>
        <v/>
      </c>
      <c r="D1084" s="27"/>
      <c r="E1084" s="27"/>
      <c r="F1084" s="27"/>
      <c r="G1084" s="14">
        <f>IF(OR(H1084&gt;AB$2,I1084&gt;AC$2,J1084&gt;AD$2,
P1084&gt;1,V1084&gt;1,
L1084&gt;'Group List A'!E$2,M1084&gt;'Group List A'!F$2,N1084&gt;'Group List A'!G$2,
R1084&gt;'Group List B'!E$2,S1084&gt;'Group List B'!F$2,T1084&gt;'Group List B'!G$2),"Exceed",
IF(OR(H1084=AB$2,I1084=AC$2,J1084=AD$2,
P1084=1,V1084=1,
L1084='Group List A'!E$2,M1084='Group List A'!F$2,N1084='Group List A'!G$2,
R1084='Group List B'!E$2,S1084='Group List B'!F$2,T1084='Group List B'!G$2),"Limit",0))</f>
        <v>0</v>
      </c>
      <c r="H1084" s="29">
        <f t="shared" si="242"/>
        <v>0</v>
      </c>
      <c r="I1084" s="29">
        <f t="shared" si="243"/>
        <v>0</v>
      </c>
      <c r="J1084" s="29">
        <f t="shared" si="244"/>
        <v>0</v>
      </c>
      <c r="K1084" s="32" t="str" cm="1">
        <f t="array" ref="K1084">IF(AF1084&lt;&gt;"",IFERROR(INDEX('Group List A'!B:B,MATCH(AI1084,'Group List A'!A:A,0),0),"-"),"")</f>
        <v/>
      </c>
      <c r="L1084" s="33">
        <f t="shared" si="245"/>
        <v>0</v>
      </c>
      <c r="M1084" s="33">
        <f t="shared" si="246"/>
        <v>0</v>
      </c>
      <c r="N1084" s="33">
        <f t="shared" si="247"/>
        <v>0</v>
      </c>
      <c r="O1084" s="28"/>
      <c r="P1084" s="33">
        <f t="shared" si="248"/>
        <v>0</v>
      </c>
      <c r="Q1084" s="35" t="str" cm="1">
        <f t="array" ref="Q1084">IF(AF1084&lt;&gt;"",IFERROR(INDEX('Group List B'!B:B,MATCH(AI1084,'Group List B'!A:A,0),0),"-"),"")</f>
        <v/>
      </c>
      <c r="R1084" s="36">
        <f t="shared" si="249"/>
        <v>0</v>
      </c>
      <c r="S1084" s="36">
        <f t="shared" si="250"/>
        <v>0</v>
      </c>
      <c r="T1084" s="36">
        <f t="shared" si="251"/>
        <v>0</v>
      </c>
      <c r="U1084" s="28"/>
      <c r="V1084" s="37">
        <f t="shared" si="252"/>
        <v>0</v>
      </c>
      <c r="W1084" s="41"/>
      <c r="X1084" s="27"/>
      <c r="Y1084" s="27"/>
      <c r="Z1084" s="27"/>
      <c r="AA1084" s="15"/>
      <c r="AB1084" s="17"/>
      <c r="AC1084" s="17"/>
      <c r="AD1084" s="17"/>
      <c r="AE1084" s="90"/>
      <c r="AF1084" s="82" t="str">
        <f t="shared" si="253"/>
        <v/>
      </c>
      <c r="AG1084" s="83" t="str">
        <f t="shared" si="254"/>
        <v/>
      </c>
      <c r="AH1084" s="82" t="str">
        <f t="shared" si="255"/>
        <v/>
      </c>
      <c r="AI1084" s="82" t="str">
        <f t="shared" si="256"/>
        <v/>
      </c>
      <c r="AJ1084" s="90"/>
      <c r="AP1084" s="88"/>
    </row>
    <row r="1085" spans="1:42" x14ac:dyDescent="0.25">
      <c r="A1085" s="2"/>
      <c r="C1085" s="68" t="str" cm="1">
        <f t="array" ref="C1085">IF(AF1085&lt;&gt;"",
IFERROR(INDEX('LaunchPad Markbook'!A:A,MATCH(AH1085,'LaunchPad Markbook'!D:D,0),0),"-"),"")</f>
        <v/>
      </c>
      <c r="D1085" s="27"/>
      <c r="E1085" s="27"/>
      <c r="F1085" s="27"/>
      <c r="G1085" s="14">
        <f>IF(OR(H1085&gt;AB$2,I1085&gt;AC$2,J1085&gt;AD$2,
P1085&gt;1,V1085&gt;1,
L1085&gt;'Group List A'!E$2,M1085&gt;'Group List A'!F$2,N1085&gt;'Group List A'!G$2,
R1085&gt;'Group List B'!E$2,S1085&gt;'Group List B'!F$2,T1085&gt;'Group List B'!G$2),"Exceed",
IF(OR(H1085=AB$2,I1085=AC$2,J1085=AD$2,
P1085=1,V1085=1,
L1085='Group List A'!E$2,M1085='Group List A'!F$2,N1085='Group List A'!G$2,
R1085='Group List B'!E$2,S1085='Group List B'!F$2,T1085='Group List B'!G$2),"Limit",0))</f>
        <v>0</v>
      </c>
      <c r="H1085" s="29">
        <f t="shared" si="242"/>
        <v>0</v>
      </c>
      <c r="I1085" s="29">
        <f t="shared" si="243"/>
        <v>0</v>
      </c>
      <c r="J1085" s="29">
        <f t="shared" si="244"/>
        <v>0</v>
      </c>
      <c r="K1085" s="32" t="str" cm="1">
        <f t="array" ref="K1085">IF(AF1085&lt;&gt;"",IFERROR(INDEX('Group List A'!B:B,MATCH(AI1085,'Group List A'!A:A,0),0),"-"),"")</f>
        <v/>
      </c>
      <c r="L1085" s="33">
        <f t="shared" si="245"/>
        <v>0</v>
      </c>
      <c r="M1085" s="33">
        <f t="shared" si="246"/>
        <v>0</v>
      </c>
      <c r="N1085" s="33">
        <f t="shared" si="247"/>
        <v>0</v>
      </c>
      <c r="O1085" s="28"/>
      <c r="P1085" s="33">
        <f t="shared" si="248"/>
        <v>0</v>
      </c>
      <c r="Q1085" s="35" t="str" cm="1">
        <f t="array" ref="Q1085">IF(AF1085&lt;&gt;"",IFERROR(INDEX('Group List B'!B:B,MATCH(AI1085,'Group List B'!A:A,0),0),"-"),"")</f>
        <v/>
      </c>
      <c r="R1085" s="36">
        <f t="shared" si="249"/>
        <v>0</v>
      </c>
      <c r="S1085" s="36">
        <f t="shared" si="250"/>
        <v>0</v>
      </c>
      <c r="T1085" s="36">
        <f t="shared" si="251"/>
        <v>0</v>
      </c>
      <c r="U1085" s="28"/>
      <c r="V1085" s="37">
        <f t="shared" si="252"/>
        <v>0</v>
      </c>
      <c r="W1085" s="41"/>
      <c r="X1085" s="27"/>
      <c r="Y1085" s="27"/>
      <c r="Z1085" s="27"/>
      <c r="AA1085" s="15"/>
      <c r="AB1085" s="17"/>
      <c r="AC1085" s="17"/>
      <c r="AD1085" s="17"/>
      <c r="AE1085" s="90"/>
      <c r="AF1085" s="82" t="str">
        <f t="shared" si="253"/>
        <v/>
      </c>
      <c r="AG1085" s="83" t="str">
        <f t="shared" si="254"/>
        <v/>
      </c>
      <c r="AH1085" s="82" t="str">
        <f t="shared" si="255"/>
        <v/>
      </c>
      <c r="AI1085" s="82" t="str">
        <f t="shared" si="256"/>
        <v/>
      </c>
      <c r="AJ1085" s="90"/>
      <c r="AP1085" s="88"/>
    </row>
    <row r="1086" spans="1:42" x14ac:dyDescent="0.25">
      <c r="A1086" s="2"/>
      <c r="C1086" s="68" t="str" cm="1">
        <f t="array" ref="C1086">IF(AF1086&lt;&gt;"",
IFERROR(INDEX('LaunchPad Markbook'!A:A,MATCH(AH1086,'LaunchPad Markbook'!D:D,0),0),"-"),"")</f>
        <v/>
      </c>
      <c r="D1086" s="27"/>
      <c r="E1086" s="27"/>
      <c r="F1086" s="27"/>
      <c r="G1086" s="14">
        <f>IF(OR(H1086&gt;AB$2,I1086&gt;AC$2,J1086&gt;AD$2,
P1086&gt;1,V1086&gt;1,
L1086&gt;'Group List A'!E$2,M1086&gt;'Group List A'!F$2,N1086&gt;'Group List A'!G$2,
R1086&gt;'Group List B'!E$2,S1086&gt;'Group List B'!F$2,T1086&gt;'Group List B'!G$2),"Exceed",
IF(OR(H1086=AB$2,I1086=AC$2,J1086=AD$2,
P1086=1,V1086=1,
L1086='Group List A'!E$2,M1086='Group List A'!F$2,N1086='Group List A'!G$2,
R1086='Group List B'!E$2,S1086='Group List B'!F$2,T1086='Group List B'!G$2),"Limit",0))</f>
        <v>0</v>
      </c>
      <c r="H1086" s="29">
        <f t="shared" si="242"/>
        <v>0</v>
      </c>
      <c r="I1086" s="29">
        <f t="shared" si="243"/>
        <v>0</v>
      </c>
      <c r="J1086" s="29">
        <f t="shared" si="244"/>
        <v>0</v>
      </c>
      <c r="K1086" s="32" t="str" cm="1">
        <f t="array" ref="K1086">IF(AF1086&lt;&gt;"",IFERROR(INDEX('Group List A'!B:B,MATCH(AI1086,'Group List A'!A:A,0),0),"-"),"")</f>
        <v/>
      </c>
      <c r="L1086" s="33">
        <f t="shared" si="245"/>
        <v>0</v>
      </c>
      <c r="M1086" s="33">
        <f t="shared" si="246"/>
        <v>0</v>
      </c>
      <c r="N1086" s="33">
        <f t="shared" si="247"/>
        <v>0</v>
      </c>
      <c r="O1086" s="28"/>
      <c r="P1086" s="33">
        <f t="shared" si="248"/>
        <v>0</v>
      </c>
      <c r="Q1086" s="35" t="str" cm="1">
        <f t="array" ref="Q1086">IF(AF1086&lt;&gt;"",IFERROR(INDEX('Group List B'!B:B,MATCH(AI1086,'Group List B'!A:A,0),0),"-"),"")</f>
        <v/>
      </c>
      <c r="R1086" s="36">
        <f t="shared" si="249"/>
        <v>0</v>
      </c>
      <c r="S1086" s="36">
        <f t="shared" si="250"/>
        <v>0</v>
      </c>
      <c r="T1086" s="36">
        <f t="shared" si="251"/>
        <v>0</v>
      </c>
      <c r="U1086" s="28"/>
      <c r="V1086" s="37">
        <f t="shared" si="252"/>
        <v>0</v>
      </c>
      <c r="W1086" s="41"/>
      <c r="X1086" s="27"/>
      <c r="Y1086" s="27"/>
      <c r="Z1086" s="27"/>
      <c r="AA1086" s="15"/>
      <c r="AB1086" s="17"/>
      <c r="AC1086" s="17"/>
      <c r="AD1086" s="17"/>
      <c r="AE1086" s="90"/>
      <c r="AF1086" s="82" t="str">
        <f t="shared" si="253"/>
        <v/>
      </c>
      <c r="AG1086" s="83" t="str">
        <f t="shared" si="254"/>
        <v/>
      </c>
      <c r="AH1086" s="82" t="str">
        <f t="shared" si="255"/>
        <v/>
      </c>
      <c r="AI1086" s="82" t="str">
        <f t="shared" si="256"/>
        <v/>
      </c>
      <c r="AJ1086" s="90"/>
      <c r="AP1086" s="88"/>
    </row>
    <row r="1087" spans="1:42" x14ac:dyDescent="0.25">
      <c r="A1087" s="2"/>
      <c r="C1087" s="68" t="str" cm="1">
        <f t="array" ref="C1087">IF(AF1087&lt;&gt;"",
IFERROR(INDEX('LaunchPad Markbook'!A:A,MATCH(AH1087,'LaunchPad Markbook'!D:D,0),0),"-"),"")</f>
        <v/>
      </c>
      <c r="D1087" s="27"/>
      <c r="E1087" s="27"/>
      <c r="F1087" s="27"/>
      <c r="G1087" s="14">
        <f>IF(OR(H1087&gt;AB$2,I1087&gt;AC$2,J1087&gt;AD$2,
P1087&gt;1,V1087&gt;1,
L1087&gt;'Group List A'!E$2,M1087&gt;'Group List A'!F$2,N1087&gt;'Group List A'!G$2,
R1087&gt;'Group List B'!E$2,S1087&gt;'Group List B'!F$2,T1087&gt;'Group List B'!G$2),"Exceed",
IF(OR(H1087=AB$2,I1087=AC$2,J1087=AD$2,
P1087=1,V1087=1,
L1087='Group List A'!E$2,M1087='Group List A'!F$2,N1087='Group List A'!G$2,
R1087='Group List B'!E$2,S1087='Group List B'!F$2,T1087='Group List B'!G$2),"Limit",0))</f>
        <v>0</v>
      </c>
      <c r="H1087" s="29">
        <f t="shared" si="242"/>
        <v>0</v>
      </c>
      <c r="I1087" s="29">
        <f t="shared" si="243"/>
        <v>0</v>
      </c>
      <c r="J1087" s="29">
        <f t="shared" si="244"/>
        <v>0</v>
      </c>
      <c r="K1087" s="32" t="str" cm="1">
        <f t="array" ref="K1087">IF(AF1087&lt;&gt;"",IFERROR(INDEX('Group List A'!B:B,MATCH(AI1087,'Group List A'!A:A,0),0),"-"),"")</f>
        <v/>
      </c>
      <c r="L1087" s="33">
        <f t="shared" si="245"/>
        <v>0</v>
      </c>
      <c r="M1087" s="33">
        <f t="shared" si="246"/>
        <v>0</v>
      </c>
      <c r="N1087" s="33">
        <f t="shared" si="247"/>
        <v>0</v>
      </c>
      <c r="O1087" s="28"/>
      <c r="P1087" s="33">
        <f t="shared" si="248"/>
        <v>0</v>
      </c>
      <c r="Q1087" s="35" t="str" cm="1">
        <f t="array" ref="Q1087">IF(AF1087&lt;&gt;"",IFERROR(INDEX('Group List B'!B:B,MATCH(AI1087,'Group List B'!A:A,0),0),"-"),"")</f>
        <v/>
      </c>
      <c r="R1087" s="36">
        <f t="shared" si="249"/>
        <v>0</v>
      </c>
      <c r="S1087" s="36">
        <f t="shared" si="250"/>
        <v>0</v>
      </c>
      <c r="T1087" s="36">
        <f t="shared" si="251"/>
        <v>0</v>
      </c>
      <c r="U1087" s="28"/>
      <c r="V1087" s="37">
        <f t="shared" si="252"/>
        <v>0</v>
      </c>
      <c r="W1087" s="41"/>
      <c r="X1087" s="27"/>
      <c r="Y1087" s="27"/>
      <c r="Z1087" s="27"/>
      <c r="AA1087" s="15"/>
      <c r="AB1087" s="17"/>
      <c r="AC1087" s="17"/>
      <c r="AD1087" s="17"/>
      <c r="AE1087" s="90"/>
      <c r="AF1087" s="82" t="str">
        <f t="shared" si="253"/>
        <v/>
      </c>
      <c r="AG1087" s="83" t="str">
        <f t="shared" si="254"/>
        <v/>
      </c>
      <c r="AH1087" s="82" t="str">
        <f t="shared" si="255"/>
        <v/>
      </c>
      <c r="AI1087" s="82" t="str">
        <f t="shared" si="256"/>
        <v/>
      </c>
      <c r="AJ1087" s="90"/>
      <c r="AP1087" s="88"/>
    </row>
    <row r="1088" spans="1:42" x14ac:dyDescent="0.25">
      <c r="A1088" s="2"/>
      <c r="C1088" s="68" t="str" cm="1">
        <f t="array" ref="C1088">IF(AF1088&lt;&gt;"",
IFERROR(INDEX('LaunchPad Markbook'!A:A,MATCH(AH1088,'LaunchPad Markbook'!D:D,0),0),"-"),"")</f>
        <v/>
      </c>
      <c r="D1088" s="27"/>
      <c r="E1088" s="27"/>
      <c r="F1088" s="27"/>
      <c r="G1088" s="14">
        <f>IF(OR(H1088&gt;AB$2,I1088&gt;AC$2,J1088&gt;AD$2,
P1088&gt;1,V1088&gt;1,
L1088&gt;'Group List A'!E$2,M1088&gt;'Group List A'!F$2,N1088&gt;'Group List A'!G$2,
R1088&gt;'Group List B'!E$2,S1088&gt;'Group List B'!F$2,T1088&gt;'Group List B'!G$2),"Exceed",
IF(OR(H1088=AB$2,I1088=AC$2,J1088=AD$2,
P1088=1,V1088=1,
L1088='Group List A'!E$2,M1088='Group List A'!F$2,N1088='Group List A'!G$2,
R1088='Group List B'!E$2,S1088='Group List B'!F$2,T1088='Group List B'!G$2),"Limit",0))</f>
        <v>0</v>
      </c>
      <c r="H1088" s="29">
        <f t="shared" si="242"/>
        <v>0</v>
      </c>
      <c r="I1088" s="29">
        <f t="shared" si="243"/>
        <v>0</v>
      </c>
      <c r="J1088" s="29">
        <f t="shared" si="244"/>
        <v>0</v>
      </c>
      <c r="K1088" s="32" t="str" cm="1">
        <f t="array" ref="K1088">IF(AF1088&lt;&gt;"",IFERROR(INDEX('Group List A'!B:B,MATCH(AI1088,'Group List A'!A:A,0),0),"-"),"")</f>
        <v/>
      </c>
      <c r="L1088" s="33">
        <f t="shared" si="245"/>
        <v>0</v>
      </c>
      <c r="M1088" s="33">
        <f t="shared" si="246"/>
        <v>0</v>
      </c>
      <c r="N1088" s="33">
        <f t="shared" si="247"/>
        <v>0</v>
      </c>
      <c r="O1088" s="28"/>
      <c r="P1088" s="33">
        <f t="shared" si="248"/>
        <v>0</v>
      </c>
      <c r="Q1088" s="35" t="str" cm="1">
        <f t="array" ref="Q1088">IF(AF1088&lt;&gt;"",IFERROR(INDEX('Group List B'!B:B,MATCH(AI1088,'Group List B'!A:A,0),0),"-"),"")</f>
        <v/>
      </c>
      <c r="R1088" s="36">
        <f t="shared" si="249"/>
        <v>0</v>
      </c>
      <c r="S1088" s="36">
        <f t="shared" si="250"/>
        <v>0</v>
      </c>
      <c r="T1088" s="36">
        <f t="shared" si="251"/>
        <v>0</v>
      </c>
      <c r="U1088" s="28"/>
      <c r="V1088" s="37">
        <f t="shared" si="252"/>
        <v>0</v>
      </c>
      <c r="W1088" s="41"/>
      <c r="X1088" s="27"/>
      <c r="Y1088" s="27"/>
      <c r="Z1088" s="27"/>
      <c r="AA1088" s="15"/>
      <c r="AB1088" s="17"/>
      <c r="AC1088" s="17"/>
      <c r="AD1088" s="17"/>
      <c r="AE1088" s="90"/>
      <c r="AF1088" s="82" t="str">
        <f t="shared" si="253"/>
        <v/>
      </c>
      <c r="AG1088" s="83" t="str">
        <f t="shared" si="254"/>
        <v/>
      </c>
      <c r="AH1088" s="82" t="str">
        <f t="shared" si="255"/>
        <v/>
      </c>
      <c r="AI1088" s="82" t="str">
        <f t="shared" si="256"/>
        <v/>
      </c>
      <c r="AJ1088" s="90"/>
      <c r="AP1088" s="88"/>
    </row>
    <row r="1089" spans="1:42" x14ac:dyDescent="0.25">
      <c r="A1089" s="2"/>
      <c r="C1089" s="68" t="str" cm="1">
        <f t="array" ref="C1089">IF(AF1089&lt;&gt;"",
IFERROR(INDEX('LaunchPad Markbook'!A:A,MATCH(AH1089,'LaunchPad Markbook'!D:D,0),0),"-"),"")</f>
        <v/>
      </c>
      <c r="D1089" s="27"/>
      <c r="E1089" s="27"/>
      <c r="F1089" s="27"/>
      <c r="G1089" s="14">
        <f>IF(OR(H1089&gt;AB$2,I1089&gt;AC$2,J1089&gt;AD$2,
P1089&gt;1,V1089&gt;1,
L1089&gt;'Group List A'!E$2,M1089&gt;'Group List A'!F$2,N1089&gt;'Group List A'!G$2,
R1089&gt;'Group List B'!E$2,S1089&gt;'Group List B'!F$2,T1089&gt;'Group List B'!G$2),"Exceed",
IF(OR(H1089=AB$2,I1089=AC$2,J1089=AD$2,
P1089=1,V1089=1,
L1089='Group List A'!E$2,M1089='Group List A'!F$2,N1089='Group List A'!G$2,
R1089='Group List B'!E$2,S1089='Group List B'!F$2,T1089='Group List B'!G$2),"Limit",0))</f>
        <v>0</v>
      </c>
      <c r="H1089" s="29">
        <f t="shared" si="242"/>
        <v>0</v>
      </c>
      <c r="I1089" s="29">
        <f t="shared" si="243"/>
        <v>0</v>
      </c>
      <c r="J1089" s="29">
        <f t="shared" si="244"/>
        <v>0</v>
      </c>
      <c r="K1089" s="32" t="str" cm="1">
        <f t="array" ref="K1089">IF(AF1089&lt;&gt;"",IFERROR(INDEX('Group List A'!B:B,MATCH(AI1089,'Group List A'!A:A,0),0),"-"),"")</f>
        <v/>
      </c>
      <c r="L1089" s="33">
        <f t="shared" si="245"/>
        <v>0</v>
      </c>
      <c r="M1089" s="33">
        <f t="shared" si="246"/>
        <v>0</v>
      </c>
      <c r="N1089" s="33">
        <f t="shared" si="247"/>
        <v>0</v>
      </c>
      <c r="O1089" s="28"/>
      <c r="P1089" s="33">
        <f t="shared" si="248"/>
        <v>0</v>
      </c>
      <c r="Q1089" s="35" t="str" cm="1">
        <f t="array" ref="Q1089">IF(AF1089&lt;&gt;"",IFERROR(INDEX('Group List B'!B:B,MATCH(AI1089,'Group List B'!A:A,0),0),"-"),"")</f>
        <v/>
      </c>
      <c r="R1089" s="36">
        <f t="shared" si="249"/>
        <v>0</v>
      </c>
      <c r="S1089" s="36">
        <f t="shared" si="250"/>
        <v>0</v>
      </c>
      <c r="T1089" s="36">
        <f t="shared" si="251"/>
        <v>0</v>
      </c>
      <c r="U1089" s="28"/>
      <c r="V1089" s="37">
        <f t="shared" si="252"/>
        <v>0</v>
      </c>
      <c r="W1089" s="41"/>
      <c r="X1089" s="27"/>
      <c r="Y1089" s="27"/>
      <c r="Z1089" s="27"/>
      <c r="AA1089" s="15"/>
      <c r="AB1089" s="17"/>
      <c r="AC1089" s="17"/>
      <c r="AD1089" s="17"/>
      <c r="AE1089" s="90"/>
      <c r="AF1089" s="82" t="str">
        <f t="shared" si="253"/>
        <v/>
      </c>
      <c r="AG1089" s="83" t="str">
        <f t="shared" si="254"/>
        <v/>
      </c>
      <c r="AH1089" s="82" t="str">
        <f t="shared" si="255"/>
        <v/>
      </c>
      <c r="AI1089" s="82" t="str">
        <f t="shared" si="256"/>
        <v/>
      </c>
      <c r="AJ1089" s="90"/>
      <c r="AP1089" s="88"/>
    </row>
    <row r="1090" spans="1:42" x14ac:dyDescent="0.25">
      <c r="A1090" s="2"/>
      <c r="C1090" s="68" t="str" cm="1">
        <f t="array" ref="C1090">IF(AF1090&lt;&gt;"",
IFERROR(INDEX('LaunchPad Markbook'!A:A,MATCH(AH1090,'LaunchPad Markbook'!D:D,0),0),"-"),"")</f>
        <v/>
      </c>
      <c r="D1090" s="27"/>
      <c r="E1090" s="27"/>
      <c r="F1090" s="27"/>
      <c r="G1090" s="14">
        <f>IF(OR(H1090&gt;AB$2,I1090&gt;AC$2,J1090&gt;AD$2,
P1090&gt;1,V1090&gt;1,
L1090&gt;'Group List A'!E$2,M1090&gt;'Group List A'!F$2,N1090&gt;'Group List A'!G$2,
R1090&gt;'Group List B'!E$2,S1090&gt;'Group List B'!F$2,T1090&gt;'Group List B'!G$2),"Exceed",
IF(OR(H1090=AB$2,I1090=AC$2,J1090=AD$2,
P1090=1,V1090=1,
L1090='Group List A'!E$2,M1090='Group List A'!F$2,N1090='Group List A'!G$2,
R1090='Group List B'!E$2,S1090='Group List B'!F$2,T1090='Group List B'!G$2),"Limit",0))</f>
        <v>0</v>
      </c>
      <c r="H1090" s="29">
        <f t="shared" si="242"/>
        <v>0</v>
      </c>
      <c r="I1090" s="29">
        <f t="shared" si="243"/>
        <v>0</v>
      </c>
      <c r="J1090" s="29">
        <f t="shared" si="244"/>
        <v>0</v>
      </c>
      <c r="K1090" s="32" t="str" cm="1">
        <f t="array" ref="K1090">IF(AF1090&lt;&gt;"",IFERROR(INDEX('Group List A'!B:B,MATCH(AI1090,'Group List A'!A:A,0),0),"-"),"")</f>
        <v/>
      </c>
      <c r="L1090" s="33">
        <f t="shared" si="245"/>
        <v>0</v>
      </c>
      <c r="M1090" s="33">
        <f t="shared" si="246"/>
        <v>0</v>
      </c>
      <c r="N1090" s="33">
        <f t="shared" si="247"/>
        <v>0</v>
      </c>
      <c r="O1090" s="28"/>
      <c r="P1090" s="33">
        <f t="shared" si="248"/>
        <v>0</v>
      </c>
      <c r="Q1090" s="35" t="str" cm="1">
        <f t="array" ref="Q1090">IF(AF1090&lt;&gt;"",IFERROR(INDEX('Group List B'!B:B,MATCH(AI1090,'Group List B'!A:A,0),0),"-"),"")</f>
        <v/>
      </c>
      <c r="R1090" s="36">
        <f t="shared" si="249"/>
        <v>0</v>
      </c>
      <c r="S1090" s="36">
        <f t="shared" si="250"/>
        <v>0</v>
      </c>
      <c r="T1090" s="36">
        <f t="shared" si="251"/>
        <v>0</v>
      </c>
      <c r="U1090" s="28"/>
      <c r="V1090" s="37">
        <f t="shared" si="252"/>
        <v>0</v>
      </c>
      <c r="W1090" s="41"/>
      <c r="X1090" s="27"/>
      <c r="Y1090" s="27"/>
      <c r="Z1090" s="27"/>
      <c r="AA1090" s="15"/>
      <c r="AB1090" s="17"/>
      <c r="AC1090" s="17"/>
      <c r="AD1090" s="17"/>
      <c r="AE1090" s="90"/>
      <c r="AF1090" s="82" t="str">
        <f t="shared" si="253"/>
        <v/>
      </c>
      <c r="AG1090" s="83" t="str">
        <f t="shared" si="254"/>
        <v/>
      </c>
      <c r="AH1090" s="82" t="str">
        <f t="shared" si="255"/>
        <v/>
      </c>
      <c r="AI1090" s="82" t="str">
        <f t="shared" si="256"/>
        <v/>
      </c>
      <c r="AJ1090" s="90"/>
      <c r="AP1090" s="88"/>
    </row>
    <row r="1091" spans="1:42" x14ac:dyDescent="0.25">
      <c r="A1091" s="2"/>
      <c r="C1091" s="68" t="str" cm="1">
        <f t="array" ref="C1091">IF(AF1091&lt;&gt;"",
IFERROR(INDEX('LaunchPad Markbook'!A:A,MATCH(AH1091,'LaunchPad Markbook'!D:D,0),0),"-"),"")</f>
        <v/>
      </c>
      <c r="D1091" s="27"/>
      <c r="E1091" s="27"/>
      <c r="F1091" s="27"/>
      <c r="G1091" s="14">
        <f>IF(OR(H1091&gt;AB$2,I1091&gt;AC$2,J1091&gt;AD$2,
P1091&gt;1,V1091&gt;1,
L1091&gt;'Group List A'!E$2,M1091&gt;'Group List A'!F$2,N1091&gt;'Group List A'!G$2,
R1091&gt;'Group List B'!E$2,S1091&gt;'Group List B'!F$2,T1091&gt;'Group List B'!G$2),"Exceed",
IF(OR(H1091=AB$2,I1091=AC$2,J1091=AD$2,
P1091=1,V1091=1,
L1091='Group List A'!E$2,M1091='Group List A'!F$2,N1091='Group List A'!G$2,
R1091='Group List B'!E$2,S1091='Group List B'!F$2,T1091='Group List B'!G$2),"Limit",0))</f>
        <v>0</v>
      </c>
      <c r="H1091" s="29">
        <f t="shared" ref="H1091:H1154" si="257">IF(AND(K1091="-",Q1091="-"),
SUMIFS(D$2:D$2000,$AH$2:$AH$2000,$AH1091),0)</f>
        <v>0</v>
      </c>
      <c r="I1091" s="29">
        <f t="shared" ref="I1091:I1154" si="258">IF(AND(K1091="-",Q1091="-"),
SUMIFS(E$2:E$2000,$AH$2:$AH$2000,$AH1091),0)</f>
        <v>0</v>
      </c>
      <c r="J1091" s="29">
        <f t="shared" ref="J1091:J1154" si="259">IF(AND(K1091="-",Q1091="-"),
SUMIFS(F$2:F$2000,$AH$2:$AH$2000,$AH1091),0)</f>
        <v>0</v>
      </c>
      <c r="K1091" s="32" t="str" cm="1">
        <f t="array" ref="K1091">IF(AF1091&lt;&gt;"",IFERROR(INDEX('Group List A'!B:B,MATCH(AI1091,'Group List A'!A:A,0),0),"-"),"")</f>
        <v/>
      </c>
      <c r="L1091" s="33">
        <f t="shared" ref="L1091:L1154" si="260">IF($K1091&lt;&gt;"-",SUMIFS(D$2:D$2000,$K$2:$K$2000,$K1091),0)</f>
        <v>0</v>
      </c>
      <c r="M1091" s="33">
        <f t="shared" ref="M1091:M1154" si="261">IF($K1091&lt;&gt;"-",SUMIFS(E$2:E$2000,$K$2:$K$2000,$K1091),0)</f>
        <v>0</v>
      </c>
      <c r="N1091" s="33">
        <f t="shared" ref="N1091:N1154" si="262">IF($K1091&lt;&gt;"-",SUMIFS(F$2:F$2000,$K$2:$K$2000,$K1091),0)</f>
        <v>0</v>
      </c>
      <c r="O1091" s="28"/>
      <c r="P1091" s="33">
        <f t="shared" ref="P1091:P1154" si="263">SUMIFS(O$2:O$2000,$AH$2:$AH$2000,$AH1091)</f>
        <v>0</v>
      </c>
      <c r="Q1091" s="35" t="str" cm="1">
        <f t="array" ref="Q1091">IF(AF1091&lt;&gt;"",IFERROR(INDEX('Group List B'!B:B,MATCH(AI1091,'Group List B'!A:A,0),0),"-"),"")</f>
        <v/>
      </c>
      <c r="R1091" s="36">
        <f t="shared" ref="R1091:R1154" si="264">IF($Q1091&lt;&gt;"-",SUMIFS(D$2:D$2000,$Q$2:$Q$2000,$Q1091),0)</f>
        <v>0</v>
      </c>
      <c r="S1091" s="36">
        <f t="shared" ref="S1091:S1154" si="265">IF($Q1091&lt;&gt;"-",SUMIFS(E$2:E$2000,$Q$2:$Q$2000,$Q1091),0)</f>
        <v>0</v>
      </c>
      <c r="T1091" s="36">
        <f t="shared" ref="T1091:T1154" si="266">IF($Q1091&lt;&gt;"-",SUMIFS(F$2:F$2000,$Q$2:$Q$2000,$Q1091),0)</f>
        <v>0</v>
      </c>
      <c r="U1091" s="28"/>
      <c r="V1091" s="37">
        <f t="shared" ref="V1091:V1154" si="267">SUMIFS(U$2:U$2000,$AH$2:$AH$2000,$AH1091)</f>
        <v>0</v>
      </c>
      <c r="W1091" s="41"/>
      <c r="X1091" s="27"/>
      <c r="Y1091" s="27"/>
      <c r="Z1091" s="27"/>
      <c r="AA1091" s="15"/>
      <c r="AB1091" s="17"/>
      <c r="AC1091" s="17"/>
      <c r="AD1091" s="17"/>
      <c r="AE1091" s="90"/>
      <c r="AF1091" s="82" t="str">
        <f t="shared" ref="AF1091:AF1154" si="268">IF(A1091&lt;&gt;"",A1091,"")</f>
        <v/>
      </c>
      <c r="AG1091" s="83" t="str">
        <f t="shared" ref="AG1091:AG1154" si="269">IF(MID(AF1091,1,1)="N","STUDENT",
IF(MID(AF1091,1,1)="S","STAFF",
IF(MID(AF1091,1,1)="V","VISITOR",
IF(AF1091&lt;&gt;"","ERROR",""))))</f>
        <v/>
      </c>
      <c r="AH1091" s="82" t="str">
        <f t="shared" ref="AH1091:AH1154" si="270">IF(AG1091="STUDENT","N"&amp;(MID(AF1091,2,8)-0),
IF(AG1091="STAFF","S"&amp;MID(AF1091,2,8),""))</f>
        <v/>
      </c>
      <c r="AI1091" s="82" t="str">
        <f t="shared" ref="AI1091:AI1154" si="271">IF(AG1091="STUDENT",(MID(AF1091,2,8)-0),
IF(AG1091="STAFF","STAFF",""))</f>
        <v/>
      </c>
      <c r="AJ1091" s="90"/>
      <c r="AP1091" s="88"/>
    </row>
    <row r="1092" spans="1:42" x14ac:dyDescent="0.25">
      <c r="A1092" s="2"/>
      <c r="C1092" s="68" t="str" cm="1">
        <f t="array" ref="C1092">IF(AF1092&lt;&gt;"",
IFERROR(INDEX('LaunchPad Markbook'!A:A,MATCH(AH1092,'LaunchPad Markbook'!D:D,0),0),"-"),"")</f>
        <v/>
      </c>
      <c r="D1092" s="27"/>
      <c r="E1092" s="27"/>
      <c r="F1092" s="27"/>
      <c r="G1092" s="14">
        <f>IF(OR(H1092&gt;AB$2,I1092&gt;AC$2,J1092&gt;AD$2,
P1092&gt;1,V1092&gt;1,
L1092&gt;'Group List A'!E$2,M1092&gt;'Group List A'!F$2,N1092&gt;'Group List A'!G$2,
R1092&gt;'Group List B'!E$2,S1092&gt;'Group List B'!F$2,T1092&gt;'Group List B'!G$2),"Exceed",
IF(OR(H1092=AB$2,I1092=AC$2,J1092=AD$2,
P1092=1,V1092=1,
L1092='Group List A'!E$2,M1092='Group List A'!F$2,N1092='Group List A'!G$2,
R1092='Group List B'!E$2,S1092='Group List B'!F$2,T1092='Group List B'!G$2),"Limit",0))</f>
        <v>0</v>
      </c>
      <c r="H1092" s="29">
        <f t="shared" si="257"/>
        <v>0</v>
      </c>
      <c r="I1092" s="29">
        <f t="shared" si="258"/>
        <v>0</v>
      </c>
      <c r="J1092" s="29">
        <f t="shared" si="259"/>
        <v>0</v>
      </c>
      <c r="K1092" s="32" t="str" cm="1">
        <f t="array" ref="K1092">IF(AF1092&lt;&gt;"",IFERROR(INDEX('Group List A'!B:B,MATCH(AI1092,'Group List A'!A:A,0),0),"-"),"")</f>
        <v/>
      </c>
      <c r="L1092" s="33">
        <f t="shared" si="260"/>
        <v>0</v>
      </c>
      <c r="M1092" s="33">
        <f t="shared" si="261"/>
        <v>0</v>
      </c>
      <c r="N1092" s="33">
        <f t="shared" si="262"/>
        <v>0</v>
      </c>
      <c r="O1092" s="28"/>
      <c r="P1092" s="33">
        <f t="shared" si="263"/>
        <v>0</v>
      </c>
      <c r="Q1092" s="35" t="str" cm="1">
        <f t="array" ref="Q1092">IF(AF1092&lt;&gt;"",IFERROR(INDEX('Group List B'!B:B,MATCH(AI1092,'Group List B'!A:A,0),0),"-"),"")</f>
        <v/>
      </c>
      <c r="R1092" s="36">
        <f t="shared" si="264"/>
        <v>0</v>
      </c>
      <c r="S1092" s="36">
        <f t="shared" si="265"/>
        <v>0</v>
      </c>
      <c r="T1092" s="36">
        <f t="shared" si="266"/>
        <v>0</v>
      </c>
      <c r="U1092" s="28"/>
      <c r="V1092" s="37">
        <f t="shared" si="267"/>
        <v>0</v>
      </c>
      <c r="W1092" s="41"/>
      <c r="X1092" s="27"/>
      <c r="Y1092" s="27"/>
      <c r="Z1092" s="27"/>
      <c r="AA1092" s="15"/>
      <c r="AB1092" s="17"/>
      <c r="AC1092" s="17"/>
      <c r="AD1092" s="17"/>
      <c r="AE1092" s="90"/>
      <c r="AF1092" s="82" t="str">
        <f t="shared" si="268"/>
        <v/>
      </c>
      <c r="AG1092" s="83" t="str">
        <f t="shared" si="269"/>
        <v/>
      </c>
      <c r="AH1092" s="82" t="str">
        <f t="shared" si="270"/>
        <v/>
      </c>
      <c r="AI1092" s="82" t="str">
        <f t="shared" si="271"/>
        <v/>
      </c>
      <c r="AJ1092" s="90"/>
      <c r="AP1092" s="88"/>
    </row>
    <row r="1093" spans="1:42" x14ac:dyDescent="0.25">
      <c r="A1093" s="2"/>
      <c r="C1093" s="68" t="str" cm="1">
        <f t="array" ref="C1093">IF(AF1093&lt;&gt;"",
IFERROR(INDEX('LaunchPad Markbook'!A:A,MATCH(AH1093,'LaunchPad Markbook'!D:D,0),0),"-"),"")</f>
        <v/>
      </c>
      <c r="D1093" s="27"/>
      <c r="E1093" s="27"/>
      <c r="F1093" s="27"/>
      <c r="G1093" s="14">
        <f>IF(OR(H1093&gt;AB$2,I1093&gt;AC$2,J1093&gt;AD$2,
P1093&gt;1,V1093&gt;1,
L1093&gt;'Group List A'!E$2,M1093&gt;'Group List A'!F$2,N1093&gt;'Group List A'!G$2,
R1093&gt;'Group List B'!E$2,S1093&gt;'Group List B'!F$2,T1093&gt;'Group List B'!G$2),"Exceed",
IF(OR(H1093=AB$2,I1093=AC$2,J1093=AD$2,
P1093=1,V1093=1,
L1093='Group List A'!E$2,M1093='Group List A'!F$2,N1093='Group List A'!G$2,
R1093='Group List B'!E$2,S1093='Group List B'!F$2,T1093='Group List B'!G$2),"Limit",0))</f>
        <v>0</v>
      </c>
      <c r="H1093" s="29">
        <f t="shared" si="257"/>
        <v>0</v>
      </c>
      <c r="I1093" s="29">
        <f t="shared" si="258"/>
        <v>0</v>
      </c>
      <c r="J1093" s="29">
        <f t="shared" si="259"/>
        <v>0</v>
      </c>
      <c r="K1093" s="32" t="str" cm="1">
        <f t="array" ref="K1093">IF(AF1093&lt;&gt;"",IFERROR(INDEX('Group List A'!B:B,MATCH(AI1093,'Group List A'!A:A,0),0),"-"),"")</f>
        <v/>
      </c>
      <c r="L1093" s="33">
        <f t="shared" si="260"/>
        <v>0</v>
      </c>
      <c r="M1093" s="33">
        <f t="shared" si="261"/>
        <v>0</v>
      </c>
      <c r="N1093" s="33">
        <f t="shared" si="262"/>
        <v>0</v>
      </c>
      <c r="O1093" s="28"/>
      <c r="P1093" s="33">
        <f t="shared" si="263"/>
        <v>0</v>
      </c>
      <c r="Q1093" s="35" t="str" cm="1">
        <f t="array" ref="Q1093">IF(AF1093&lt;&gt;"",IFERROR(INDEX('Group List B'!B:B,MATCH(AI1093,'Group List B'!A:A,0),0),"-"),"")</f>
        <v/>
      </c>
      <c r="R1093" s="36">
        <f t="shared" si="264"/>
        <v>0</v>
      </c>
      <c r="S1093" s="36">
        <f t="shared" si="265"/>
        <v>0</v>
      </c>
      <c r="T1093" s="36">
        <f t="shared" si="266"/>
        <v>0</v>
      </c>
      <c r="U1093" s="28"/>
      <c r="V1093" s="37">
        <f t="shared" si="267"/>
        <v>0</v>
      </c>
      <c r="W1093" s="41"/>
      <c r="X1093" s="27"/>
      <c r="Y1093" s="27"/>
      <c r="Z1093" s="27"/>
      <c r="AA1093" s="15"/>
      <c r="AB1093" s="17"/>
      <c r="AC1093" s="17"/>
      <c r="AD1093" s="17"/>
      <c r="AE1093" s="90"/>
      <c r="AF1093" s="82" t="str">
        <f t="shared" si="268"/>
        <v/>
      </c>
      <c r="AG1093" s="83" t="str">
        <f t="shared" si="269"/>
        <v/>
      </c>
      <c r="AH1093" s="82" t="str">
        <f t="shared" si="270"/>
        <v/>
      </c>
      <c r="AI1093" s="82" t="str">
        <f t="shared" si="271"/>
        <v/>
      </c>
      <c r="AJ1093" s="90"/>
      <c r="AP1093" s="88"/>
    </row>
    <row r="1094" spans="1:42" x14ac:dyDescent="0.25">
      <c r="A1094" s="2"/>
      <c r="C1094" s="68" t="str" cm="1">
        <f t="array" ref="C1094">IF(AF1094&lt;&gt;"",
IFERROR(INDEX('LaunchPad Markbook'!A:A,MATCH(AH1094,'LaunchPad Markbook'!D:D,0),0),"-"),"")</f>
        <v/>
      </c>
      <c r="D1094" s="27"/>
      <c r="E1094" s="27"/>
      <c r="F1094" s="27"/>
      <c r="G1094" s="14">
        <f>IF(OR(H1094&gt;AB$2,I1094&gt;AC$2,J1094&gt;AD$2,
P1094&gt;1,V1094&gt;1,
L1094&gt;'Group List A'!E$2,M1094&gt;'Group List A'!F$2,N1094&gt;'Group List A'!G$2,
R1094&gt;'Group List B'!E$2,S1094&gt;'Group List B'!F$2,T1094&gt;'Group List B'!G$2),"Exceed",
IF(OR(H1094=AB$2,I1094=AC$2,J1094=AD$2,
P1094=1,V1094=1,
L1094='Group List A'!E$2,M1094='Group List A'!F$2,N1094='Group List A'!G$2,
R1094='Group List B'!E$2,S1094='Group List B'!F$2,T1094='Group List B'!G$2),"Limit",0))</f>
        <v>0</v>
      </c>
      <c r="H1094" s="29">
        <f t="shared" si="257"/>
        <v>0</v>
      </c>
      <c r="I1094" s="29">
        <f t="shared" si="258"/>
        <v>0</v>
      </c>
      <c r="J1094" s="29">
        <f t="shared" si="259"/>
        <v>0</v>
      </c>
      <c r="K1094" s="32" t="str" cm="1">
        <f t="array" ref="K1094">IF(AF1094&lt;&gt;"",IFERROR(INDEX('Group List A'!B:B,MATCH(AI1094,'Group List A'!A:A,0),0),"-"),"")</f>
        <v/>
      </c>
      <c r="L1094" s="33">
        <f t="shared" si="260"/>
        <v>0</v>
      </c>
      <c r="M1094" s="33">
        <f t="shared" si="261"/>
        <v>0</v>
      </c>
      <c r="N1094" s="33">
        <f t="shared" si="262"/>
        <v>0</v>
      </c>
      <c r="O1094" s="28"/>
      <c r="P1094" s="33">
        <f t="shared" si="263"/>
        <v>0</v>
      </c>
      <c r="Q1094" s="35" t="str" cm="1">
        <f t="array" ref="Q1094">IF(AF1094&lt;&gt;"",IFERROR(INDEX('Group List B'!B:B,MATCH(AI1094,'Group List B'!A:A,0),0),"-"),"")</f>
        <v/>
      </c>
      <c r="R1094" s="36">
        <f t="shared" si="264"/>
        <v>0</v>
      </c>
      <c r="S1094" s="36">
        <f t="shared" si="265"/>
        <v>0</v>
      </c>
      <c r="T1094" s="36">
        <f t="shared" si="266"/>
        <v>0</v>
      </c>
      <c r="U1094" s="28"/>
      <c r="V1094" s="37">
        <f t="shared" si="267"/>
        <v>0</v>
      </c>
      <c r="W1094" s="41"/>
      <c r="X1094" s="27"/>
      <c r="Y1094" s="27"/>
      <c r="Z1094" s="27"/>
      <c r="AA1094" s="15"/>
      <c r="AB1094" s="17"/>
      <c r="AC1094" s="17"/>
      <c r="AD1094" s="17"/>
      <c r="AE1094" s="90"/>
      <c r="AF1094" s="82" t="str">
        <f t="shared" si="268"/>
        <v/>
      </c>
      <c r="AG1094" s="83" t="str">
        <f t="shared" si="269"/>
        <v/>
      </c>
      <c r="AH1094" s="82" t="str">
        <f t="shared" si="270"/>
        <v/>
      </c>
      <c r="AI1094" s="82" t="str">
        <f t="shared" si="271"/>
        <v/>
      </c>
      <c r="AJ1094" s="90"/>
      <c r="AP1094" s="88"/>
    </row>
    <row r="1095" spans="1:42" x14ac:dyDescent="0.25">
      <c r="A1095" s="2"/>
      <c r="C1095" s="68" t="str" cm="1">
        <f t="array" ref="C1095">IF(AF1095&lt;&gt;"",
IFERROR(INDEX('LaunchPad Markbook'!A:A,MATCH(AH1095,'LaunchPad Markbook'!D:D,0),0),"-"),"")</f>
        <v/>
      </c>
      <c r="D1095" s="27"/>
      <c r="E1095" s="27"/>
      <c r="F1095" s="27"/>
      <c r="G1095" s="14">
        <f>IF(OR(H1095&gt;AB$2,I1095&gt;AC$2,J1095&gt;AD$2,
P1095&gt;1,V1095&gt;1,
L1095&gt;'Group List A'!E$2,M1095&gt;'Group List A'!F$2,N1095&gt;'Group List A'!G$2,
R1095&gt;'Group List B'!E$2,S1095&gt;'Group List B'!F$2,T1095&gt;'Group List B'!G$2),"Exceed",
IF(OR(H1095=AB$2,I1095=AC$2,J1095=AD$2,
P1095=1,V1095=1,
L1095='Group List A'!E$2,M1095='Group List A'!F$2,N1095='Group List A'!G$2,
R1095='Group List B'!E$2,S1095='Group List B'!F$2,T1095='Group List B'!G$2),"Limit",0))</f>
        <v>0</v>
      </c>
      <c r="H1095" s="29">
        <f t="shared" si="257"/>
        <v>0</v>
      </c>
      <c r="I1095" s="29">
        <f t="shared" si="258"/>
        <v>0</v>
      </c>
      <c r="J1095" s="29">
        <f t="shared" si="259"/>
        <v>0</v>
      </c>
      <c r="K1095" s="32" t="str" cm="1">
        <f t="array" ref="K1095">IF(AF1095&lt;&gt;"",IFERROR(INDEX('Group List A'!B:B,MATCH(AI1095,'Group List A'!A:A,0),0),"-"),"")</f>
        <v/>
      </c>
      <c r="L1095" s="33">
        <f t="shared" si="260"/>
        <v>0</v>
      </c>
      <c r="M1095" s="33">
        <f t="shared" si="261"/>
        <v>0</v>
      </c>
      <c r="N1095" s="33">
        <f t="shared" si="262"/>
        <v>0</v>
      </c>
      <c r="O1095" s="28"/>
      <c r="P1095" s="33">
        <f t="shared" si="263"/>
        <v>0</v>
      </c>
      <c r="Q1095" s="35" t="str" cm="1">
        <f t="array" ref="Q1095">IF(AF1095&lt;&gt;"",IFERROR(INDEX('Group List B'!B:B,MATCH(AI1095,'Group List B'!A:A,0),0),"-"),"")</f>
        <v/>
      </c>
      <c r="R1095" s="36">
        <f t="shared" si="264"/>
        <v>0</v>
      </c>
      <c r="S1095" s="36">
        <f t="shared" si="265"/>
        <v>0</v>
      </c>
      <c r="T1095" s="36">
        <f t="shared" si="266"/>
        <v>0</v>
      </c>
      <c r="U1095" s="28"/>
      <c r="V1095" s="37">
        <f t="shared" si="267"/>
        <v>0</v>
      </c>
      <c r="W1095" s="41"/>
      <c r="X1095" s="27"/>
      <c r="Y1095" s="27"/>
      <c r="Z1095" s="27"/>
      <c r="AA1095" s="15"/>
      <c r="AB1095" s="17"/>
      <c r="AC1095" s="17"/>
      <c r="AD1095" s="17"/>
      <c r="AE1095" s="90"/>
      <c r="AF1095" s="82" t="str">
        <f t="shared" si="268"/>
        <v/>
      </c>
      <c r="AG1095" s="83" t="str">
        <f t="shared" si="269"/>
        <v/>
      </c>
      <c r="AH1095" s="82" t="str">
        <f t="shared" si="270"/>
        <v/>
      </c>
      <c r="AI1095" s="82" t="str">
        <f t="shared" si="271"/>
        <v/>
      </c>
      <c r="AJ1095" s="90"/>
      <c r="AP1095" s="88"/>
    </row>
    <row r="1096" spans="1:42" x14ac:dyDescent="0.25">
      <c r="A1096" s="2"/>
      <c r="C1096" s="68" t="str" cm="1">
        <f t="array" ref="C1096">IF(AF1096&lt;&gt;"",
IFERROR(INDEX('LaunchPad Markbook'!A:A,MATCH(AH1096,'LaunchPad Markbook'!D:D,0),0),"-"),"")</f>
        <v/>
      </c>
      <c r="D1096" s="27"/>
      <c r="E1096" s="27"/>
      <c r="F1096" s="27"/>
      <c r="G1096" s="14">
        <f>IF(OR(H1096&gt;AB$2,I1096&gt;AC$2,J1096&gt;AD$2,
P1096&gt;1,V1096&gt;1,
L1096&gt;'Group List A'!E$2,M1096&gt;'Group List A'!F$2,N1096&gt;'Group List A'!G$2,
R1096&gt;'Group List B'!E$2,S1096&gt;'Group List B'!F$2,T1096&gt;'Group List B'!G$2),"Exceed",
IF(OR(H1096=AB$2,I1096=AC$2,J1096=AD$2,
P1096=1,V1096=1,
L1096='Group List A'!E$2,M1096='Group List A'!F$2,N1096='Group List A'!G$2,
R1096='Group List B'!E$2,S1096='Group List B'!F$2,T1096='Group List B'!G$2),"Limit",0))</f>
        <v>0</v>
      </c>
      <c r="H1096" s="29">
        <f t="shared" si="257"/>
        <v>0</v>
      </c>
      <c r="I1096" s="29">
        <f t="shared" si="258"/>
        <v>0</v>
      </c>
      <c r="J1096" s="29">
        <f t="shared" si="259"/>
        <v>0</v>
      </c>
      <c r="K1096" s="32" t="str" cm="1">
        <f t="array" ref="K1096">IF(AF1096&lt;&gt;"",IFERROR(INDEX('Group List A'!B:B,MATCH(AI1096,'Group List A'!A:A,0),0),"-"),"")</f>
        <v/>
      </c>
      <c r="L1096" s="33">
        <f t="shared" si="260"/>
        <v>0</v>
      </c>
      <c r="M1096" s="33">
        <f t="shared" si="261"/>
        <v>0</v>
      </c>
      <c r="N1096" s="33">
        <f t="shared" si="262"/>
        <v>0</v>
      </c>
      <c r="O1096" s="28"/>
      <c r="P1096" s="33">
        <f t="shared" si="263"/>
        <v>0</v>
      </c>
      <c r="Q1096" s="35" t="str" cm="1">
        <f t="array" ref="Q1096">IF(AF1096&lt;&gt;"",IFERROR(INDEX('Group List B'!B:B,MATCH(AI1096,'Group List B'!A:A,0),0),"-"),"")</f>
        <v/>
      </c>
      <c r="R1096" s="36">
        <f t="shared" si="264"/>
        <v>0</v>
      </c>
      <c r="S1096" s="36">
        <f t="shared" si="265"/>
        <v>0</v>
      </c>
      <c r="T1096" s="36">
        <f t="shared" si="266"/>
        <v>0</v>
      </c>
      <c r="U1096" s="28"/>
      <c r="V1096" s="37">
        <f t="shared" si="267"/>
        <v>0</v>
      </c>
      <c r="W1096" s="41"/>
      <c r="X1096" s="27"/>
      <c r="Y1096" s="27"/>
      <c r="Z1096" s="27"/>
      <c r="AA1096" s="15"/>
      <c r="AB1096" s="17"/>
      <c r="AC1096" s="17"/>
      <c r="AD1096" s="17"/>
      <c r="AE1096" s="90"/>
      <c r="AF1096" s="82" t="str">
        <f t="shared" si="268"/>
        <v/>
      </c>
      <c r="AG1096" s="83" t="str">
        <f t="shared" si="269"/>
        <v/>
      </c>
      <c r="AH1096" s="82" t="str">
        <f t="shared" si="270"/>
        <v/>
      </c>
      <c r="AI1096" s="82" t="str">
        <f t="shared" si="271"/>
        <v/>
      </c>
      <c r="AJ1096" s="90"/>
      <c r="AP1096" s="88"/>
    </row>
    <row r="1097" spans="1:42" x14ac:dyDescent="0.25">
      <c r="A1097" s="2"/>
      <c r="C1097" s="68" t="str" cm="1">
        <f t="array" ref="C1097">IF(AF1097&lt;&gt;"",
IFERROR(INDEX('LaunchPad Markbook'!A:A,MATCH(AH1097,'LaunchPad Markbook'!D:D,0),0),"-"),"")</f>
        <v/>
      </c>
      <c r="D1097" s="27"/>
      <c r="E1097" s="27"/>
      <c r="F1097" s="27"/>
      <c r="G1097" s="14">
        <f>IF(OR(H1097&gt;AB$2,I1097&gt;AC$2,J1097&gt;AD$2,
P1097&gt;1,V1097&gt;1,
L1097&gt;'Group List A'!E$2,M1097&gt;'Group List A'!F$2,N1097&gt;'Group List A'!G$2,
R1097&gt;'Group List B'!E$2,S1097&gt;'Group List B'!F$2,T1097&gt;'Group List B'!G$2),"Exceed",
IF(OR(H1097=AB$2,I1097=AC$2,J1097=AD$2,
P1097=1,V1097=1,
L1097='Group List A'!E$2,M1097='Group List A'!F$2,N1097='Group List A'!G$2,
R1097='Group List B'!E$2,S1097='Group List B'!F$2,T1097='Group List B'!G$2),"Limit",0))</f>
        <v>0</v>
      </c>
      <c r="H1097" s="29">
        <f t="shared" si="257"/>
        <v>0</v>
      </c>
      <c r="I1097" s="29">
        <f t="shared" si="258"/>
        <v>0</v>
      </c>
      <c r="J1097" s="29">
        <f t="shared" si="259"/>
        <v>0</v>
      </c>
      <c r="K1097" s="32" t="str" cm="1">
        <f t="array" ref="K1097">IF(AF1097&lt;&gt;"",IFERROR(INDEX('Group List A'!B:B,MATCH(AI1097,'Group List A'!A:A,0),0),"-"),"")</f>
        <v/>
      </c>
      <c r="L1097" s="33">
        <f t="shared" si="260"/>
        <v>0</v>
      </c>
      <c r="M1097" s="33">
        <f t="shared" si="261"/>
        <v>0</v>
      </c>
      <c r="N1097" s="33">
        <f t="shared" si="262"/>
        <v>0</v>
      </c>
      <c r="O1097" s="28"/>
      <c r="P1097" s="33">
        <f t="shared" si="263"/>
        <v>0</v>
      </c>
      <c r="Q1097" s="35" t="str" cm="1">
        <f t="array" ref="Q1097">IF(AF1097&lt;&gt;"",IFERROR(INDEX('Group List B'!B:B,MATCH(AI1097,'Group List B'!A:A,0),0),"-"),"")</f>
        <v/>
      </c>
      <c r="R1097" s="36">
        <f t="shared" si="264"/>
        <v>0</v>
      </c>
      <c r="S1097" s="36">
        <f t="shared" si="265"/>
        <v>0</v>
      </c>
      <c r="T1097" s="36">
        <f t="shared" si="266"/>
        <v>0</v>
      </c>
      <c r="U1097" s="28"/>
      <c r="V1097" s="37">
        <f t="shared" si="267"/>
        <v>0</v>
      </c>
      <c r="W1097" s="41"/>
      <c r="X1097" s="27"/>
      <c r="Y1097" s="27"/>
      <c r="Z1097" s="27"/>
      <c r="AA1097" s="15"/>
      <c r="AB1097" s="17"/>
      <c r="AC1097" s="17"/>
      <c r="AD1097" s="17"/>
      <c r="AE1097" s="90"/>
      <c r="AF1097" s="82" t="str">
        <f t="shared" si="268"/>
        <v/>
      </c>
      <c r="AG1097" s="83" t="str">
        <f t="shared" si="269"/>
        <v/>
      </c>
      <c r="AH1097" s="82" t="str">
        <f t="shared" si="270"/>
        <v/>
      </c>
      <c r="AI1097" s="82" t="str">
        <f t="shared" si="271"/>
        <v/>
      </c>
      <c r="AJ1097" s="90"/>
      <c r="AP1097" s="88"/>
    </row>
    <row r="1098" spans="1:42" x14ac:dyDescent="0.25">
      <c r="A1098" s="2"/>
      <c r="C1098" s="68" t="str" cm="1">
        <f t="array" ref="C1098">IF(AF1098&lt;&gt;"",
IFERROR(INDEX('LaunchPad Markbook'!A:A,MATCH(AH1098,'LaunchPad Markbook'!D:D,0),0),"-"),"")</f>
        <v/>
      </c>
      <c r="D1098" s="27"/>
      <c r="E1098" s="27"/>
      <c r="F1098" s="27"/>
      <c r="G1098" s="14">
        <f>IF(OR(H1098&gt;AB$2,I1098&gt;AC$2,J1098&gt;AD$2,
P1098&gt;1,V1098&gt;1,
L1098&gt;'Group List A'!E$2,M1098&gt;'Group List A'!F$2,N1098&gt;'Group List A'!G$2,
R1098&gt;'Group List B'!E$2,S1098&gt;'Group List B'!F$2,T1098&gt;'Group List B'!G$2),"Exceed",
IF(OR(H1098=AB$2,I1098=AC$2,J1098=AD$2,
P1098=1,V1098=1,
L1098='Group List A'!E$2,M1098='Group List A'!F$2,N1098='Group List A'!G$2,
R1098='Group List B'!E$2,S1098='Group List B'!F$2,T1098='Group List B'!G$2),"Limit",0))</f>
        <v>0</v>
      </c>
      <c r="H1098" s="29">
        <f t="shared" si="257"/>
        <v>0</v>
      </c>
      <c r="I1098" s="29">
        <f t="shared" si="258"/>
        <v>0</v>
      </c>
      <c r="J1098" s="29">
        <f t="shared" si="259"/>
        <v>0</v>
      </c>
      <c r="K1098" s="32" t="str" cm="1">
        <f t="array" ref="K1098">IF(AF1098&lt;&gt;"",IFERROR(INDEX('Group List A'!B:B,MATCH(AI1098,'Group List A'!A:A,0),0),"-"),"")</f>
        <v/>
      </c>
      <c r="L1098" s="33">
        <f t="shared" si="260"/>
        <v>0</v>
      </c>
      <c r="M1098" s="33">
        <f t="shared" si="261"/>
        <v>0</v>
      </c>
      <c r="N1098" s="33">
        <f t="shared" si="262"/>
        <v>0</v>
      </c>
      <c r="O1098" s="28"/>
      <c r="P1098" s="33">
        <f t="shared" si="263"/>
        <v>0</v>
      </c>
      <c r="Q1098" s="35" t="str" cm="1">
        <f t="array" ref="Q1098">IF(AF1098&lt;&gt;"",IFERROR(INDEX('Group List B'!B:B,MATCH(AI1098,'Group List B'!A:A,0),0),"-"),"")</f>
        <v/>
      </c>
      <c r="R1098" s="36">
        <f t="shared" si="264"/>
        <v>0</v>
      </c>
      <c r="S1098" s="36">
        <f t="shared" si="265"/>
        <v>0</v>
      </c>
      <c r="T1098" s="36">
        <f t="shared" si="266"/>
        <v>0</v>
      </c>
      <c r="U1098" s="28"/>
      <c r="V1098" s="37">
        <f t="shared" si="267"/>
        <v>0</v>
      </c>
      <c r="W1098" s="41"/>
      <c r="X1098" s="27"/>
      <c r="Y1098" s="27"/>
      <c r="Z1098" s="27"/>
      <c r="AA1098" s="15"/>
      <c r="AB1098" s="17"/>
      <c r="AC1098" s="17"/>
      <c r="AD1098" s="17"/>
      <c r="AE1098" s="90"/>
      <c r="AF1098" s="82" t="str">
        <f t="shared" si="268"/>
        <v/>
      </c>
      <c r="AG1098" s="83" t="str">
        <f t="shared" si="269"/>
        <v/>
      </c>
      <c r="AH1098" s="82" t="str">
        <f t="shared" si="270"/>
        <v/>
      </c>
      <c r="AI1098" s="82" t="str">
        <f t="shared" si="271"/>
        <v/>
      </c>
      <c r="AJ1098" s="90"/>
      <c r="AP1098" s="88"/>
    </row>
    <row r="1099" spans="1:42" x14ac:dyDescent="0.25">
      <c r="A1099" s="2"/>
      <c r="C1099" s="68" t="str" cm="1">
        <f t="array" ref="C1099">IF(AF1099&lt;&gt;"",
IFERROR(INDEX('LaunchPad Markbook'!A:A,MATCH(AH1099,'LaunchPad Markbook'!D:D,0),0),"-"),"")</f>
        <v/>
      </c>
      <c r="D1099" s="27"/>
      <c r="E1099" s="27"/>
      <c r="F1099" s="27"/>
      <c r="G1099" s="14">
        <f>IF(OR(H1099&gt;AB$2,I1099&gt;AC$2,J1099&gt;AD$2,
P1099&gt;1,V1099&gt;1,
L1099&gt;'Group List A'!E$2,M1099&gt;'Group List A'!F$2,N1099&gt;'Group List A'!G$2,
R1099&gt;'Group List B'!E$2,S1099&gt;'Group List B'!F$2,T1099&gt;'Group List B'!G$2),"Exceed",
IF(OR(H1099=AB$2,I1099=AC$2,J1099=AD$2,
P1099=1,V1099=1,
L1099='Group List A'!E$2,M1099='Group List A'!F$2,N1099='Group List A'!G$2,
R1099='Group List B'!E$2,S1099='Group List B'!F$2,T1099='Group List B'!G$2),"Limit",0))</f>
        <v>0</v>
      </c>
      <c r="H1099" s="29">
        <f t="shared" si="257"/>
        <v>0</v>
      </c>
      <c r="I1099" s="29">
        <f t="shared" si="258"/>
        <v>0</v>
      </c>
      <c r="J1099" s="29">
        <f t="shared" si="259"/>
        <v>0</v>
      </c>
      <c r="K1099" s="32" t="str" cm="1">
        <f t="array" ref="K1099">IF(AF1099&lt;&gt;"",IFERROR(INDEX('Group List A'!B:B,MATCH(AI1099,'Group List A'!A:A,0),0),"-"),"")</f>
        <v/>
      </c>
      <c r="L1099" s="33">
        <f t="shared" si="260"/>
        <v>0</v>
      </c>
      <c r="M1099" s="33">
        <f t="shared" si="261"/>
        <v>0</v>
      </c>
      <c r="N1099" s="33">
        <f t="shared" si="262"/>
        <v>0</v>
      </c>
      <c r="O1099" s="28"/>
      <c r="P1099" s="33">
        <f t="shared" si="263"/>
        <v>0</v>
      </c>
      <c r="Q1099" s="35" t="str" cm="1">
        <f t="array" ref="Q1099">IF(AF1099&lt;&gt;"",IFERROR(INDEX('Group List B'!B:B,MATCH(AI1099,'Group List B'!A:A,0),0),"-"),"")</f>
        <v/>
      </c>
      <c r="R1099" s="36">
        <f t="shared" si="264"/>
        <v>0</v>
      </c>
      <c r="S1099" s="36">
        <f t="shared" si="265"/>
        <v>0</v>
      </c>
      <c r="T1099" s="36">
        <f t="shared" si="266"/>
        <v>0</v>
      </c>
      <c r="U1099" s="28"/>
      <c r="V1099" s="37">
        <f t="shared" si="267"/>
        <v>0</v>
      </c>
      <c r="W1099" s="41"/>
      <c r="X1099" s="27"/>
      <c r="Y1099" s="27"/>
      <c r="Z1099" s="27"/>
      <c r="AA1099" s="15"/>
      <c r="AB1099" s="17"/>
      <c r="AC1099" s="17"/>
      <c r="AD1099" s="17"/>
      <c r="AE1099" s="90"/>
      <c r="AF1099" s="82" t="str">
        <f t="shared" si="268"/>
        <v/>
      </c>
      <c r="AG1099" s="83" t="str">
        <f t="shared" si="269"/>
        <v/>
      </c>
      <c r="AH1099" s="82" t="str">
        <f t="shared" si="270"/>
        <v/>
      </c>
      <c r="AI1099" s="82" t="str">
        <f t="shared" si="271"/>
        <v/>
      </c>
      <c r="AJ1099" s="90"/>
      <c r="AP1099" s="88"/>
    </row>
    <row r="1100" spans="1:42" x14ac:dyDescent="0.25">
      <c r="A1100" s="2"/>
      <c r="C1100" s="68" t="str" cm="1">
        <f t="array" ref="C1100">IF(AF1100&lt;&gt;"",
IFERROR(INDEX('LaunchPad Markbook'!A:A,MATCH(AH1100,'LaunchPad Markbook'!D:D,0),0),"-"),"")</f>
        <v/>
      </c>
      <c r="D1100" s="27"/>
      <c r="E1100" s="27"/>
      <c r="F1100" s="27"/>
      <c r="G1100" s="14">
        <f>IF(OR(H1100&gt;AB$2,I1100&gt;AC$2,J1100&gt;AD$2,
P1100&gt;1,V1100&gt;1,
L1100&gt;'Group List A'!E$2,M1100&gt;'Group List A'!F$2,N1100&gt;'Group List A'!G$2,
R1100&gt;'Group List B'!E$2,S1100&gt;'Group List B'!F$2,T1100&gt;'Group List B'!G$2),"Exceed",
IF(OR(H1100=AB$2,I1100=AC$2,J1100=AD$2,
P1100=1,V1100=1,
L1100='Group List A'!E$2,M1100='Group List A'!F$2,N1100='Group List A'!G$2,
R1100='Group List B'!E$2,S1100='Group List B'!F$2,T1100='Group List B'!G$2),"Limit",0))</f>
        <v>0</v>
      </c>
      <c r="H1100" s="29">
        <f t="shared" si="257"/>
        <v>0</v>
      </c>
      <c r="I1100" s="29">
        <f t="shared" si="258"/>
        <v>0</v>
      </c>
      <c r="J1100" s="29">
        <f t="shared" si="259"/>
        <v>0</v>
      </c>
      <c r="K1100" s="32" t="str" cm="1">
        <f t="array" ref="K1100">IF(AF1100&lt;&gt;"",IFERROR(INDEX('Group List A'!B:B,MATCH(AI1100,'Group List A'!A:A,0),0),"-"),"")</f>
        <v/>
      </c>
      <c r="L1100" s="33">
        <f t="shared" si="260"/>
        <v>0</v>
      </c>
      <c r="M1100" s="33">
        <f t="shared" si="261"/>
        <v>0</v>
      </c>
      <c r="N1100" s="33">
        <f t="shared" si="262"/>
        <v>0</v>
      </c>
      <c r="O1100" s="28"/>
      <c r="P1100" s="33">
        <f t="shared" si="263"/>
        <v>0</v>
      </c>
      <c r="Q1100" s="35" t="str" cm="1">
        <f t="array" ref="Q1100">IF(AF1100&lt;&gt;"",IFERROR(INDEX('Group List B'!B:B,MATCH(AI1100,'Group List B'!A:A,0),0),"-"),"")</f>
        <v/>
      </c>
      <c r="R1100" s="36">
        <f t="shared" si="264"/>
        <v>0</v>
      </c>
      <c r="S1100" s="36">
        <f t="shared" si="265"/>
        <v>0</v>
      </c>
      <c r="T1100" s="36">
        <f t="shared" si="266"/>
        <v>0</v>
      </c>
      <c r="U1100" s="28"/>
      <c r="V1100" s="37">
        <f t="shared" si="267"/>
        <v>0</v>
      </c>
      <c r="W1100" s="41"/>
      <c r="X1100" s="27"/>
      <c r="Y1100" s="27"/>
      <c r="Z1100" s="27"/>
      <c r="AA1100" s="15"/>
      <c r="AB1100" s="17"/>
      <c r="AC1100" s="17"/>
      <c r="AD1100" s="17"/>
      <c r="AE1100" s="90"/>
      <c r="AF1100" s="82" t="str">
        <f t="shared" si="268"/>
        <v/>
      </c>
      <c r="AG1100" s="83" t="str">
        <f t="shared" si="269"/>
        <v/>
      </c>
      <c r="AH1100" s="82" t="str">
        <f t="shared" si="270"/>
        <v/>
      </c>
      <c r="AI1100" s="82" t="str">
        <f t="shared" si="271"/>
        <v/>
      </c>
      <c r="AJ1100" s="90"/>
      <c r="AP1100" s="88"/>
    </row>
    <row r="1101" spans="1:42" x14ac:dyDescent="0.25">
      <c r="A1101" s="2"/>
      <c r="C1101" s="68" t="str" cm="1">
        <f t="array" ref="C1101">IF(AF1101&lt;&gt;"",
IFERROR(INDEX('LaunchPad Markbook'!A:A,MATCH(AH1101,'LaunchPad Markbook'!D:D,0),0),"-"),"")</f>
        <v/>
      </c>
      <c r="D1101" s="27"/>
      <c r="E1101" s="27"/>
      <c r="F1101" s="27"/>
      <c r="G1101" s="14">
        <f>IF(OR(H1101&gt;AB$2,I1101&gt;AC$2,J1101&gt;AD$2,
P1101&gt;1,V1101&gt;1,
L1101&gt;'Group List A'!E$2,M1101&gt;'Group List A'!F$2,N1101&gt;'Group List A'!G$2,
R1101&gt;'Group List B'!E$2,S1101&gt;'Group List B'!F$2,T1101&gt;'Group List B'!G$2),"Exceed",
IF(OR(H1101=AB$2,I1101=AC$2,J1101=AD$2,
P1101=1,V1101=1,
L1101='Group List A'!E$2,M1101='Group List A'!F$2,N1101='Group List A'!G$2,
R1101='Group List B'!E$2,S1101='Group List B'!F$2,T1101='Group List B'!G$2),"Limit",0))</f>
        <v>0</v>
      </c>
      <c r="H1101" s="29">
        <f t="shared" si="257"/>
        <v>0</v>
      </c>
      <c r="I1101" s="29">
        <f t="shared" si="258"/>
        <v>0</v>
      </c>
      <c r="J1101" s="29">
        <f t="shared" si="259"/>
        <v>0</v>
      </c>
      <c r="K1101" s="32" t="str" cm="1">
        <f t="array" ref="K1101">IF(AF1101&lt;&gt;"",IFERROR(INDEX('Group List A'!B:B,MATCH(AI1101,'Group List A'!A:A,0),0),"-"),"")</f>
        <v/>
      </c>
      <c r="L1101" s="33">
        <f t="shared" si="260"/>
        <v>0</v>
      </c>
      <c r="M1101" s="33">
        <f t="shared" si="261"/>
        <v>0</v>
      </c>
      <c r="N1101" s="33">
        <f t="shared" si="262"/>
        <v>0</v>
      </c>
      <c r="O1101" s="28"/>
      <c r="P1101" s="33">
        <f t="shared" si="263"/>
        <v>0</v>
      </c>
      <c r="Q1101" s="35" t="str" cm="1">
        <f t="array" ref="Q1101">IF(AF1101&lt;&gt;"",IFERROR(INDEX('Group List B'!B:B,MATCH(AI1101,'Group List B'!A:A,0),0),"-"),"")</f>
        <v/>
      </c>
      <c r="R1101" s="36">
        <f t="shared" si="264"/>
        <v>0</v>
      </c>
      <c r="S1101" s="36">
        <f t="shared" si="265"/>
        <v>0</v>
      </c>
      <c r="T1101" s="36">
        <f t="shared" si="266"/>
        <v>0</v>
      </c>
      <c r="U1101" s="28"/>
      <c r="V1101" s="37">
        <f t="shared" si="267"/>
        <v>0</v>
      </c>
      <c r="W1101" s="41"/>
      <c r="X1101" s="27"/>
      <c r="Y1101" s="27"/>
      <c r="Z1101" s="27"/>
      <c r="AA1101" s="15"/>
      <c r="AB1101" s="17"/>
      <c r="AC1101" s="17"/>
      <c r="AD1101" s="17"/>
      <c r="AE1101" s="90"/>
      <c r="AF1101" s="82" t="str">
        <f t="shared" si="268"/>
        <v/>
      </c>
      <c r="AG1101" s="83" t="str">
        <f t="shared" si="269"/>
        <v/>
      </c>
      <c r="AH1101" s="82" t="str">
        <f t="shared" si="270"/>
        <v/>
      </c>
      <c r="AI1101" s="82" t="str">
        <f t="shared" si="271"/>
        <v/>
      </c>
      <c r="AJ1101" s="90"/>
      <c r="AP1101" s="88"/>
    </row>
    <row r="1102" spans="1:42" x14ac:dyDescent="0.25">
      <c r="A1102" s="2"/>
      <c r="C1102" s="68" t="str" cm="1">
        <f t="array" ref="C1102">IF(AF1102&lt;&gt;"",
IFERROR(INDEX('LaunchPad Markbook'!A:A,MATCH(AH1102,'LaunchPad Markbook'!D:D,0),0),"-"),"")</f>
        <v/>
      </c>
      <c r="D1102" s="27"/>
      <c r="E1102" s="27"/>
      <c r="F1102" s="27"/>
      <c r="G1102" s="14">
        <f>IF(OR(H1102&gt;AB$2,I1102&gt;AC$2,J1102&gt;AD$2,
P1102&gt;1,V1102&gt;1,
L1102&gt;'Group List A'!E$2,M1102&gt;'Group List A'!F$2,N1102&gt;'Group List A'!G$2,
R1102&gt;'Group List B'!E$2,S1102&gt;'Group List B'!F$2,T1102&gt;'Group List B'!G$2),"Exceed",
IF(OR(H1102=AB$2,I1102=AC$2,J1102=AD$2,
P1102=1,V1102=1,
L1102='Group List A'!E$2,M1102='Group List A'!F$2,N1102='Group List A'!G$2,
R1102='Group List B'!E$2,S1102='Group List B'!F$2,T1102='Group List B'!G$2),"Limit",0))</f>
        <v>0</v>
      </c>
      <c r="H1102" s="29">
        <f t="shared" si="257"/>
        <v>0</v>
      </c>
      <c r="I1102" s="29">
        <f t="shared" si="258"/>
        <v>0</v>
      </c>
      <c r="J1102" s="29">
        <f t="shared" si="259"/>
        <v>0</v>
      </c>
      <c r="K1102" s="32" t="str" cm="1">
        <f t="array" ref="K1102">IF(AF1102&lt;&gt;"",IFERROR(INDEX('Group List A'!B:B,MATCH(AI1102,'Group List A'!A:A,0),0),"-"),"")</f>
        <v/>
      </c>
      <c r="L1102" s="33">
        <f t="shared" si="260"/>
        <v>0</v>
      </c>
      <c r="M1102" s="33">
        <f t="shared" si="261"/>
        <v>0</v>
      </c>
      <c r="N1102" s="33">
        <f t="shared" si="262"/>
        <v>0</v>
      </c>
      <c r="O1102" s="28"/>
      <c r="P1102" s="33">
        <f t="shared" si="263"/>
        <v>0</v>
      </c>
      <c r="Q1102" s="35" t="str" cm="1">
        <f t="array" ref="Q1102">IF(AF1102&lt;&gt;"",IFERROR(INDEX('Group List B'!B:B,MATCH(AI1102,'Group List B'!A:A,0),0),"-"),"")</f>
        <v/>
      </c>
      <c r="R1102" s="36">
        <f t="shared" si="264"/>
        <v>0</v>
      </c>
      <c r="S1102" s="36">
        <f t="shared" si="265"/>
        <v>0</v>
      </c>
      <c r="T1102" s="36">
        <f t="shared" si="266"/>
        <v>0</v>
      </c>
      <c r="U1102" s="28"/>
      <c r="V1102" s="37">
        <f t="shared" si="267"/>
        <v>0</v>
      </c>
      <c r="W1102" s="41"/>
      <c r="X1102" s="27"/>
      <c r="Y1102" s="27"/>
      <c r="Z1102" s="27"/>
      <c r="AA1102" s="15"/>
      <c r="AB1102" s="17"/>
      <c r="AC1102" s="17"/>
      <c r="AD1102" s="17"/>
      <c r="AE1102" s="90"/>
      <c r="AF1102" s="82" t="str">
        <f t="shared" si="268"/>
        <v/>
      </c>
      <c r="AG1102" s="83" t="str">
        <f t="shared" si="269"/>
        <v/>
      </c>
      <c r="AH1102" s="82" t="str">
        <f t="shared" si="270"/>
        <v/>
      </c>
      <c r="AI1102" s="82" t="str">
        <f t="shared" si="271"/>
        <v/>
      </c>
      <c r="AJ1102" s="90"/>
      <c r="AP1102" s="88"/>
    </row>
    <row r="1103" spans="1:42" x14ac:dyDescent="0.25">
      <c r="A1103" s="2"/>
      <c r="C1103" s="68" t="str" cm="1">
        <f t="array" ref="C1103">IF(AF1103&lt;&gt;"",
IFERROR(INDEX('LaunchPad Markbook'!A:A,MATCH(AH1103,'LaunchPad Markbook'!D:D,0),0),"-"),"")</f>
        <v/>
      </c>
      <c r="D1103" s="27"/>
      <c r="E1103" s="27"/>
      <c r="F1103" s="27"/>
      <c r="G1103" s="14">
        <f>IF(OR(H1103&gt;AB$2,I1103&gt;AC$2,J1103&gt;AD$2,
P1103&gt;1,V1103&gt;1,
L1103&gt;'Group List A'!E$2,M1103&gt;'Group List A'!F$2,N1103&gt;'Group List A'!G$2,
R1103&gt;'Group List B'!E$2,S1103&gt;'Group List B'!F$2,T1103&gt;'Group List B'!G$2),"Exceed",
IF(OR(H1103=AB$2,I1103=AC$2,J1103=AD$2,
P1103=1,V1103=1,
L1103='Group List A'!E$2,M1103='Group List A'!F$2,N1103='Group List A'!G$2,
R1103='Group List B'!E$2,S1103='Group List B'!F$2,T1103='Group List B'!G$2),"Limit",0))</f>
        <v>0</v>
      </c>
      <c r="H1103" s="29">
        <f t="shared" si="257"/>
        <v>0</v>
      </c>
      <c r="I1103" s="29">
        <f t="shared" si="258"/>
        <v>0</v>
      </c>
      <c r="J1103" s="29">
        <f t="shared" si="259"/>
        <v>0</v>
      </c>
      <c r="K1103" s="32" t="str" cm="1">
        <f t="array" ref="K1103">IF(AF1103&lt;&gt;"",IFERROR(INDEX('Group List A'!B:B,MATCH(AI1103,'Group List A'!A:A,0),0),"-"),"")</f>
        <v/>
      </c>
      <c r="L1103" s="33">
        <f t="shared" si="260"/>
        <v>0</v>
      </c>
      <c r="M1103" s="33">
        <f t="shared" si="261"/>
        <v>0</v>
      </c>
      <c r="N1103" s="33">
        <f t="shared" si="262"/>
        <v>0</v>
      </c>
      <c r="O1103" s="28"/>
      <c r="P1103" s="33">
        <f t="shared" si="263"/>
        <v>0</v>
      </c>
      <c r="Q1103" s="35" t="str" cm="1">
        <f t="array" ref="Q1103">IF(AF1103&lt;&gt;"",IFERROR(INDEX('Group List B'!B:B,MATCH(AI1103,'Group List B'!A:A,0),0),"-"),"")</f>
        <v/>
      </c>
      <c r="R1103" s="36">
        <f t="shared" si="264"/>
        <v>0</v>
      </c>
      <c r="S1103" s="36">
        <f t="shared" si="265"/>
        <v>0</v>
      </c>
      <c r="T1103" s="36">
        <f t="shared" si="266"/>
        <v>0</v>
      </c>
      <c r="U1103" s="28"/>
      <c r="V1103" s="37">
        <f t="shared" si="267"/>
        <v>0</v>
      </c>
      <c r="W1103" s="41"/>
      <c r="X1103" s="27"/>
      <c r="Y1103" s="27"/>
      <c r="Z1103" s="27"/>
      <c r="AA1103" s="15"/>
      <c r="AB1103" s="17"/>
      <c r="AC1103" s="17"/>
      <c r="AD1103" s="17"/>
      <c r="AE1103" s="90"/>
      <c r="AF1103" s="82" t="str">
        <f t="shared" si="268"/>
        <v/>
      </c>
      <c r="AG1103" s="83" t="str">
        <f t="shared" si="269"/>
        <v/>
      </c>
      <c r="AH1103" s="82" t="str">
        <f t="shared" si="270"/>
        <v/>
      </c>
      <c r="AI1103" s="82" t="str">
        <f t="shared" si="271"/>
        <v/>
      </c>
      <c r="AJ1103" s="90"/>
      <c r="AP1103" s="88"/>
    </row>
    <row r="1104" spans="1:42" x14ac:dyDescent="0.25">
      <c r="A1104" s="2"/>
      <c r="C1104" s="68" t="str" cm="1">
        <f t="array" ref="C1104">IF(AF1104&lt;&gt;"",
IFERROR(INDEX('LaunchPad Markbook'!A:A,MATCH(AH1104,'LaunchPad Markbook'!D:D,0),0),"-"),"")</f>
        <v/>
      </c>
      <c r="D1104" s="27"/>
      <c r="E1104" s="27"/>
      <c r="F1104" s="27"/>
      <c r="G1104" s="14">
        <f>IF(OR(H1104&gt;AB$2,I1104&gt;AC$2,J1104&gt;AD$2,
P1104&gt;1,V1104&gt;1,
L1104&gt;'Group List A'!E$2,M1104&gt;'Group List A'!F$2,N1104&gt;'Group List A'!G$2,
R1104&gt;'Group List B'!E$2,S1104&gt;'Group List B'!F$2,T1104&gt;'Group List B'!G$2),"Exceed",
IF(OR(H1104=AB$2,I1104=AC$2,J1104=AD$2,
P1104=1,V1104=1,
L1104='Group List A'!E$2,M1104='Group List A'!F$2,N1104='Group List A'!G$2,
R1104='Group List B'!E$2,S1104='Group List B'!F$2,T1104='Group List B'!G$2),"Limit",0))</f>
        <v>0</v>
      </c>
      <c r="H1104" s="29">
        <f t="shared" si="257"/>
        <v>0</v>
      </c>
      <c r="I1104" s="29">
        <f t="shared" si="258"/>
        <v>0</v>
      </c>
      <c r="J1104" s="29">
        <f t="shared" si="259"/>
        <v>0</v>
      </c>
      <c r="K1104" s="32" t="str" cm="1">
        <f t="array" ref="K1104">IF(AF1104&lt;&gt;"",IFERROR(INDEX('Group List A'!B:B,MATCH(AI1104,'Group List A'!A:A,0),0),"-"),"")</f>
        <v/>
      </c>
      <c r="L1104" s="33">
        <f t="shared" si="260"/>
        <v>0</v>
      </c>
      <c r="M1104" s="33">
        <f t="shared" si="261"/>
        <v>0</v>
      </c>
      <c r="N1104" s="33">
        <f t="shared" si="262"/>
        <v>0</v>
      </c>
      <c r="O1104" s="28"/>
      <c r="P1104" s="33">
        <f t="shared" si="263"/>
        <v>0</v>
      </c>
      <c r="Q1104" s="35" t="str" cm="1">
        <f t="array" ref="Q1104">IF(AF1104&lt;&gt;"",IFERROR(INDEX('Group List B'!B:B,MATCH(AI1104,'Group List B'!A:A,0),0),"-"),"")</f>
        <v/>
      </c>
      <c r="R1104" s="36">
        <f t="shared" si="264"/>
        <v>0</v>
      </c>
      <c r="S1104" s="36">
        <f t="shared" si="265"/>
        <v>0</v>
      </c>
      <c r="T1104" s="36">
        <f t="shared" si="266"/>
        <v>0</v>
      </c>
      <c r="U1104" s="28"/>
      <c r="V1104" s="37">
        <f t="shared" si="267"/>
        <v>0</v>
      </c>
      <c r="W1104" s="41"/>
      <c r="X1104" s="27"/>
      <c r="Y1104" s="27"/>
      <c r="Z1104" s="27"/>
      <c r="AA1104" s="15"/>
      <c r="AB1104" s="17"/>
      <c r="AC1104" s="17"/>
      <c r="AD1104" s="17"/>
      <c r="AE1104" s="90"/>
      <c r="AF1104" s="82" t="str">
        <f t="shared" si="268"/>
        <v/>
      </c>
      <c r="AG1104" s="83" t="str">
        <f t="shared" si="269"/>
        <v/>
      </c>
      <c r="AH1104" s="82" t="str">
        <f t="shared" si="270"/>
        <v/>
      </c>
      <c r="AI1104" s="82" t="str">
        <f t="shared" si="271"/>
        <v/>
      </c>
      <c r="AJ1104" s="90"/>
      <c r="AP1104" s="88"/>
    </row>
    <row r="1105" spans="1:42" x14ac:dyDescent="0.25">
      <c r="A1105" s="2"/>
      <c r="C1105" s="68" t="str" cm="1">
        <f t="array" ref="C1105">IF(AF1105&lt;&gt;"",
IFERROR(INDEX('LaunchPad Markbook'!A:A,MATCH(AH1105,'LaunchPad Markbook'!D:D,0),0),"-"),"")</f>
        <v/>
      </c>
      <c r="D1105" s="27"/>
      <c r="E1105" s="27"/>
      <c r="F1105" s="27"/>
      <c r="G1105" s="14">
        <f>IF(OR(H1105&gt;AB$2,I1105&gt;AC$2,J1105&gt;AD$2,
P1105&gt;1,V1105&gt;1,
L1105&gt;'Group List A'!E$2,M1105&gt;'Group List A'!F$2,N1105&gt;'Group List A'!G$2,
R1105&gt;'Group List B'!E$2,S1105&gt;'Group List B'!F$2,T1105&gt;'Group List B'!G$2),"Exceed",
IF(OR(H1105=AB$2,I1105=AC$2,J1105=AD$2,
P1105=1,V1105=1,
L1105='Group List A'!E$2,M1105='Group List A'!F$2,N1105='Group List A'!G$2,
R1105='Group List B'!E$2,S1105='Group List B'!F$2,T1105='Group List B'!G$2),"Limit",0))</f>
        <v>0</v>
      </c>
      <c r="H1105" s="29">
        <f t="shared" si="257"/>
        <v>0</v>
      </c>
      <c r="I1105" s="29">
        <f t="shared" si="258"/>
        <v>0</v>
      </c>
      <c r="J1105" s="29">
        <f t="shared" si="259"/>
        <v>0</v>
      </c>
      <c r="K1105" s="32" t="str" cm="1">
        <f t="array" ref="K1105">IF(AF1105&lt;&gt;"",IFERROR(INDEX('Group List A'!B:B,MATCH(AI1105,'Group List A'!A:A,0),0),"-"),"")</f>
        <v/>
      </c>
      <c r="L1105" s="33">
        <f t="shared" si="260"/>
        <v>0</v>
      </c>
      <c r="M1105" s="33">
        <f t="shared" si="261"/>
        <v>0</v>
      </c>
      <c r="N1105" s="33">
        <f t="shared" si="262"/>
        <v>0</v>
      </c>
      <c r="O1105" s="28"/>
      <c r="P1105" s="33">
        <f t="shared" si="263"/>
        <v>0</v>
      </c>
      <c r="Q1105" s="35" t="str" cm="1">
        <f t="array" ref="Q1105">IF(AF1105&lt;&gt;"",IFERROR(INDEX('Group List B'!B:B,MATCH(AI1105,'Group List B'!A:A,0),0),"-"),"")</f>
        <v/>
      </c>
      <c r="R1105" s="36">
        <f t="shared" si="264"/>
        <v>0</v>
      </c>
      <c r="S1105" s="36">
        <f t="shared" si="265"/>
        <v>0</v>
      </c>
      <c r="T1105" s="36">
        <f t="shared" si="266"/>
        <v>0</v>
      </c>
      <c r="U1105" s="28"/>
      <c r="V1105" s="37">
        <f t="shared" si="267"/>
        <v>0</v>
      </c>
      <c r="W1105" s="41"/>
      <c r="X1105" s="27"/>
      <c r="Y1105" s="27"/>
      <c r="Z1105" s="27"/>
      <c r="AA1105" s="15"/>
      <c r="AB1105" s="17"/>
      <c r="AC1105" s="17"/>
      <c r="AD1105" s="17"/>
      <c r="AE1105" s="90"/>
      <c r="AF1105" s="82" t="str">
        <f t="shared" si="268"/>
        <v/>
      </c>
      <c r="AG1105" s="83" t="str">
        <f t="shared" si="269"/>
        <v/>
      </c>
      <c r="AH1105" s="82" t="str">
        <f t="shared" si="270"/>
        <v/>
      </c>
      <c r="AI1105" s="82" t="str">
        <f t="shared" si="271"/>
        <v/>
      </c>
      <c r="AJ1105" s="90"/>
      <c r="AP1105" s="88"/>
    </row>
    <row r="1106" spans="1:42" x14ac:dyDescent="0.25">
      <c r="A1106" s="2"/>
      <c r="C1106" s="68" t="str" cm="1">
        <f t="array" ref="C1106">IF(AF1106&lt;&gt;"",
IFERROR(INDEX('LaunchPad Markbook'!A:A,MATCH(AH1106,'LaunchPad Markbook'!D:D,0),0),"-"),"")</f>
        <v/>
      </c>
      <c r="D1106" s="27"/>
      <c r="E1106" s="27"/>
      <c r="F1106" s="27"/>
      <c r="G1106" s="14">
        <f>IF(OR(H1106&gt;AB$2,I1106&gt;AC$2,J1106&gt;AD$2,
P1106&gt;1,V1106&gt;1,
L1106&gt;'Group List A'!E$2,M1106&gt;'Group List A'!F$2,N1106&gt;'Group List A'!G$2,
R1106&gt;'Group List B'!E$2,S1106&gt;'Group List B'!F$2,T1106&gt;'Group List B'!G$2),"Exceed",
IF(OR(H1106=AB$2,I1106=AC$2,J1106=AD$2,
P1106=1,V1106=1,
L1106='Group List A'!E$2,M1106='Group List A'!F$2,N1106='Group List A'!G$2,
R1106='Group List B'!E$2,S1106='Group List B'!F$2,T1106='Group List B'!G$2),"Limit",0))</f>
        <v>0</v>
      </c>
      <c r="H1106" s="29">
        <f t="shared" si="257"/>
        <v>0</v>
      </c>
      <c r="I1106" s="29">
        <f t="shared" si="258"/>
        <v>0</v>
      </c>
      <c r="J1106" s="29">
        <f t="shared" si="259"/>
        <v>0</v>
      </c>
      <c r="K1106" s="32" t="str" cm="1">
        <f t="array" ref="K1106">IF(AF1106&lt;&gt;"",IFERROR(INDEX('Group List A'!B:B,MATCH(AI1106,'Group List A'!A:A,0),0),"-"),"")</f>
        <v/>
      </c>
      <c r="L1106" s="33">
        <f t="shared" si="260"/>
        <v>0</v>
      </c>
      <c r="M1106" s="33">
        <f t="shared" si="261"/>
        <v>0</v>
      </c>
      <c r="N1106" s="33">
        <f t="shared" si="262"/>
        <v>0</v>
      </c>
      <c r="O1106" s="28"/>
      <c r="P1106" s="33">
        <f t="shared" si="263"/>
        <v>0</v>
      </c>
      <c r="Q1106" s="35" t="str" cm="1">
        <f t="array" ref="Q1106">IF(AF1106&lt;&gt;"",IFERROR(INDEX('Group List B'!B:B,MATCH(AI1106,'Group List B'!A:A,0),0),"-"),"")</f>
        <v/>
      </c>
      <c r="R1106" s="36">
        <f t="shared" si="264"/>
        <v>0</v>
      </c>
      <c r="S1106" s="36">
        <f t="shared" si="265"/>
        <v>0</v>
      </c>
      <c r="T1106" s="36">
        <f t="shared" si="266"/>
        <v>0</v>
      </c>
      <c r="U1106" s="28"/>
      <c r="V1106" s="37">
        <f t="shared" si="267"/>
        <v>0</v>
      </c>
      <c r="W1106" s="41"/>
      <c r="X1106" s="27"/>
      <c r="Y1106" s="27"/>
      <c r="Z1106" s="27"/>
      <c r="AA1106" s="15"/>
      <c r="AB1106" s="17"/>
      <c r="AC1106" s="17"/>
      <c r="AD1106" s="17"/>
      <c r="AE1106" s="90"/>
      <c r="AF1106" s="82" t="str">
        <f t="shared" si="268"/>
        <v/>
      </c>
      <c r="AG1106" s="83" t="str">
        <f t="shared" si="269"/>
        <v/>
      </c>
      <c r="AH1106" s="82" t="str">
        <f t="shared" si="270"/>
        <v/>
      </c>
      <c r="AI1106" s="82" t="str">
        <f t="shared" si="271"/>
        <v/>
      </c>
      <c r="AJ1106" s="90"/>
      <c r="AP1106" s="88"/>
    </row>
    <row r="1107" spans="1:42" x14ac:dyDescent="0.25">
      <c r="A1107" s="2"/>
      <c r="C1107" s="68" t="str" cm="1">
        <f t="array" ref="C1107">IF(AF1107&lt;&gt;"",
IFERROR(INDEX('LaunchPad Markbook'!A:A,MATCH(AH1107,'LaunchPad Markbook'!D:D,0),0),"-"),"")</f>
        <v/>
      </c>
      <c r="D1107" s="27"/>
      <c r="E1107" s="27"/>
      <c r="F1107" s="27"/>
      <c r="G1107" s="14">
        <f>IF(OR(H1107&gt;AB$2,I1107&gt;AC$2,J1107&gt;AD$2,
P1107&gt;1,V1107&gt;1,
L1107&gt;'Group List A'!E$2,M1107&gt;'Group List A'!F$2,N1107&gt;'Group List A'!G$2,
R1107&gt;'Group List B'!E$2,S1107&gt;'Group List B'!F$2,T1107&gt;'Group List B'!G$2),"Exceed",
IF(OR(H1107=AB$2,I1107=AC$2,J1107=AD$2,
P1107=1,V1107=1,
L1107='Group List A'!E$2,M1107='Group List A'!F$2,N1107='Group List A'!G$2,
R1107='Group List B'!E$2,S1107='Group List B'!F$2,T1107='Group List B'!G$2),"Limit",0))</f>
        <v>0</v>
      </c>
      <c r="H1107" s="29">
        <f t="shared" si="257"/>
        <v>0</v>
      </c>
      <c r="I1107" s="29">
        <f t="shared" si="258"/>
        <v>0</v>
      </c>
      <c r="J1107" s="29">
        <f t="shared" si="259"/>
        <v>0</v>
      </c>
      <c r="K1107" s="32" t="str" cm="1">
        <f t="array" ref="K1107">IF(AF1107&lt;&gt;"",IFERROR(INDEX('Group List A'!B:B,MATCH(AI1107,'Group List A'!A:A,0),0),"-"),"")</f>
        <v/>
      </c>
      <c r="L1107" s="33">
        <f t="shared" si="260"/>
        <v>0</v>
      </c>
      <c r="M1107" s="33">
        <f t="shared" si="261"/>
        <v>0</v>
      </c>
      <c r="N1107" s="33">
        <f t="shared" si="262"/>
        <v>0</v>
      </c>
      <c r="O1107" s="28"/>
      <c r="P1107" s="33">
        <f t="shared" si="263"/>
        <v>0</v>
      </c>
      <c r="Q1107" s="35" t="str" cm="1">
        <f t="array" ref="Q1107">IF(AF1107&lt;&gt;"",IFERROR(INDEX('Group List B'!B:B,MATCH(AI1107,'Group List B'!A:A,0),0),"-"),"")</f>
        <v/>
      </c>
      <c r="R1107" s="36">
        <f t="shared" si="264"/>
        <v>0</v>
      </c>
      <c r="S1107" s="36">
        <f t="shared" si="265"/>
        <v>0</v>
      </c>
      <c r="T1107" s="36">
        <f t="shared" si="266"/>
        <v>0</v>
      </c>
      <c r="U1107" s="28"/>
      <c r="V1107" s="37">
        <f t="shared" si="267"/>
        <v>0</v>
      </c>
      <c r="W1107" s="41"/>
      <c r="X1107" s="27"/>
      <c r="Y1107" s="27"/>
      <c r="Z1107" s="27"/>
      <c r="AA1107" s="15"/>
      <c r="AB1107" s="17"/>
      <c r="AC1107" s="17"/>
      <c r="AD1107" s="17"/>
      <c r="AE1107" s="90"/>
      <c r="AF1107" s="82" t="str">
        <f t="shared" si="268"/>
        <v/>
      </c>
      <c r="AG1107" s="83" t="str">
        <f t="shared" si="269"/>
        <v/>
      </c>
      <c r="AH1107" s="82" t="str">
        <f t="shared" si="270"/>
        <v/>
      </c>
      <c r="AI1107" s="82" t="str">
        <f t="shared" si="271"/>
        <v/>
      </c>
      <c r="AJ1107" s="90"/>
      <c r="AP1107" s="88"/>
    </row>
    <row r="1108" spans="1:42" x14ac:dyDescent="0.25">
      <c r="A1108" s="2"/>
      <c r="C1108" s="68" t="str" cm="1">
        <f t="array" ref="C1108">IF(AF1108&lt;&gt;"",
IFERROR(INDEX('LaunchPad Markbook'!A:A,MATCH(AH1108,'LaunchPad Markbook'!D:D,0),0),"-"),"")</f>
        <v/>
      </c>
      <c r="D1108" s="27"/>
      <c r="E1108" s="27"/>
      <c r="F1108" s="27"/>
      <c r="G1108" s="14">
        <f>IF(OR(H1108&gt;AB$2,I1108&gt;AC$2,J1108&gt;AD$2,
P1108&gt;1,V1108&gt;1,
L1108&gt;'Group List A'!E$2,M1108&gt;'Group List A'!F$2,N1108&gt;'Group List A'!G$2,
R1108&gt;'Group List B'!E$2,S1108&gt;'Group List B'!F$2,T1108&gt;'Group List B'!G$2),"Exceed",
IF(OR(H1108=AB$2,I1108=AC$2,J1108=AD$2,
P1108=1,V1108=1,
L1108='Group List A'!E$2,M1108='Group List A'!F$2,N1108='Group List A'!G$2,
R1108='Group List B'!E$2,S1108='Group List B'!F$2,T1108='Group List B'!G$2),"Limit",0))</f>
        <v>0</v>
      </c>
      <c r="H1108" s="29">
        <f t="shared" si="257"/>
        <v>0</v>
      </c>
      <c r="I1108" s="29">
        <f t="shared" si="258"/>
        <v>0</v>
      </c>
      <c r="J1108" s="29">
        <f t="shared" si="259"/>
        <v>0</v>
      </c>
      <c r="K1108" s="32" t="str" cm="1">
        <f t="array" ref="K1108">IF(AF1108&lt;&gt;"",IFERROR(INDEX('Group List A'!B:B,MATCH(AI1108,'Group List A'!A:A,0),0),"-"),"")</f>
        <v/>
      </c>
      <c r="L1108" s="33">
        <f t="shared" si="260"/>
        <v>0</v>
      </c>
      <c r="M1108" s="33">
        <f t="shared" si="261"/>
        <v>0</v>
      </c>
      <c r="N1108" s="33">
        <f t="shared" si="262"/>
        <v>0</v>
      </c>
      <c r="O1108" s="28"/>
      <c r="P1108" s="33">
        <f t="shared" si="263"/>
        <v>0</v>
      </c>
      <c r="Q1108" s="35" t="str" cm="1">
        <f t="array" ref="Q1108">IF(AF1108&lt;&gt;"",IFERROR(INDEX('Group List B'!B:B,MATCH(AI1108,'Group List B'!A:A,0),0),"-"),"")</f>
        <v/>
      </c>
      <c r="R1108" s="36">
        <f t="shared" si="264"/>
        <v>0</v>
      </c>
      <c r="S1108" s="36">
        <f t="shared" si="265"/>
        <v>0</v>
      </c>
      <c r="T1108" s="36">
        <f t="shared" si="266"/>
        <v>0</v>
      </c>
      <c r="U1108" s="28"/>
      <c r="V1108" s="37">
        <f t="shared" si="267"/>
        <v>0</v>
      </c>
      <c r="W1108" s="41"/>
      <c r="X1108" s="27"/>
      <c r="Y1108" s="27"/>
      <c r="Z1108" s="27"/>
      <c r="AA1108" s="15"/>
      <c r="AB1108" s="17"/>
      <c r="AC1108" s="17"/>
      <c r="AD1108" s="17"/>
      <c r="AE1108" s="90"/>
      <c r="AF1108" s="82" t="str">
        <f t="shared" si="268"/>
        <v/>
      </c>
      <c r="AG1108" s="83" t="str">
        <f t="shared" si="269"/>
        <v/>
      </c>
      <c r="AH1108" s="82" t="str">
        <f t="shared" si="270"/>
        <v/>
      </c>
      <c r="AI1108" s="82" t="str">
        <f t="shared" si="271"/>
        <v/>
      </c>
      <c r="AJ1108" s="90"/>
      <c r="AP1108" s="88"/>
    </row>
    <row r="1109" spans="1:42" x14ac:dyDescent="0.25">
      <c r="A1109" s="2"/>
      <c r="C1109" s="68" t="str" cm="1">
        <f t="array" ref="C1109">IF(AF1109&lt;&gt;"",
IFERROR(INDEX('LaunchPad Markbook'!A:A,MATCH(AH1109,'LaunchPad Markbook'!D:D,0),0),"-"),"")</f>
        <v/>
      </c>
      <c r="D1109" s="27"/>
      <c r="E1109" s="27"/>
      <c r="F1109" s="27"/>
      <c r="G1109" s="14">
        <f>IF(OR(H1109&gt;AB$2,I1109&gt;AC$2,J1109&gt;AD$2,
P1109&gt;1,V1109&gt;1,
L1109&gt;'Group List A'!E$2,M1109&gt;'Group List A'!F$2,N1109&gt;'Group List A'!G$2,
R1109&gt;'Group List B'!E$2,S1109&gt;'Group List B'!F$2,T1109&gt;'Group List B'!G$2),"Exceed",
IF(OR(H1109=AB$2,I1109=AC$2,J1109=AD$2,
P1109=1,V1109=1,
L1109='Group List A'!E$2,M1109='Group List A'!F$2,N1109='Group List A'!G$2,
R1109='Group List B'!E$2,S1109='Group List B'!F$2,T1109='Group List B'!G$2),"Limit",0))</f>
        <v>0</v>
      </c>
      <c r="H1109" s="29">
        <f t="shared" si="257"/>
        <v>0</v>
      </c>
      <c r="I1109" s="29">
        <f t="shared" si="258"/>
        <v>0</v>
      </c>
      <c r="J1109" s="29">
        <f t="shared" si="259"/>
        <v>0</v>
      </c>
      <c r="K1109" s="32" t="str" cm="1">
        <f t="array" ref="K1109">IF(AF1109&lt;&gt;"",IFERROR(INDEX('Group List A'!B:B,MATCH(AI1109,'Group List A'!A:A,0),0),"-"),"")</f>
        <v/>
      </c>
      <c r="L1109" s="33">
        <f t="shared" si="260"/>
        <v>0</v>
      </c>
      <c r="M1109" s="33">
        <f t="shared" si="261"/>
        <v>0</v>
      </c>
      <c r="N1109" s="33">
        <f t="shared" si="262"/>
        <v>0</v>
      </c>
      <c r="O1109" s="28"/>
      <c r="P1109" s="33">
        <f t="shared" si="263"/>
        <v>0</v>
      </c>
      <c r="Q1109" s="35" t="str" cm="1">
        <f t="array" ref="Q1109">IF(AF1109&lt;&gt;"",IFERROR(INDEX('Group List B'!B:B,MATCH(AI1109,'Group List B'!A:A,0),0),"-"),"")</f>
        <v/>
      </c>
      <c r="R1109" s="36">
        <f t="shared" si="264"/>
        <v>0</v>
      </c>
      <c r="S1109" s="36">
        <f t="shared" si="265"/>
        <v>0</v>
      </c>
      <c r="T1109" s="36">
        <f t="shared" si="266"/>
        <v>0</v>
      </c>
      <c r="U1109" s="28"/>
      <c r="V1109" s="37">
        <f t="shared" si="267"/>
        <v>0</v>
      </c>
      <c r="W1109" s="41"/>
      <c r="X1109" s="27"/>
      <c r="Y1109" s="27"/>
      <c r="Z1109" s="27"/>
      <c r="AA1109" s="15"/>
      <c r="AB1109" s="17"/>
      <c r="AC1109" s="17"/>
      <c r="AD1109" s="17"/>
      <c r="AE1109" s="90"/>
      <c r="AF1109" s="82" t="str">
        <f t="shared" si="268"/>
        <v/>
      </c>
      <c r="AG1109" s="83" t="str">
        <f t="shared" si="269"/>
        <v/>
      </c>
      <c r="AH1109" s="82" t="str">
        <f t="shared" si="270"/>
        <v/>
      </c>
      <c r="AI1109" s="82" t="str">
        <f t="shared" si="271"/>
        <v/>
      </c>
      <c r="AJ1109" s="90"/>
      <c r="AP1109" s="88"/>
    </row>
    <row r="1110" spans="1:42" x14ac:dyDescent="0.25">
      <c r="A1110" s="2"/>
      <c r="C1110" s="68" t="str" cm="1">
        <f t="array" ref="C1110">IF(AF1110&lt;&gt;"",
IFERROR(INDEX('LaunchPad Markbook'!A:A,MATCH(AH1110,'LaunchPad Markbook'!D:D,0),0),"-"),"")</f>
        <v/>
      </c>
      <c r="D1110" s="27"/>
      <c r="E1110" s="27"/>
      <c r="F1110" s="27"/>
      <c r="G1110" s="14">
        <f>IF(OR(H1110&gt;AB$2,I1110&gt;AC$2,J1110&gt;AD$2,
P1110&gt;1,V1110&gt;1,
L1110&gt;'Group List A'!E$2,M1110&gt;'Group List A'!F$2,N1110&gt;'Group List A'!G$2,
R1110&gt;'Group List B'!E$2,S1110&gt;'Group List B'!F$2,T1110&gt;'Group List B'!G$2),"Exceed",
IF(OR(H1110=AB$2,I1110=AC$2,J1110=AD$2,
P1110=1,V1110=1,
L1110='Group List A'!E$2,M1110='Group List A'!F$2,N1110='Group List A'!G$2,
R1110='Group List B'!E$2,S1110='Group List B'!F$2,T1110='Group List B'!G$2),"Limit",0))</f>
        <v>0</v>
      </c>
      <c r="H1110" s="29">
        <f t="shared" si="257"/>
        <v>0</v>
      </c>
      <c r="I1110" s="29">
        <f t="shared" si="258"/>
        <v>0</v>
      </c>
      <c r="J1110" s="29">
        <f t="shared" si="259"/>
        <v>0</v>
      </c>
      <c r="K1110" s="32" t="str" cm="1">
        <f t="array" ref="K1110">IF(AF1110&lt;&gt;"",IFERROR(INDEX('Group List A'!B:B,MATCH(AI1110,'Group List A'!A:A,0),0),"-"),"")</f>
        <v/>
      </c>
      <c r="L1110" s="33">
        <f t="shared" si="260"/>
        <v>0</v>
      </c>
      <c r="M1110" s="33">
        <f t="shared" si="261"/>
        <v>0</v>
      </c>
      <c r="N1110" s="33">
        <f t="shared" si="262"/>
        <v>0</v>
      </c>
      <c r="O1110" s="28"/>
      <c r="P1110" s="33">
        <f t="shared" si="263"/>
        <v>0</v>
      </c>
      <c r="Q1110" s="35" t="str" cm="1">
        <f t="array" ref="Q1110">IF(AF1110&lt;&gt;"",IFERROR(INDEX('Group List B'!B:B,MATCH(AI1110,'Group List B'!A:A,0),0),"-"),"")</f>
        <v/>
      </c>
      <c r="R1110" s="36">
        <f t="shared" si="264"/>
        <v>0</v>
      </c>
      <c r="S1110" s="36">
        <f t="shared" si="265"/>
        <v>0</v>
      </c>
      <c r="T1110" s="36">
        <f t="shared" si="266"/>
        <v>0</v>
      </c>
      <c r="U1110" s="28"/>
      <c r="V1110" s="37">
        <f t="shared" si="267"/>
        <v>0</v>
      </c>
      <c r="W1110" s="41"/>
      <c r="X1110" s="27"/>
      <c r="Y1110" s="27"/>
      <c r="Z1110" s="27"/>
      <c r="AA1110" s="15"/>
      <c r="AB1110" s="17"/>
      <c r="AC1110" s="17"/>
      <c r="AD1110" s="17"/>
      <c r="AE1110" s="90"/>
      <c r="AF1110" s="82" t="str">
        <f t="shared" si="268"/>
        <v/>
      </c>
      <c r="AG1110" s="83" t="str">
        <f t="shared" si="269"/>
        <v/>
      </c>
      <c r="AH1110" s="82" t="str">
        <f t="shared" si="270"/>
        <v/>
      </c>
      <c r="AI1110" s="82" t="str">
        <f t="shared" si="271"/>
        <v/>
      </c>
      <c r="AJ1110" s="90"/>
      <c r="AP1110" s="88"/>
    </row>
    <row r="1111" spans="1:42" x14ac:dyDescent="0.25">
      <c r="A1111" s="2"/>
      <c r="C1111" s="68" t="str" cm="1">
        <f t="array" ref="C1111">IF(AF1111&lt;&gt;"",
IFERROR(INDEX('LaunchPad Markbook'!A:A,MATCH(AH1111,'LaunchPad Markbook'!D:D,0),0),"-"),"")</f>
        <v/>
      </c>
      <c r="D1111" s="27"/>
      <c r="E1111" s="27"/>
      <c r="F1111" s="27"/>
      <c r="G1111" s="14">
        <f>IF(OR(H1111&gt;AB$2,I1111&gt;AC$2,J1111&gt;AD$2,
P1111&gt;1,V1111&gt;1,
L1111&gt;'Group List A'!E$2,M1111&gt;'Group List A'!F$2,N1111&gt;'Group List A'!G$2,
R1111&gt;'Group List B'!E$2,S1111&gt;'Group List B'!F$2,T1111&gt;'Group List B'!G$2),"Exceed",
IF(OR(H1111=AB$2,I1111=AC$2,J1111=AD$2,
P1111=1,V1111=1,
L1111='Group List A'!E$2,M1111='Group List A'!F$2,N1111='Group List A'!G$2,
R1111='Group List B'!E$2,S1111='Group List B'!F$2,T1111='Group List B'!G$2),"Limit",0))</f>
        <v>0</v>
      </c>
      <c r="H1111" s="29">
        <f t="shared" si="257"/>
        <v>0</v>
      </c>
      <c r="I1111" s="29">
        <f t="shared" si="258"/>
        <v>0</v>
      </c>
      <c r="J1111" s="29">
        <f t="shared" si="259"/>
        <v>0</v>
      </c>
      <c r="K1111" s="32" t="str" cm="1">
        <f t="array" ref="K1111">IF(AF1111&lt;&gt;"",IFERROR(INDEX('Group List A'!B:B,MATCH(AI1111,'Group List A'!A:A,0),0),"-"),"")</f>
        <v/>
      </c>
      <c r="L1111" s="33">
        <f t="shared" si="260"/>
        <v>0</v>
      </c>
      <c r="M1111" s="33">
        <f t="shared" si="261"/>
        <v>0</v>
      </c>
      <c r="N1111" s="33">
        <f t="shared" si="262"/>
        <v>0</v>
      </c>
      <c r="O1111" s="28"/>
      <c r="P1111" s="33">
        <f t="shared" si="263"/>
        <v>0</v>
      </c>
      <c r="Q1111" s="35" t="str" cm="1">
        <f t="array" ref="Q1111">IF(AF1111&lt;&gt;"",IFERROR(INDEX('Group List B'!B:B,MATCH(AI1111,'Group List B'!A:A,0),0),"-"),"")</f>
        <v/>
      </c>
      <c r="R1111" s="36">
        <f t="shared" si="264"/>
        <v>0</v>
      </c>
      <c r="S1111" s="36">
        <f t="shared" si="265"/>
        <v>0</v>
      </c>
      <c r="T1111" s="36">
        <f t="shared" si="266"/>
        <v>0</v>
      </c>
      <c r="U1111" s="28"/>
      <c r="V1111" s="37">
        <f t="shared" si="267"/>
        <v>0</v>
      </c>
      <c r="W1111" s="41"/>
      <c r="X1111" s="27"/>
      <c r="Y1111" s="27"/>
      <c r="Z1111" s="27"/>
      <c r="AA1111" s="15"/>
      <c r="AB1111" s="17"/>
      <c r="AC1111" s="17"/>
      <c r="AD1111" s="17"/>
      <c r="AE1111" s="90"/>
      <c r="AF1111" s="82" t="str">
        <f t="shared" si="268"/>
        <v/>
      </c>
      <c r="AG1111" s="83" t="str">
        <f t="shared" si="269"/>
        <v/>
      </c>
      <c r="AH1111" s="82" t="str">
        <f t="shared" si="270"/>
        <v/>
      </c>
      <c r="AI1111" s="82" t="str">
        <f t="shared" si="271"/>
        <v/>
      </c>
      <c r="AJ1111" s="90"/>
      <c r="AP1111" s="88"/>
    </row>
    <row r="1112" spans="1:42" x14ac:dyDescent="0.25">
      <c r="A1112" s="2"/>
      <c r="C1112" s="68" t="str" cm="1">
        <f t="array" ref="C1112">IF(AF1112&lt;&gt;"",
IFERROR(INDEX('LaunchPad Markbook'!A:A,MATCH(AH1112,'LaunchPad Markbook'!D:D,0),0),"-"),"")</f>
        <v/>
      </c>
      <c r="D1112" s="27"/>
      <c r="E1112" s="27"/>
      <c r="F1112" s="27"/>
      <c r="G1112" s="14">
        <f>IF(OR(H1112&gt;AB$2,I1112&gt;AC$2,J1112&gt;AD$2,
P1112&gt;1,V1112&gt;1,
L1112&gt;'Group List A'!E$2,M1112&gt;'Group List A'!F$2,N1112&gt;'Group List A'!G$2,
R1112&gt;'Group List B'!E$2,S1112&gt;'Group List B'!F$2,T1112&gt;'Group List B'!G$2),"Exceed",
IF(OR(H1112=AB$2,I1112=AC$2,J1112=AD$2,
P1112=1,V1112=1,
L1112='Group List A'!E$2,M1112='Group List A'!F$2,N1112='Group List A'!G$2,
R1112='Group List B'!E$2,S1112='Group List B'!F$2,T1112='Group List B'!G$2),"Limit",0))</f>
        <v>0</v>
      </c>
      <c r="H1112" s="29">
        <f t="shared" si="257"/>
        <v>0</v>
      </c>
      <c r="I1112" s="29">
        <f t="shared" si="258"/>
        <v>0</v>
      </c>
      <c r="J1112" s="29">
        <f t="shared" si="259"/>
        <v>0</v>
      </c>
      <c r="K1112" s="32" t="str" cm="1">
        <f t="array" ref="K1112">IF(AF1112&lt;&gt;"",IFERROR(INDEX('Group List A'!B:B,MATCH(AI1112,'Group List A'!A:A,0),0),"-"),"")</f>
        <v/>
      </c>
      <c r="L1112" s="33">
        <f t="shared" si="260"/>
        <v>0</v>
      </c>
      <c r="M1112" s="33">
        <f t="shared" si="261"/>
        <v>0</v>
      </c>
      <c r="N1112" s="33">
        <f t="shared" si="262"/>
        <v>0</v>
      </c>
      <c r="O1112" s="28"/>
      <c r="P1112" s="33">
        <f t="shared" si="263"/>
        <v>0</v>
      </c>
      <c r="Q1112" s="35" t="str" cm="1">
        <f t="array" ref="Q1112">IF(AF1112&lt;&gt;"",IFERROR(INDEX('Group List B'!B:B,MATCH(AI1112,'Group List B'!A:A,0),0),"-"),"")</f>
        <v/>
      </c>
      <c r="R1112" s="36">
        <f t="shared" si="264"/>
        <v>0</v>
      </c>
      <c r="S1112" s="36">
        <f t="shared" si="265"/>
        <v>0</v>
      </c>
      <c r="T1112" s="36">
        <f t="shared" si="266"/>
        <v>0</v>
      </c>
      <c r="U1112" s="28"/>
      <c r="V1112" s="37">
        <f t="shared" si="267"/>
        <v>0</v>
      </c>
      <c r="W1112" s="41"/>
      <c r="X1112" s="27"/>
      <c r="Y1112" s="27"/>
      <c r="Z1112" s="27"/>
      <c r="AA1112" s="15"/>
      <c r="AB1112" s="17"/>
      <c r="AC1112" s="17"/>
      <c r="AD1112" s="17"/>
      <c r="AE1112" s="90"/>
      <c r="AF1112" s="82" t="str">
        <f t="shared" si="268"/>
        <v/>
      </c>
      <c r="AG1112" s="83" t="str">
        <f t="shared" si="269"/>
        <v/>
      </c>
      <c r="AH1112" s="82" t="str">
        <f t="shared" si="270"/>
        <v/>
      </c>
      <c r="AI1112" s="82" t="str">
        <f t="shared" si="271"/>
        <v/>
      </c>
      <c r="AJ1112" s="90"/>
      <c r="AP1112" s="88"/>
    </row>
    <row r="1113" spans="1:42" x14ac:dyDescent="0.25">
      <c r="A1113" s="2"/>
      <c r="C1113" s="68" t="str" cm="1">
        <f t="array" ref="C1113">IF(AF1113&lt;&gt;"",
IFERROR(INDEX('LaunchPad Markbook'!A:A,MATCH(AH1113,'LaunchPad Markbook'!D:D,0),0),"-"),"")</f>
        <v/>
      </c>
      <c r="D1113" s="27"/>
      <c r="E1113" s="27"/>
      <c r="F1113" s="27"/>
      <c r="G1113" s="14">
        <f>IF(OR(H1113&gt;AB$2,I1113&gt;AC$2,J1113&gt;AD$2,
P1113&gt;1,V1113&gt;1,
L1113&gt;'Group List A'!E$2,M1113&gt;'Group List A'!F$2,N1113&gt;'Group List A'!G$2,
R1113&gt;'Group List B'!E$2,S1113&gt;'Group List B'!F$2,T1113&gt;'Group List B'!G$2),"Exceed",
IF(OR(H1113=AB$2,I1113=AC$2,J1113=AD$2,
P1113=1,V1113=1,
L1113='Group List A'!E$2,M1113='Group List A'!F$2,N1113='Group List A'!G$2,
R1113='Group List B'!E$2,S1113='Group List B'!F$2,T1113='Group List B'!G$2),"Limit",0))</f>
        <v>0</v>
      </c>
      <c r="H1113" s="29">
        <f t="shared" si="257"/>
        <v>0</v>
      </c>
      <c r="I1113" s="29">
        <f t="shared" si="258"/>
        <v>0</v>
      </c>
      <c r="J1113" s="29">
        <f t="shared" si="259"/>
        <v>0</v>
      </c>
      <c r="K1113" s="32" t="str" cm="1">
        <f t="array" ref="K1113">IF(AF1113&lt;&gt;"",IFERROR(INDEX('Group List A'!B:B,MATCH(AI1113,'Group List A'!A:A,0),0),"-"),"")</f>
        <v/>
      </c>
      <c r="L1113" s="33">
        <f t="shared" si="260"/>
        <v>0</v>
      </c>
      <c r="M1113" s="33">
        <f t="shared" si="261"/>
        <v>0</v>
      </c>
      <c r="N1113" s="33">
        <f t="shared" si="262"/>
        <v>0</v>
      </c>
      <c r="O1113" s="28"/>
      <c r="P1113" s="33">
        <f t="shared" si="263"/>
        <v>0</v>
      </c>
      <c r="Q1113" s="35" t="str" cm="1">
        <f t="array" ref="Q1113">IF(AF1113&lt;&gt;"",IFERROR(INDEX('Group List B'!B:B,MATCH(AI1113,'Group List B'!A:A,0),0),"-"),"")</f>
        <v/>
      </c>
      <c r="R1113" s="36">
        <f t="shared" si="264"/>
        <v>0</v>
      </c>
      <c r="S1113" s="36">
        <f t="shared" si="265"/>
        <v>0</v>
      </c>
      <c r="T1113" s="36">
        <f t="shared" si="266"/>
        <v>0</v>
      </c>
      <c r="U1113" s="28"/>
      <c r="V1113" s="37">
        <f t="shared" si="267"/>
        <v>0</v>
      </c>
      <c r="W1113" s="41"/>
      <c r="X1113" s="27"/>
      <c r="Y1113" s="27"/>
      <c r="Z1113" s="27"/>
      <c r="AA1113" s="15"/>
      <c r="AB1113" s="17"/>
      <c r="AC1113" s="17"/>
      <c r="AD1113" s="17"/>
      <c r="AE1113" s="90"/>
      <c r="AF1113" s="82" t="str">
        <f t="shared" si="268"/>
        <v/>
      </c>
      <c r="AG1113" s="83" t="str">
        <f t="shared" si="269"/>
        <v/>
      </c>
      <c r="AH1113" s="82" t="str">
        <f t="shared" si="270"/>
        <v/>
      </c>
      <c r="AI1113" s="82" t="str">
        <f t="shared" si="271"/>
        <v/>
      </c>
      <c r="AJ1113" s="90"/>
      <c r="AP1113" s="88"/>
    </row>
    <row r="1114" spans="1:42" x14ac:dyDescent="0.25">
      <c r="A1114" s="2"/>
      <c r="C1114" s="68" t="str" cm="1">
        <f t="array" ref="C1114">IF(AF1114&lt;&gt;"",
IFERROR(INDEX('LaunchPad Markbook'!A:A,MATCH(AH1114,'LaunchPad Markbook'!D:D,0),0),"-"),"")</f>
        <v/>
      </c>
      <c r="D1114" s="27"/>
      <c r="E1114" s="27"/>
      <c r="F1114" s="27"/>
      <c r="G1114" s="14">
        <f>IF(OR(H1114&gt;AB$2,I1114&gt;AC$2,J1114&gt;AD$2,
P1114&gt;1,V1114&gt;1,
L1114&gt;'Group List A'!E$2,M1114&gt;'Group List A'!F$2,N1114&gt;'Group List A'!G$2,
R1114&gt;'Group List B'!E$2,S1114&gt;'Group List B'!F$2,T1114&gt;'Group List B'!G$2),"Exceed",
IF(OR(H1114=AB$2,I1114=AC$2,J1114=AD$2,
P1114=1,V1114=1,
L1114='Group List A'!E$2,M1114='Group List A'!F$2,N1114='Group List A'!G$2,
R1114='Group List B'!E$2,S1114='Group List B'!F$2,T1114='Group List B'!G$2),"Limit",0))</f>
        <v>0</v>
      </c>
      <c r="H1114" s="29">
        <f t="shared" si="257"/>
        <v>0</v>
      </c>
      <c r="I1114" s="29">
        <f t="shared" si="258"/>
        <v>0</v>
      </c>
      <c r="J1114" s="29">
        <f t="shared" si="259"/>
        <v>0</v>
      </c>
      <c r="K1114" s="32" t="str" cm="1">
        <f t="array" ref="K1114">IF(AF1114&lt;&gt;"",IFERROR(INDEX('Group List A'!B:B,MATCH(AI1114,'Group List A'!A:A,0),0),"-"),"")</f>
        <v/>
      </c>
      <c r="L1114" s="33">
        <f t="shared" si="260"/>
        <v>0</v>
      </c>
      <c r="M1114" s="33">
        <f t="shared" si="261"/>
        <v>0</v>
      </c>
      <c r="N1114" s="33">
        <f t="shared" si="262"/>
        <v>0</v>
      </c>
      <c r="O1114" s="28"/>
      <c r="P1114" s="33">
        <f t="shared" si="263"/>
        <v>0</v>
      </c>
      <c r="Q1114" s="35" t="str" cm="1">
        <f t="array" ref="Q1114">IF(AF1114&lt;&gt;"",IFERROR(INDEX('Group List B'!B:B,MATCH(AI1114,'Group List B'!A:A,0),0),"-"),"")</f>
        <v/>
      </c>
      <c r="R1114" s="36">
        <f t="shared" si="264"/>
        <v>0</v>
      </c>
      <c r="S1114" s="36">
        <f t="shared" si="265"/>
        <v>0</v>
      </c>
      <c r="T1114" s="36">
        <f t="shared" si="266"/>
        <v>0</v>
      </c>
      <c r="U1114" s="28"/>
      <c r="V1114" s="37">
        <f t="shared" si="267"/>
        <v>0</v>
      </c>
      <c r="W1114" s="41"/>
      <c r="X1114" s="27"/>
      <c r="Y1114" s="27"/>
      <c r="Z1114" s="27"/>
      <c r="AA1114" s="15"/>
      <c r="AB1114" s="17"/>
      <c r="AC1114" s="17"/>
      <c r="AD1114" s="17"/>
      <c r="AE1114" s="90"/>
      <c r="AF1114" s="82" t="str">
        <f t="shared" si="268"/>
        <v/>
      </c>
      <c r="AG1114" s="83" t="str">
        <f t="shared" si="269"/>
        <v/>
      </c>
      <c r="AH1114" s="82" t="str">
        <f t="shared" si="270"/>
        <v/>
      </c>
      <c r="AI1114" s="82" t="str">
        <f t="shared" si="271"/>
        <v/>
      </c>
      <c r="AJ1114" s="90"/>
      <c r="AP1114" s="88"/>
    </row>
    <row r="1115" spans="1:42" x14ac:dyDescent="0.25">
      <c r="A1115" s="2"/>
      <c r="C1115" s="68" t="str" cm="1">
        <f t="array" ref="C1115">IF(AF1115&lt;&gt;"",
IFERROR(INDEX('LaunchPad Markbook'!A:A,MATCH(AH1115,'LaunchPad Markbook'!D:D,0),0),"-"),"")</f>
        <v/>
      </c>
      <c r="D1115" s="27"/>
      <c r="E1115" s="27"/>
      <c r="F1115" s="27"/>
      <c r="G1115" s="14">
        <f>IF(OR(H1115&gt;AB$2,I1115&gt;AC$2,J1115&gt;AD$2,
P1115&gt;1,V1115&gt;1,
L1115&gt;'Group List A'!E$2,M1115&gt;'Group List A'!F$2,N1115&gt;'Group List A'!G$2,
R1115&gt;'Group List B'!E$2,S1115&gt;'Group List B'!F$2,T1115&gt;'Group List B'!G$2),"Exceed",
IF(OR(H1115=AB$2,I1115=AC$2,J1115=AD$2,
P1115=1,V1115=1,
L1115='Group List A'!E$2,M1115='Group List A'!F$2,N1115='Group List A'!G$2,
R1115='Group List B'!E$2,S1115='Group List B'!F$2,T1115='Group List B'!G$2),"Limit",0))</f>
        <v>0</v>
      </c>
      <c r="H1115" s="29">
        <f t="shared" si="257"/>
        <v>0</v>
      </c>
      <c r="I1115" s="29">
        <f t="shared" si="258"/>
        <v>0</v>
      </c>
      <c r="J1115" s="29">
        <f t="shared" si="259"/>
        <v>0</v>
      </c>
      <c r="K1115" s="32" t="str" cm="1">
        <f t="array" ref="K1115">IF(AF1115&lt;&gt;"",IFERROR(INDEX('Group List A'!B:B,MATCH(AI1115,'Group List A'!A:A,0),0),"-"),"")</f>
        <v/>
      </c>
      <c r="L1115" s="33">
        <f t="shared" si="260"/>
        <v>0</v>
      </c>
      <c r="M1115" s="33">
        <f t="shared" si="261"/>
        <v>0</v>
      </c>
      <c r="N1115" s="33">
        <f t="shared" si="262"/>
        <v>0</v>
      </c>
      <c r="O1115" s="28"/>
      <c r="P1115" s="33">
        <f t="shared" si="263"/>
        <v>0</v>
      </c>
      <c r="Q1115" s="35" t="str" cm="1">
        <f t="array" ref="Q1115">IF(AF1115&lt;&gt;"",IFERROR(INDEX('Group List B'!B:B,MATCH(AI1115,'Group List B'!A:A,0),0),"-"),"")</f>
        <v/>
      </c>
      <c r="R1115" s="36">
        <f t="shared" si="264"/>
        <v>0</v>
      </c>
      <c r="S1115" s="36">
        <f t="shared" si="265"/>
        <v>0</v>
      </c>
      <c r="T1115" s="36">
        <f t="shared" si="266"/>
        <v>0</v>
      </c>
      <c r="U1115" s="28"/>
      <c r="V1115" s="37">
        <f t="shared" si="267"/>
        <v>0</v>
      </c>
      <c r="W1115" s="41"/>
      <c r="X1115" s="27"/>
      <c r="Y1115" s="27"/>
      <c r="Z1115" s="27"/>
      <c r="AA1115" s="15"/>
      <c r="AB1115" s="17"/>
      <c r="AC1115" s="17"/>
      <c r="AD1115" s="17"/>
      <c r="AE1115" s="90"/>
      <c r="AF1115" s="82" t="str">
        <f t="shared" si="268"/>
        <v/>
      </c>
      <c r="AG1115" s="83" t="str">
        <f t="shared" si="269"/>
        <v/>
      </c>
      <c r="AH1115" s="82" t="str">
        <f t="shared" si="270"/>
        <v/>
      </c>
      <c r="AI1115" s="82" t="str">
        <f t="shared" si="271"/>
        <v/>
      </c>
      <c r="AJ1115" s="90"/>
      <c r="AP1115" s="88"/>
    </row>
    <row r="1116" spans="1:42" x14ac:dyDescent="0.25">
      <c r="A1116" s="2"/>
      <c r="C1116" s="68" t="str" cm="1">
        <f t="array" ref="C1116">IF(AF1116&lt;&gt;"",
IFERROR(INDEX('LaunchPad Markbook'!A:A,MATCH(AH1116,'LaunchPad Markbook'!D:D,0),0),"-"),"")</f>
        <v/>
      </c>
      <c r="D1116" s="27"/>
      <c r="E1116" s="27"/>
      <c r="F1116" s="27"/>
      <c r="G1116" s="14">
        <f>IF(OR(H1116&gt;AB$2,I1116&gt;AC$2,J1116&gt;AD$2,
P1116&gt;1,V1116&gt;1,
L1116&gt;'Group List A'!E$2,M1116&gt;'Group List A'!F$2,N1116&gt;'Group List A'!G$2,
R1116&gt;'Group List B'!E$2,S1116&gt;'Group List B'!F$2,T1116&gt;'Group List B'!G$2),"Exceed",
IF(OR(H1116=AB$2,I1116=AC$2,J1116=AD$2,
P1116=1,V1116=1,
L1116='Group List A'!E$2,M1116='Group List A'!F$2,N1116='Group List A'!G$2,
R1116='Group List B'!E$2,S1116='Group List B'!F$2,T1116='Group List B'!G$2),"Limit",0))</f>
        <v>0</v>
      </c>
      <c r="H1116" s="29">
        <f t="shared" si="257"/>
        <v>0</v>
      </c>
      <c r="I1116" s="29">
        <f t="shared" si="258"/>
        <v>0</v>
      </c>
      <c r="J1116" s="29">
        <f t="shared" si="259"/>
        <v>0</v>
      </c>
      <c r="K1116" s="32" t="str" cm="1">
        <f t="array" ref="K1116">IF(AF1116&lt;&gt;"",IFERROR(INDEX('Group List A'!B:B,MATCH(AI1116,'Group List A'!A:A,0),0),"-"),"")</f>
        <v/>
      </c>
      <c r="L1116" s="33">
        <f t="shared" si="260"/>
        <v>0</v>
      </c>
      <c r="M1116" s="33">
        <f t="shared" si="261"/>
        <v>0</v>
      </c>
      <c r="N1116" s="33">
        <f t="shared" si="262"/>
        <v>0</v>
      </c>
      <c r="O1116" s="28"/>
      <c r="P1116" s="33">
        <f t="shared" si="263"/>
        <v>0</v>
      </c>
      <c r="Q1116" s="35" t="str" cm="1">
        <f t="array" ref="Q1116">IF(AF1116&lt;&gt;"",IFERROR(INDEX('Group List B'!B:B,MATCH(AI1116,'Group List B'!A:A,0),0),"-"),"")</f>
        <v/>
      </c>
      <c r="R1116" s="36">
        <f t="shared" si="264"/>
        <v>0</v>
      </c>
      <c r="S1116" s="36">
        <f t="shared" si="265"/>
        <v>0</v>
      </c>
      <c r="T1116" s="36">
        <f t="shared" si="266"/>
        <v>0</v>
      </c>
      <c r="U1116" s="28"/>
      <c r="V1116" s="37">
        <f t="shared" si="267"/>
        <v>0</v>
      </c>
      <c r="W1116" s="41"/>
      <c r="X1116" s="27"/>
      <c r="Y1116" s="27"/>
      <c r="Z1116" s="27"/>
      <c r="AA1116" s="15"/>
      <c r="AB1116" s="17"/>
      <c r="AC1116" s="17"/>
      <c r="AD1116" s="17"/>
      <c r="AE1116" s="90"/>
      <c r="AF1116" s="82" t="str">
        <f t="shared" si="268"/>
        <v/>
      </c>
      <c r="AG1116" s="83" t="str">
        <f t="shared" si="269"/>
        <v/>
      </c>
      <c r="AH1116" s="82" t="str">
        <f t="shared" si="270"/>
        <v/>
      </c>
      <c r="AI1116" s="82" t="str">
        <f t="shared" si="271"/>
        <v/>
      </c>
      <c r="AJ1116" s="90"/>
      <c r="AP1116" s="88"/>
    </row>
    <row r="1117" spans="1:42" x14ac:dyDescent="0.25">
      <c r="A1117" s="2"/>
      <c r="C1117" s="68" t="str" cm="1">
        <f t="array" ref="C1117">IF(AF1117&lt;&gt;"",
IFERROR(INDEX('LaunchPad Markbook'!A:A,MATCH(AH1117,'LaunchPad Markbook'!D:D,0),0),"-"),"")</f>
        <v/>
      </c>
      <c r="D1117" s="27"/>
      <c r="E1117" s="27"/>
      <c r="F1117" s="27"/>
      <c r="G1117" s="14">
        <f>IF(OR(H1117&gt;AB$2,I1117&gt;AC$2,J1117&gt;AD$2,
P1117&gt;1,V1117&gt;1,
L1117&gt;'Group List A'!E$2,M1117&gt;'Group List A'!F$2,N1117&gt;'Group List A'!G$2,
R1117&gt;'Group List B'!E$2,S1117&gt;'Group List B'!F$2,T1117&gt;'Group List B'!G$2),"Exceed",
IF(OR(H1117=AB$2,I1117=AC$2,J1117=AD$2,
P1117=1,V1117=1,
L1117='Group List A'!E$2,M1117='Group List A'!F$2,N1117='Group List A'!G$2,
R1117='Group List B'!E$2,S1117='Group List B'!F$2,T1117='Group List B'!G$2),"Limit",0))</f>
        <v>0</v>
      </c>
      <c r="H1117" s="29">
        <f t="shared" si="257"/>
        <v>0</v>
      </c>
      <c r="I1117" s="29">
        <f t="shared" si="258"/>
        <v>0</v>
      </c>
      <c r="J1117" s="29">
        <f t="shared" si="259"/>
        <v>0</v>
      </c>
      <c r="K1117" s="32" t="str" cm="1">
        <f t="array" ref="K1117">IF(AF1117&lt;&gt;"",IFERROR(INDEX('Group List A'!B:B,MATCH(AI1117,'Group List A'!A:A,0),0),"-"),"")</f>
        <v/>
      </c>
      <c r="L1117" s="33">
        <f t="shared" si="260"/>
        <v>0</v>
      </c>
      <c r="M1117" s="33">
        <f t="shared" si="261"/>
        <v>0</v>
      </c>
      <c r="N1117" s="33">
        <f t="shared" si="262"/>
        <v>0</v>
      </c>
      <c r="O1117" s="28"/>
      <c r="P1117" s="33">
        <f t="shared" si="263"/>
        <v>0</v>
      </c>
      <c r="Q1117" s="35" t="str" cm="1">
        <f t="array" ref="Q1117">IF(AF1117&lt;&gt;"",IFERROR(INDEX('Group List B'!B:B,MATCH(AI1117,'Group List B'!A:A,0),0),"-"),"")</f>
        <v/>
      </c>
      <c r="R1117" s="36">
        <f t="shared" si="264"/>
        <v>0</v>
      </c>
      <c r="S1117" s="36">
        <f t="shared" si="265"/>
        <v>0</v>
      </c>
      <c r="T1117" s="36">
        <f t="shared" si="266"/>
        <v>0</v>
      </c>
      <c r="U1117" s="28"/>
      <c r="V1117" s="37">
        <f t="shared" si="267"/>
        <v>0</v>
      </c>
      <c r="W1117" s="41"/>
      <c r="X1117" s="27"/>
      <c r="Y1117" s="27"/>
      <c r="Z1117" s="27"/>
      <c r="AA1117" s="15"/>
      <c r="AB1117" s="17"/>
      <c r="AC1117" s="17"/>
      <c r="AD1117" s="17"/>
      <c r="AE1117" s="90"/>
      <c r="AF1117" s="82" t="str">
        <f t="shared" si="268"/>
        <v/>
      </c>
      <c r="AG1117" s="83" t="str">
        <f t="shared" si="269"/>
        <v/>
      </c>
      <c r="AH1117" s="82" t="str">
        <f t="shared" si="270"/>
        <v/>
      </c>
      <c r="AI1117" s="82" t="str">
        <f t="shared" si="271"/>
        <v/>
      </c>
      <c r="AJ1117" s="90"/>
      <c r="AP1117" s="88"/>
    </row>
    <row r="1118" spans="1:42" x14ac:dyDescent="0.25">
      <c r="A1118" s="2"/>
      <c r="C1118" s="68" t="str" cm="1">
        <f t="array" ref="C1118">IF(AF1118&lt;&gt;"",
IFERROR(INDEX('LaunchPad Markbook'!A:A,MATCH(AH1118,'LaunchPad Markbook'!D:D,0),0),"-"),"")</f>
        <v/>
      </c>
      <c r="D1118" s="27"/>
      <c r="E1118" s="27"/>
      <c r="F1118" s="27"/>
      <c r="G1118" s="14">
        <f>IF(OR(H1118&gt;AB$2,I1118&gt;AC$2,J1118&gt;AD$2,
P1118&gt;1,V1118&gt;1,
L1118&gt;'Group List A'!E$2,M1118&gt;'Group List A'!F$2,N1118&gt;'Group List A'!G$2,
R1118&gt;'Group List B'!E$2,S1118&gt;'Group List B'!F$2,T1118&gt;'Group List B'!G$2),"Exceed",
IF(OR(H1118=AB$2,I1118=AC$2,J1118=AD$2,
P1118=1,V1118=1,
L1118='Group List A'!E$2,M1118='Group List A'!F$2,N1118='Group List A'!G$2,
R1118='Group List B'!E$2,S1118='Group List B'!F$2,T1118='Group List B'!G$2),"Limit",0))</f>
        <v>0</v>
      </c>
      <c r="H1118" s="29">
        <f t="shared" si="257"/>
        <v>0</v>
      </c>
      <c r="I1118" s="29">
        <f t="shared" si="258"/>
        <v>0</v>
      </c>
      <c r="J1118" s="29">
        <f t="shared" si="259"/>
        <v>0</v>
      </c>
      <c r="K1118" s="32" t="str" cm="1">
        <f t="array" ref="K1118">IF(AF1118&lt;&gt;"",IFERROR(INDEX('Group List A'!B:B,MATCH(AI1118,'Group List A'!A:A,0),0),"-"),"")</f>
        <v/>
      </c>
      <c r="L1118" s="33">
        <f t="shared" si="260"/>
        <v>0</v>
      </c>
      <c r="M1118" s="33">
        <f t="shared" si="261"/>
        <v>0</v>
      </c>
      <c r="N1118" s="33">
        <f t="shared" si="262"/>
        <v>0</v>
      </c>
      <c r="O1118" s="28"/>
      <c r="P1118" s="33">
        <f t="shared" si="263"/>
        <v>0</v>
      </c>
      <c r="Q1118" s="35" t="str" cm="1">
        <f t="array" ref="Q1118">IF(AF1118&lt;&gt;"",IFERROR(INDEX('Group List B'!B:B,MATCH(AI1118,'Group List B'!A:A,0),0),"-"),"")</f>
        <v/>
      </c>
      <c r="R1118" s="36">
        <f t="shared" si="264"/>
        <v>0</v>
      </c>
      <c r="S1118" s="36">
        <f t="shared" si="265"/>
        <v>0</v>
      </c>
      <c r="T1118" s="36">
        <f t="shared" si="266"/>
        <v>0</v>
      </c>
      <c r="U1118" s="28"/>
      <c r="V1118" s="37">
        <f t="shared" si="267"/>
        <v>0</v>
      </c>
      <c r="W1118" s="41"/>
      <c r="X1118" s="27"/>
      <c r="Y1118" s="27"/>
      <c r="Z1118" s="27"/>
      <c r="AA1118" s="15"/>
      <c r="AB1118" s="17"/>
      <c r="AC1118" s="17"/>
      <c r="AD1118" s="17"/>
      <c r="AE1118" s="90"/>
      <c r="AF1118" s="82" t="str">
        <f t="shared" si="268"/>
        <v/>
      </c>
      <c r="AG1118" s="83" t="str">
        <f t="shared" si="269"/>
        <v/>
      </c>
      <c r="AH1118" s="82" t="str">
        <f t="shared" si="270"/>
        <v/>
      </c>
      <c r="AI1118" s="82" t="str">
        <f t="shared" si="271"/>
        <v/>
      </c>
      <c r="AJ1118" s="90"/>
      <c r="AP1118" s="88"/>
    </row>
    <row r="1119" spans="1:42" x14ac:dyDescent="0.25">
      <c r="A1119" s="2"/>
      <c r="C1119" s="68" t="str" cm="1">
        <f t="array" ref="C1119">IF(AF1119&lt;&gt;"",
IFERROR(INDEX('LaunchPad Markbook'!A:A,MATCH(AH1119,'LaunchPad Markbook'!D:D,0),0),"-"),"")</f>
        <v/>
      </c>
      <c r="D1119" s="27"/>
      <c r="E1119" s="27"/>
      <c r="F1119" s="27"/>
      <c r="G1119" s="14">
        <f>IF(OR(H1119&gt;AB$2,I1119&gt;AC$2,J1119&gt;AD$2,
P1119&gt;1,V1119&gt;1,
L1119&gt;'Group List A'!E$2,M1119&gt;'Group List A'!F$2,N1119&gt;'Group List A'!G$2,
R1119&gt;'Group List B'!E$2,S1119&gt;'Group List B'!F$2,T1119&gt;'Group List B'!G$2),"Exceed",
IF(OR(H1119=AB$2,I1119=AC$2,J1119=AD$2,
P1119=1,V1119=1,
L1119='Group List A'!E$2,M1119='Group List A'!F$2,N1119='Group List A'!G$2,
R1119='Group List B'!E$2,S1119='Group List B'!F$2,T1119='Group List B'!G$2),"Limit",0))</f>
        <v>0</v>
      </c>
      <c r="H1119" s="29">
        <f t="shared" si="257"/>
        <v>0</v>
      </c>
      <c r="I1119" s="29">
        <f t="shared" si="258"/>
        <v>0</v>
      </c>
      <c r="J1119" s="29">
        <f t="shared" si="259"/>
        <v>0</v>
      </c>
      <c r="K1119" s="32" t="str" cm="1">
        <f t="array" ref="K1119">IF(AF1119&lt;&gt;"",IFERROR(INDEX('Group List A'!B:B,MATCH(AI1119,'Group List A'!A:A,0),0),"-"),"")</f>
        <v/>
      </c>
      <c r="L1119" s="33">
        <f t="shared" si="260"/>
        <v>0</v>
      </c>
      <c r="M1119" s="33">
        <f t="shared" si="261"/>
        <v>0</v>
      </c>
      <c r="N1119" s="33">
        <f t="shared" si="262"/>
        <v>0</v>
      </c>
      <c r="O1119" s="28"/>
      <c r="P1119" s="33">
        <f t="shared" si="263"/>
        <v>0</v>
      </c>
      <c r="Q1119" s="35" t="str" cm="1">
        <f t="array" ref="Q1119">IF(AF1119&lt;&gt;"",IFERROR(INDEX('Group List B'!B:B,MATCH(AI1119,'Group List B'!A:A,0),0),"-"),"")</f>
        <v/>
      </c>
      <c r="R1119" s="36">
        <f t="shared" si="264"/>
        <v>0</v>
      </c>
      <c r="S1119" s="36">
        <f t="shared" si="265"/>
        <v>0</v>
      </c>
      <c r="T1119" s="36">
        <f t="shared" si="266"/>
        <v>0</v>
      </c>
      <c r="U1119" s="28"/>
      <c r="V1119" s="37">
        <f t="shared" si="267"/>
        <v>0</v>
      </c>
      <c r="W1119" s="41"/>
      <c r="X1119" s="27"/>
      <c r="Y1119" s="27"/>
      <c r="Z1119" s="27"/>
      <c r="AA1119" s="15"/>
      <c r="AB1119" s="17"/>
      <c r="AC1119" s="17"/>
      <c r="AD1119" s="17"/>
      <c r="AE1119" s="90"/>
      <c r="AF1119" s="82" t="str">
        <f t="shared" si="268"/>
        <v/>
      </c>
      <c r="AG1119" s="83" t="str">
        <f t="shared" si="269"/>
        <v/>
      </c>
      <c r="AH1119" s="82" t="str">
        <f t="shared" si="270"/>
        <v/>
      </c>
      <c r="AI1119" s="82" t="str">
        <f t="shared" si="271"/>
        <v/>
      </c>
      <c r="AJ1119" s="90"/>
      <c r="AP1119" s="88"/>
    </row>
    <row r="1120" spans="1:42" x14ac:dyDescent="0.25">
      <c r="A1120" s="2"/>
      <c r="C1120" s="68" t="str" cm="1">
        <f t="array" ref="C1120">IF(AF1120&lt;&gt;"",
IFERROR(INDEX('LaunchPad Markbook'!A:A,MATCH(AH1120,'LaunchPad Markbook'!D:D,0),0),"-"),"")</f>
        <v/>
      </c>
      <c r="D1120" s="27"/>
      <c r="E1120" s="27"/>
      <c r="F1120" s="27"/>
      <c r="G1120" s="14">
        <f>IF(OR(H1120&gt;AB$2,I1120&gt;AC$2,J1120&gt;AD$2,
P1120&gt;1,V1120&gt;1,
L1120&gt;'Group List A'!E$2,M1120&gt;'Group List A'!F$2,N1120&gt;'Group List A'!G$2,
R1120&gt;'Group List B'!E$2,S1120&gt;'Group List B'!F$2,T1120&gt;'Group List B'!G$2),"Exceed",
IF(OR(H1120=AB$2,I1120=AC$2,J1120=AD$2,
P1120=1,V1120=1,
L1120='Group List A'!E$2,M1120='Group List A'!F$2,N1120='Group List A'!G$2,
R1120='Group List B'!E$2,S1120='Group List B'!F$2,T1120='Group List B'!G$2),"Limit",0))</f>
        <v>0</v>
      </c>
      <c r="H1120" s="29">
        <f t="shared" si="257"/>
        <v>0</v>
      </c>
      <c r="I1120" s="29">
        <f t="shared" si="258"/>
        <v>0</v>
      </c>
      <c r="J1120" s="29">
        <f t="shared" si="259"/>
        <v>0</v>
      </c>
      <c r="K1120" s="32" t="str" cm="1">
        <f t="array" ref="K1120">IF(AF1120&lt;&gt;"",IFERROR(INDEX('Group List A'!B:B,MATCH(AI1120,'Group List A'!A:A,0),0),"-"),"")</f>
        <v/>
      </c>
      <c r="L1120" s="33">
        <f t="shared" si="260"/>
        <v>0</v>
      </c>
      <c r="M1120" s="33">
        <f t="shared" si="261"/>
        <v>0</v>
      </c>
      <c r="N1120" s="33">
        <f t="shared" si="262"/>
        <v>0</v>
      </c>
      <c r="O1120" s="28"/>
      <c r="P1120" s="33">
        <f t="shared" si="263"/>
        <v>0</v>
      </c>
      <c r="Q1120" s="35" t="str" cm="1">
        <f t="array" ref="Q1120">IF(AF1120&lt;&gt;"",IFERROR(INDEX('Group List B'!B:B,MATCH(AI1120,'Group List B'!A:A,0),0),"-"),"")</f>
        <v/>
      </c>
      <c r="R1120" s="36">
        <f t="shared" si="264"/>
        <v>0</v>
      </c>
      <c r="S1120" s="36">
        <f t="shared" si="265"/>
        <v>0</v>
      </c>
      <c r="T1120" s="36">
        <f t="shared" si="266"/>
        <v>0</v>
      </c>
      <c r="U1120" s="28"/>
      <c r="V1120" s="37">
        <f t="shared" si="267"/>
        <v>0</v>
      </c>
      <c r="W1120" s="41"/>
      <c r="X1120" s="27"/>
      <c r="Y1120" s="27"/>
      <c r="Z1120" s="27"/>
      <c r="AA1120" s="15"/>
      <c r="AB1120" s="17"/>
      <c r="AC1120" s="17"/>
      <c r="AD1120" s="17"/>
      <c r="AE1120" s="90"/>
      <c r="AF1120" s="82" t="str">
        <f t="shared" si="268"/>
        <v/>
      </c>
      <c r="AG1120" s="83" t="str">
        <f t="shared" si="269"/>
        <v/>
      </c>
      <c r="AH1120" s="82" t="str">
        <f t="shared" si="270"/>
        <v/>
      </c>
      <c r="AI1120" s="82" t="str">
        <f t="shared" si="271"/>
        <v/>
      </c>
      <c r="AJ1120" s="90"/>
      <c r="AP1120" s="88"/>
    </row>
    <row r="1121" spans="1:42" x14ac:dyDescent="0.25">
      <c r="A1121" s="2"/>
      <c r="C1121" s="68" t="str" cm="1">
        <f t="array" ref="C1121">IF(AF1121&lt;&gt;"",
IFERROR(INDEX('LaunchPad Markbook'!A:A,MATCH(AH1121,'LaunchPad Markbook'!D:D,0),0),"-"),"")</f>
        <v/>
      </c>
      <c r="D1121" s="27"/>
      <c r="E1121" s="27"/>
      <c r="F1121" s="27"/>
      <c r="G1121" s="14">
        <f>IF(OR(H1121&gt;AB$2,I1121&gt;AC$2,J1121&gt;AD$2,
P1121&gt;1,V1121&gt;1,
L1121&gt;'Group List A'!E$2,M1121&gt;'Group List A'!F$2,N1121&gt;'Group List A'!G$2,
R1121&gt;'Group List B'!E$2,S1121&gt;'Group List B'!F$2,T1121&gt;'Group List B'!G$2),"Exceed",
IF(OR(H1121=AB$2,I1121=AC$2,J1121=AD$2,
P1121=1,V1121=1,
L1121='Group List A'!E$2,M1121='Group List A'!F$2,N1121='Group List A'!G$2,
R1121='Group List B'!E$2,S1121='Group List B'!F$2,T1121='Group List B'!G$2),"Limit",0))</f>
        <v>0</v>
      </c>
      <c r="H1121" s="29">
        <f t="shared" si="257"/>
        <v>0</v>
      </c>
      <c r="I1121" s="29">
        <f t="shared" si="258"/>
        <v>0</v>
      </c>
      <c r="J1121" s="29">
        <f t="shared" si="259"/>
        <v>0</v>
      </c>
      <c r="K1121" s="32" t="str" cm="1">
        <f t="array" ref="K1121">IF(AF1121&lt;&gt;"",IFERROR(INDEX('Group List A'!B:B,MATCH(AI1121,'Group List A'!A:A,0),0),"-"),"")</f>
        <v/>
      </c>
      <c r="L1121" s="33">
        <f t="shared" si="260"/>
        <v>0</v>
      </c>
      <c r="M1121" s="33">
        <f t="shared" si="261"/>
        <v>0</v>
      </c>
      <c r="N1121" s="33">
        <f t="shared" si="262"/>
        <v>0</v>
      </c>
      <c r="O1121" s="28"/>
      <c r="P1121" s="33">
        <f t="shared" si="263"/>
        <v>0</v>
      </c>
      <c r="Q1121" s="35" t="str" cm="1">
        <f t="array" ref="Q1121">IF(AF1121&lt;&gt;"",IFERROR(INDEX('Group List B'!B:B,MATCH(AI1121,'Group List B'!A:A,0),0),"-"),"")</f>
        <v/>
      </c>
      <c r="R1121" s="36">
        <f t="shared" si="264"/>
        <v>0</v>
      </c>
      <c r="S1121" s="36">
        <f t="shared" si="265"/>
        <v>0</v>
      </c>
      <c r="T1121" s="36">
        <f t="shared" si="266"/>
        <v>0</v>
      </c>
      <c r="U1121" s="28"/>
      <c r="V1121" s="37">
        <f t="shared" si="267"/>
        <v>0</v>
      </c>
      <c r="W1121" s="41"/>
      <c r="X1121" s="27"/>
      <c r="Y1121" s="27"/>
      <c r="Z1121" s="27"/>
      <c r="AA1121" s="15"/>
      <c r="AB1121" s="17"/>
      <c r="AC1121" s="17"/>
      <c r="AD1121" s="17"/>
      <c r="AE1121" s="90"/>
      <c r="AF1121" s="82" t="str">
        <f t="shared" si="268"/>
        <v/>
      </c>
      <c r="AG1121" s="83" t="str">
        <f t="shared" si="269"/>
        <v/>
      </c>
      <c r="AH1121" s="82" t="str">
        <f t="shared" si="270"/>
        <v/>
      </c>
      <c r="AI1121" s="82" t="str">
        <f t="shared" si="271"/>
        <v/>
      </c>
      <c r="AJ1121" s="90"/>
      <c r="AP1121" s="88"/>
    </row>
    <row r="1122" spans="1:42" x14ac:dyDescent="0.25">
      <c r="A1122" s="2"/>
      <c r="C1122" s="68" t="str" cm="1">
        <f t="array" ref="C1122">IF(AF1122&lt;&gt;"",
IFERROR(INDEX('LaunchPad Markbook'!A:A,MATCH(AH1122,'LaunchPad Markbook'!D:D,0),0),"-"),"")</f>
        <v/>
      </c>
      <c r="D1122" s="27"/>
      <c r="E1122" s="27"/>
      <c r="F1122" s="27"/>
      <c r="G1122" s="14">
        <f>IF(OR(H1122&gt;AB$2,I1122&gt;AC$2,J1122&gt;AD$2,
P1122&gt;1,V1122&gt;1,
L1122&gt;'Group List A'!E$2,M1122&gt;'Group List A'!F$2,N1122&gt;'Group List A'!G$2,
R1122&gt;'Group List B'!E$2,S1122&gt;'Group List B'!F$2,T1122&gt;'Group List B'!G$2),"Exceed",
IF(OR(H1122=AB$2,I1122=AC$2,J1122=AD$2,
P1122=1,V1122=1,
L1122='Group List A'!E$2,M1122='Group List A'!F$2,N1122='Group List A'!G$2,
R1122='Group List B'!E$2,S1122='Group List B'!F$2,T1122='Group List B'!G$2),"Limit",0))</f>
        <v>0</v>
      </c>
      <c r="H1122" s="29">
        <f t="shared" si="257"/>
        <v>0</v>
      </c>
      <c r="I1122" s="29">
        <f t="shared" si="258"/>
        <v>0</v>
      </c>
      <c r="J1122" s="29">
        <f t="shared" si="259"/>
        <v>0</v>
      </c>
      <c r="K1122" s="32" t="str" cm="1">
        <f t="array" ref="K1122">IF(AF1122&lt;&gt;"",IFERROR(INDEX('Group List A'!B:B,MATCH(AI1122,'Group List A'!A:A,0),0),"-"),"")</f>
        <v/>
      </c>
      <c r="L1122" s="33">
        <f t="shared" si="260"/>
        <v>0</v>
      </c>
      <c r="M1122" s="33">
        <f t="shared" si="261"/>
        <v>0</v>
      </c>
      <c r="N1122" s="33">
        <f t="shared" si="262"/>
        <v>0</v>
      </c>
      <c r="O1122" s="28"/>
      <c r="P1122" s="33">
        <f t="shared" si="263"/>
        <v>0</v>
      </c>
      <c r="Q1122" s="35" t="str" cm="1">
        <f t="array" ref="Q1122">IF(AF1122&lt;&gt;"",IFERROR(INDEX('Group List B'!B:B,MATCH(AI1122,'Group List B'!A:A,0),0),"-"),"")</f>
        <v/>
      </c>
      <c r="R1122" s="36">
        <f t="shared" si="264"/>
        <v>0</v>
      </c>
      <c r="S1122" s="36">
        <f t="shared" si="265"/>
        <v>0</v>
      </c>
      <c r="T1122" s="36">
        <f t="shared" si="266"/>
        <v>0</v>
      </c>
      <c r="U1122" s="28"/>
      <c r="V1122" s="37">
        <f t="shared" si="267"/>
        <v>0</v>
      </c>
      <c r="W1122" s="41"/>
      <c r="X1122" s="27"/>
      <c r="Y1122" s="27"/>
      <c r="Z1122" s="27"/>
      <c r="AA1122" s="15"/>
      <c r="AB1122" s="17"/>
      <c r="AC1122" s="17"/>
      <c r="AD1122" s="17"/>
      <c r="AE1122" s="90"/>
      <c r="AF1122" s="82" t="str">
        <f t="shared" si="268"/>
        <v/>
      </c>
      <c r="AG1122" s="83" t="str">
        <f t="shared" si="269"/>
        <v/>
      </c>
      <c r="AH1122" s="82" t="str">
        <f t="shared" si="270"/>
        <v/>
      </c>
      <c r="AI1122" s="82" t="str">
        <f t="shared" si="271"/>
        <v/>
      </c>
      <c r="AJ1122" s="90"/>
      <c r="AP1122" s="88"/>
    </row>
    <row r="1123" spans="1:42" x14ac:dyDescent="0.25">
      <c r="A1123" s="2"/>
      <c r="C1123" s="68" t="str" cm="1">
        <f t="array" ref="C1123">IF(AF1123&lt;&gt;"",
IFERROR(INDEX('LaunchPad Markbook'!A:A,MATCH(AH1123,'LaunchPad Markbook'!D:D,0),0),"-"),"")</f>
        <v/>
      </c>
      <c r="D1123" s="27"/>
      <c r="E1123" s="27"/>
      <c r="F1123" s="27"/>
      <c r="G1123" s="14">
        <f>IF(OR(H1123&gt;AB$2,I1123&gt;AC$2,J1123&gt;AD$2,
P1123&gt;1,V1123&gt;1,
L1123&gt;'Group List A'!E$2,M1123&gt;'Group List A'!F$2,N1123&gt;'Group List A'!G$2,
R1123&gt;'Group List B'!E$2,S1123&gt;'Group List B'!F$2,T1123&gt;'Group List B'!G$2),"Exceed",
IF(OR(H1123=AB$2,I1123=AC$2,J1123=AD$2,
P1123=1,V1123=1,
L1123='Group List A'!E$2,M1123='Group List A'!F$2,N1123='Group List A'!G$2,
R1123='Group List B'!E$2,S1123='Group List B'!F$2,T1123='Group List B'!G$2),"Limit",0))</f>
        <v>0</v>
      </c>
      <c r="H1123" s="29">
        <f t="shared" si="257"/>
        <v>0</v>
      </c>
      <c r="I1123" s="29">
        <f t="shared" si="258"/>
        <v>0</v>
      </c>
      <c r="J1123" s="29">
        <f t="shared" si="259"/>
        <v>0</v>
      </c>
      <c r="K1123" s="32" t="str" cm="1">
        <f t="array" ref="K1123">IF(AF1123&lt;&gt;"",IFERROR(INDEX('Group List A'!B:B,MATCH(AI1123,'Group List A'!A:A,0),0),"-"),"")</f>
        <v/>
      </c>
      <c r="L1123" s="33">
        <f t="shared" si="260"/>
        <v>0</v>
      </c>
      <c r="M1123" s="33">
        <f t="shared" si="261"/>
        <v>0</v>
      </c>
      <c r="N1123" s="33">
        <f t="shared" si="262"/>
        <v>0</v>
      </c>
      <c r="O1123" s="28"/>
      <c r="P1123" s="33">
        <f t="shared" si="263"/>
        <v>0</v>
      </c>
      <c r="Q1123" s="35" t="str" cm="1">
        <f t="array" ref="Q1123">IF(AF1123&lt;&gt;"",IFERROR(INDEX('Group List B'!B:B,MATCH(AI1123,'Group List B'!A:A,0),0),"-"),"")</f>
        <v/>
      </c>
      <c r="R1123" s="36">
        <f t="shared" si="264"/>
        <v>0</v>
      </c>
      <c r="S1123" s="36">
        <f t="shared" si="265"/>
        <v>0</v>
      </c>
      <c r="T1123" s="36">
        <f t="shared" si="266"/>
        <v>0</v>
      </c>
      <c r="U1123" s="28"/>
      <c r="V1123" s="37">
        <f t="shared" si="267"/>
        <v>0</v>
      </c>
      <c r="W1123" s="41"/>
      <c r="X1123" s="27"/>
      <c r="Y1123" s="27"/>
      <c r="Z1123" s="27"/>
      <c r="AA1123" s="15"/>
      <c r="AB1123" s="17"/>
      <c r="AC1123" s="17"/>
      <c r="AD1123" s="17"/>
      <c r="AE1123" s="90"/>
      <c r="AF1123" s="82" t="str">
        <f t="shared" si="268"/>
        <v/>
      </c>
      <c r="AG1123" s="83" t="str">
        <f t="shared" si="269"/>
        <v/>
      </c>
      <c r="AH1123" s="82" t="str">
        <f t="shared" si="270"/>
        <v/>
      </c>
      <c r="AI1123" s="82" t="str">
        <f t="shared" si="271"/>
        <v/>
      </c>
      <c r="AJ1123" s="90"/>
      <c r="AP1123" s="88"/>
    </row>
    <row r="1124" spans="1:42" x14ac:dyDescent="0.25">
      <c r="A1124" s="2"/>
      <c r="C1124" s="68" t="str" cm="1">
        <f t="array" ref="C1124">IF(AF1124&lt;&gt;"",
IFERROR(INDEX('LaunchPad Markbook'!A:A,MATCH(AH1124,'LaunchPad Markbook'!D:D,0),0),"-"),"")</f>
        <v/>
      </c>
      <c r="D1124" s="27"/>
      <c r="E1124" s="27"/>
      <c r="F1124" s="27"/>
      <c r="G1124" s="14">
        <f>IF(OR(H1124&gt;AB$2,I1124&gt;AC$2,J1124&gt;AD$2,
P1124&gt;1,V1124&gt;1,
L1124&gt;'Group List A'!E$2,M1124&gt;'Group List A'!F$2,N1124&gt;'Group List A'!G$2,
R1124&gt;'Group List B'!E$2,S1124&gt;'Group List B'!F$2,T1124&gt;'Group List B'!G$2),"Exceed",
IF(OR(H1124=AB$2,I1124=AC$2,J1124=AD$2,
P1124=1,V1124=1,
L1124='Group List A'!E$2,M1124='Group List A'!F$2,N1124='Group List A'!G$2,
R1124='Group List B'!E$2,S1124='Group List B'!F$2,T1124='Group List B'!G$2),"Limit",0))</f>
        <v>0</v>
      </c>
      <c r="H1124" s="29">
        <f t="shared" si="257"/>
        <v>0</v>
      </c>
      <c r="I1124" s="29">
        <f t="shared" si="258"/>
        <v>0</v>
      </c>
      <c r="J1124" s="29">
        <f t="shared" si="259"/>
        <v>0</v>
      </c>
      <c r="K1124" s="32" t="str" cm="1">
        <f t="array" ref="K1124">IF(AF1124&lt;&gt;"",IFERROR(INDEX('Group List A'!B:B,MATCH(AI1124,'Group List A'!A:A,0),0),"-"),"")</f>
        <v/>
      </c>
      <c r="L1124" s="33">
        <f t="shared" si="260"/>
        <v>0</v>
      </c>
      <c r="M1124" s="33">
        <f t="shared" si="261"/>
        <v>0</v>
      </c>
      <c r="N1124" s="33">
        <f t="shared" si="262"/>
        <v>0</v>
      </c>
      <c r="O1124" s="28"/>
      <c r="P1124" s="33">
        <f t="shared" si="263"/>
        <v>0</v>
      </c>
      <c r="Q1124" s="35" t="str" cm="1">
        <f t="array" ref="Q1124">IF(AF1124&lt;&gt;"",IFERROR(INDEX('Group List B'!B:B,MATCH(AI1124,'Group List B'!A:A,0),0),"-"),"")</f>
        <v/>
      </c>
      <c r="R1124" s="36">
        <f t="shared" si="264"/>
        <v>0</v>
      </c>
      <c r="S1124" s="36">
        <f t="shared" si="265"/>
        <v>0</v>
      </c>
      <c r="T1124" s="36">
        <f t="shared" si="266"/>
        <v>0</v>
      </c>
      <c r="U1124" s="28"/>
      <c r="V1124" s="37">
        <f t="shared" si="267"/>
        <v>0</v>
      </c>
      <c r="W1124" s="41"/>
      <c r="X1124" s="27"/>
      <c r="Y1124" s="27"/>
      <c r="Z1124" s="27"/>
      <c r="AA1124" s="15"/>
      <c r="AB1124" s="17"/>
      <c r="AC1124" s="17"/>
      <c r="AD1124" s="17"/>
      <c r="AE1124" s="90"/>
      <c r="AF1124" s="82" t="str">
        <f t="shared" si="268"/>
        <v/>
      </c>
      <c r="AG1124" s="83" t="str">
        <f t="shared" si="269"/>
        <v/>
      </c>
      <c r="AH1124" s="82" t="str">
        <f t="shared" si="270"/>
        <v/>
      </c>
      <c r="AI1124" s="82" t="str">
        <f t="shared" si="271"/>
        <v/>
      </c>
      <c r="AJ1124" s="90"/>
      <c r="AP1124" s="88"/>
    </row>
    <row r="1125" spans="1:42" x14ac:dyDescent="0.25">
      <c r="A1125" s="2"/>
      <c r="C1125" s="68" t="str" cm="1">
        <f t="array" ref="C1125">IF(AF1125&lt;&gt;"",
IFERROR(INDEX('LaunchPad Markbook'!A:A,MATCH(AH1125,'LaunchPad Markbook'!D:D,0),0),"-"),"")</f>
        <v/>
      </c>
      <c r="D1125" s="27"/>
      <c r="E1125" s="27"/>
      <c r="F1125" s="27"/>
      <c r="G1125" s="14">
        <f>IF(OR(H1125&gt;AB$2,I1125&gt;AC$2,J1125&gt;AD$2,
P1125&gt;1,V1125&gt;1,
L1125&gt;'Group List A'!E$2,M1125&gt;'Group List A'!F$2,N1125&gt;'Group List A'!G$2,
R1125&gt;'Group List B'!E$2,S1125&gt;'Group List B'!F$2,T1125&gt;'Group List B'!G$2),"Exceed",
IF(OR(H1125=AB$2,I1125=AC$2,J1125=AD$2,
P1125=1,V1125=1,
L1125='Group List A'!E$2,M1125='Group List A'!F$2,N1125='Group List A'!G$2,
R1125='Group List B'!E$2,S1125='Group List B'!F$2,T1125='Group List B'!G$2),"Limit",0))</f>
        <v>0</v>
      </c>
      <c r="H1125" s="29">
        <f t="shared" si="257"/>
        <v>0</v>
      </c>
      <c r="I1125" s="29">
        <f t="shared" si="258"/>
        <v>0</v>
      </c>
      <c r="J1125" s="29">
        <f t="shared" si="259"/>
        <v>0</v>
      </c>
      <c r="K1125" s="32" t="str" cm="1">
        <f t="array" ref="K1125">IF(AF1125&lt;&gt;"",IFERROR(INDEX('Group List A'!B:B,MATCH(AI1125,'Group List A'!A:A,0),0),"-"),"")</f>
        <v/>
      </c>
      <c r="L1125" s="33">
        <f t="shared" si="260"/>
        <v>0</v>
      </c>
      <c r="M1125" s="33">
        <f t="shared" si="261"/>
        <v>0</v>
      </c>
      <c r="N1125" s="33">
        <f t="shared" si="262"/>
        <v>0</v>
      </c>
      <c r="O1125" s="28"/>
      <c r="P1125" s="33">
        <f t="shared" si="263"/>
        <v>0</v>
      </c>
      <c r="Q1125" s="35" t="str" cm="1">
        <f t="array" ref="Q1125">IF(AF1125&lt;&gt;"",IFERROR(INDEX('Group List B'!B:B,MATCH(AI1125,'Group List B'!A:A,0),0),"-"),"")</f>
        <v/>
      </c>
      <c r="R1125" s="36">
        <f t="shared" si="264"/>
        <v>0</v>
      </c>
      <c r="S1125" s="36">
        <f t="shared" si="265"/>
        <v>0</v>
      </c>
      <c r="T1125" s="36">
        <f t="shared" si="266"/>
        <v>0</v>
      </c>
      <c r="U1125" s="28"/>
      <c r="V1125" s="37">
        <f t="shared" si="267"/>
        <v>0</v>
      </c>
      <c r="W1125" s="41"/>
      <c r="X1125" s="27"/>
      <c r="Y1125" s="27"/>
      <c r="Z1125" s="27"/>
      <c r="AA1125" s="15"/>
      <c r="AB1125" s="17"/>
      <c r="AC1125" s="17"/>
      <c r="AD1125" s="17"/>
      <c r="AE1125" s="90"/>
      <c r="AF1125" s="82" t="str">
        <f t="shared" si="268"/>
        <v/>
      </c>
      <c r="AG1125" s="83" t="str">
        <f t="shared" si="269"/>
        <v/>
      </c>
      <c r="AH1125" s="82" t="str">
        <f t="shared" si="270"/>
        <v/>
      </c>
      <c r="AI1125" s="82" t="str">
        <f t="shared" si="271"/>
        <v/>
      </c>
      <c r="AJ1125" s="90"/>
      <c r="AP1125" s="88"/>
    </row>
    <row r="1126" spans="1:42" x14ac:dyDescent="0.25">
      <c r="A1126" s="2"/>
      <c r="C1126" s="68" t="str" cm="1">
        <f t="array" ref="C1126">IF(AF1126&lt;&gt;"",
IFERROR(INDEX('LaunchPad Markbook'!A:A,MATCH(AH1126,'LaunchPad Markbook'!D:D,0),0),"-"),"")</f>
        <v/>
      </c>
      <c r="D1126" s="27"/>
      <c r="E1126" s="27"/>
      <c r="F1126" s="27"/>
      <c r="G1126" s="14">
        <f>IF(OR(H1126&gt;AB$2,I1126&gt;AC$2,J1126&gt;AD$2,
P1126&gt;1,V1126&gt;1,
L1126&gt;'Group List A'!E$2,M1126&gt;'Group List A'!F$2,N1126&gt;'Group List A'!G$2,
R1126&gt;'Group List B'!E$2,S1126&gt;'Group List B'!F$2,T1126&gt;'Group List B'!G$2),"Exceed",
IF(OR(H1126=AB$2,I1126=AC$2,J1126=AD$2,
P1126=1,V1126=1,
L1126='Group List A'!E$2,M1126='Group List A'!F$2,N1126='Group List A'!G$2,
R1126='Group List B'!E$2,S1126='Group List B'!F$2,T1126='Group List B'!G$2),"Limit",0))</f>
        <v>0</v>
      </c>
      <c r="H1126" s="29">
        <f t="shared" si="257"/>
        <v>0</v>
      </c>
      <c r="I1126" s="29">
        <f t="shared" si="258"/>
        <v>0</v>
      </c>
      <c r="J1126" s="29">
        <f t="shared" si="259"/>
        <v>0</v>
      </c>
      <c r="K1126" s="32" t="str" cm="1">
        <f t="array" ref="K1126">IF(AF1126&lt;&gt;"",IFERROR(INDEX('Group List A'!B:B,MATCH(AI1126,'Group List A'!A:A,0),0),"-"),"")</f>
        <v/>
      </c>
      <c r="L1126" s="33">
        <f t="shared" si="260"/>
        <v>0</v>
      </c>
      <c r="M1126" s="33">
        <f t="shared" si="261"/>
        <v>0</v>
      </c>
      <c r="N1126" s="33">
        <f t="shared" si="262"/>
        <v>0</v>
      </c>
      <c r="O1126" s="28"/>
      <c r="P1126" s="33">
        <f t="shared" si="263"/>
        <v>0</v>
      </c>
      <c r="Q1126" s="35" t="str" cm="1">
        <f t="array" ref="Q1126">IF(AF1126&lt;&gt;"",IFERROR(INDEX('Group List B'!B:B,MATCH(AI1126,'Group List B'!A:A,0),0),"-"),"")</f>
        <v/>
      </c>
      <c r="R1126" s="36">
        <f t="shared" si="264"/>
        <v>0</v>
      </c>
      <c r="S1126" s="36">
        <f t="shared" si="265"/>
        <v>0</v>
      </c>
      <c r="T1126" s="36">
        <f t="shared" si="266"/>
        <v>0</v>
      </c>
      <c r="U1126" s="28"/>
      <c r="V1126" s="37">
        <f t="shared" si="267"/>
        <v>0</v>
      </c>
      <c r="W1126" s="41"/>
      <c r="X1126" s="27"/>
      <c r="Y1126" s="27"/>
      <c r="Z1126" s="27"/>
      <c r="AA1126" s="15"/>
      <c r="AB1126" s="17"/>
      <c r="AC1126" s="17"/>
      <c r="AD1126" s="17"/>
      <c r="AE1126" s="90"/>
      <c r="AF1126" s="82" t="str">
        <f t="shared" si="268"/>
        <v/>
      </c>
      <c r="AG1126" s="83" t="str">
        <f t="shared" si="269"/>
        <v/>
      </c>
      <c r="AH1126" s="82" t="str">
        <f t="shared" si="270"/>
        <v/>
      </c>
      <c r="AI1126" s="82" t="str">
        <f t="shared" si="271"/>
        <v/>
      </c>
      <c r="AJ1126" s="90"/>
      <c r="AP1126" s="88"/>
    </row>
    <row r="1127" spans="1:42" x14ac:dyDescent="0.25">
      <c r="A1127" s="2"/>
      <c r="C1127" s="68" t="str" cm="1">
        <f t="array" ref="C1127">IF(AF1127&lt;&gt;"",
IFERROR(INDEX('LaunchPad Markbook'!A:A,MATCH(AH1127,'LaunchPad Markbook'!D:D,0),0),"-"),"")</f>
        <v/>
      </c>
      <c r="D1127" s="27"/>
      <c r="E1127" s="27"/>
      <c r="F1127" s="27"/>
      <c r="G1127" s="14">
        <f>IF(OR(H1127&gt;AB$2,I1127&gt;AC$2,J1127&gt;AD$2,
P1127&gt;1,V1127&gt;1,
L1127&gt;'Group List A'!E$2,M1127&gt;'Group List A'!F$2,N1127&gt;'Group List A'!G$2,
R1127&gt;'Group List B'!E$2,S1127&gt;'Group List B'!F$2,T1127&gt;'Group List B'!G$2),"Exceed",
IF(OR(H1127=AB$2,I1127=AC$2,J1127=AD$2,
P1127=1,V1127=1,
L1127='Group List A'!E$2,M1127='Group List A'!F$2,N1127='Group List A'!G$2,
R1127='Group List B'!E$2,S1127='Group List B'!F$2,T1127='Group List B'!G$2),"Limit",0))</f>
        <v>0</v>
      </c>
      <c r="H1127" s="29">
        <f t="shared" si="257"/>
        <v>0</v>
      </c>
      <c r="I1127" s="29">
        <f t="shared" si="258"/>
        <v>0</v>
      </c>
      <c r="J1127" s="29">
        <f t="shared" si="259"/>
        <v>0</v>
      </c>
      <c r="K1127" s="32" t="str" cm="1">
        <f t="array" ref="K1127">IF(AF1127&lt;&gt;"",IFERROR(INDEX('Group List A'!B:B,MATCH(AI1127,'Group List A'!A:A,0),0),"-"),"")</f>
        <v/>
      </c>
      <c r="L1127" s="33">
        <f t="shared" si="260"/>
        <v>0</v>
      </c>
      <c r="M1127" s="33">
        <f t="shared" si="261"/>
        <v>0</v>
      </c>
      <c r="N1127" s="33">
        <f t="shared" si="262"/>
        <v>0</v>
      </c>
      <c r="O1127" s="28"/>
      <c r="P1127" s="33">
        <f t="shared" si="263"/>
        <v>0</v>
      </c>
      <c r="Q1127" s="35" t="str" cm="1">
        <f t="array" ref="Q1127">IF(AF1127&lt;&gt;"",IFERROR(INDEX('Group List B'!B:B,MATCH(AI1127,'Group List B'!A:A,0),0),"-"),"")</f>
        <v/>
      </c>
      <c r="R1127" s="36">
        <f t="shared" si="264"/>
        <v>0</v>
      </c>
      <c r="S1127" s="36">
        <f t="shared" si="265"/>
        <v>0</v>
      </c>
      <c r="T1127" s="36">
        <f t="shared" si="266"/>
        <v>0</v>
      </c>
      <c r="U1127" s="28"/>
      <c r="V1127" s="37">
        <f t="shared" si="267"/>
        <v>0</v>
      </c>
      <c r="W1127" s="41"/>
      <c r="X1127" s="27"/>
      <c r="Y1127" s="27"/>
      <c r="Z1127" s="27"/>
      <c r="AA1127" s="15"/>
      <c r="AB1127" s="17"/>
      <c r="AC1127" s="17"/>
      <c r="AD1127" s="17"/>
      <c r="AE1127" s="90"/>
      <c r="AF1127" s="82" t="str">
        <f t="shared" si="268"/>
        <v/>
      </c>
      <c r="AG1127" s="83" t="str">
        <f t="shared" si="269"/>
        <v/>
      </c>
      <c r="AH1127" s="82" t="str">
        <f t="shared" si="270"/>
        <v/>
      </c>
      <c r="AI1127" s="82" t="str">
        <f t="shared" si="271"/>
        <v/>
      </c>
      <c r="AJ1127" s="90"/>
      <c r="AP1127" s="88"/>
    </row>
    <row r="1128" spans="1:42" x14ac:dyDescent="0.25">
      <c r="A1128" s="2"/>
      <c r="C1128" s="68" t="str" cm="1">
        <f t="array" ref="C1128">IF(AF1128&lt;&gt;"",
IFERROR(INDEX('LaunchPad Markbook'!A:A,MATCH(AH1128,'LaunchPad Markbook'!D:D,0),0),"-"),"")</f>
        <v/>
      </c>
      <c r="D1128" s="27"/>
      <c r="E1128" s="27"/>
      <c r="F1128" s="27"/>
      <c r="G1128" s="14">
        <f>IF(OR(H1128&gt;AB$2,I1128&gt;AC$2,J1128&gt;AD$2,
P1128&gt;1,V1128&gt;1,
L1128&gt;'Group List A'!E$2,M1128&gt;'Group List A'!F$2,N1128&gt;'Group List A'!G$2,
R1128&gt;'Group List B'!E$2,S1128&gt;'Group List B'!F$2,T1128&gt;'Group List B'!G$2),"Exceed",
IF(OR(H1128=AB$2,I1128=AC$2,J1128=AD$2,
P1128=1,V1128=1,
L1128='Group List A'!E$2,M1128='Group List A'!F$2,N1128='Group List A'!G$2,
R1128='Group List B'!E$2,S1128='Group List B'!F$2,T1128='Group List B'!G$2),"Limit",0))</f>
        <v>0</v>
      </c>
      <c r="H1128" s="29">
        <f t="shared" si="257"/>
        <v>0</v>
      </c>
      <c r="I1128" s="29">
        <f t="shared" si="258"/>
        <v>0</v>
      </c>
      <c r="J1128" s="29">
        <f t="shared" si="259"/>
        <v>0</v>
      </c>
      <c r="K1128" s="32" t="str" cm="1">
        <f t="array" ref="K1128">IF(AF1128&lt;&gt;"",IFERROR(INDEX('Group List A'!B:B,MATCH(AI1128,'Group List A'!A:A,0),0),"-"),"")</f>
        <v/>
      </c>
      <c r="L1128" s="33">
        <f t="shared" si="260"/>
        <v>0</v>
      </c>
      <c r="M1128" s="33">
        <f t="shared" si="261"/>
        <v>0</v>
      </c>
      <c r="N1128" s="33">
        <f t="shared" si="262"/>
        <v>0</v>
      </c>
      <c r="O1128" s="28"/>
      <c r="P1128" s="33">
        <f t="shared" si="263"/>
        <v>0</v>
      </c>
      <c r="Q1128" s="35" t="str" cm="1">
        <f t="array" ref="Q1128">IF(AF1128&lt;&gt;"",IFERROR(INDEX('Group List B'!B:B,MATCH(AI1128,'Group List B'!A:A,0),0),"-"),"")</f>
        <v/>
      </c>
      <c r="R1128" s="36">
        <f t="shared" si="264"/>
        <v>0</v>
      </c>
      <c r="S1128" s="36">
        <f t="shared" si="265"/>
        <v>0</v>
      </c>
      <c r="T1128" s="36">
        <f t="shared" si="266"/>
        <v>0</v>
      </c>
      <c r="U1128" s="28"/>
      <c r="V1128" s="37">
        <f t="shared" si="267"/>
        <v>0</v>
      </c>
      <c r="W1128" s="41"/>
      <c r="X1128" s="27"/>
      <c r="Y1128" s="27"/>
      <c r="Z1128" s="27"/>
      <c r="AA1128" s="15"/>
      <c r="AB1128" s="17"/>
      <c r="AC1128" s="17"/>
      <c r="AD1128" s="17"/>
      <c r="AE1128" s="90"/>
      <c r="AF1128" s="82" t="str">
        <f t="shared" si="268"/>
        <v/>
      </c>
      <c r="AG1128" s="83" t="str">
        <f t="shared" si="269"/>
        <v/>
      </c>
      <c r="AH1128" s="82" t="str">
        <f t="shared" si="270"/>
        <v/>
      </c>
      <c r="AI1128" s="82" t="str">
        <f t="shared" si="271"/>
        <v/>
      </c>
      <c r="AJ1128" s="90"/>
      <c r="AP1128" s="88"/>
    </row>
    <row r="1129" spans="1:42" x14ac:dyDescent="0.25">
      <c r="A1129" s="2"/>
      <c r="C1129" s="68" t="str" cm="1">
        <f t="array" ref="C1129">IF(AF1129&lt;&gt;"",
IFERROR(INDEX('LaunchPad Markbook'!A:A,MATCH(AH1129,'LaunchPad Markbook'!D:D,0),0),"-"),"")</f>
        <v/>
      </c>
      <c r="D1129" s="27"/>
      <c r="E1129" s="27"/>
      <c r="F1129" s="27"/>
      <c r="G1129" s="14">
        <f>IF(OR(H1129&gt;AB$2,I1129&gt;AC$2,J1129&gt;AD$2,
P1129&gt;1,V1129&gt;1,
L1129&gt;'Group List A'!E$2,M1129&gt;'Group List A'!F$2,N1129&gt;'Group List A'!G$2,
R1129&gt;'Group List B'!E$2,S1129&gt;'Group List B'!F$2,T1129&gt;'Group List B'!G$2),"Exceed",
IF(OR(H1129=AB$2,I1129=AC$2,J1129=AD$2,
P1129=1,V1129=1,
L1129='Group List A'!E$2,M1129='Group List A'!F$2,N1129='Group List A'!G$2,
R1129='Group List B'!E$2,S1129='Group List B'!F$2,T1129='Group List B'!G$2),"Limit",0))</f>
        <v>0</v>
      </c>
      <c r="H1129" s="29">
        <f t="shared" si="257"/>
        <v>0</v>
      </c>
      <c r="I1129" s="29">
        <f t="shared" si="258"/>
        <v>0</v>
      </c>
      <c r="J1129" s="29">
        <f t="shared" si="259"/>
        <v>0</v>
      </c>
      <c r="K1129" s="32" t="str" cm="1">
        <f t="array" ref="K1129">IF(AF1129&lt;&gt;"",IFERROR(INDEX('Group List A'!B:B,MATCH(AI1129,'Group List A'!A:A,0),0),"-"),"")</f>
        <v/>
      </c>
      <c r="L1129" s="33">
        <f t="shared" si="260"/>
        <v>0</v>
      </c>
      <c r="M1129" s="33">
        <f t="shared" si="261"/>
        <v>0</v>
      </c>
      <c r="N1129" s="33">
        <f t="shared" si="262"/>
        <v>0</v>
      </c>
      <c r="O1129" s="28"/>
      <c r="P1129" s="33">
        <f t="shared" si="263"/>
        <v>0</v>
      </c>
      <c r="Q1129" s="35" t="str" cm="1">
        <f t="array" ref="Q1129">IF(AF1129&lt;&gt;"",IFERROR(INDEX('Group List B'!B:B,MATCH(AI1129,'Group List B'!A:A,0),0),"-"),"")</f>
        <v/>
      </c>
      <c r="R1129" s="36">
        <f t="shared" si="264"/>
        <v>0</v>
      </c>
      <c r="S1129" s="36">
        <f t="shared" si="265"/>
        <v>0</v>
      </c>
      <c r="T1129" s="36">
        <f t="shared" si="266"/>
        <v>0</v>
      </c>
      <c r="U1129" s="28"/>
      <c r="V1129" s="37">
        <f t="shared" si="267"/>
        <v>0</v>
      </c>
      <c r="W1129" s="41"/>
      <c r="X1129" s="27"/>
      <c r="Y1129" s="27"/>
      <c r="Z1129" s="27"/>
      <c r="AA1129" s="15"/>
      <c r="AB1129" s="17"/>
      <c r="AC1129" s="17"/>
      <c r="AD1129" s="17"/>
      <c r="AE1129" s="90"/>
      <c r="AF1129" s="82" t="str">
        <f t="shared" si="268"/>
        <v/>
      </c>
      <c r="AG1129" s="83" t="str">
        <f t="shared" si="269"/>
        <v/>
      </c>
      <c r="AH1129" s="82" t="str">
        <f t="shared" si="270"/>
        <v/>
      </c>
      <c r="AI1129" s="82" t="str">
        <f t="shared" si="271"/>
        <v/>
      </c>
      <c r="AJ1129" s="90"/>
      <c r="AP1129" s="88"/>
    </row>
    <row r="1130" spans="1:42" x14ac:dyDescent="0.25">
      <c r="A1130" s="2"/>
      <c r="C1130" s="68" t="str" cm="1">
        <f t="array" ref="C1130">IF(AF1130&lt;&gt;"",
IFERROR(INDEX('LaunchPad Markbook'!A:A,MATCH(AH1130,'LaunchPad Markbook'!D:D,0),0),"-"),"")</f>
        <v/>
      </c>
      <c r="D1130" s="27"/>
      <c r="E1130" s="27"/>
      <c r="F1130" s="27"/>
      <c r="G1130" s="14">
        <f>IF(OR(H1130&gt;AB$2,I1130&gt;AC$2,J1130&gt;AD$2,
P1130&gt;1,V1130&gt;1,
L1130&gt;'Group List A'!E$2,M1130&gt;'Group List A'!F$2,N1130&gt;'Group List A'!G$2,
R1130&gt;'Group List B'!E$2,S1130&gt;'Group List B'!F$2,T1130&gt;'Group List B'!G$2),"Exceed",
IF(OR(H1130=AB$2,I1130=AC$2,J1130=AD$2,
P1130=1,V1130=1,
L1130='Group List A'!E$2,M1130='Group List A'!F$2,N1130='Group List A'!G$2,
R1130='Group List B'!E$2,S1130='Group List B'!F$2,T1130='Group List B'!G$2),"Limit",0))</f>
        <v>0</v>
      </c>
      <c r="H1130" s="29">
        <f t="shared" si="257"/>
        <v>0</v>
      </c>
      <c r="I1130" s="29">
        <f t="shared" si="258"/>
        <v>0</v>
      </c>
      <c r="J1130" s="29">
        <f t="shared" si="259"/>
        <v>0</v>
      </c>
      <c r="K1130" s="32" t="str" cm="1">
        <f t="array" ref="K1130">IF(AF1130&lt;&gt;"",IFERROR(INDEX('Group List A'!B:B,MATCH(AI1130,'Group List A'!A:A,0),0),"-"),"")</f>
        <v/>
      </c>
      <c r="L1130" s="33">
        <f t="shared" si="260"/>
        <v>0</v>
      </c>
      <c r="M1130" s="33">
        <f t="shared" si="261"/>
        <v>0</v>
      </c>
      <c r="N1130" s="33">
        <f t="shared" si="262"/>
        <v>0</v>
      </c>
      <c r="O1130" s="28"/>
      <c r="P1130" s="33">
        <f t="shared" si="263"/>
        <v>0</v>
      </c>
      <c r="Q1130" s="35" t="str" cm="1">
        <f t="array" ref="Q1130">IF(AF1130&lt;&gt;"",IFERROR(INDEX('Group List B'!B:B,MATCH(AI1130,'Group List B'!A:A,0),0),"-"),"")</f>
        <v/>
      </c>
      <c r="R1130" s="36">
        <f t="shared" si="264"/>
        <v>0</v>
      </c>
      <c r="S1130" s="36">
        <f t="shared" si="265"/>
        <v>0</v>
      </c>
      <c r="T1130" s="36">
        <f t="shared" si="266"/>
        <v>0</v>
      </c>
      <c r="U1130" s="28"/>
      <c r="V1130" s="37">
        <f t="shared" si="267"/>
        <v>0</v>
      </c>
      <c r="W1130" s="41"/>
      <c r="X1130" s="27"/>
      <c r="Y1130" s="27"/>
      <c r="Z1130" s="27"/>
      <c r="AA1130" s="15"/>
      <c r="AB1130" s="17"/>
      <c r="AC1130" s="17"/>
      <c r="AD1130" s="17"/>
      <c r="AE1130" s="90"/>
      <c r="AF1130" s="82" t="str">
        <f t="shared" si="268"/>
        <v/>
      </c>
      <c r="AG1130" s="83" t="str">
        <f t="shared" si="269"/>
        <v/>
      </c>
      <c r="AH1130" s="82" t="str">
        <f t="shared" si="270"/>
        <v/>
      </c>
      <c r="AI1130" s="82" t="str">
        <f t="shared" si="271"/>
        <v/>
      </c>
      <c r="AJ1130" s="90"/>
      <c r="AP1130" s="88"/>
    </row>
    <row r="1131" spans="1:42" x14ac:dyDescent="0.25">
      <c r="A1131" s="2"/>
      <c r="C1131" s="68" t="str" cm="1">
        <f t="array" ref="C1131">IF(AF1131&lt;&gt;"",
IFERROR(INDEX('LaunchPad Markbook'!A:A,MATCH(AH1131,'LaunchPad Markbook'!D:D,0),0),"-"),"")</f>
        <v/>
      </c>
      <c r="D1131" s="27"/>
      <c r="E1131" s="27"/>
      <c r="F1131" s="27"/>
      <c r="G1131" s="14">
        <f>IF(OR(H1131&gt;AB$2,I1131&gt;AC$2,J1131&gt;AD$2,
P1131&gt;1,V1131&gt;1,
L1131&gt;'Group List A'!E$2,M1131&gt;'Group List A'!F$2,N1131&gt;'Group List A'!G$2,
R1131&gt;'Group List B'!E$2,S1131&gt;'Group List B'!F$2,T1131&gt;'Group List B'!G$2),"Exceed",
IF(OR(H1131=AB$2,I1131=AC$2,J1131=AD$2,
P1131=1,V1131=1,
L1131='Group List A'!E$2,M1131='Group List A'!F$2,N1131='Group List A'!G$2,
R1131='Group List B'!E$2,S1131='Group List B'!F$2,T1131='Group List B'!G$2),"Limit",0))</f>
        <v>0</v>
      </c>
      <c r="H1131" s="29">
        <f t="shared" si="257"/>
        <v>0</v>
      </c>
      <c r="I1131" s="29">
        <f t="shared" si="258"/>
        <v>0</v>
      </c>
      <c r="J1131" s="29">
        <f t="shared" si="259"/>
        <v>0</v>
      </c>
      <c r="K1131" s="32" t="str" cm="1">
        <f t="array" ref="K1131">IF(AF1131&lt;&gt;"",IFERROR(INDEX('Group List A'!B:B,MATCH(AI1131,'Group List A'!A:A,0),0),"-"),"")</f>
        <v/>
      </c>
      <c r="L1131" s="33">
        <f t="shared" si="260"/>
        <v>0</v>
      </c>
      <c r="M1131" s="33">
        <f t="shared" si="261"/>
        <v>0</v>
      </c>
      <c r="N1131" s="33">
        <f t="shared" si="262"/>
        <v>0</v>
      </c>
      <c r="O1131" s="28"/>
      <c r="P1131" s="33">
        <f t="shared" si="263"/>
        <v>0</v>
      </c>
      <c r="Q1131" s="35" t="str" cm="1">
        <f t="array" ref="Q1131">IF(AF1131&lt;&gt;"",IFERROR(INDEX('Group List B'!B:B,MATCH(AI1131,'Group List B'!A:A,0),0),"-"),"")</f>
        <v/>
      </c>
      <c r="R1131" s="36">
        <f t="shared" si="264"/>
        <v>0</v>
      </c>
      <c r="S1131" s="36">
        <f t="shared" si="265"/>
        <v>0</v>
      </c>
      <c r="T1131" s="36">
        <f t="shared" si="266"/>
        <v>0</v>
      </c>
      <c r="U1131" s="28"/>
      <c r="V1131" s="37">
        <f t="shared" si="267"/>
        <v>0</v>
      </c>
      <c r="W1131" s="41"/>
      <c r="X1131" s="27"/>
      <c r="Y1131" s="27"/>
      <c r="Z1131" s="27"/>
      <c r="AA1131" s="15"/>
      <c r="AB1131" s="17"/>
      <c r="AC1131" s="17"/>
      <c r="AD1131" s="17"/>
      <c r="AE1131" s="90"/>
      <c r="AF1131" s="82" t="str">
        <f t="shared" si="268"/>
        <v/>
      </c>
      <c r="AG1131" s="83" t="str">
        <f t="shared" si="269"/>
        <v/>
      </c>
      <c r="AH1131" s="82" t="str">
        <f t="shared" si="270"/>
        <v/>
      </c>
      <c r="AI1131" s="82" t="str">
        <f t="shared" si="271"/>
        <v/>
      </c>
      <c r="AJ1131" s="90"/>
      <c r="AP1131" s="88"/>
    </row>
    <row r="1132" spans="1:42" x14ac:dyDescent="0.25">
      <c r="A1132" s="2"/>
      <c r="C1132" s="68" t="str" cm="1">
        <f t="array" ref="C1132">IF(AF1132&lt;&gt;"",
IFERROR(INDEX('LaunchPad Markbook'!A:A,MATCH(AH1132,'LaunchPad Markbook'!D:D,0),0),"-"),"")</f>
        <v/>
      </c>
      <c r="D1132" s="27"/>
      <c r="E1132" s="27"/>
      <c r="F1132" s="27"/>
      <c r="G1132" s="14">
        <f>IF(OR(H1132&gt;AB$2,I1132&gt;AC$2,J1132&gt;AD$2,
P1132&gt;1,V1132&gt;1,
L1132&gt;'Group List A'!E$2,M1132&gt;'Group List A'!F$2,N1132&gt;'Group List A'!G$2,
R1132&gt;'Group List B'!E$2,S1132&gt;'Group List B'!F$2,T1132&gt;'Group List B'!G$2),"Exceed",
IF(OR(H1132=AB$2,I1132=AC$2,J1132=AD$2,
P1132=1,V1132=1,
L1132='Group List A'!E$2,M1132='Group List A'!F$2,N1132='Group List A'!G$2,
R1132='Group List B'!E$2,S1132='Group List B'!F$2,T1132='Group List B'!G$2),"Limit",0))</f>
        <v>0</v>
      </c>
      <c r="H1132" s="29">
        <f t="shared" si="257"/>
        <v>0</v>
      </c>
      <c r="I1132" s="29">
        <f t="shared" si="258"/>
        <v>0</v>
      </c>
      <c r="J1132" s="29">
        <f t="shared" si="259"/>
        <v>0</v>
      </c>
      <c r="K1132" s="32" t="str" cm="1">
        <f t="array" ref="K1132">IF(AF1132&lt;&gt;"",IFERROR(INDEX('Group List A'!B:B,MATCH(AI1132,'Group List A'!A:A,0),0),"-"),"")</f>
        <v/>
      </c>
      <c r="L1132" s="33">
        <f t="shared" si="260"/>
        <v>0</v>
      </c>
      <c r="M1132" s="33">
        <f t="shared" si="261"/>
        <v>0</v>
      </c>
      <c r="N1132" s="33">
        <f t="shared" si="262"/>
        <v>0</v>
      </c>
      <c r="O1132" s="28"/>
      <c r="P1132" s="33">
        <f t="shared" si="263"/>
        <v>0</v>
      </c>
      <c r="Q1132" s="35" t="str" cm="1">
        <f t="array" ref="Q1132">IF(AF1132&lt;&gt;"",IFERROR(INDEX('Group List B'!B:B,MATCH(AI1132,'Group List B'!A:A,0),0),"-"),"")</f>
        <v/>
      </c>
      <c r="R1132" s="36">
        <f t="shared" si="264"/>
        <v>0</v>
      </c>
      <c r="S1132" s="36">
        <f t="shared" si="265"/>
        <v>0</v>
      </c>
      <c r="T1132" s="36">
        <f t="shared" si="266"/>
        <v>0</v>
      </c>
      <c r="U1132" s="28"/>
      <c r="V1132" s="37">
        <f t="shared" si="267"/>
        <v>0</v>
      </c>
      <c r="W1132" s="41"/>
      <c r="X1132" s="27"/>
      <c r="Y1132" s="27"/>
      <c r="Z1132" s="27"/>
      <c r="AA1132" s="15"/>
      <c r="AB1132" s="17"/>
      <c r="AC1132" s="17"/>
      <c r="AD1132" s="17"/>
      <c r="AE1132" s="90"/>
      <c r="AF1132" s="82" t="str">
        <f t="shared" si="268"/>
        <v/>
      </c>
      <c r="AG1132" s="83" t="str">
        <f t="shared" si="269"/>
        <v/>
      </c>
      <c r="AH1132" s="82" t="str">
        <f t="shared" si="270"/>
        <v/>
      </c>
      <c r="AI1132" s="82" t="str">
        <f t="shared" si="271"/>
        <v/>
      </c>
      <c r="AJ1132" s="90"/>
      <c r="AP1132" s="88"/>
    </row>
    <row r="1133" spans="1:42" x14ac:dyDescent="0.25">
      <c r="A1133" s="2"/>
      <c r="C1133" s="68" t="str" cm="1">
        <f t="array" ref="C1133">IF(AF1133&lt;&gt;"",
IFERROR(INDEX('LaunchPad Markbook'!A:A,MATCH(AH1133,'LaunchPad Markbook'!D:D,0),0),"-"),"")</f>
        <v/>
      </c>
      <c r="D1133" s="27"/>
      <c r="E1133" s="27"/>
      <c r="F1133" s="27"/>
      <c r="G1133" s="14">
        <f>IF(OR(H1133&gt;AB$2,I1133&gt;AC$2,J1133&gt;AD$2,
P1133&gt;1,V1133&gt;1,
L1133&gt;'Group List A'!E$2,M1133&gt;'Group List A'!F$2,N1133&gt;'Group List A'!G$2,
R1133&gt;'Group List B'!E$2,S1133&gt;'Group List B'!F$2,T1133&gt;'Group List B'!G$2),"Exceed",
IF(OR(H1133=AB$2,I1133=AC$2,J1133=AD$2,
P1133=1,V1133=1,
L1133='Group List A'!E$2,M1133='Group List A'!F$2,N1133='Group List A'!G$2,
R1133='Group List B'!E$2,S1133='Group List B'!F$2,T1133='Group List B'!G$2),"Limit",0))</f>
        <v>0</v>
      </c>
      <c r="H1133" s="29">
        <f t="shared" si="257"/>
        <v>0</v>
      </c>
      <c r="I1133" s="29">
        <f t="shared" si="258"/>
        <v>0</v>
      </c>
      <c r="J1133" s="29">
        <f t="shared" si="259"/>
        <v>0</v>
      </c>
      <c r="K1133" s="32" t="str" cm="1">
        <f t="array" ref="K1133">IF(AF1133&lt;&gt;"",IFERROR(INDEX('Group List A'!B:B,MATCH(AI1133,'Group List A'!A:A,0),0),"-"),"")</f>
        <v/>
      </c>
      <c r="L1133" s="33">
        <f t="shared" si="260"/>
        <v>0</v>
      </c>
      <c r="M1133" s="33">
        <f t="shared" si="261"/>
        <v>0</v>
      </c>
      <c r="N1133" s="33">
        <f t="shared" si="262"/>
        <v>0</v>
      </c>
      <c r="O1133" s="28"/>
      <c r="P1133" s="33">
        <f t="shared" si="263"/>
        <v>0</v>
      </c>
      <c r="Q1133" s="35" t="str" cm="1">
        <f t="array" ref="Q1133">IF(AF1133&lt;&gt;"",IFERROR(INDEX('Group List B'!B:B,MATCH(AI1133,'Group List B'!A:A,0),0),"-"),"")</f>
        <v/>
      </c>
      <c r="R1133" s="36">
        <f t="shared" si="264"/>
        <v>0</v>
      </c>
      <c r="S1133" s="36">
        <f t="shared" si="265"/>
        <v>0</v>
      </c>
      <c r="T1133" s="36">
        <f t="shared" si="266"/>
        <v>0</v>
      </c>
      <c r="U1133" s="28"/>
      <c r="V1133" s="37">
        <f t="shared" si="267"/>
        <v>0</v>
      </c>
      <c r="W1133" s="41"/>
      <c r="X1133" s="27"/>
      <c r="Y1133" s="27"/>
      <c r="Z1133" s="27"/>
      <c r="AA1133" s="15"/>
      <c r="AB1133" s="17"/>
      <c r="AC1133" s="17"/>
      <c r="AD1133" s="17"/>
      <c r="AE1133" s="90"/>
      <c r="AF1133" s="82" t="str">
        <f t="shared" si="268"/>
        <v/>
      </c>
      <c r="AG1133" s="83" t="str">
        <f t="shared" si="269"/>
        <v/>
      </c>
      <c r="AH1133" s="82" t="str">
        <f t="shared" si="270"/>
        <v/>
      </c>
      <c r="AI1133" s="82" t="str">
        <f t="shared" si="271"/>
        <v/>
      </c>
      <c r="AJ1133" s="90"/>
      <c r="AP1133" s="88"/>
    </row>
    <row r="1134" spans="1:42" x14ac:dyDescent="0.25">
      <c r="A1134" s="2"/>
      <c r="C1134" s="68" t="str" cm="1">
        <f t="array" ref="C1134">IF(AF1134&lt;&gt;"",
IFERROR(INDEX('LaunchPad Markbook'!A:A,MATCH(AH1134,'LaunchPad Markbook'!D:D,0),0),"-"),"")</f>
        <v/>
      </c>
      <c r="D1134" s="27"/>
      <c r="E1134" s="27"/>
      <c r="F1134" s="27"/>
      <c r="G1134" s="14">
        <f>IF(OR(H1134&gt;AB$2,I1134&gt;AC$2,J1134&gt;AD$2,
P1134&gt;1,V1134&gt;1,
L1134&gt;'Group List A'!E$2,M1134&gt;'Group List A'!F$2,N1134&gt;'Group List A'!G$2,
R1134&gt;'Group List B'!E$2,S1134&gt;'Group List B'!F$2,T1134&gt;'Group List B'!G$2),"Exceed",
IF(OR(H1134=AB$2,I1134=AC$2,J1134=AD$2,
P1134=1,V1134=1,
L1134='Group List A'!E$2,M1134='Group List A'!F$2,N1134='Group List A'!G$2,
R1134='Group List B'!E$2,S1134='Group List B'!F$2,T1134='Group List B'!G$2),"Limit",0))</f>
        <v>0</v>
      </c>
      <c r="H1134" s="29">
        <f t="shared" si="257"/>
        <v>0</v>
      </c>
      <c r="I1134" s="29">
        <f t="shared" si="258"/>
        <v>0</v>
      </c>
      <c r="J1134" s="29">
        <f t="shared" si="259"/>
        <v>0</v>
      </c>
      <c r="K1134" s="32" t="str" cm="1">
        <f t="array" ref="K1134">IF(AF1134&lt;&gt;"",IFERROR(INDEX('Group List A'!B:B,MATCH(AI1134,'Group List A'!A:A,0),0),"-"),"")</f>
        <v/>
      </c>
      <c r="L1134" s="33">
        <f t="shared" si="260"/>
        <v>0</v>
      </c>
      <c r="M1134" s="33">
        <f t="shared" si="261"/>
        <v>0</v>
      </c>
      <c r="N1134" s="33">
        <f t="shared" si="262"/>
        <v>0</v>
      </c>
      <c r="O1134" s="28"/>
      <c r="P1134" s="33">
        <f t="shared" si="263"/>
        <v>0</v>
      </c>
      <c r="Q1134" s="35" t="str" cm="1">
        <f t="array" ref="Q1134">IF(AF1134&lt;&gt;"",IFERROR(INDEX('Group List B'!B:B,MATCH(AI1134,'Group List B'!A:A,0),0),"-"),"")</f>
        <v/>
      </c>
      <c r="R1134" s="36">
        <f t="shared" si="264"/>
        <v>0</v>
      </c>
      <c r="S1134" s="36">
        <f t="shared" si="265"/>
        <v>0</v>
      </c>
      <c r="T1134" s="36">
        <f t="shared" si="266"/>
        <v>0</v>
      </c>
      <c r="U1134" s="28"/>
      <c r="V1134" s="37">
        <f t="shared" si="267"/>
        <v>0</v>
      </c>
      <c r="W1134" s="41"/>
      <c r="X1134" s="27"/>
      <c r="Y1134" s="27"/>
      <c r="Z1134" s="27"/>
      <c r="AA1134" s="15"/>
      <c r="AB1134" s="17"/>
      <c r="AC1134" s="17"/>
      <c r="AD1134" s="17"/>
      <c r="AE1134" s="90"/>
      <c r="AF1134" s="82" t="str">
        <f t="shared" si="268"/>
        <v/>
      </c>
      <c r="AG1134" s="83" t="str">
        <f t="shared" si="269"/>
        <v/>
      </c>
      <c r="AH1134" s="82" t="str">
        <f t="shared" si="270"/>
        <v/>
      </c>
      <c r="AI1134" s="82" t="str">
        <f t="shared" si="271"/>
        <v/>
      </c>
      <c r="AJ1134" s="90"/>
      <c r="AP1134" s="88"/>
    </row>
    <row r="1135" spans="1:42" x14ac:dyDescent="0.25">
      <c r="A1135" s="2"/>
      <c r="C1135" s="68" t="str" cm="1">
        <f t="array" ref="C1135">IF(AF1135&lt;&gt;"",
IFERROR(INDEX('LaunchPad Markbook'!A:A,MATCH(AH1135,'LaunchPad Markbook'!D:D,0),0),"-"),"")</f>
        <v/>
      </c>
      <c r="D1135" s="27"/>
      <c r="E1135" s="27"/>
      <c r="F1135" s="27"/>
      <c r="G1135" s="14">
        <f>IF(OR(H1135&gt;AB$2,I1135&gt;AC$2,J1135&gt;AD$2,
P1135&gt;1,V1135&gt;1,
L1135&gt;'Group List A'!E$2,M1135&gt;'Group List A'!F$2,N1135&gt;'Group List A'!G$2,
R1135&gt;'Group List B'!E$2,S1135&gt;'Group List B'!F$2,T1135&gt;'Group List B'!G$2),"Exceed",
IF(OR(H1135=AB$2,I1135=AC$2,J1135=AD$2,
P1135=1,V1135=1,
L1135='Group List A'!E$2,M1135='Group List A'!F$2,N1135='Group List A'!G$2,
R1135='Group List B'!E$2,S1135='Group List B'!F$2,T1135='Group List B'!G$2),"Limit",0))</f>
        <v>0</v>
      </c>
      <c r="H1135" s="29">
        <f t="shared" si="257"/>
        <v>0</v>
      </c>
      <c r="I1135" s="29">
        <f t="shared" si="258"/>
        <v>0</v>
      </c>
      <c r="J1135" s="29">
        <f t="shared" si="259"/>
        <v>0</v>
      </c>
      <c r="K1135" s="32" t="str" cm="1">
        <f t="array" ref="K1135">IF(AF1135&lt;&gt;"",IFERROR(INDEX('Group List A'!B:B,MATCH(AI1135,'Group List A'!A:A,0),0),"-"),"")</f>
        <v/>
      </c>
      <c r="L1135" s="33">
        <f t="shared" si="260"/>
        <v>0</v>
      </c>
      <c r="M1135" s="33">
        <f t="shared" si="261"/>
        <v>0</v>
      </c>
      <c r="N1135" s="33">
        <f t="shared" si="262"/>
        <v>0</v>
      </c>
      <c r="O1135" s="28"/>
      <c r="P1135" s="33">
        <f t="shared" si="263"/>
        <v>0</v>
      </c>
      <c r="Q1135" s="35" t="str" cm="1">
        <f t="array" ref="Q1135">IF(AF1135&lt;&gt;"",IFERROR(INDEX('Group List B'!B:B,MATCH(AI1135,'Group List B'!A:A,0),0),"-"),"")</f>
        <v/>
      </c>
      <c r="R1135" s="36">
        <f t="shared" si="264"/>
        <v>0</v>
      </c>
      <c r="S1135" s="36">
        <f t="shared" si="265"/>
        <v>0</v>
      </c>
      <c r="T1135" s="36">
        <f t="shared" si="266"/>
        <v>0</v>
      </c>
      <c r="U1135" s="28"/>
      <c r="V1135" s="37">
        <f t="shared" si="267"/>
        <v>0</v>
      </c>
      <c r="W1135" s="41"/>
      <c r="X1135" s="27"/>
      <c r="Y1135" s="27"/>
      <c r="Z1135" s="27"/>
      <c r="AA1135" s="15"/>
      <c r="AB1135" s="17"/>
      <c r="AC1135" s="17"/>
      <c r="AD1135" s="17"/>
      <c r="AE1135" s="90"/>
      <c r="AF1135" s="82" t="str">
        <f t="shared" si="268"/>
        <v/>
      </c>
      <c r="AG1135" s="83" t="str">
        <f t="shared" si="269"/>
        <v/>
      </c>
      <c r="AH1135" s="82" t="str">
        <f t="shared" si="270"/>
        <v/>
      </c>
      <c r="AI1135" s="82" t="str">
        <f t="shared" si="271"/>
        <v/>
      </c>
      <c r="AJ1135" s="90"/>
      <c r="AP1135" s="88"/>
    </row>
    <row r="1136" spans="1:42" x14ac:dyDescent="0.25">
      <c r="A1136" s="2"/>
      <c r="C1136" s="68" t="str" cm="1">
        <f t="array" ref="C1136">IF(AF1136&lt;&gt;"",
IFERROR(INDEX('LaunchPad Markbook'!A:A,MATCH(AH1136,'LaunchPad Markbook'!D:D,0),0),"-"),"")</f>
        <v/>
      </c>
      <c r="D1136" s="27"/>
      <c r="E1136" s="27"/>
      <c r="F1136" s="27"/>
      <c r="G1136" s="14">
        <f>IF(OR(H1136&gt;AB$2,I1136&gt;AC$2,J1136&gt;AD$2,
P1136&gt;1,V1136&gt;1,
L1136&gt;'Group List A'!E$2,M1136&gt;'Group List A'!F$2,N1136&gt;'Group List A'!G$2,
R1136&gt;'Group List B'!E$2,S1136&gt;'Group List B'!F$2,T1136&gt;'Group List B'!G$2),"Exceed",
IF(OR(H1136=AB$2,I1136=AC$2,J1136=AD$2,
P1136=1,V1136=1,
L1136='Group List A'!E$2,M1136='Group List A'!F$2,N1136='Group List A'!G$2,
R1136='Group List B'!E$2,S1136='Group List B'!F$2,T1136='Group List B'!G$2),"Limit",0))</f>
        <v>0</v>
      </c>
      <c r="H1136" s="29">
        <f t="shared" si="257"/>
        <v>0</v>
      </c>
      <c r="I1136" s="29">
        <f t="shared" si="258"/>
        <v>0</v>
      </c>
      <c r="J1136" s="29">
        <f t="shared" si="259"/>
        <v>0</v>
      </c>
      <c r="K1136" s="32" t="str" cm="1">
        <f t="array" ref="K1136">IF(AF1136&lt;&gt;"",IFERROR(INDEX('Group List A'!B:B,MATCH(AI1136,'Group List A'!A:A,0),0),"-"),"")</f>
        <v/>
      </c>
      <c r="L1136" s="33">
        <f t="shared" si="260"/>
        <v>0</v>
      </c>
      <c r="M1136" s="33">
        <f t="shared" si="261"/>
        <v>0</v>
      </c>
      <c r="N1136" s="33">
        <f t="shared" si="262"/>
        <v>0</v>
      </c>
      <c r="O1136" s="28"/>
      <c r="P1136" s="33">
        <f t="shared" si="263"/>
        <v>0</v>
      </c>
      <c r="Q1136" s="35" t="str" cm="1">
        <f t="array" ref="Q1136">IF(AF1136&lt;&gt;"",IFERROR(INDEX('Group List B'!B:B,MATCH(AI1136,'Group List B'!A:A,0),0),"-"),"")</f>
        <v/>
      </c>
      <c r="R1136" s="36">
        <f t="shared" si="264"/>
        <v>0</v>
      </c>
      <c r="S1136" s="36">
        <f t="shared" si="265"/>
        <v>0</v>
      </c>
      <c r="T1136" s="36">
        <f t="shared" si="266"/>
        <v>0</v>
      </c>
      <c r="U1136" s="28"/>
      <c r="V1136" s="37">
        <f t="shared" si="267"/>
        <v>0</v>
      </c>
      <c r="W1136" s="41"/>
      <c r="X1136" s="27"/>
      <c r="Y1136" s="27"/>
      <c r="Z1136" s="27"/>
      <c r="AA1136" s="15"/>
      <c r="AB1136" s="17"/>
      <c r="AC1136" s="17"/>
      <c r="AD1136" s="17"/>
      <c r="AE1136" s="90"/>
      <c r="AF1136" s="82" t="str">
        <f t="shared" si="268"/>
        <v/>
      </c>
      <c r="AG1136" s="83" t="str">
        <f t="shared" si="269"/>
        <v/>
      </c>
      <c r="AH1136" s="82" t="str">
        <f t="shared" si="270"/>
        <v/>
      </c>
      <c r="AI1136" s="82" t="str">
        <f t="shared" si="271"/>
        <v/>
      </c>
      <c r="AJ1136" s="90"/>
      <c r="AP1136" s="88"/>
    </row>
    <row r="1137" spans="1:42" x14ac:dyDescent="0.25">
      <c r="A1137" s="2"/>
      <c r="C1137" s="68" t="str" cm="1">
        <f t="array" ref="C1137">IF(AF1137&lt;&gt;"",
IFERROR(INDEX('LaunchPad Markbook'!A:A,MATCH(AH1137,'LaunchPad Markbook'!D:D,0),0),"-"),"")</f>
        <v/>
      </c>
      <c r="D1137" s="27"/>
      <c r="E1137" s="27"/>
      <c r="F1137" s="27"/>
      <c r="G1137" s="14">
        <f>IF(OR(H1137&gt;AB$2,I1137&gt;AC$2,J1137&gt;AD$2,
P1137&gt;1,V1137&gt;1,
L1137&gt;'Group List A'!E$2,M1137&gt;'Group List A'!F$2,N1137&gt;'Group List A'!G$2,
R1137&gt;'Group List B'!E$2,S1137&gt;'Group List B'!F$2,T1137&gt;'Group List B'!G$2),"Exceed",
IF(OR(H1137=AB$2,I1137=AC$2,J1137=AD$2,
P1137=1,V1137=1,
L1137='Group List A'!E$2,M1137='Group List A'!F$2,N1137='Group List A'!G$2,
R1137='Group List B'!E$2,S1137='Group List B'!F$2,T1137='Group List B'!G$2),"Limit",0))</f>
        <v>0</v>
      </c>
      <c r="H1137" s="29">
        <f t="shared" si="257"/>
        <v>0</v>
      </c>
      <c r="I1137" s="29">
        <f t="shared" si="258"/>
        <v>0</v>
      </c>
      <c r="J1137" s="29">
        <f t="shared" si="259"/>
        <v>0</v>
      </c>
      <c r="K1137" s="32" t="str" cm="1">
        <f t="array" ref="K1137">IF(AF1137&lt;&gt;"",IFERROR(INDEX('Group List A'!B:B,MATCH(AI1137,'Group List A'!A:A,0),0),"-"),"")</f>
        <v/>
      </c>
      <c r="L1137" s="33">
        <f t="shared" si="260"/>
        <v>0</v>
      </c>
      <c r="M1137" s="33">
        <f t="shared" si="261"/>
        <v>0</v>
      </c>
      <c r="N1137" s="33">
        <f t="shared" si="262"/>
        <v>0</v>
      </c>
      <c r="O1137" s="28"/>
      <c r="P1137" s="33">
        <f t="shared" si="263"/>
        <v>0</v>
      </c>
      <c r="Q1137" s="35" t="str" cm="1">
        <f t="array" ref="Q1137">IF(AF1137&lt;&gt;"",IFERROR(INDEX('Group List B'!B:B,MATCH(AI1137,'Group List B'!A:A,0),0),"-"),"")</f>
        <v/>
      </c>
      <c r="R1137" s="36">
        <f t="shared" si="264"/>
        <v>0</v>
      </c>
      <c r="S1137" s="36">
        <f t="shared" si="265"/>
        <v>0</v>
      </c>
      <c r="T1137" s="36">
        <f t="shared" si="266"/>
        <v>0</v>
      </c>
      <c r="U1137" s="28"/>
      <c r="V1137" s="37">
        <f t="shared" si="267"/>
        <v>0</v>
      </c>
      <c r="W1137" s="41"/>
      <c r="X1137" s="27"/>
      <c r="Y1137" s="27"/>
      <c r="Z1137" s="27"/>
      <c r="AA1137" s="15"/>
      <c r="AB1137" s="17"/>
      <c r="AC1137" s="17"/>
      <c r="AD1137" s="17"/>
      <c r="AE1137" s="90"/>
      <c r="AF1137" s="82" t="str">
        <f t="shared" si="268"/>
        <v/>
      </c>
      <c r="AG1137" s="83" t="str">
        <f t="shared" si="269"/>
        <v/>
      </c>
      <c r="AH1137" s="82" t="str">
        <f t="shared" si="270"/>
        <v/>
      </c>
      <c r="AI1137" s="82" t="str">
        <f t="shared" si="271"/>
        <v/>
      </c>
      <c r="AJ1137" s="90"/>
      <c r="AP1137" s="88"/>
    </row>
    <row r="1138" spans="1:42" x14ac:dyDescent="0.25">
      <c r="A1138" s="2"/>
      <c r="C1138" s="68" t="str" cm="1">
        <f t="array" ref="C1138">IF(AF1138&lt;&gt;"",
IFERROR(INDEX('LaunchPad Markbook'!A:A,MATCH(AH1138,'LaunchPad Markbook'!D:D,0),0),"-"),"")</f>
        <v/>
      </c>
      <c r="D1138" s="27"/>
      <c r="E1138" s="27"/>
      <c r="F1138" s="27"/>
      <c r="G1138" s="14">
        <f>IF(OR(H1138&gt;AB$2,I1138&gt;AC$2,J1138&gt;AD$2,
P1138&gt;1,V1138&gt;1,
L1138&gt;'Group List A'!E$2,M1138&gt;'Group List A'!F$2,N1138&gt;'Group List A'!G$2,
R1138&gt;'Group List B'!E$2,S1138&gt;'Group List B'!F$2,T1138&gt;'Group List B'!G$2),"Exceed",
IF(OR(H1138=AB$2,I1138=AC$2,J1138=AD$2,
P1138=1,V1138=1,
L1138='Group List A'!E$2,M1138='Group List A'!F$2,N1138='Group List A'!G$2,
R1138='Group List B'!E$2,S1138='Group List B'!F$2,T1138='Group List B'!G$2),"Limit",0))</f>
        <v>0</v>
      </c>
      <c r="H1138" s="29">
        <f t="shared" si="257"/>
        <v>0</v>
      </c>
      <c r="I1138" s="29">
        <f t="shared" si="258"/>
        <v>0</v>
      </c>
      <c r="J1138" s="29">
        <f t="shared" si="259"/>
        <v>0</v>
      </c>
      <c r="K1138" s="32" t="str" cm="1">
        <f t="array" ref="K1138">IF(AF1138&lt;&gt;"",IFERROR(INDEX('Group List A'!B:B,MATCH(AI1138,'Group List A'!A:A,0),0),"-"),"")</f>
        <v/>
      </c>
      <c r="L1138" s="33">
        <f t="shared" si="260"/>
        <v>0</v>
      </c>
      <c r="M1138" s="33">
        <f t="shared" si="261"/>
        <v>0</v>
      </c>
      <c r="N1138" s="33">
        <f t="shared" si="262"/>
        <v>0</v>
      </c>
      <c r="O1138" s="28"/>
      <c r="P1138" s="33">
        <f t="shared" si="263"/>
        <v>0</v>
      </c>
      <c r="Q1138" s="35" t="str" cm="1">
        <f t="array" ref="Q1138">IF(AF1138&lt;&gt;"",IFERROR(INDEX('Group List B'!B:B,MATCH(AI1138,'Group List B'!A:A,0),0),"-"),"")</f>
        <v/>
      </c>
      <c r="R1138" s="36">
        <f t="shared" si="264"/>
        <v>0</v>
      </c>
      <c r="S1138" s="36">
        <f t="shared" si="265"/>
        <v>0</v>
      </c>
      <c r="T1138" s="36">
        <f t="shared" si="266"/>
        <v>0</v>
      </c>
      <c r="U1138" s="28"/>
      <c r="V1138" s="37">
        <f t="shared" si="267"/>
        <v>0</v>
      </c>
      <c r="W1138" s="41"/>
      <c r="X1138" s="27"/>
      <c r="Y1138" s="27"/>
      <c r="Z1138" s="27"/>
      <c r="AA1138" s="15"/>
      <c r="AB1138" s="17"/>
      <c r="AC1138" s="17"/>
      <c r="AD1138" s="17"/>
      <c r="AE1138" s="90"/>
      <c r="AF1138" s="82" t="str">
        <f t="shared" si="268"/>
        <v/>
      </c>
      <c r="AG1138" s="83" t="str">
        <f t="shared" si="269"/>
        <v/>
      </c>
      <c r="AH1138" s="82" t="str">
        <f t="shared" si="270"/>
        <v/>
      </c>
      <c r="AI1138" s="82" t="str">
        <f t="shared" si="271"/>
        <v/>
      </c>
      <c r="AJ1138" s="90"/>
      <c r="AP1138" s="88"/>
    </row>
    <row r="1139" spans="1:42" x14ac:dyDescent="0.25">
      <c r="A1139" s="2"/>
      <c r="C1139" s="68" t="str" cm="1">
        <f t="array" ref="C1139">IF(AF1139&lt;&gt;"",
IFERROR(INDEX('LaunchPad Markbook'!A:A,MATCH(AH1139,'LaunchPad Markbook'!D:D,0),0),"-"),"")</f>
        <v/>
      </c>
      <c r="D1139" s="27"/>
      <c r="E1139" s="27"/>
      <c r="F1139" s="27"/>
      <c r="G1139" s="14">
        <f>IF(OR(H1139&gt;AB$2,I1139&gt;AC$2,J1139&gt;AD$2,
P1139&gt;1,V1139&gt;1,
L1139&gt;'Group List A'!E$2,M1139&gt;'Group List A'!F$2,N1139&gt;'Group List A'!G$2,
R1139&gt;'Group List B'!E$2,S1139&gt;'Group List B'!F$2,T1139&gt;'Group List B'!G$2),"Exceed",
IF(OR(H1139=AB$2,I1139=AC$2,J1139=AD$2,
P1139=1,V1139=1,
L1139='Group List A'!E$2,M1139='Group List A'!F$2,N1139='Group List A'!G$2,
R1139='Group List B'!E$2,S1139='Group List B'!F$2,T1139='Group List B'!G$2),"Limit",0))</f>
        <v>0</v>
      </c>
      <c r="H1139" s="29">
        <f t="shared" si="257"/>
        <v>0</v>
      </c>
      <c r="I1139" s="29">
        <f t="shared" si="258"/>
        <v>0</v>
      </c>
      <c r="J1139" s="29">
        <f t="shared" si="259"/>
        <v>0</v>
      </c>
      <c r="K1139" s="32" t="str" cm="1">
        <f t="array" ref="K1139">IF(AF1139&lt;&gt;"",IFERROR(INDEX('Group List A'!B:B,MATCH(AI1139,'Group List A'!A:A,0),0),"-"),"")</f>
        <v/>
      </c>
      <c r="L1139" s="33">
        <f t="shared" si="260"/>
        <v>0</v>
      </c>
      <c r="M1139" s="33">
        <f t="shared" si="261"/>
        <v>0</v>
      </c>
      <c r="N1139" s="33">
        <f t="shared" si="262"/>
        <v>0</v>
      </c>
      <c r="O1139" s="28"/>
      <c r="P1139" s="33">
        <f t="shared" si="263"/>
        <v>0</v>
      </c>
      <c r="Q1139" s="35" t="str" cm="1">
        <f t="array" ref="Q1139">IF(AF1139&lt;&gt;"",IFERROR(INDEX('Group List B'!B:B,MATCH(AI1139,'Group List B'!A:A,0),0),"-"),"")</f>
        <v/>
      </c>
      <c r="R1139" s="36">
        <f t="shared" si="264"/>
        <v>0</v>
      </c>
      <c r="S1139" s="36">
        <f t="shared" si="265"/>
        <v>0</v>
      </c>
      <c r="T1139" s="36">
        <f t="shared" si="266"/>
        <v>0</v>
      </c>
      <c r="U1139" s="28"/>
      <c r="V1139" s="37">
        <f t="shared" si="267"/>
        <v>0</v>
      </c>
      <c r="W1139" s="41"/>
      <c r="X1139" s="27"/>
      <c r="Y1139" s="27"/>
      <c r="Z1139" s="27"/>
      <c r="AA1139" s="15"/>
      <c r="AB1139" s="17"/>
      <c r="AC1139" s="17"/>
      <c r="AD1139" s="17"/>
      <c r="AE1139" s="90"/>
      <c r="AF1139" s="82" t="str">
        <f t="shared" si="268"/>
        <v/>
      </c>
      <c r="AG1139" s="83" t="str">
        <f t="shared" si="269"/>
        <v/>
      </c>
      <c r="AH1139" s="82" t="str">
        <f t="shared" si="270"/>
        <v/>
      </c>
      <c r="AI1139" s="82" t="str">
        <f t="shared" si="271"/>
        <v/>
      </c>
      <c r="AJ1139" s="90"/>
      <c r="AP1139" s="88"/>
    </row>
    <row r="1140" spans="1:42" x14ac:dyDescent="0.25">
      <c r="A1140" s="2"/>
      <c r="C1140" s="68" t="str" cm="1">
        <f t="array" ref="C1140">IF(AF1140&lt;&gt;"",
IFERROR(INDEX('LaunchPad Markbook'!A:A,MATCH(AH1140,'LaunchPad Markbook'!D:D,0),0),"-"),"")</f>
        <v/>
      </c>
      <c r="D1140" s="27"/>
      <c r="E1140" s="27"/>
      <c r="F1140" s="27"/>
      <c r="G1140" s="14">
        <f>IF(OR(H1140&gt;AB$2,I1140&gt;AC$2,J1140&gt;AD$2,
P1140&gt;1,V1140&gt;1,
L1140&gt;'Group List A'!E$2,M1140&gt;'Group List A'!F$2,N1140&gt;'Group List A'!G$2,
R1140&gt;'Group List B'!E$2,S1140&gt;'Group List B'!F$2,T1140&gt;'Group List B'!G$2),"Exceed",
IF(OR(H1140=AB$2,I1140=AC$2,J1140=AD$2,
P1140=1,V1140=1,
L1140='Group List A'!E$2,M1140='Group List A'!F$2,N1140='Group List A'!G$2,
R1140='Group List B'!E$2,S1140='Group List B'!F$2,T1140='Group List B'!G$2),"Limit",0))</f>
        <v>0</v>
      </c>
      <c r="H1140" s="29">
        <f t="shared" si="257"/>
        <v>0</v>
      </c>
      <c r="I1140" s="29">
        <f t="shared" si="258"/>
        <v>0</v>
      </c>
      <c r="J1140" s="29">
        <f t="shared" si="259"/>
        <v>0</v>
      </c>
      <c r="K1140" s="32" t="str" cm="1">
        <f t="array" ref="K1140">IF(AF1140&lt;&gt;"",IFERROR(INDEX('Group List A'!B:B,MATCH(AI1140,'Group List A'!A:A,0),0),"-"),"")</f>
        <v/>
      </c>
      <c r="L1140" s="33">
        <f t="shared" si="260"/>
        <v>0</v>
      </c>
      <c r="M1140" s="33">
        <f t="shared" si="261"/>
        <v>0</v>
      </c>
      <c r="N1140" s="33">
        <f t="shared" si="262"/>
        <v>0</v>
      </c>
      <c r="O1140" s="28"/>
      <c r="P1140" s="33">
        <f t="shared" si="263"/>
        <v>0</v>
      </c>
      <c r="Q1140" s="35" t="str" cm="1">
        <f t="array" ref="Q1140">IF(AF1140&lt;&gt;"",IFERROR(INDEX('Group List B'!B:B,MATCH(AI1140,'Group List B'!A:A,0),0),"-"),"")</f>
        <v/>
      </c>
      <c r="R1140" s="36">
        <f t="shared" si="264"/>
        <v>0</v>
      </c>
      <c r="S1140" s="36">
        <f t="shared" si="265"/>
        <v>0</v>
      </c>
      <c r="T1140" s="36">
        <f t="shared" si="266"/>
        <v>0</v>
      </c>
      <c r="U1140" s="28"/>
      <c r="V1140" s="37">
        <f t="shared" si="267"/>
        <v>0</v>
      </c>
      <c r="W1140" s="41"/>
      <c r="X1140" s="27"/>
      <c r="Y1140" s="27"/>
      <c r="Z1140" s="27"/>
      <c r="AA1140" s="15"/>
      <c r="AB1140" s="17"/>
      <c r="AC1140" s="17"/>
      <c r="AD1140" s="17"/>
      <c r="AE1140" s="90"/>
      <c r="AF1140" s="82" t="str">
        <f t="shared" si="268"/>
        <v/>
      </c>
      <c r="AG1140" s="83" t="str">
        <f t="shared" si="269"/>
        <v/>
      </c>
      <c r="AH1140" s="82" t="str">
        <f t="shared" si="270"/>
        <v/>
      </c>
      <c r="AI1140" s="82" t="str">
        <f t="shared" si="271"/>
        <v/>
      </c>
      <c r="AJ1140" s="90"/>
      <c r="AP1140" s="88"/>
    </row>
    <row r="1141" spans="1:42" x14ac:dyDescent="0.25">
      <c r="A1141" s="2"/>
      <c r="C1141" s="68" t="str" cm="1">
        <f t="array" ref="C1141">IF(AF1141&lt;&gt;"",
IFERROR(INDEX('LaunchPad Markbook'!A:A,MATCH(AH1141,'LaunchPad Markbook'!D:D,0),0),"-"),"")</f>
        <v/>
      </c>
      <c r="D1141" s="27"/>
      <c r="E1141" s="27"/>
      <c r="F1141" s="27"/>
      <c r="G1141" s="14">
        <f>IF(OR(H1141&gt;AB$2,I1141&gt;AC$2,J1141&gt;AD$2,
P1141&gt;1,V1141&gt;1,
L1141&gt;'Group List A'!E$2,M1141&gt;'Group List A'!F$2,N1141&gt;'Group List A'!G$2,
R1141&gt;'Group List B'!E$2,S1141&gt;'Group List B'!F$2,T1141&gt;'Group List B'!G$2),"Exceed",
IF(OR(H1141=AB$2,I1141=AC$2,J1141=AD$2,
P1141=1,V1141=1,
L1141='Group List A'!E$2,M1141='Group List A'!F$2,N1141='Group List A'!G$2,
R1141='Group List B'!E$2,S1141='Group List B'!F$2,T1141='Group List B'!G$2),"Limit",0))</f>
        <v>0</v>
      </c>
      <c r="H1141" s="29">
        <f t="shared" si="257"/>
        <v>0</v>
      </c>
      <c r="I1141" s="29">
        <f t="shared" si="258"/>
        <v>0</v>
      </c>
      <c r="J1141" s="29">
        <f t="shared" si="259"/>
        <v>0</v>
      </c>
      <c r="K1141" s="32" t="str" cm="1">
        <f t="array" ref="K1141">IF(AF1141&lt;&gt;"",IFERROR(INDEX('Group List A'!B:B,MATCH(AI1141,'Group List A'!A:A,0),0),"-"),"")</f>
        <v/>
      </c>
      <c r="L1141" s="33">
        <f t="shared" si="260"/>
        <v>0</v>
      </c>
      <c r="M1141" s="33">
        <f t="shared" si="261"/>
        <v>0</v>
      </c>
      <c r="N1141" s="33">
        <f t="shared" si="262"/>
        <v>0</v>
      </c>
      <c r="O1141" s="28"/>
      <c r="P1141" s="33">
        <f t="shared" si="263"/>
        <v>0</v>
      </c>
      <c r="Q1141" s="35" t="str" cm="1">
        <f t="array" ref="Q1141">IF(AF1141&lt;&gt;"",IFERROR(INDEX('Group List B'!B:B,MATCH(AI1141,'Group List B'!A:A,0),0),"-"),"")</f>
        <v/>
      </c>
      <c r="R1141" s="36">
        <f t="shared" si="264"/>
        <v>0</v>
      </c>
      <c r="S1141" s="36">
        <f t="shared" si="265"/>
        <v>0</v>
      </c>
      <c r="T1141" s="36">
        <f t="shared" si="266"/>
        <v>0</v>
      </c>
      <c r="U1141" s="28"/>
      <c r="V1141" s="37">
        <f t="shared" si="267"/>
        <v>0</v>
      </c>
      <c r="W1141" s="41"/>
      <c r="X1141" s="27"/>
      <c r="Y1141" s="27"/>
      <c r="Z1141" s="27"/>
      <c r="AA1141" s="15"/>
      <c r="AB1141" s="17"/>
      <c r="AC1141" s="17"/>
      <c r="AD1141" s="17"/>
      <c r="AE1141" s="90"/>
      <c r="AF1141" s="82" t="str">
        <f t="shared" si="268"/>
        <v/>
      </c>
      <c r="AG1141" s="83" t="str">
        <f t="shared" si="269"/>
        <v/>
      </c>
      <c r="AH1141" s="82" t="str">
        <f t="shared" si="270"/>
        <v/>
      </c>
      <c r="AI1141" s="82" t="str">
        <f t="shared" si="271"/>
        <v/>
      </c>
      <c r="AJ1141" s="90"/>
      <c r="AP1141" s="88"/>
    </row>
    <row r="1142" spans="1:42" x14ac:dyDescent="0.25">
      <c r="A1142" s="2"/>
      <c r="C1142" s="68" t="str" cm="1">
        <f t="array" ref="C1142">IF(AF1142&lt;&gt;"",
IFERROR(INDEX('LaunchPad Markbook'!A:A,MATCH(AH1142,'LaunchPad Markbook'!D:D,0),0),"-"),"")</f>
        <v/>
      </c>
      <c r="D1142" s="27"/>
      <c r="E1142" s="27"/>
      <c r="F1142" s="27"/>
      <c r="G1142" s="14">
        <f>IF(OR(H1142&gt;AB$2,I1142&gt;AC$2,J1142&gt;AD$2,
P1142&gt;1,V1142&gt;1,
L1142&gt;'Group List A'!E$2,M1142&gt;'Group List A'!F$2,N1142&gt;'Group List A'!G$2,
R1142&gt;'Group List B'!E$2,S1142&gt;'Group List B'!F$2,T1142&gt;'Group List B'!G$2),"Exceed",
IF(OR(H1142=AB$2,I1142=AC$2,J1142=AD$2,
P1142=1,V1142=1,
L1142='Group List A'!E$2,M1142='Group List A'!F$2,N1142='Group List A'!G$2,
R1142='Group List B'!E$2,S1142='Group List B'!F$2,T1142='Group List B'!G$2),"Limit",0))</f>
        <v>0</v>
      </c>
      <c r="H1142" s="29">
        <f t="shared" si="257"/>
        <v>0</v>
      </c>
      <c r="I1142" s="29">
        <f t="shared" si="258"/>
        <v>0</v>
      </c>
      <c r="J1142" s="29">
        <f t="shared" si="259"/>
        <v>0</v>
      </c>
      <c r="K1142" s="32" t="str" cm="1">
        <f t="array" ref="K1142">IF(AF1142&lt;&gt;"",IFERROR(INDEX('Group List A'!B:B,MATCH(AI1142,'Group List A'!A:A,0),0),"-"),"")</f>
        <v/>
      </c>
      <c r="L1142" s="33">
        <f t="shared" si="260"/>
        <v>0</v>
      </c>
      <c r="M1142" s="33">
        <f t="shared" si="261"/>
        <v>0</v>
      </c>
      <c r="N1142" s="33">
        <f t="shared" si="262"/>
        <v>0</v>
      </c>
      <c r="O1142" s="28"/>
      <c r="P1142" s="33">
        <f t="shared" si="263"/>
        <v>0</v>
      </c>
      <c r="Q1142" s="35" t="str" cm="1">
        <f t="array" ref="Q1142">IF(AF1142&lt;&gt;"",IFERROR(INDEX('Group List B'!B:B,MATCH(AI1142,'Group List B'!A:A,0),0),"-"),"")</f>
        <v/>
      </c>
      <c r="R1142" s="36">
        <f t="shared" si="264"/>
        <v>0</v>
      </c>
      <c r="S1142" s="36">
        <f t="shared" si="265"/>
        <v>0</v>
      </c>
      <c r="T1142" s="36">
        <f t="shared" si="266"/>
        <v>0</v>
      </c>
      <c r="U1142" s="28"/>
      <c r="V1142" s="37">
        <f t="shared" si="267"/>
        <v>0</v>
      </c>
      <c r="W1142" s="41"/>
      <c r="X1142" s="27"/>
      <c r="Y1142" s="27"/>
      <c r="Z1142" s="27"/>
      <c r="AA1142" s="15"/>
      <c r="AB1142" s="17"/>
      <c r="AC1142" s="17"/>
      <c r="AD1142" s="17"/>
      <c r="AE1142" s="90"/>
      <c r="AF1142" s="82" t="str">
        <f t="shared" si="268"/>
        <v/>
      </c>
      <c r="AG1142" s="83" t="str">
        <f t="shared" si="269"/>
        <v/>
      </c>
      <c r="AH1142" s="82" t="str">
        <f t="shared" si="270"/>
        <v/>
      </c>
      <c r="AI1142" s="82" t="str">
        <f t="shared" si="271"/>
        <v/>
      </c>
      <c r="AJ1142" s="90"/>
      <c r="AP1142" s="88"/>
    </row>
    <row r="1143" spans="1:42" x14ac:dyDescent="0.25">
      <c r="A1143" s="2"/>
      <c r="C1143" s="68" t="str" cm="1">
        <f t="array" ref="C1143">IF(AF1143&lt;&gt;"",
IFERROR(INDEX('LaunchPad Markbook'!A:A,MATCH(AH1143,'LaunchPad Markbook'!D:D,0),0),"-"),"")</f>
        <v/>
      </c>
      <c r="D1143" s="27"/>
      <c r="E1143" s="27"/>
      <c r="F1143" s="27"/>
      <c r="G1143" s="14">
        <f>IF(OR(H1143&gt;AB$2,I1143&gt;AC$2,J1143&gt;AD$2,
P1143&gt;1,V1143&gt;1,
L1143&gt;'Group List A'!E$2,M1143&gt;'Group List A'!F$2,N1143&gt;'Group List A'!G$2,
R1143&gt;'Group List B'!E$2,S1143&gt;'Group List B'!F$2,T1143&gt;'Group List B'!G$2),"Exceed",
IF(OR(H1143=AB$2,I1143=AC$2,J1143=AD$2,
P1143=1,V1143=1,
L1143='Group List A'!E$2,M1143='Group List A'!F$2,N1143='Group List A'!G$2,
R1143='Group List B'!E$2,S1143='Group List B'!F$2,T1143='Group List B'!G$2),"Limit",0))</f>
        <v>0</v>
      </c>
      <c r="H1143" s="29">
        <f t="shared" si="257"/>
        <v>0</v>
      </c>
      <c r="I1143" s="29">
        <f t="shared" si="258"/>
        <v>0</v>
      </c>
      <c r="J1143" s="29">
        <f t="shared" si="259"/>
        <v>0</v>
      </c>
      <c r="K1143" s="32" t="str" cm="1">
        <f t="array" ref="K1143">IF(AF1143&lt;&gt;"",IFERROR(INDEX('Group List A'!B:B,MATCH(AI1143,'Group List A'!A:A,0),0),"-"),"")</f>
        <v/>
      </c>
      <c r="L1143" s="33">
        <f t="shared" si="260"/>
        <v>0</v>
      </c>
      <c r="M1143" s="33">
        <f t="shared" si="261"/>
        <v>0</v>
      </c>
      <c r="N1143" s="33">
        <f t="shared" si="262"/>
        <v>0</v>
      </c>
      <c r="O1143" s="28"/>
      <c r="P1143" s="33">
        <f t="shared" si="263"/>
        <v>0</v>
      </c>
      <c r="Q1143" s="35" t="str" cm="1">
        <f t="array" ref="Q1143">IF(AF1143&lt;&gt;"",IFERROR(INDEX('Group List B'!B:B,MATCH(AI1143,'Group List B'!A:A,0),0),"-"),"")</f>
        <v/>
      </c>
      <c r="R1143" s="36">
        <f t="shared" si="264"/>
        <v>0</v>
      </c>
      <c r="S1143" s="36">
        <f t="shared" si="265"/>
        <v>0</v>
      </c>
      <c r="T1143" s="36">
        <f t="shared" si="266"/>
        <v>0</v>
      </c>
      <c r="U1143" s="28"/>
      <c r="V1143" s="37">
        <f t="shared" si="267"/>
        <v>0</v>
      </c>
      <c r="W1143" s="41"/>
      <c r="X1143" s="27"/>
      <c r="Y1143" s="27"/>
      <c r="Z1143" s="27"/>
      <c r="AA1143" s="15"/>
      <c r="AB1143" s="17"/>
      <c r="AC1143" s="17"/>
      <c r="AD1143" s="17"/>
      <c r="AE1143" s="90"/>
      <c r="AF1143" s="82" t="str">
        <f t="shared" si="268"/>
        <v/>
      </c>
      <c r="AG1143" s="83" t="str">
        <f t="shared" si="269"/>
        <v/>
      </c>
      <c r="AH1143" s="82" t="str">
        <f t="shared" si="270"/>
        <v/>
      </c>
      <c r="AI1143" s="82" t="str">
        <f t="shared" si="271"/>
        <v/>
      </c>
      <c r="AJ1143" s="90"/>
      <c r="AP1143" s="88"/>
    </row>
    <row r="1144" spans="1:42" x14ac:dyDescent="0.25">
      <c r="A1144" s="2"/>
      <c r="C1144" s="68" t="str" cm="1">
        <f t="array" ref="C1144">IF(AF1144&lt;&gt;"",
IFERROR(INDEX('LaunchPad Markbook'!A:A,MATCH(AH1144,'LaunchPad Markbook'!D:D,0),0),"-"),"")</f>
        <v/>
      </c>
      <c r="D1144" s="27"/>
      <c r="E1144" s="27"/>
      <c r="F1144" s="27"/>
      <c r="G1144" s="14">
        <f>IF(OR(H1144&gt;AB$2,I1144&gt;AC$2,J1144&gt;AD$2,
P1144&gt;1,V1144&gt;1,
L1144&gt;'Group List A'!E$2,M1144&gt;'Group List A'!F$2,N1144&gt;'Group List A'!G$2,
R1144&gt;'Group List B'!E$2,S1144&gt;'Group List B'!F$2,T1144&gt;'Group List B'!G$2),"Exceed",
IF(OR(H1144=AB$2,I1144=AC$2,J1144=AD$2,
P1144=1,V1144=1,
L1144='Group List A'!E$2,M1144='Group List A'!F$2,N1144='Group List A'!G$2,
R1144='Group List B'!E$2,S1144='Group List B'!F$2,T1144='Group List B'!G$2),"Limit",0))</f>
        <v>0</v>
      </c>
      <c r="H1144" s="29">
        <f t="shared" si="257"/>
        <v>0</v>
      </c>
      <c r="I1144" s="29">
        <f t="shared" si="258"/>
        <v>0</v>
      </c>
      <c r="J1144" s="29">
        <f t="shared" si="259"/>
        <v>0</v>
      </c>
      <c r="K1144" s="32" t="str" cm="1">
        <f t="array" ref="K1144">IF(AF1144&lt;&gt;"",IFERROR(INDEX('Group List A'!B:B,MATCH(AI1144,'Group List A'!A:A,0),0),"-"),"")</f>
        <v/>
      </c>
      <c r="L1144" s="33">
        <f t="shared" si="260"/>
        <v>0</v>
      </c>
      <c r="M1144" s="33">
        <f t="shared" si="261"/>
        <v>0</v>
      </c>
      <c r="N1144" s="33">
        <f t="shared" si="262"/>
        <v>0</v>
      </c>
      <c r="O1144" s="28"/>
      <c r="P1144" s="33">
        <f t="shared" si="263"/>
        <v>0</v>
      </c>
      <c r="Q1144" s="35" t="str" cm="1">
        <f t="array" ref="Q1144">IF(AF1144&lt;&gt;"",IFERROR(INDEX('Group List B'!B:B,MATCH(AI1144,'Group List B'!A:A,0),0),"-"),"")</f>
        <v/>
      </c>
      <c r="R1144" s="36">
        <f t="shared" si="264"/>
        <v>0</v>
      </c>
      <c r="S1144" s="36">
        <f t="shared" si="265"/>
        <v>0</v>
      </c>
      <c r="T1144" s="36">
        <f t="shared" si="266"/>
        <v>0</v>
      </c>
      <c r="U1144" s="28"/>
      <c r="V1144" s="37">
        <f t="shared" si="267"/>
        <v>0</v>
      </c>
      <c r="W1144" s="41"/>
      <c r="X1144" s="27"/>
      <c r="Y1144" s="27"/>
      <c r="Z1144" s="27"/>
      <c r="AA1144" s="15"/>
      <c r="AB1144" s="17"/>
      <c r="AC1144" s="17"/>
      <c r="AD1144" s="17"/>
      <c r="AE1144" s="90"/>
      <c r="AF1144" s="82" t="str">
        <f t="shared" si="268"/>
        <v/>
      </c>
      <c r="AG1144" s="83" t="str">
        <f t="shared" si="269"/>
        <v/>
      </c>
      <c r="AH1144" s="82" t="str">
        <f t="shared" si="270"/>
        <v/>
      </c>
      <c r="AI1144" s="82" t="str">
        <f t="shared" si="271"/>
        <v/>
      </c>
      <c r="AJ1144" s="90"/>
      <c r="AP1144" s="88"/>
    </row>
    <row r="1145" spans="1:42" x14ac:dyDescent="0.25">
      <c r="A1145" s="2"/>
      <c r="C1145" s="68" t="str" cm="1">
        <f t="array" ref="C1145">IF(AF1145&lt;&gt;"",
IFERROR(INDEX('LaunchPad Markbook'!A:A,MATCH(AH1145,'LaunchPad Markbook'!D:D,0),0),"-"),"")</f>
        <v/>
      </c>
      <c r="D1145" s="27"/>
      <c r="E1145" s="27"/>
      <c r="F1145" s="27"/>
      <c r="G1145" s="14">
        <f>IF(OR(H1145&gt;AB$2,I1145&gt;AC$2,J1145&gt;AD$2,
P1145&gt;1,V1145&gt;1,
L1145&gt;'Group List A'!E$2,M1145&gt;'Group List A'!F$2,N1145&gt;'Group List A'!G$2,
R1145&gt;'Group List B'!E$2,S1145&gt;'Group List B'!F$2,T1145&gt;'Group List B'!G$2),"Exceed",
IF(OR(H1145=AB$2,I1145=AC$2,J1145=AD$2,
P1145=1,V1145=1,
L1145='Group List A'!E$2,M1145='Group List A'!F$2,N1145='Group List A'!G$2,
R1145='Group List B'!E$2,S1145='Group List B'!F$2,T1145='Group List B'!G$2),"Limit",0))</f>
        <v>0</v>
      </c>
      <c r="H1145" s="29">
        <f t="shared" si="257"/>
        <v>0</v>
      </c>
      <c r="I1145" s="29">
        <f t="shared" si="258"/>
        <v>0</v>
      </c>
      <c r="J1145" s="29">
        <f t="shared" si="259"/>
        <v>0</v>
      </c>
      <c r="K1145" s="32" t="str" cm="1">
        <f t="array" ref="K1145">IF(AF1145&lt;&gt;"",IFERROR(INDEX('Group List A'!B:B,MATCH(AI1145,'Group List A'!A:A,0),0),"-"),"")</f>
        <v/>
      </c>
      <c r="L1145" s="33">
        <f t="shared" si="260"/>
        <v>0</v>
      </c>
      <c r="M1145" s="33">
        <f t="shared" si="261"/>
        <v>0</v>
      </c>
      <c r="N1145" s="33">
        <f t="shared" si="262"/>
        <v>0</v>
      </c>
      <c r="O1145" s="28"/>
      <c r="P1145" s="33">
        <f t="shared" si="263"/>
        <v>0</v>
      </c>
      <c r="Q1145" s="35" t="str" cm="1">
        <f t="array" ref="Q1145">IF(AF1145&lt;&gt;"",IFERROR(INDEX('Group List B'!B:B,MATCH(AI1145,'Group List B'!A:A,0),0),"-"),"")</f>
        <v/>
      </c>
      <c r="R1145" s="36">
        <f t="shared" si="264"/>
        <v>0</v>
      </c>
      <c r="S1145" s="36">
        <f t="shared" si="265"/>
        <v>0</v>
      </c>
      <c r="T1145" s="36">
        <f t="shared" si="266"/>
        <v>0</v>
      </c>
      <c r="U1145" s="28"/>
      <c r="V1145" s="37">
        <f t="shared" si="267"/>
        <v>0</v>
      </c>
      <c r="W1145" s="41"/>
      <c r="X1145" s="27"/>
      <c r="Y1145" s="27"/>
      <c r="Z1145" s="27"/>
      <c r="AA1145" s="15"/>
      <c r="AB1145" s="17"/>
      <c r="AC1145" s="17"/>
      <c r="AD1145" s="17"/>
      <c r="AE1145" s="90"/>
      <c r="AF1145" s="82" t="str">
        <f t="shared" si="268"/>
        <v/>
      </c>
      <c r="AG1145" s="83" t="str">
        <f t="shared" si="269"/>
        <v/>
      </c>
      <c r="AH1145" s="82" t="str">
        <f t="shared" si="270"/>
        <v/>
      </c>
      <c r="AI1145" s="82" t="str">
        <f t="shared" si="271"/>
        <v/>
      </c>
      <c r="AJ1145" s="90"/>
      <c r="AP1145" s="88"/>
    </row>
    <row r="1146" spans="1:42" x14ac:dyDescent="0.25">
      <c r="A1146" s="2"/>
      <c r="C1146" s="68" t="str" cm="1">
        <f t="array" ref="C1146">IF(AF1146&lt;&gt;"",
IFERROR(INDEX('LaunchPad Markbook'!A:A,MATCH(AH1146,'LaunchPad Markbook'!D:D,0),0),"-"),"")</f>
        <v/>
      </c>
      <c r="D1146" s="27"/>
      <c r="E1146" s="27"/>
      <c r="F1146" s="27"/>
      <c r="G1146" s="14">
        <f>IF(OR(H1146&gt;AB$2,I1146&gt;AC$2,J1146&gt;AD$2,
P1146&gt;1,V1146&gt;1,
L1146&gt;'Group List A'!E$2,M1146&gt;'Group List A'!F$2,N1146&gt;'Group List A'!G$2,
R1146&gt;'Group List B'!E$2,S1146&gt;'Group List B'!F$2,T1146&gt;'Group List B'!G$2),"Exceed",
IF(OR(H1146=AB$2,I1146=AC$2,J1146=AD$2,
P1146=1,V1146=1,
L1146='Group List A'!E$2,M1146='Group List A'!F$2,N1146='Group List A'!G$2,
R1146='Group List B'!E$2,S1146='Group List B'!F$2,T1146='Group List B'!G$2),"Limit",0))</f>
        <v>0</v>
      </c>
      <c r="H1146" s="29">
        <f t="shared" si="257"/>
        <v>0</v>
      </c>
      <c r="I1146" s="29">
        <f t="shared" si="258"/>
        <v>0</v>
      </c>
      <c r="J1146" s="29">
        <f t="shared" si="259"/>
        <v>0</v>
      </c>
      <c r="K1146" s="32" t="str" cm="1">
        <f t="array" ref="K1146">IF(AF1146&lt;&gt;"",IFERROR(INDEX('Group List A'!B:B,MATCH(AI1146,'Group List A'!A:A,0),0),"-"),"")</f>
        <v/>
      </c>
      <c r="L1146" s="33">
        <f t="shared" si="260"/>
        <v>0</v>
      </c>
      <c r="M1146" s="33">
        <f t="shared" si="261"/>
        <v>0</v>
      </c>
      <c r="N1146" s="33">
        <f t="shared" si="262"/>
        <v>0</v>
      </c>
      <c r="O1146" s="28"/>
      <c r="P1146" s="33">
        <f t="shared" si="263"/>
        <v>0</v>
      </c>
      <c r="Q1146" s="35" t="str" cm="1">
        <f t="array" ref="Q1146">IF(AF1146&lt;&gt;"",IFERROR(INDEX('Group List B'!B:B,MATCH(AI1146,'Group List B'!A:A,0),0),"-"),"")</f>
        <v/>
      </c>
      <c r="R1146" s="36">
        <f t="shared" si="264"/>
        <v>0</v>
      </c>
      <c r="S1146" s="36">
        <f t="shared" si="265"/>
        <v>0</v>
      </c>
      <c r="T1146" s="36">
        <f t="shared" si="266"/>
        <v>0</v>
      </c>
      <c r="U1146" s="28"/>
      <c r="V1146" s="37">
        <f t="shared" si="267"/>
        <v>0</v>
      </c>
      <c r="W1146" s="41"/>
      <c r="X1146" s="27"/>
      <c r="Y1146" s="27"/>
      <c r="Z1146" s="27"/>
      <c r="AA1146" s="15"/>
      <c r="AB1146" s="17"/>
      <c r="AC1146" s="17"/>
      <c r="AD1146" s="17"/>
      <c r="AE1146" s="90"/>
      <c r="AF1146" s="82" t="str">
        <f t="shared" si="268"/>
        <v/>
      </c>
      <c r="AG1146" s="83" t="str">
        <f t="shared" si="269"/>
        <v/>
      </c>
      <c r="AH1146" s="82" t="str">
        <f t="shared" si="270"/>
        <v/>
      </c>
      <c r="AI1146" s="82" t="str">
        <f t="shared" si="271"/>
        <v/>
      </c>
      <c r="AJ1146" s="90"/>
      <c r="AP1146" s="88"/>
    </row>
    <row r="1147" spans="1:42" x14ac:dyDescent="0.25">
      <c r="A1147" s="2"/>
      <c r="C1147" s="68" t="str" cm="1">
        <f t="array" ref="C1147">IF(AF1147&lt;&gt;"",
IFERROR(INDEX('LaunchPad Markbook'!A:A,MATCH(AH1147,'LaunchPad Markbook'!D:D,0),0),"-"),"")</f>
        <v/>
      </c>
      <c r="D1147" s="27"/>
      <c r="E1147" s="27"/>
      <c r="F1147" s="27"/>
      <c r="G1147" s="14">
        <f>IF(OR(H1147&gt;AB$2,I1147&gt;AC$2,J1147&gt;AD$2,
P1147&gt;1,V1147&gt;1,
L1147&gt;'Group List A'!E$2,M1147&gt;'Group List A'!F$2,N1147&gt;'Group List A'!G$2,
R1147&gt;'Group List B'!E$2,S1147&gt;'Group List B'!F$2,T1147&gt;'Group List B'!G$2),"Exceed",
IF(OR(H1147=AB$2,I1147=AC$2,J1147=AD$2,
P1147=1,V1147=1,
L1147='Group List A'!E$2,M1147='Group List A'!F$2,N1147='Group List A'!G$2,
R1147='Group List B'!E$2,S1147='Group List B'!F$2,T1147='Group List B'!G$2),"Limit",0))</f>
        <v>0</v>
      </c>
      <c r="H1147" s="29">
        <f t="shared" si="257"/>
        <v>0</v>
      </c>
      <c r="I1147" s="29">
        <f t="shared" si="258"/>
        <v>0</v>
      </c>
      <c r="J1147" s="29">
        <f t="shared" si="259"/>
        <v>0</v>
      </c>
      <c r="K1147" s="32" t="str" cm="1">
        <f t="array" ref="K1147">IF(AF1147&lt;&gt;"",IFERROR(INDEX('Group List A'!B:B,MATCH(AI1147,'Group List A'!A:A,0),0),"-"),"")</f>
        <v/>
      </c>
      <c r="L1147" s="33">
        <f t="shared" si="260"/>
        <v>0</v>
      </c>
      <c r="M1147" s="33">
        <f t="shared" si="261"/>
        <v>0</v>
      </c>
      <c r="N1147" s="33">
        <f t="shared" si="262"/>
        <v>0</v>
      </c>
      <c r="O1147" s="28"/>
      <c r="P1147" s="33">
        <f t="shared" si="263"/>
        <v>0</v>
      </c>
      <c r="Q1147" s="35" t="str" cm="1">
        <f t="array" ref="Q1147">IF(AF1147&lt;&gt;"",IFERROR(INDEX('Group List B'!B:B,MATCH(AI1147,'Group List B'!A:A,0),0),"-"),"")</f>
        <v/>
      </c>
      <c r="R1147" s="36">
        <f t="shared" si="264"/>
        <v>0</v>
      </c>
      <c r="S1147" s="36">
        <f t="shared" si="265"/>
        <v>0</v>
      </c>
      <c r="T1147" s="36">
        <f t="shared" si="266"/>
        <v>0</v>
      </c>
      <c r="U1147" s="28"/>
      <c r="V1147" s="37">
        <f t="shared" si="267"/>
        <v>0</v>
      </c>
      <c r="W1147" s="41"/>
      <c r="X1147" s="27"/>
      <c r="Y1147" s="27"/>
      <c r="Z1147" s="27"/>
      <c r="AA1147" s="15"/>
      <c r="AB1147" s="17"/>
      <c r="AC1147" s="17"/>
      <c r="AD1147" s="17"/>
      <c r="AE1147" s="90"/>
      <c r="AF1147" s="82" t="str">
        <f t="shared" si="268"/>
        <v/>
      </c>
      <c r="AG1147" s="83" t="str">
        <f t="shared" si="269"/>
        <v/>
      </c>
      <c r="AH1147" s="82" t="str">
        <f t="shared" si="270"/>
        <v/>
      </c>
      <c r="AI1147" s="82" t="str">
        <f t="shared" si="271"/>
        <v/>
      </c>
      <c r="AJ1147" s="90"/>
      <c r="AP1147" s="88"/>
    </row>
    <row r="1148" spans="1:42" x14ac:dyDescent="0.25">
      <c r="A1148" s="2"/>
      <c r="C1148" s="68" t="str" cm="1">
        <f t="array" ref="C1148">IF(AF1148&lt;&gt;"",
IFERROR(INDEX('LaunchPad Markbook'!A:A,MATCH(AH1148,'LaunchPad Markbook'!D:D,0),0),"-"),"")</f>
        <v/>
      </c>
      <c r="D1148" s="27"/>
      <c r="E1148" s="27"/>
      <c r="F1148" s="27"/>
      <c r="G1148" s="14">
        <f>IF(OR(H1148&gt;AB$2,I1148&gt;AC$2,J1148&gt;AD$2,
P1148&gt;1,V1148&gt;1,
L1148&gt;'Group List A'!E$2,M1148&gt;'Group List A'!F$2,N1148&gt;'Group List A'!G$2,
R1148&gt;'Group List B'!E$2,S1148&gt;'Group List B'!F$2,T1148&gt;'Group List B'!G$2),"Exceed",
IF(OR(H1148=AB$2,I1148=AC$2,J1148=AD$2,
P1148=1,V1148=1,
L1148='Group List A'!E$2,M1148='Group List A'!F$2,N1148='Group List A'!G$2,
R1148='Group List B'!E$2,S1148='Group List B'!F$2,T1148='Group List B'!G$2),"Limit",0))</f>
        <v>0</v>
      </c>
      <c r="H1148" s="29">
        <f t="shared" si="257"/>
        <v>0</v>
      </c>
      <c r="I1148" s="29">
        <f t="shared" si="258"/>
        <v>0</v>
      </c>
      <c r="J1148" s="29">
        <f t="shared" si="259"/>
        <v>0</v>
      </c>
      <c r="K1148" s="32" t="str" cm="1">
        <f t="array" ref="K1148">IF(AF1148&lt;&gt;"",IFERROR(INDEX('Group List A'!B:B,MATCH(AI1148,'Group List A'!A:A,0),0),"-"),"")</f>
        <v/>
      </c>
      <c r="L1148" s="33">
        <f t="shared" si="260"/>
        <v>0</v>
      </c>
      <c r="M1148" s="33">
        <f t="shared" si="261"/>
        <v>0</v>
      </c>
      <c r="N1148" s="33">
        <f t="shared" si="262"/>
        <v>0</v>
      </c>
      <c r="O1148" s="28"/>
      <c r="P1148" s="33">
        <f t="shared" si="263"/>
        <v>0</v>
      </c>
      <c r="Q1148" s="35" t="str" cm="1">
        <f t="array" ref="Q1148">IF(AF1148&lt;&gt;"",IFERROR(INDEX('Group List B'!B:B,MATCH(AI1148,'Group List B'!A:A,0),0),"-"),"")</f>
        <v/>
      </c>
      <c r="R1148" s="36">
        <f t="shared" si="264"/>
        <v>0</v>
      </c>
      <c r="S1148" s="36">
        <f t="shared" si="265"/>
        <v>0</v>
      </c>
      <c r="T1148" s="36">
        <f t="shared" si="266"/>
        <v>0</v>
      </c>
      <c r="U1148" s="28"/>
      <c r="V1148" s="37">
        <f t="shared" si="267"/>
        <v>0</v>
      </c>
      <c r="W1148" s="41"/>
      <c r="X1148" s="27"/>
      <c r="Y1148" s="27"/>
      <c r="Z1148" s="27"/>
      <c r="AA1148" s="15"/>
      <c r="AB1148" s="17"/>
      <c r="AC1148" s="17"/>
      <c r="AD1148" s="17"/>
      <c r="AE1148" s="90"/>
      <c r="AF1148" s="82" t="str">
        <f t="shared" si="268"/>
        <v/>
      </c>
      <c r="AG1148" s="83" t="str">
        <f t="shared" si="269"/>
        <v/>
      </c>
      <c r="AH1148" s="82" t="str">
        <f t="shared" si="270"/>
        <v/>
      </c>
      <c r="AI1148" s="82" t="str">
        <f t="shared" si="271"/>
        <v/>
      </c>
      <c r="AJ1148" s="90"/>
      <c r="AP1148" s="88"/>
    </row>
    <row r="1149" spans="1:42" x14ac:dyDescent="0.25">
      <c r="A1149" s="2"/>
      <c r="C1149" s="68" t="str" cm="1">
        <f t="array" ref="C1149">IF(AF1149&lt;&gt;"",
IFERROR(INDEX('LaunchPad Markbook'!A:A,MATCH(AH1149,'LaunchPad Markbook'!D:D,0),0),"-"),"")</f>
        <v/>
      </c>
      <c r="D1149" s="27"/>
      <c r="E1149" s="27"/>
      <c r="F1149" s="27"/>
      <c r="G1149" s="14">
        <f>IF(OR(H1149&gt;AB$2,I1149&gt;AC$2,J1149&gt;AD$2,
P1149&gt;1,V1149&gt;1,
L1149&gt;'Group List A'!E$2,M1149&gt;'Group List A'!F$2,N1149&gt;'Group List A'!G$2,
R1149&gt;'Group List B'!E$2,S1149&gt;'Group List B'!F$2,T1149&gt;'Group List B'!G$2),"Exceed",
IF(OR(H1149=AB$2,I1149=AC$2,J1149=AD$2,
P1149=1,V1149=1,
L1149='Group List A'!E$2,M1149='Group List A'!F$2,N1149='Group List A'!G$2,
R1149='Group List B'!E$2,S1149='Group List B'!F$2,T1149='Group List B'!G$2),"Limit",0))</f>
        <v>0</v>
      </c>
      <c r="H1149" s="29">
        <f t="shared" si="257"/>
        <v>0</v>
      </c>
      <c r="I1149" s="29">
        <f t="shared" si="258"/>
        <v>0</v>
      </c>
      <c r="J1149" s="29">
        <f t="shared" si="259"/>
        <v>0</v>
      </c>
      <c r="K1149" s="32" t="str" cm="1">
        <f t="array" ref="K1149">IF(AF1149&lt;&gt;"",IFERROR(INDEX('Group List A'!B:B,MATCH(AI1149,'Group List A'!A:A,0),0),"-"),"")</f>
        <v/>
      </c>
      <c r="L1149" s="33">
        <f t="shared" si="260"/>
        <v>0</v>
      </c>
      <c r="M1149" s="33">
        <f t="shared" si="261"/>
        <v>0</v>
      </c>
      <c r="N1149" s="33">
        <f t="shared" si="262"/>
        <v>0</v>
      </c>
      <c r="O1149" s="28"/>
      <c r="P1149" s="33">
        <f t="shared" si="263"/>
        <v>0</v>
      </c>
      <c r="Q1149" s="35" t="str" cm="1">
        <f t="array" ref="Q1149">IF(AF1149&lt;&gt;"",IFERROR(INDEX('Group List B'!B:B,MATCH(AI1149,'Group List B'!A:A,0),0),"-"),"")</f>
        <v/>
      </c>
      <c r="R1149" s="36">
        <f t="shared" si="264"/>
        <v>0</v>
      </c>
      <c r="S1149" s="36">
        <f t="shared" si="265"/>
        <v>0</v>
      </c>
      <c r="T1149" s="36">
        <f t="shared" si="266"/>
        <v>0</v>
      </c>
      <c r="U1149" s="28"/>
      <c r="V1149" s="37">
        <f t="shared" si="267"/>
        <v>0</v>
      </c>
      <c r="W1149" s="41"/>
      <c r="X1149" s="27"/>
      <c r="Y1149" s="27"/>
      <c r="Z1149" s="27"/>
      <c r="AA1149" s="15"/>
      <c r="AB1149" s="17"/>
      <c r="AC1149" s="17"/>
      <c r="AD1149" s="17"/>
      <c r="AE1149" s="90"/>
      <c r="AF1149" s="82" t="str">
        <f t="shared" si="268"/>
        <v/>
      </c>
      <c r="AG1149" s="83" t="str">
        <f t="shared" si="269"/>
        <v/>
      </c>
      <c r="AH1149" s="82" t="str">
        <f t="shared" si="270"/>
        <v/>
      </c>
      <c r="AI1149" s="82" t="str">
        <f t="shared" si="271"/>
        <v/>
      </c>
      <c r="AJ1149" s="90"/>
      <c r="AP1149" s="88"/>
    </row>
    <row r="1150" spans="1:42" x14ac:dyDescent="0.25">
      <c r="A1150" s="2"/>
      <c r="C1150" s="68" t="str" cm="1">
        <f t="array" ref="C1150">IF(AF1150&lt;&gt;"",
IFERROR(INDEX('LaunchPad Markbook'!A:A,MATCH(AH1150,'LaunchPad Markbook'!D:D,0),0),"-"),"")</f>
        <v/>
      </c>
      <c r="D1150" s="27"/>
      <c r="E1150" s="27"/>
      <c r="F1150" s="27"/>
      <c r="G1150" s="14">
        <f>IF(OR(H1150&gt;AB$2,I1150&gt;AC$2,J1150&gt;AD$2,
P1150&gt;1,V1150&gt;1,
L1150&gt;'Group List A'!E$2,M1150&gt;'Group List A'!F$2,N1150&gt;'Group List A'!G$2,
R1150&gt;'Group List B'!E$2,S1150&gt;'Group List B'!F$2,T1150&gt;'Group List B'!G$2),"Exceed",
IF(OR(H1150=AB$2,I1150=AC$2,J1150=AD$2,
P1150=1,V1150=1,
L1150='Group List A'!E$2,M1150='Group List A'!F$2,N1150='Group List A'!G$2,
R1150='Group List B'!E$2,S1150='Group List B'!F$2,T1150='Group List B'!G$2),"Limit",0))</f>
        <v>0</v>
      </c>
      <c r="H1150" s="29">
        <f t="shared" si="257"/>
        <v>0</v>
      </c>
      <c r="I1150" s="29">
        <f t="shared" si="258"/>
        <v>0</v>
      </c>
      <c r="J1150" s="29">
        <f t="shared" si="259"/>
        <v>0</v>
      </c>
      <c r="K1150" s="32" t="str" cm="1">
        <f t="array" ref="K1150">IF(AF1150&lt;&gt;"",IFERROR(INDEX('Group List A'!B:B,MATCH(AI1150,'Group List A'!A:A,0),0),"-"),"")</f>
        <v/>
      </c>
      <c r="L1150" s="33">
        <f t="shared" si="260"/>
        <v>0</v>
      </c>
      <c r="M1150" s="33">
        <f t="shared" si="261"/>
        <v>0</v>
      </c>
      <c r="N1150" s="33">
        <f t="shared" si="262"/>
        <v>0</v>
      </c>
      <c r="O1150" s="28"/>
      <c r="P1150" s="33">
        <f t="shared" si="263"/>
        <v>0</v>
      </c>
      <c r="Q1150" s="35" t="str" cm="1">
        <f t="array" ref="Q1150">IF(AF1150&lt;&gt;"",IFERROR(INDEX('Group List B'!B:B,MATCH(AI1150,'Group List B'!A:A,0),0),"-"),"")</f>
        <v/>
      </c>
      <c r="R1150" s="36">
        <f t="shared" si="264"/>
        <v>0</v>
      </c>
      <c r="S1150" s="36">
        <f t="shared" si="265"/>
        <v>0</v>
      </c>
      <c r="T1150" s="36">
        <f t="shared" si="266"/>
        <v>0</v>
      </c>
      <c r="U1150" s="28"/>
      <c r="V1150" s="37">
        <f t="shared" si="267"/>
        <v>0</v>
      </c>
      <c r="W1150" s="41"/>
      <c r="X1150" s="27"/>
      <c r="Y1150" s="27"/>
      <c r="Z1150" s="27"/>
      <c r="AA1150" s="15"/>
      <c r="AB1150" s="17"/>
      <c r="AC1150" s="17"/>
      <c r="AD1150" s="17"/>
      <c r="AE1150" s="90"/>
      <c r="AF1150" s="82" t="str">
        <f t="shared" si="268"/>
        <v/>
      </c>
      <c r="AG1150" s="83" t="str">
        <f t="shared" si="269"/>
        <v/>
      </c>
      <c r="AH1150" s="82" t="str">
        <f t="shared" si="270"/>
        <v/>
      </c>
      <c r="AI1150" s="82" t="str">
        <f t="shared" si="271"/>
        <v/>
      </c>
      <c r="AJ1150" s="90"/>
      <c r="AP1150" s="88"/>
    </row>
    <row r="1151" spans="1:42" x14ac:dyDescent="0.25">
      <c r="A1151" s="2"/>
      <c r="C1151" s="68" t="str" cm="1">
        <f t="array" ref="C1151">IF(AF1151&lt;&gt;"",
IFERROR(INDEX('LaunchPad Markbook'!A:A,MATCH(AH1151,'LaunchPad Markbook'!D:D,0),0),"-"),"")</f>
        <v/>
      </c>
      <c r="D1151" s="27"/>
      <c r="E1151" s="27"/>
      <c r="F1151" s="27"/>
      <c r="G1151" s="14">
        <f>IF(OR(H1151&gt;AB$2,I1151&gt;AC$2,J1151&gt;AD$2,
P1151&gt;1,V1151&gt;1,
L1151&gt;'Group List A'!E$2,M1151&gt;'Group List A'!F$2,N1151&gt;'Group List A'!G$2,
R1151&gt;'Group List B'!E$2,S1151&gt;'Group List B'!F$2,T1151&gt;'Group List B'!G$2),"Exceed",
IF(OR(H1151=AB$2,I1151=AC$2,J1151=AD$2,
P1151=1,V1151=1,
L1151='Group List A'!E$2,M1151='Group List A'!F$2,N1151='Group List A'!G$2,
R1151='Group List B'!E$2,S1151='Group List B'!F$2,T1151='Group List B'!G$2),"Limit",0))</f>
        <v>0</v>
      </c>
      <c r="H1151" s="29">
        <f t="shared" si="257"/>
        <v>0</v>
      </c>
      <c r="I1151" s="29">
        <f t="shared" si="258"/>
        <v>0</v>
      </c>
      <c r="J1151" s="29">
        <f t="shared" si="259"/>
        <v>0</v>
      </c>
      <c r="K1151" s="32" t="str" cm="1">
        <f t="array" ref="K1151">IF(AF1151&lt;&gt;"",IFERROR(INDEX('Group List A'!B:B,MATCH(AI1151,'Group List A'!A:A,0),0),"-"),"")</f>
        <v/>
      </c>
      <c r="L1151" s="33">
        <f t="shared" si="260"/>
        <v>0</v>
      </c>
      <c r="M1151" s="33">
        <f t="shared" si="261"/>
        <v>0</v>
      </c>
      <c r="N1151" s="33">
        <f t="shared" si="262"/>
        <v>0</v>
      </c>
      <c r="O1151" s="28"/>
      <c r="P1151" s="33">
        <f t="shared" si="263"/>
        <v>0</v>
      </c>
      <c r="Q1151" s="35" t="str" cm="1">
        <f t="array" ref="Q1151">IF(AF1151&lt;&gt;"",IFERROR(INDEX('Group List B'!B:B,MATCH(AI1151,'Group List B'!A:A,0),0),"-"),"")</f>
        <v/>
      </c>
      <c r="R1151" s="36">
        <f t="shared" si="264"/>
        <v>0</v>
      </c>
      <c r="S1151" s="36">
        <f t="shared" si="265"/>
        <v>0</v>
      </c>
      <c r="T1151" s="36">
        <f t="shared" si="266"/>
        <v>0</v>
      </c>
      <c r="U1151" s="28"/>
      <c r="V1151" s="37">
        <f t="shared" si="267"/>
        <v>0</v>
      </c>
      <c r="W1151" s="41"/>
      <c r="X1151" s="27"/>
      <c r="Y1151" s="27"/>
      <c r="Z1151" s="27"/>
      <c r="AA1151" s="15"/>
      <c r="AB1151" s="17"/>
      <c r="AC1151" s="17"/>
      <c r="AD1151" s="17"/>
      <c r="AE1151" s="90"/>
      <c r="AF1151" s="82" t="str">
        <f t="shared" si="268"/>
        <v/>
      </c>
      <c r="AG1151" s="83" t="str">
        <f t="shared" si="269"/>
        <v/>
      </c>
      <c r="AH1151" s="82" t="str">
        <f t="shared" si="270"/>
        <v/>
      </c>
      <c r="AI1151" s="82" t="str">
        <f t="shared" si="271"/>
        <v/>
      </c>
      <c r="AJ1151" s="90"/>
      <c r="AP1151" s="88"/>
    </row>
    <row r="1152" spans="1:42" x14ac:dyDescent="0.25">
      <c r="A1152" s="2"/>
      <c r="C1152" s="68" t="str" cm="1">
        <f t="array" ref="C1152">IF(AF1152&lt;&gt;"",
IFERROR(INDEX('LaunchPad Markbook'!A:A,MATCH(AH1152,'LaunchPad Markbook'!D:D,0),0),"-"),"")</f>
        <v/>
      </c>
      <c r="D1152" s="27"/>
      <c r="E1152" s="27"/>
      <c r="F1152" s="27"/>
      <c r="G1152" s="14">
        <f>IF(OR(H1152&gt;AB$2,I1152&gt;AC$2,J1152&gt;AD$2,
P1152&gt;1,V1152&gt;1,
L1152&gt;'Group List A'!E$2,M1152&gt;'Group List A'!F$2,N1152&gt;'Group List A'!G$2,
R1152&gt;'Group List B'!E$2,S1152&gt;'Group List B'!F$2,T1152&gt;'Group List B'!G$2),"Exceed",
IF(OR(H1152=AB$2,I1152=AC$2,J1152=AD$2,
P1152=1,V1152=1,
L1152='Group List A'!E$2,M1152='Group List A'!F$2,N1152='Group List A'!G$2,
R1152='Group List B'!E$2,S1152='Group List B'!F$2,T1152='Group List B'!G$2),"Limit",0))</f>
        <v>0</v>
      </c>
      <c r="H1152" s="29">
        <f t="shared" si="257"/>
        <v>0</v>
      </c>
      <c r="I1152" s="29">
        <f t="shared" si="258"/>
        <v>0</v>
      </c>
      <c r="J1152" s="29">
        <f t="shared" si="259"/>
        <v>0</v>
      </c>
      <c r="K1152" s="32" t="str" cm="1">
        <f t="array" ref="K1152">IF(AF1152&lt;&gt;"",IFERROR(INDEX('Group List A'!B:B,MATCH(AI1152,'Group List A'!A:A,0),0),"-"),"")</f>
        <v/>
      </c>
      <c r="L1152" s="33">
        <f t="shared" si="260"/>
        <v>0</v>
      </c>
      <c r="M1152" s="33">
        <f t="shared" si="261"/>
        <v>0</v>
      </c>
      <c r="N1152" s="33">
        <f t="shared" si="262"/>
        <v>0</v>
      </c>
      <c r="O1152" s="28"/>
      <c r="P1152" s="33">
        <f t="shared" si="263"/>
        <v>0</v>
      </c>
      <c r="Q1152" s="35" t="str" cm="1">
        <f t="array" ref="Q1152">IF(AF1152&lt;&gt;"",IFERROR(INDEX('Group List B'!B:B,MATCH(AI1152,'Group List B'!A:A,0),0),"-"),"")</f>
        <v/>
      </c>
      <c r="R1152" s="36">
        <f t="shared" si="264"/>
        <v>0</v>
      </c>
      <c r="S1152" s="36">
        <f t="shared" si="265"/>
        <v>0</v>
      </c>
      <c r="T1152" s="36">
        <f t="shared" si="266"/>
        <v>0</v>
      </c>
      <c r="U1152" s="28"/>
      <c r="V1152" s="37">
        <f t="shared" si="267"/>
        <v>0</v>
      </c>
      <c r="W1152" s="41"/>
      <c r="X1152" s="27"/>
      <c r="Y1152" s="27"/>
      <c r="Z1152" s="27"/>
      <c r="AA1152" s="15"/>
      <c r="AB1152" s="17"/>
      <c r="AC1152" s="17"/>
      <c r="AD1152" s="17"/>
      <c r="AE1152" s="90"/>
      <c r="AF1152" s="82" t="str">
        <f t="shared" si="268"/>
        <v/>
      </c>
      <c r="AG1152" s="83" t="str">
        <f t="shared" si="269"/>
        <v/>
      </c>
      <c r="AH1152" s="82" t="str">
        <f t="shared" si="270"/>
        <v/>
      </c>
      <c r="AI1152" s="82" t="str">
        <f t="shared" si="271"/>
        <v/>
      </c>
      <c r="AJ1152" s="90"/>
      <c r="AP1152" s="88"/>
    </row>
    <row r="1153" spans="1:42" x14ac:dyDescent="0.25">
      <c r="A1153" s="2"/>
      <c r="C1153" s="68" t="str" cm="1">
        <f t="array" ref="C1153">IF(AF1153&lt;&gt;"",
IFERROR(INDEX('LaunchPad Markbook'!A:A,MATCH(AH1153,'LaunchPad Markbook'!D:D,0),0),"-"),"")</f>
        <v/>
      </c>
      <c r="D1153" s="27"/>
      <c r="E1153" s="27"/>
      <c r="F1153" s="27"/>
      <c r="G1153" s="14">
        <f>IF(OR(H1153&gt;AB$2,I1153&gt;AC$2,J1153&gt;AD$2,
P1153&gt;1,V1153&gt;1,
L1153&gt;'Group List A'!E$2,M1153&gt;'Group List A'!F$2,N1153&gt;'Group List A'!G$2,
R1153&gt;'Group List B'!E$2,S1153&gt;'Group List B'!F$2,T1153&gt;'Group List B'!G$2),"Exceed",
IF(OR(H1153=AB$2,I1153=AC$2,J1153=AD$2,
P1153=1,V1153=1,
L1153='Group List A'!E$2,M1153='Group List A'!F$2,N1153='Group List A'!G$2,
R1153='Group List B'!E$2,S1153='Group List B'!F$2,T1153='Group List B'!G$2),"Limit",0))</f>
        <v>0</v>
      </c>
      <c r="H1153" s="29">
        <f t="shared" si="257"/>
        <v>0</v>
      </c>
      <c r="I1153" s="29">
        <f t="shared" si="258"/>
        <v>0</v>
      </c>
      <c r="J1153" s="29">
        <f t="shared" si="259"/>
        <v>0</v>
      </c>
      <c r="K1153" s="32" t="str" cm="1">
        <f t="array" ref="K1153">IF(AF1153&lt;&gt;"",IFERROR(INDEX('Group List A'!B:B,MATCH(AI1153,'Group List A'!A:A,0),0),"-"),"")</f>
        <v/>
      </c>
      <c r="L1153" s="33">
        <f t="shared" si="260"/>
        <v>0</v>
      </c>
      <c r="M1153" s="33">
        <f t="shared" si="261"/>
        <v>0</v>
      </c>
      <c r="N1153" s="33">
        <f t="shared" si="262"/>
        <v>0</v>
      </c>
      <c r="O1153" s="28"/>
      <c r="P1153" s="33">
        <f t="shared" si="263"/>
        <v>0</v>
      </c>
      <c r="Q1153" s="35" t="str" cm="1">
        <f t="array" ref="Q1153">IF(AF1153&lt;&gt;"",IFERROR(INDEX('Group List B'!B:B,MATCH(AI1153,'Group List B'!A:A,0),0),"-"),"")</f>
        <v/>
      </c>
      <c r="R1153" s="36">
        <f t="shared" si="264"/>
        <v>0</v>
      </c>
      <c r="S1153" s="36">
        <f t="shared" si="265"/>
        <v>0</v>
      </c>
      <c r="T1153" s="36">
        <f t="shared" si="266"/>
        <v>0</v>
      </c>
      <c r="U1153" s="28"/>
      <c r="V1153" s="37">
        <f t="shared" si="267"/>
        <v>0</v>
      </c>
      <c r="W1153" s="41"/>
      <c r="X1153" s="27"/>
      <c r="Y1153" s="27"/>
      <c r="Z1153" s="27"/>
      <c r="AA1153" s="15"/>
      <c r="AB1153" s="17"/>
      <c r="AC1153" s="17"/>
      <c r="AD1153" s="17"/>
      <c r="AE1153" s="90"/>
      <c r="AF1153" s="82" t="str">
        <f t="shared" si="268"/>
        <v/>
      </c>
      <c r="AG1153" s="83" t="str">
        <f t="shared" si="269"/>
        <v/>
      </c>
      <c r="AH1153" s="82" t="str">
        <f t="shared" si="270"/>
        <v/>
      </c>
      <c r="AI1153" s="82" t="str">
        <f t="shared" si="271"/>
        <v/>
      </c>
      <c r="AJ1153" s="90"/>
      <c r="AP1153" s="88"/>
    </row>
    <row r="1154" spans="1:42" x14ac:dyDescent="0.25">
      <c r="A1154" s="2"/>
      <c r="C1154" s="68" t="str" cm="1">
        <f t="array" ref="C1154">IF(AF1154&lt;&gt;"",
IFERROR(INDEX('LaunchPad Markbook'!A:A,MATCH(AH1154,'LaunchPad Markbook'!D:D,0),0),"-"),"")</f>
        <v/>
      </c>
      <c r="D1154" s="27"/>
      <c r="E1154" s="27"/>
      <c r="F1154" s="27"/>
      <c r="G1154" s="14">
        <f>IF(OR(H1154&gt;AB$2,I1154&gt;AC$2,J1154&gt;AD$2,
P1154&gt;1,V1154&gt;1,
L1154&gt;'Group List A'!E$2,M1154&gt;'Group List A'!F$2,N1154&gt;'Group List A'!G$2,
R1154&gt;'Group List B'!E$2,S1154&gt;'Group List B'!F$2,T1154&gt;'Group List B'!G$2),"Exceed",
IF(OR(H1154=AB$2,I1154=AC$2,J1154=AD$2,
P1154=1,V1154=1,
L1154='Group List A'!E$2,M1154='Group List A'!F$2,N1154='Group List A'!G$2,
R1154='Group List B'!E$2,S1154='Group List B'!F$2,T1154='Group List B'!G$2),"Limit",0))</f>
        <v>0</v>
      </c>
      <c r="H1154" s="29">
        <f t="shared" si="257"/>
        <v>0</v>
      </c>
      <c r="I1154" s="29">
        <f t="shared" si="258"/>
        <v>0</v>
      </c>
      <c r="J1154" s="29">
        <f t="shared" si="259"/>
        <v>0</v>
      </c>
      <c r="K1154" s="32" t="str" cm="1">
        <f t="array" ref="K1154">IF(AF1154&lt;&gt;"",IFERROR(INDEX('Group List A'!B:B,MATCH(AI1154,'Group List A'!A:A,0),0),"-"),"")</f>
        <v/>
      </c>
      <c r="L1154" s="33">
        <f t="shared" si="260"/>
        <v>0</v>
      </c>
      <c r="M1154" s="33">
        <f t="shared" si="261"/>
        <v>0</v>
      </c>
      <c r="N1154" s="33">
        <f t="shared" si="262"/>
        <v>0</v>
      </c>
      <c r="O1154" s="28"/>
      <c r="P1154" s="33">
        <f t="shared" si="263"/>
        <v>0</v>
      </c>
      <c r="Q1154" s="35" t="str" cm="1">
        <f t="array" ref="Q1154">IF(AF1154&lt;&gt;"",IFERROR(INDEX('Group List B'!B:B,MATCH(AI1154,'Group List B'!A:A,0),0),"-"),"")</f>
        <v/>
      </c>
      <c r="R1154" s="36">
        <f t="shared" si="264"/>
        <v>0</v>
      </c>
      <c r="S1154" s="36">
        <f t="shared" si="265"/>
        <v>0</v>
      </c>
      <c r="T1154" s="36">
        <f t="shared" si="266"/>
        <v>0</v>
      </c>
      <c r="U1154" s="28"/>
      <c r="V1154" s="37">
        <f t="shared" si="267"/>
        <v>0</v>
      </c>
      <c r="W1154" s="41"/>
      <c r="X1154" s="27"/>
      <c r="Y1154" s="27"/>
      <c r="Z1154" s="27"/>
      <c r="AA1154" s="15"/>
      <c r="AB1154" s="17"/>
      <c r="AC1154" s="17"/>
      <c r="AD1154" s="17"/>
      <c r="AE1154" s="90"/>
      <c r="AF1154" s="82" t="str">
        <f t="shared" si="268"/>
        <v/>
      </c>
      <c r="AG1154" s="83" t="str">
        <f t="shared" si="269"/>
        <v/>
      </c>
      <c r="AH1154" s="82" t="str">
        <f t="shared" si="270"/>
        <v/>
      </c>
      <c r="AI1154" s="82" t="str">
        <f t="shared" si="271"/>
        <v/>
      </c>
      <c r="AJ1154" s="90"/>
      <c r="AP1154" s="88"/>
    </row>
    <row r="1155" spans="1:42" x14ac:dyDescent="0.25">
      <c r="A1155" s="2"/>
      <c r="C1155" s="68" t="str" cm="1">
        <f t="array" ref="C1155">IF(AF1155&lt;&gt;"",
IFERROR(INDEX('LaunchPad Markbook'!A:A,MATCH(AH1155,'LaunchPad Markbook'!D:D,0),0),"-"),"")</f>
        <v/>
      </c>
      <c r="D1155" s="27"/>
      <c r="E1155" s="27"/>
      <c r="F1155" s="27"/>
      <c r="G1155" s="14">
        <f>IF(OR(H1155&gt;AB$2,I1155&gt;AC$2,J1155&gt;AD$2,
P1155&gt;1,V1155&gt;1,
L1155&gt;'Group List A'!E$2,M1155&gt;'Group List A'!F$2,N1155&gt;'Group List A'!G$2,
R1155&gt;'Group List B'!E$2,S1155&gt;'Group List B'!F$2,T1155&gt;'Group List B'!G$2),"Exceed",
IF(OR(H1155=AB$2,I1155=AC$2,J1155=AD$2,
P1155=1,V1155=1,
L1155='Group List A'!E$2,M1155='Group List A'!F$2,N1155='Group List A'!G$2,
R1155='Group List B'!E$2,S1155='Group List B'!F$2,T1155='Group List B'!G$2),"Limit",0))</f>
        <v>0</v>
      </c>
      <c r="H1155" s="29">
        <f t="shared" ref="H1155:H1200" si="272">IF(AND(K1155="-",Q1155="-"),
SUMIFS(D$2:D$2000,$AH$2:$AH$2000,$AH1155),0)</f>
        <v>0</v>
      </c>
      <c r="I1155" s="29">
        <f t="shared" ref="I1155:I1200" si="273">IF(AND(K1155="-",Q1155="-"),
SUMIFS(E$2:E$2000,$AH$2:$AH$2000,$AH1155),0)</f>
        <v>0</v>
      </c>
      <c r="J1155" s="29">
        <f t="shared" ref="J1155:J1200" si="274">IF(AND(K1155="-",Q1155="-"),
SUMIFS(F$2:F$2000,$AH$2:$AH$2000,$AH1155),0)</f>
        <v>0</v>
      </c>
      <c r="K1155" s="32" t="str" cm="1">
        <f t="array" ref="K1155">IF(AF1155&lt;&gt;"",IFERROR(INDEX('Group List A'!B:B,MATCH(AI1155,'Group List A'!A:A,0),0),"-"),"")</f>
        <v/>
      </c>
      <c r="L1155" s="33">
        <f t="shared" ref="L1155:L1200" si="275">IF($K1155&lt;&gt;"-",SUMIFS(D$2:D$2000,$K$2:$K$2000,$K1155),0)</f>
        <v>0</v>
      </c>
      <c r="M1155" s="33">
        <f t="shared" ref="M1155:M1200" si="276">IF($K1155&lt;&gt;"-",SUMIFS(E$2:E$2000,$K$2:$K$2000,$K1155),0)</f>
        <v>0</v>
      </c>
      <c r="N1155" s="33">
        <f t="shared" ref="N1155:N1200" si="277">IF($K1155&lt;&gt;"-",SUMIFS(F$2:F$2000,$K$2:$K$2000,$K1155),0)</f>
        <v>0</v>
      </c>
      <c r="O1155" s="28"/>
      <c r="P1155" s="33">
        <f t="shared" ref="P1155:P1200" si="278">SUMIFS(O$2:O$2000,$AH$2:$AH$2000,$AH1155)</f>
        <v>0</v>
      </c>
      <c r="Q1155" s="35" t="str" cm="1">
        <f t="array" ref="Q1155">IF(AF1155&lt;&gt;"",IFERROR(INDEX('Group List B'!B:B,MATCH(AI1155,'Group List B'!A:A,0),0),"-"),"")</f>
        <v/>
      </c>
      <c r="R1155" s="36">
        <f t="shared" ref="R1155:R1200" si="279">IF($Q1155&lt;&gt;"-",SUMIFS(D$2:D$2000,$Q$2:$Q$2000,$Q1155),0)</f>
        <v>0</v>
      </c>
      <c r="S1155" s="36">
        <f t="shared" ref="S1155:S1200" si="280">IF($Q1155&lt;&gt;"-",SUMIFS(E$2:E$2000,$Q$2:$Q$2000,$Q1155),0)</f>
        <v>0</v>
      </c>
      <c r="T1155" s="36">
        <f t="shared" ref="T1155:T1200" si="281">IF($Q1155&lt;&gt;"-",SUMIFS(F$2:F$2000,$Q$2:$Q$2000,$Q1155),0)</f>
        <v>0</v>
      </c>
      <c r="U1155" s="28"/>
      <c r="V1155" s="37">
        <f t="shared" ref="V1155:V1200" si="282">SUMIFS(U$2:U$2000,$AH$2:$AH$2000,$AH1155)</f>
        <v>0</v>
      </c>
      <c r="W1155" s="41"/>
      <c r="X1155" s="27"/>
      <c r="Y1155" s="27"/>
      <c r="Z1155" s="27"/>
      <c r="AA1155" s="15"/>
      <c r="AB1155" s="17"/>
      <c r="AC1155" s="17"/>
      <c r="AD1155" s="17"/>
      <c r="AE1155" s="90"/>
      <c r="AF1155" s="82" t="str">
        <f t="shared" ref="AF1155:AF1200" si="283">IF(A1155&lt;&gt;"",A1155,"")</f>
        <v/>
      </c>
      <c r="AG1155" s="83" t="str">
        <f t="shared" ref="AG1155:AG1200" si="284">IF(MID(AF1155,1,1)="N","STUDENT",
IF(MID(AF1155,1,1)="S","STAFF",
IF(MID(AF1155,1,1)="V","VISITOR",
IF(AF1155&lt;&gt;"","ERROR",""))))</f>
        <v/>
      </c>
      <c r="AH1155" s="82" t="str">
        <f t="shared" ref="AH1155:AH1200" si="285">IF(AG1155="STUDENT","N"&amp;(MID(AF1155,2,8)-0),
IF(AG1155="STAFF","S"&amp;MID(AF1155,2,8),""))</f>
        <v/>
      </c>
      <c r="AI1155" s="82" t="str">
        <f t="shared" ref="AI1155:AI1200" si="286">IF(AG1155="STUDENT",(MID(AF1155,2,8)-0),
IF(AG1155="STAFF","STAFF",""))</f>
        <v/>
      </c>
      <c r="AJ1155" s="90"/>
      <c r="AP1155" s="88"/>
    </row>
    <row r="1156" spans="1:42" x14ac:dyDescent="0.25">
      <c r="A1156" s="2"/>
      <c r="C1156" s="68" t="str" cm="1">
        <f t="array" ref="C1156">IF(AF1156&lt;&gt;"",
IFERROR(INDEX('LaunchPad Markbook'!A:A,MATCH(AH1156,'LaunchPad Markbook'!D:D,0),0),"-"),"")</f>
        <v/>
      </c>
      <c r="D1156" s="27"/>
      <c r="E1156" s="27"/>
      <c r="F1156" s="27"/>
      <c r="G1156" s="14">
        <f>IF(OR(H1156&gt;AB$2,I1156&gt;AC$2,J1156&gt;AD$2,
P1156&gt;1,V1156&gt;1,
L1156&gt;'Group List A'!E$2,M1156&gt;'Group List A'!F$2,N1156&gt;'Group List A'!G$2,
R1156&gt;'Group List B'!E$2,S1156&gt;'Group List B'!F$2,T1156&gt;'Group List B'!G$2),"Exceed",
IF(OR(H1156=AB$2,I1156=AC$2,J1156=AD$2,
P1156=1,V1156=1,
L1156='Group List A'!E$2,M1156='Group List A'!F$2,N1156='Group List A'!G$2,
R1156='Group List B'!E$2,S1156='Group List B'!F$2,T1156='Group List B'!G$2),"Limit",0))</f>
        <v>0</v>
      </c>
      <c r="H1156" s="29">
        <f t="shared" si="272"/>
        <v>0</v>
      </c>
      <c r="I1156" s="29">
        <f t="shared" si="273"/>
        <v>0</v>
      </c>
      <c r="J1156" s="29">
        <f t="shared" si="274"/>
        <v>0</v>
      </c>
      <c r="K1156" s="32" t="str" cm="1">
        <f t="array" ref="K1156">IF(AF1156&lt;&gt;"",IFERROR(INDEX('Group List A'!B:B,MATCH(AI1156,'Group List A'!A:A,0),0),"-"),"")</f>
        <v/>
      </c>
      <c r="L1156" s="33">
        <f t="shared" si="275"/>
        <v>0</v>
      </c>
      <c r="M1156" s="33">
        <f t="shared" si="276"/>
        <v>0</v>
      </c>
      <c r="N1156" s="33">
        <f t="shared" si="277"/>
        <v>0</v>
      </c>
      <c r="O1156" s="28"/>
      <c r="P1156" s="33">
        <f t="shared" si="278"/>
        <v>0</v>
      </c>
      <c r="Q1156" s="35" t="str" cm="1">
        <f t="array" ref="Q1156">IF(AF1156&lt;&gt;"",IFERROR(INDEX('Group List B'!B:B,MATCH(AI1156,'Group List B'!A:A,0),0),"-"),"")</f>
        <v/>
      </c>
      <c r="R1156" s="36">
        <f t="shared" si="279"/>
        <v>0</v>
      </c>
      <c r="S1156" s="36">
        <f t="shared" si="280"/>
        <v>0</v>
      </c>
      <c r="T1156" s="36">
        <f t="shared" si="281"/>
        <v>0</v>
      </c>
      <c r="U1156" s="28"/>
      <c r="V1156" s="37">
        <f t="shared" si="282"/>
        <v>0</v>
      </c>
      <c r="W1156" s="41"/>
      <c r="X1156" s="27"/>
      <c r="Y1156" s="27"/>
      <c r="Z1156" s="27"/>
      <c r="AA1156" s="15"/>
      <c r="AB1156" s="17"/>
      <c r="AC1156" s="17"/>
      <c r="AD1156" s="17"/>
      <c r="AE1156" s="90"/>
      <c r="AF1156" s="82" t="str">
        <f t="shared" si="283"/>
        <v/>
      </c>
      <c r="AG1156" s="83" t="str">
        <f t="shared" si="284"/>
        <v/>
      </c>
      <c r="AH1156" s="82" t="str">
        <f t="shared" si="285"/>
        <v/>
      </c>
      <c r="AI1156" s="82" t="str">
        <f t="shared" si="286"/>
        <v/>
      </c>
      <c r="AJ1156" s="90"/>
      <c r="AP1156" s="88"/>
    </row>
    <row r="1157" spans="1:42" x14ac:dyDescent="0.25">
      <c r="A1157" s="2"/>
      <c r="C1157" s="68" t="str" cm="1">
        <f t="array" ref="C1157">IF(AF1157&lt;&gt;"",
IFERROR(INDEX('LaunchPad Markbook'!A:A,MATCH(AH1157,'LaunchPad Markbook'!D:D,0),0),"-"),"")</f>
        <v/>
      </c>
      <c r="D1157" s="27"/>
      <c r="E1157" s="27"/>
      <c r="F1157" s="27"/>
      <c r="G1157" s="14">
        <f>IF(OR(H1157&gt;AB$2,I1157&gt;AC$2,J1157&gt;AD$2,
P1157&gt;1,V1157&gt;1,
L1157&gt;'Group List A'!E$2,M1157&gt;'Group List A'!F$2,N1157&gt;'Group List A'!G$2,
R1157&gt;'Group List B'!E$2,S1157&gt;'Group List B'!F$2,T1157&gt;'Group List B'!G$2),"Exceed",
IF(OR(H1157=AB$2,I1157=AC$2,J1157=AD$2,
P1157=1,V1157=1,
L1157='Group List A'!E$2,M1157='Group List A'!F$2,N1157='Group List A'!G$2,
R1157='Group List B'!E$2,S1157='Group List B'!F$2,T1157='Group List B'!G$2),"Limit",0))</f>
        <v>0</v>
      </c>
      <c r="H1157" s="29">
        <f t="shared" si="272"/>
        <v>0</v>
      </c>
      <c r="I1157" s="29">
        <f t="shared" si="273"/>
        <v>0</v>
      </c>
      <c r="J1157" s="29">
        <f t="shared" si="274"/>
        <v>0</v>
      </c>
      <c r="K1157" s="32" t="str" cm="1">
        <f t="array" ref="K1157">IF(AF1157&lt;&gt;"",IFERROR(INDEX('Group List A'!B:B,MATCH(AI1157,'Group List A'!A:A,0),0),"-"),"")</f>
        <v/>
      </c>
      <c r="L1157" s="33">
        <f t="shared" si="275"/>
        <v>0</v>
      </c>
      <c r="M1157" s="33">
        <f t="shared" si="276"/>
        <v>0</v>
      </c>
      <c r="N1157" s="33">
        <f t="shared" si="277"/>
        <v>0</v>
      </c>
      <c r="O1157" s="28"/>
      <c r="P1157" s="33">
        <f t="shared" si="278"/>
        <v>0</v>
      </c>
      <c r="Q1157" s="35" t="str" cm="1">
        <f t="array" ref="Q1157">IF(AF1157&lt;&gt;"",IFERROR(INDEX('Group List B'!B:B,MATCH(AI1157,'Group List B'!A:A,0),0),"-"),"")</f>
        <v/>
      </c>
      <c r="R1157" s="36">
        <f t="shared" si="279"/>
        <v>0</v>
      </c>
      <c r="S1157" s="36">
        <f t="shared" si="280"/>
        <v>0</v>
      </c>
      <c r="T1157" s="36">
        <f t="shared" si="281"/>
        <v>0</v>
      </c>
      <c r="U1157" s="28"/>
      <c r="V1157" s="37">
        <f t="shared" si="282"/>
        <v>0</v>
      </c>
      <c r="W1157" s="41"/>
      <c r="X1157" s="27"/>
      <c r="Y1157" s="27"/>
      <c r="Z1157" s="27"/>
      <c r="AA1157" s="15"/>
      <c r="AB1157" s="17"/>
      <c r="AC1157" s="17"/>
      <c r="AD1157" s="17"/>
      <c r="AE1157" s="90"/>
      <c r="AF1157" s="82" t="str">
        <f t="shared" si="283"/>
        <v/>
      </c>
      <c r="AG1157" s="83" t="str">
        <f t="shared" si="284"/>
        <v/>
      </c>
      <c r="AH1157" s="82" t="str">
        <f t="shared" si="285"/>
        <v/>
      </c>
      <c r="AI1157" s="82" t="str">
        <f t="shared" si="286"/>
        <v/>
      </c>
      <c r="AJ1157" s="90"/>
      <c r="AP1157" s="88"/>
    </row>
    <row r="1158" spans="1:42" x14ac:dyDescent="0.25">
      <c r="A1158" s="2"/>
      <c r="C1158" s="68" t="str" cm="1">
        <f t="array" ref="C1158">IF(AF1158&lt;&gt;"",
IFERROR(INDEX('LaunchPad Markbook'!A:A,MATCH(AH1158,'LaunchPad Markbook'!D:D,0),0),"-"),"")</f>
        <v/>
      </c>
      <c r="D1158" s="27"/>
      <c r="E1158" s="27"/>
      <c r="F1158" s="27"/>
      <c r="G1158" s="14">
        <f>IF(OR(H1158&gt;AB$2,I1158&gt;AC$2,J1158&gt;AD$2,
P1158&gt;1,V1158&gt;1,
L1158&gt;'Group List A'!E$2,M1158&gt;'Group List A'!F$2,N1158&gt;'Group List A'!G$2,
R1158&gt;'Group List B'!E$2,S1158&gt;'Group List B'!F$2,T1158&gt;'Group List B'!G$2),"Exceed",
IF(OR(H1158=AB$2,I1158=AC$2,J1158=AD$2,
P1158=1,V1158=1,
L1158='Group List A'!E$2,M1158='Group List A'!F$2,N1158='Group List A'!G$2,
R1158='Group List B'!E$2,S1158='Group List B'!F$2,T1158='Group List B'!G$2),"Limit",0))</f>
        <v>0</v>
      </c>
      <c r="H1158" s="29">
        <f t="shared" si="272"/>
        <v>0</v>
      </c>
      <c r="I1158" s="29">
        <f t="shared" si="273"/>
        <v>0</v>
      </c>
      <c r="J1158" s="29">
        <f t="shared" si="274"/>
        <v>0</v>
      </c>
      <c r="K1158" s="32" t="str" cm="1">
        <f t="array" ref="K1158">IF(AF1158&lt;&gt;"",IFERROR(INDEX('Group List A'!B:B,MATCH(AI1158,'Group List A'!A:A,0),0),"-"),"")</f>
        <v/>
      </c>
      <c r="L1158" s="33">
        <f t="shared" si="275"/>
        <v>0</v>
      </c>
      <c r="M1158" s="33">
        <f t="shared" si="276"/>
        <v>0</v>
      </c>
      <c r="N1158" s="33">
        <f t="shared" si="277"/>
        <v>0</v>
      </c>
      <c r="O1158" s="28"/>
      <c r="P1158" s="33">
        <f t="shared" si="278"/>
        <v>0</v>
      </c>
      <c r="Q1158" s="35" t="str" cm="1">
        <f t="array" ref="Q1158">IF(AF1158&lt;&gt;"",IFERROR(INDEX('Group List B'!B:B,MATCH(AI1158,'Group List B'!A:A,0),0),"-"),"")</f>
        <v/>
      </c>
      <c r="R1158" s="36">
        <f t="shared" si="279"/>
        <v>0</v>
      </c>
      <c r="S1158" s="36">
        <f t="shared" si="280"/>
        <v>0</v>
      </c>
      <c r="T1158" s="36">
        <f t="shared" si="281"/>
        <v>0</v>
      </c>
      <c r="U1158" s="28"/>
      <c r="V1158" s="37">
        <f t="shared" si="282"/>
        <v>0</v>
      </c>
      <c r="W1158" s="41"/>
      <c r="X1158" s="27"/>
      <c r="Y1158" s="27"/>
      <c r="Z1158" s="27"/>
      <c r="AA1158" s="15"/>
      <c r="AB1158" s="17"/>
      <c r="AC1158" s="17"/>
      <c r="AD1158" s="17"/>
      <c r="AE1158" s="90"/>
      <c r="AF1158" s="82" t="str">
        <f t="shared" si="283"/>
        <v/>
      </c>
      <c r="AG1158" s="83" t="str">
        <f t="shared" si="284"/>
        <v/>
      </c>
      <c r="AH1158" s="82" t="str">
        <f t="shared" si="285"/>
        <v/>
      </c>
      <c r="AI1158" s="82" t="str">
        <f t="shared" si="286"/>
        <v/>
      </c>
      <c r="AJ1158" s="90"/>
      <c r="AP1158" s="88"/>
    </row>
    <row r="1159" spans="1:42" x14ac:dyDescent="0.25">
      <c r="A1159" s="2"/>
      <c r="C1159" s="68" t="str" cm="1">
        <f t="array" ref="C1159">IF(AF1159&lt;&gt;"",
IFERROR(INDEX('LaunchPad Markbook'!A:A,MATCH(AH1159,'LaunchPad Markbook'!D:D,0),0),"-"),"")</f>
        <v/>
      </c>
      <c r="D1159" s="27"/>
      <c r="E1159" s="27"/>
      <c r="F1159" s="27"/>
      <c r="G1159" s="14">
        <f>IF(OR(H1159&gt;AB$2,I1159&gt;AC$2,J1159&gt;AD$2,
P1159&gt;1,V1159&gt;1,
L1159&gt;'Group List A'!E$2,M1159&gt;'Group List A'!F$2,N1159&gt;'Group List A'!G$2,
R1159&gt;'Group List B'!E$2,S1159&gt;'Group List B'!F$2,T1159&gt;'Group List B'!G$2),"Exceed",
IF(OR(H1159=AB$2,I1159=AC$2,J1159=AD$2,
P1159=1,V1159=1,
L1159='Group List A'!E$2,M1159='Group List A'!F$2,N1159='Group List A'!G$2,
R1159='Group List B'!E$2,S1159='Group List B'!F$2,T1159='Group List B'!G$2),"Limit",0))</f>
        <v>0</v>
      </c>
      <c r="H1159" s="29">
        <f t="shared" si="272"/>
        <v>0</v>
      </c>
      <c r="I1159" s="29">
        <f t="shared" si="273"/>
        <v>0</v>
      </c>
      <c r="J1159" s="29">
        <f t="shared" si="274"/>
        <v>0</v>
      </c>
      <c r="K1159" s="32" t="str" cm="1">
        <f t="array" ref="K1159">IF(AF1159&lt;&gt;"",IFERROR(INDEX('Group List A'!B:B,MATCH(AI1159,'Group List A'!A:A,0),0),"-"),"")</f>
        <v/>
      </c>
      <c r="L1159" s="33">
        <f t="shared" si="275"/>
        <v>0</v>
      </c>
      <c r="M1159" s="33">
        <f t="shared" si="276"/>
        <v>0</v>
      </c>
      <c r="N1159" s="33">
        <f t="shared" si="277"/>
        <v>0</v>
      </c>
      <c r="O1159" s="28"/>
      <c r="P1159" s="33">
        <f t="shared" si="278"/>
        <v>0</v>
      </c>
      <c r="Q1159" s="35" t="str" cm="1">
        <f t="array" ref="Q1159">IF(AF1159&lt;&gt;"",IFERROR(INDEX('Group List B'!B:B,MATCH(AI1159,'Group List B'!A:A,0),0),"-"),"")</f>
        <v/>
      </c>
      <c r="R1159" s="36">
        <f t="shared" si="279"/>
        <v>0</v>
      </c>
      <c r="S1159" s="36">
        <f t="shared" si="280"/>
        <v>0</v>
      </c>
      <c r="T1159" s="36">
        <f t="shared" si="281"/>
        <v>0</v>
      </c>
      <c r="U1159" s="28"/>
      <c r="V1159" s="37">
        <f t="shared" si="282"/>
        <v>0</v>
      </c>
      <c r="W1159" s="41"/>
      <c r="X1159" s="27"/>
      <c r="Y1159" s="27"/>
      <c r="Z1159" s="27"/>
      <c r="AA1159" s="15"/>
      <c r="AB1159" s="17"/>
      <c r="AC1159" s="17"/>
      <c r="AD1159" s="17"/>
      <c r="AE1159" s="90"/>
      <c r="AF1159" s="82" t="str">
        <f t="shared" si="283"/>
        <v/>
      </c>
      <c r="AG1159" s="83" t="str">
        <f t="shared" si="284"/>
        <v/>
      </c>
      <c r="AH1159" s="82" t="str">
        <f t="shared" si="285"/>
        <v/>
      </c>
      <c r="AI1159" s="82" t="str">
        <f t="shared" si="286"/>
        <v/>
      </c>
      <c r="AJ1159" s="90"/>
      <c r="AP1159" s="88"/>
    </row>
    <row r="1160" spans="1:42" x14ac:dyDescent="0.25">
      <c r="A1160" s="2"/>
      <c r="C1160" s="68" t="str" cm="1">
        <f t="array" ref="C1160">IF(AF1160&lt;&gt;"",
IFERROR(INDEX('LaunchPad Markbook'!A:A,MATCH(AH1160,'LaunchPad Markbook'!D:D,0),0),"-"),"")</f>
        <v/>
      </c>
      <c r="D1160" s="27"/>
      <c r="E1160" s="27"/>
      <c r="F1160" s="27"/>
      <c r="G1160" s="14">
        <f>IF(OR(H1160&gt;AB$2,I1160&gt;AC$2,J1160&gt;AD$2,
P1160&gt;1,V1160&gt;1,
L1160&gt;'Group List A'!E$2,M1160&gt;'Group List A'!F$2,N1160&gt;'Group List A'!G$2,
R1160&gt;'Group List B'!E$2,S1160&gt;'Group List B'!F$2,T1160&gt;'Group List B'!G$2),"Exceed",
IF(OR(H1160=AB$2,I1160=AC$2,J1160=AD$2,
P1160=1,V1160=1,
L1160='Group List A'!E$2,M1160='Group List A'!F$2,N1160='Group List A'!G$2,
R1160='Group List B'!E$2,S1160='Group List B'!F$2,T1160='Group List B'!G$2),"Limit",0))</f>
        <v>0</v>
      </c>
      <c r="H1160" s="29">
        <f t="shared" si="272"/>
        <v>0</v>
      </c>
      <c r="I1160" s="29">
        <f t="shared" si="273"/>
        <v>0</v>
      </c>
      <c r="J1160" s="29">
        <f t="shared" si="274"/>
        <v>0</v>
      </c>
      <c r="K1160" s="32" t="str" cm="1">
        <f t="array" ref="K1160">IF(AF1160&lt;&gt;"",IFERROR(INDEX('Group List A'!B:B,MATCH(AI1160,'Group List A'!A:A,0),0),"-"),"")</f>
        <v/>
      </c>
      <c r="L1160" s="33">
        <f t="shared" si="275"/>
        <v>0</v>
      </c>
      <c r="M1160" s="33">
        <f t="shared" si="276"/>
        <v>0</v>
      </c>
      <c r="N1160" s="33">
        <f t="shared" si="277"/>
        <v>0</v>
      </c>
      <c r="O1160" s="28"/>
      <c r="P1160" s="33">
        <f t="shared" si="278"/>
        <v>0</v>
      </c>
      <c r="Q1160" s="35" t="str" cm="1">
        <f t="array" ref="Q1160">IF(AF1160&lt;&gt;"",IFERROR(INDEX('Group List B'!B:B,MATCH(AI1160,'Group List B'!A:A,0),0),"-"),"")</f>
        <v/>
      </c>
      <c r="R1160" s="36">
        <f t="shared" si="279"/>
        <v>0</v>
      </c>
      <c r="S1160" s="36">
        <f t="shared" si="280"/>
        <v>0</v>
      </c>
      <c r="T1160" s="36">
        <f t="shared" si="281"/>
        <v>0</v>
      </c>
      <c r="U1160" s="28"/>
      <c r="V1160" s="37">
        <f t="shared" si="282"/>
        <v>0</v>
      </c>
      <c r="W1160" s="41"/>
      <c r="X1160" s="27"/>
      <c r="Y1160" s="27"/>
      <c r="Z1160" s="27"/>
      <c r="AA1160" s="15"/>
      <c r="AB1160" s="17"/>
      <c r="AC1160" s="17"/>
      <c r="AD1160" s="17"/>
      <c r="AE1160" s="90"/>
      <c r="AF1160" s="82" t="str">
        <f t="shared" si="283"/>
        <v/>
      </c>
      <c r="AG1160" s="83" t="str">
        <f t="shared" si="284"/>
        <v/>
      </c>
      <c r="AH1160" s="82" t="str">
        <f t="shared" si="285"/>
        <v/>
      </c>
      <c r="AI1160" s="82" t="str">
        <f t="shared" si="286"/>
        <v/>
      </c>
      <c r="AJ1160" s="90"/>
      <c r="AP1160" s="88"/>
    </row>
    <row r="1161" spans="1:42" x14ac:dyDescent="0.25">
      <c r="A1161" s="2"/>
      <c r="C1161" s="68" t="str" cm="1">
        <f t="array" ref="C1161">IF(AF1161&lt;&gt;"",
IFERROR(INDEX('LaunchPad Markbook'!A:A,MATCH(AH1161,'LaunchPad Markbook'!D:D,0),0),"-"),"")</f>
        <v/>
      </c>
      <c r="D1161" s="27"/>
      <c r="E1161" s="27"/>
      <c r="F1161" s="27"/>
      <c r="G1161" s="14">
        <f>IF(OR(H1161&gt;AB$2,I1161&gt;AC$2,J1161&gt;AD$2,
P1161&gt;1,V1161&gt;1,
L1161&gt;'Group List A'!E$2,M1161&gt;'Group List A'!F$2,N1161&gt;'Group List A'!G$2,
R1161&gt;'Group List B'!E$2,S1161&gt;'Group List B'!F$2,T1161&gt;'Group List B'!G$2),"Exceed",
IF(OR(H1161=AB$2,I1161=AC$2,J1161=AD$2,
P1161=1,V1161=1,
L1161='Group List A'!E$2,M1161='Group List A'!F$2,N1161='Group List A'!G$2,
R1161='Group List B'!E$2,S1161='Group List B'!F$2,T1161='Group List B'!G$2),"Limit",0))</f>
        <v>0</v>
      </c>
      <c r="H1161" s="29">
        <f t="shared" si="272"/>
        <v>0</v>
      </c>
      <c r="I1161" s="29">
        <f t="shared" si="273"/>
        <v>0</v>
      </c>
      <c r="J1161" s="29">
        <f t="shared" si="274"/>
        <v>0</v>
      </c>
      <c r="K1161" s="32" t="str" cm="1">
        <f t="array" ref="K1161">IF(AF1161&lt;&gt;"",IFERROR(INDEX('Group List A'!B:B,MATCH(AI1161,'Group List A'!A:A,0),0),"-"),"")</f>
        <v/>
      </c>
      <c r="L1161" s="33">
        <f t="shared" si="275"/>
        <v>0</v>
      </c>
      <c r="M1161" s="33">
        <f t="shared" si="276"/>
        <v>0</v>
      </c>
      <c r="N1161" s="33">
        <f t="shared" si="277"/>
        <v>0</v>
      </c>
      <c r="O1161" s="28"/>
      <c r="P1161" s="33">
        <f t="shared" si="278"/>
        <v>0</v>
      </c>
      <c r="Q1161" s="35" t="str" cm="1">
        <f t="array" ref="Q1161">IF(AF1161&lt;&gt;"",IFERROR(INDEX('Group List B'!B:B,MATCH(AI1161,'Group List B'!A:A,0),0),"-"),"")</f>
        <v/>
      </c>
      <c r="R1161" s="36">
        <f t="shared" si="279"/>
        <v>0</v>
      </c>
      <c r="S1161" s="36">
        <f t="shared" si="280"/>
        <v>0</v>
      </c>
      <c r="T1161" s="36">
        <f t="shared" si="281"/>
        <v>0</v>
      </c>
      <c r="U1161" s="28"/>
      <c r="V1161" s="37">
        <f t="shared" si="282"/>
        <v>0</v>
      </c>
      <c r="W1161" s="41"/>
      <c r="X1161" s="27"/>
      <c r="Y1161" s="27"/>
      <c r="Z1161" s="27"/>
      <c r="AA1161" s="15"/>
      <c r="AB1161" s="17"/>
      <c r="AC1161" s="17"/>
      <c r="AD1161" s="17"/>
      <c r="AE1161" s="90"/>
      <c r="AF1161" s="82" t="str">
        <f t="shared" si="283"/>
        <v/>
      </c>
      <c r="AG1161" s="83" t="str">
        <f t="shared" si="284"/>
        <v/>
      </c>
      <c r="AH1161" s="82" t="str">
        <f t="shared" si="285"/>
        <v/>
      </c>
      <c r="AI1161" s="82" t="str">
        <f t="shared" si="286"/>
        <v/>
      </c>
      <c r="AJ1161" s="90"/>
      <c r="AP1161" s="88"/>
    </row>
    <row r="1162" spans="1:42" x14ac:dyDescent="0.25">
      <c r="A1162" s="2"/>
      <c r="C1162" s="68" t="str" cm="1">
        <f t="array" ref="C1162">IF(AF1162&lt;&gt;"",
IFERROR(INDEX('LaunchPad Markbook'!A:A,MATCH(AH1162,'LaunchPad Markbook'!D:D,0),0),"-"),"")</f>
        <v/>
      </c>
      <c r="D1162" s="27"/>
      <c r="E1162" s="27"/>
      <c r="F1162" s="27"/>
      <c r="G1162" s="14">
        <f>IF(OR(H1162&gt;AB$2,I1162&gt;AC$2,J1162&gt;AD$2,
P1162&gt;1,V1162&gt;1,
L1162&gt;'Group List A'!E$2,M1162&gt;'Group List A'!F$2,N1162&gt;'Group List A'!G$2,
R1162&gt;'Group List B'!E$2,S1162&gt;'Group List B'!F$2,T1162&gt;'Group List B'!G$2),"Exceed",
IF(OR(H1162=AB$2,I1162=AC$2,J1162=AD$2,
P1162=1,V1162=1,
L1162='Group List A'!E$2,M1162='Group List A'!F$2,N1162='Group List A'!G$2,
R1162='Group List B'!E$2,S1162='Group List B'!F$2,T1162='Group List B'!G$2),"Limit",0))</f>
        <v>0</v>
      </c>
      <c r="H1162" s="29">
        <f t="shared" si="272"/>
        <v>0</v>
      </c>
      <c r="I1162" s="29">
        <f t="shared" si="273"/>
        <v>0</v>
      </c>
      <c r="J1162" s="29">
        <f t="shared" si="274"/>
        <v>0</v>
      </c>
      <c r="K1162" s="32" t="str" cm="1">
        <f t="array" ref="K1162">IF(AF1162&lt;&gt;"",IFERROR(INDEX('Group List A'!B:B,MATCH(AI1162,'Group List A'!A:A,0),0),"-"),"")</f>
        <v/>
      </c>
      <c r="L1162" s="33">
        <f t="shared" si="275"/>
        <v>0</v>
      </c>
      <c r="M1162" s="33">
        <f t="shared" si="276"/>
        <v>0</v>
      </c>
      <c r="N1162" s="33">
        <f t="shared" si="277"/>
        <v>0</v>
      </c>
      <c r="O1162" s="28"/>
      <c r="P1162" s="33">
        <f t="shared" si="278"/>
        <v>0</v>
      </c>
      <c r="Q1162" s="35" t="str" cm="1">
        <f t="array" ref="Q1162">IF(AF1162&lt;&gt;"",IFERROR(INDEX('Group List B'!B:B,MATCH(AI1162,'Group List B'!A:A,0),0),"-"),"")</f>
        <v/>
      </c>
      <c r="R1162" s="36">
        <f t="shared" si="279"/>
        <v>0</v>
      </c>
      <c r="S1162" s="36">
        <f t="shared" si="280"/>
        <v>0</v>
      </c>
      <c r="T1162" s="36">
        <f t="shared" si="281"/>
        <v>0</v>
      </c>
      <c r="U1162" s="28"/>
      <c r="V1162" s="37">
        <f t="shared" si="282"/>
        <v>0</v>
      </c>
      <c r="W1162" s="41"/>
      <c r="X1162" s="27"/>
      <c r="Y1162" s="27"/>
      <c r="Z1162" s="27"/>
      <c r="AA1162" s="15"/>
      <c r="AB1162" s="17"/>
      <c r="AC1162" s="17"/>
      <c r="AD1162" s="17"/>
      <c r="AE1162" s="90"/>
      <c r="AF1162" s="82" t="str">
        <f t="shared" si="283"/>
        <v/>
      </c>
      <c r="AG1162" s="83" t="str">
        <f t="shared" si="284"/>
        <v/>
      </c>
      <c r="AH1162" s="82" t="str">
        <f t="shared" si="285"/>
        <v/>
      </c>
      <c r="AI1162" s="82" t="str">
        <f t="shared" si="286"/>
        <v/>
      </c>
      <c r="AJ1162" s="90"/>
      <c r="AP1162" s="88"/>
    </row>
    <row r="1163" spans="1:42" x14ac:dyDescent="0.25">
      <c r="A1163" s="2"/>
      <c r="C1163" s="68" t="str" cm="1">
        <f t="array" ref="C1163">IF(AF1163&lt;&gt;"",
IFERROR(INDEX('LaunchPad Markbook'!A:A,MATCH(AH1163,'LaunchPad Markbook'!D:D,0),0),"-"),"")</f>
        <v/>
      </c>
      <c r="D1163" s="27"/>
      <c r="E1163" s="27"/>
      <c r="F1163" s="27"/>
      <c r="G1163" s="14">
        <f>IF(OR(H1163&gt;AB$2,I1163&gt;AC$2,J1163&gt;AD$2,
P1163&gt;1,V1163&gt;1,
L1163&gt;'Group List A'!E$2,M1163&gt;'Group List A'!F$2,N1163&gt;'Group List A'!G$2,
R1163&gt;'Group List B'!E$2,S1163&gt;'Group List B'!F$2,T1163&gt;'Group List B'!G$2),"Exceed",
IF(OR(H1163=AB$2,I1163=AC$2,J1163=AD$2,
P1163=1,V1163=1,
L1163='Group List A'!E$2,M1163='Group List A'!F$2,N1163='Group List A'!G$2,
R1163='Group List B'!E$2,S1163='Group List B'!F$2,T1163='Group List B'!G$2),"Limit",0))</f>
        <v>0</v>
      </c>
      <c r="H1163" s="29">
        <f t="shared" si="272"/>
        <v>0</v>
      </c>
      <c r="I1163" s="29">
        <f t="shared" si="273"/>
        <v>0</v>
      </c>
      <c r="J1163" s="29">
        <f t="shared" si="274"/>
        <v>0</v>
      </c>
      <c r="K1163" s="32" t="str" cm="1">
        <f t="array" ref="K1163">IF(AF1163&lt;&gt;"",IFERROR(INDEX('Group List A'!B:B,MATCH(AI1163,'Group List A'!A:A,0),0),"-"),"")</f>
        <v/>
      </c>
      <c r="L1163" s="33">
        <f t="shared" si="275"/>
        <v>0</v>
      </c>
      <c r="M1163" s="33">
        <f t="shared" si="276"/>
        <v>0</v>
      </c>
      <c r="N1163" s="33">
        <f t="shared" si="277"/>
        <v>0</v>
      </c>
      <c r="O1163" s="28"/>
      <c r="P1163" s="33">
        <f t="shared" si="278"/>
        <v>0</v>
      </c>
      <c r="Q1163" s="35" t="str" cm="1">
        <f t="array" ref="Q1163">IF(AF1163&lt;&gt;"",IFERROR(INDEX('Group List B'!B:B,MATCH(AI1163,'Group List B'!A:A,0),0),"-"),"")</f>
        <v/>
      </c>
      <c r="R1163" s="36">
        <f t="shared" si="279"/>
        <v>0</v>
      </c>
      <c r="S1163" s="36">
        <f t="shared" si="280"/>
        <v>0</v>
      </c>
      <c r="T1163" s="36">
        <f t="shared" si="281"/>
        <v>0</v>
      </c>
      <c r="U1163" s="28"/>
      <c r="V1163" s="37">
        <f t="shared" si="282"/>
        <v>0</v>
      </c>
      <c r="W1163" s="41"/>
      <c r="X1163" s="27"/>
      <c r="Y1163" s="27"/>
      <c r="Z1163" s="27"/>
      <c r="AA1163" s="15"/>
      <c r="AB1163" s="17"/>
      <c r="AC1163" s="17"/>
      <c r="AD1163" s="17"/>
      <c r="AE1163" s="90"/>
      <c r="AF1163" s="82" t="str">
        <f t="shared" si="283"/>
        <v/>
      </c>
      <c r="AG1163" s="83" t="str">
        <f t="shared" si="284"/>
        <v/>
      </c>
      <c r="AH1163" s="82" t="str">
        <f t="shared" si="285"/>
        <v/>
      </c>
      <c r="AI1163" s="82" t="str">
        <f t="shared" si="286"/>
        <v/>
      </c>
      <c r="AJ1163" s="90"/>
      <c r="AP1163" s="88"/>
    </row>
    <row r="1164" spans="1:42" x14ac:dyDescent="0.25">
      <c r="A1164" s="2"/>
      <c r="C1164" s="68" t="str" cm="1">
        <f t="array" ref="C1164">IF(AF1164&lt;&gt;"",
IFERROR(INDEX('LaunchPad Markbook'!A:A,MATCH(AH1164,'LaunchPad Markbook'!D:D,0),0),"-"),"")</f>
        <v/>
      </c>
      <c r="D1164" s="27"/>
      <c r="E1164" s="27"/>
      <c r="F1164" s="27"/>
      <c r="G1164" s="14">
        <f>IF(OR(H1164&gt;AB$2,I1164&gt;AC$2,J1164&gt;AD$2,
P1164&gt;1,V1164&gt;1,
L1164&gt;'Group List A'!E$2,M1164&gt;'Group List A'!F$2,N1164&gt;'Group List A'!G$2,
R1164&gt;'Group List B'!E$2,S1164&gt;'Group List B'!F$2,T1164&gt;'Group List B'!G$2),"Exceed",
IF(OR(H1164=AB$2,I1164=AC$2,J1164=AD$2,
P1164=1,V1164=1,
L1164='Group List A'!E$2,M1164='Group List A'!F$2,N1164='Group List A'!G$2,
R1164='Group List B'!E$2,S1164='Group List B'!F$2,T1164='Group List B'!G$2),"Limit",0))</f>
        <v>0</v>
      </c>
      <c r="H1164" s="29">
        <f t="shared" si="272"/>
        <v>0</v>
      </c>
      <c r="I1164" s="29">
        <f t="shared" si="273"/>
        <v>0</v>
      </c>
      <c r="J1164" s="29">
        <f t="shared" si="274"/>
        <v>0</v>
      </c>
      <c r="K1164" s="32" t="str" cm="1">
        <f t="array" ref="K1164">IF(AF1164&lt;&gt;"",IFERROR(INDEX('Group List A'!B:B,MATCH(AI1164,'Group List A'!A:A,0),0),"-"),"")</f>
        <v/>
      </c>
      <c r="L1164" s="33">
        <f t="shared" si="275"/>
        <v>0</v>
      </c>
      <c r="M1164" s="33">
        <f t="shared" si="276"/>
        <v>0</v>
      </c>
      <c r="N1164" s="33">
        <f t="shared" si="277"/>
        <v>0</v>
      </c>
      <c r="O1164" s="28"/>
      <c r="P1164" s="33">
        <f t="shared" si="278"/>
        <v>0</v>
      </c>
      <c r="Q1164" s="35" t="str" cm="1">
        <f t="array" ref="Q1164">IF(AF1164&lt;&gt;"",IFERROR(INDEX('Group List B'!B:B,MATCH(AI1164,'Group List B'!A:A,0),0),"-"),"")</f>
        <v/>
      </c>
      <c r="R1164" s="36">
        <f t="shared" si="279"/>
        <v>0</v>
      </c>
      <c r="S1164" s="36">
        <f t="shared" si="280"/>
        <v>0</v>
      </c>
      <c r="T1164" s="36">
        <f t="shared" si="281"/>
        <v>0</v>
      </c>
      <c r="U1164" s="28"/>
      <c r="V1164" s="37">
        <f t="shared" si="282"/>
        <v>0</v>
      </c>
      <c r="W1164" s="41"/>
      <c r="X1164" s="27"/>
      <c r="Y1164" s="27"/>
      <c r="Z1164" s="27"/>
      <c r="AA1164" s="15"/>
      <c r="AB1164" s="17"/>
      <c r="AC1164" s="17"/>
      <c r="AD1164" s="17"/>
      <c r="AE1164" s="90"/>
      <c r="AF1164" s="82" t="str">
        <f t="shared" si="283"/>
        <v/>
      </c>
      <c r="AG1164" s="83" t="str">
        <f t="shared" si="284"/>
        <v/>
      </c>
      <c r="AH1164" s="82" t="str">
        <f t="shared" si="285"/>
        <v/>
      </c>
      <c r="AI1164" s="82" t="str">
        <f t="shared" si="286"/>
        <v/>
      </c>
      <c r="AJ1164" s="90"/>
      <c r="AP1164" s="88"/>
    </row>
    <row r="1165" spans="1:42" x14ac:dyDescent="0.25">
      <c r="A1165" s="2"/>
      <c r="C1165" s="68" t="str" cm="1">
        <f t="array" ref="C1165">IF(AF1165&lt;&gt;"",
IFERROR(INDEX('LaunchPad Markbook'!A:A,MATCH(AH1165,'LaunchPad Markbook'!D:D,0),0),"-"),"")</f>
        <v/>
      </c>
      <c r="D1165" s="27"/>
      <c r="E1165" s="27"/>
      <c r="F1165" s="27"/>
      <c r="G1165" s="14">
        <f>IF(OR(H1165&gt;AB$2,I1165&gt;AC$2,J1165&gt;AD$2,
P1165&gt;1,V1165&gt;1,
L1165&gt;'Group List A'!E$2,M1165&gt;'Group List A'!F$2,N1165&gt;'Group List A'!G$2,
R1165&gt;'Group List B'!E$2,S1165&gt;'Group List B'!F$2,T1165&gt;'Group List B'!G$2),"Exceed",
IF(OR(H1165=AB$2,I1165=AC$2,J1165=AD$2,
P1165=1,V1165=1,
L1165='Group List A'!E$2,M1165='Group List A'!F$2,N1165='Group List A'!G$2,
R1165='Group List B'!E$2,S1165='Group List B'!F$2,T1165='Group List B'!G$2),"Limit",0))</f>
        <v>0</v>
      </c>
      <c r="H1165" s="29">
        <f t="shared" si="272"/>
        <v>0</v>
      </c>
      <c r="I1165" s="29">
        <f t="shared" si="273"/>
        <v>0</v>
      </c>
      <c r="J1165" s="29">
        <f t="shared" si="274"/>
        <v>0</v>
      </c>
      <c r="K1165" s="32" t="str" cm="1">
        <f t="array" ref="K1165">IF(AF1165&lt;&gt;"",IFERROR(INDEX('Group List A'!B:B,MATCH(AI1165,'Group List A'!A:A,0),0),"-"),"")</f>
        <v/>
      </c>
      <c r="L1165" s="33">
        <f t="shared" si="275"/>
        <v>0</v>
      </c>
      <c r="M1165" s="33">
        <f t="shared" si="276"/>
        <v>0</v>
      </c>
      <c r="N1165" s="33">
        <f t="shared" si="277"/>
        <v>0</v>
      </c>
      <c r="O1165" s="28"/>
      <c r="P1165" s="33">
        <f t="shared" si="278"/>
        <v>0</v>
      </c>
      <c r="Q1165" s="35" t="str" cm="1">
        <f t="array" ref="Q1165">IF(AF1165&lt;&gt;"",IFERROR(INDEX('Group List B'!B:B,MATCH(AI1165,'Group List B'!A:A,0),0),"-"),"")</f>
        <v/>
      </c>
      <c r="R1165" s="36">
        <f t="shared" si="279"/>
        <v>0</v>
      </c>
      <c r="S1165" s="36">
        <f t="shared" si="280"/>
        <v>0</v>
      </c>
      <c r="T1165" s="36">
        <f t="shared" si="281"/>
        <v>0</v>
      </c>
      <c r="U1165" s="28"/>
      <c r="V1165" s="37">
        <f t="shared" si="282"/>
        <v>0</v>
      </c>
      <c r="W1165" s="41"/>
      <c r="X1165" s="27"/>
      <c r="Y1165" s="27"/>
      <c r="Z1165" s="27"/>
      <c r="AA1165" s="15"/>
      <c r="AB1165" s="17"/>
      <c r="AC1165" s="17"/>
      <c r="AD1165" s="17"/>
      <c r="AE1165" s="90"/>
      <c r="AF1165" s="82" t="str">
        <f t="shared" si="283"/>
        <v/>
      </c>
      <c r="AG1165" s="83" t="str">
        <f t="shared" si="284"/>
        <v/>
      </c>
      <c r="AH1165" s="82" t="str">
        <f t="shared" si="285"/>
        <v/>
      </c>
      <c r="AI1165" s="82" t="str">
        <f t="shared" si="286"/>
        <v/>
      </c>
      <c r="AJ1165" s="90"/>
      <c r="AP1165" s="88"/>
    </row>
    <row r="1166" spans="1:42" x14ac:dyDescent="0.25">
      <c r="A1166" s="2"/>
      <c r="C1166" s="68" t="str" cm="1">
        <f t="array" ref="C1166">IF(AF1166&lt;&gt;"",
IFERROR(INDEX('LaunchPad Markbook'!A:A,MATCH(AH1166,'LaunchPad Markbook'!D:D,0),0),"-"),"")</f>
        <v/>
      </c>
      <c r="D1166" s="27"/>
      <c r="E1166" s="27"/>
      <c r="F1166" s="27"/>
      <c r="G1166" s="14">
        <f>IF(OR(H1166&gt;AB$2,I1166&gt;AC$2,J1166&gt;AD$2,
P1166&gt;1,V1166&gt;1,
L1166&gt;'Group List A'!E$2,M1166&gt;'Group List A'!F$2,N1166&gt;'Group List A'!G$2,
R1166&gt;'Group List B'!E$2,S1166&gt;'Group List B'!F$2,T1166&gt;'Group List B'!G$2),"Exceed",
IF(OR(H1166=AB$2,I1166=AC$2,J1166=AD$2,
P1166=1,V1166=1,
L1166='Group List A'!E$2,M1166='Group List A'!F$2,N1166='Group List A'!G$2,
R1166='Group List B'!E$2,S1166='Group List B'!F$2,T1166='Group List B'!G$2),"Limit",0))</f>
        <v>0</v>
      </c>
      <c r="H1166" s="29">
        <f t="shared" si="272"/>
        <v>0</v>
      </c>
      <c r="I1166" s="29">
        <f t="shared" si="273"/>
        <v>0</v>
      </c>
      <c r="J1166" s="29">
        <f t="shared" si="274"/>
        <v>0</v>
      </c>
      <c r="K1166" s="32" t="str" cm="1">
        <f t="array" ref="K1166">IF(AF1166&lt;&gt;"",IFERROR(INDEX('Group List A'!B:B,MATCH(AI1166,'Group List A'!A:A,0),0),"-"),"")</f>
        <v/>
      </c>
      <c r="L1166" s="33">
        <f t="shared" si="275"/>
        <v>0</v>
      </c>
      <c r="M1166" s="33">
        <f t="shared" si="276"/>
        <v>0</v>
      </c>
      <c r="N1166" s="33">
        <f t="shared" si="277"/>
        <v>0</v>
      </c>
      <c r="O1166" s="28"/>
      <c r="P1166" s="33">
        <f t="shared" si="278"/>
        <v>0</v>
      </c>
      <c r="Q1166" s="35" t="str" cm="1">
        <f t="array" ref="Q1166">IF(AF1166&lt;&gt;"",IFERROR(INDEX('Group List B'!B:B,MATCH(AI1166,'Group List B'!A:A,0),0),"-"),"")</f>
        <v/>
      </c>
      <c r="R1166" s="36">
        <f t="shared" si="279"/>
        <v>0</v>
      </c>
      <c r="S1166" s="36">
        <f t="shared" si="280"/>
        <v>0</v>
      </c>
      <c r="T1166" s="36">
        <f t="shared" si="281"/>
        <v>0</v>
      </c>
      <c r="U1166" s="28"/>
      <c r="V1166" s="37">
        <f t="shared" si="282"/>
        <v>0</v>
      </c>
      <c r="W1166" s="41"/>
      <c r="X1166" s="27"/>
      <c r="Y1166" s="27"/>
      <c r="Z1166" s="27"/>
      <c r="AA1166" s="15"/>
      <c r="AB1166" s="17"/>
      <c r="AC1166" s="17"/>
      <c r="AD1166" s="17"/>
      <c r="AE1166" s="90"/>
      <c r="AF1166" s="82" t="str">
        <f t="shared" si="283"/>
        <v/>
      </c>
      <c r="AG1166" s="83" t="str">
        <f t="shared" si="284"/>
        <v/>
      </c>
      <c r="AH1166" s="82" t="str">
        <f t="shared" si="285"/>
        <v/>
      </c>
      <c r="AI1166" s="82" t="str">
        <f t="shared" si="286"/>
        <v/>
      </c>
      <c r="AJ1166" s="90"/>
      <c r="AP1166" s="88"/>
    </row>
    <row r="1167" spans="1:42" x14ac:dyDescent="0.25">
      <c r="A1167" s="2"/>
      <c r="C1167" s="68" t="str" cm="1">
        <f t="array" ref="C1167">IF(AF1167&lt;&gt;"",
IFERROR(INDEX('LaunchPad Markbook'!A:A,MATCH(AH1167,'LaunchPad Markbook'!D:D,0),0),"-"),"")</f>
        <v/>
      </c>
      <c r="D1167" s="27"/>
      <c r="E1167" s="27"/>
      <c r="F1167" s="27"/>
      <c r="G1167" s="14">
        <f>IF(OR(H1167&gt;AB$2,I1167&gt;AC$2,J1167&gt;AD$2,
P1167&gt;1,V1167&gt;1,
L1167&gt;'Group List A'!E$2,M1167&gt;'Group List A'!F$2,N1167&gt;'Group List A'!G$2,
R1167&gt;'Group List B'!E$2,S1167&gt;'Group List B'!F$2,T1167&gt;'Group List B'!G$2),"Exceed",
IF(OR(H1167=AB$2,I1167=AC$2,J1167=AD$2,
P1167=1,V1167=1,
L1167='Group List A'!E$2,M1167='Group List A'!F$2,N1167='Group List A'!G$2,
R1167='Group List B'!E$2,S1167='Group List B'!F$2,T1167='Group List B'!G$2),"Limit",0))</f>
        <v>0</v>
      </c>
      <c r="H1167" s="29">
        <f t="shared" si="272"/>
        <v>0</v>
      </c>
      <c r="I1167" s="29">
        <f t="shared" si="273"/>
        <v>0</v>
      </c>
      <c r="J1167" s="29">
        <f t="shared" si="274"/>
        <v>0</v>
      </c>
      <c r="K1167" s="32" t="str" cm="1">
        <f t="array" ref="K1167">IF(AF1167&lt;&gt;"",IFERROR(INDEX('Group List A'!B:B,MATCH(AI1167,'Group List A'!A:A,0),0),"-"),"")</f>
        <v/>
      </c>
      <c r="L1167" s="33">
        <f t="shared" si="275"/>
        <v>0</v>
      </c>
      <c r="M1167" s="33">
        <f t="shared" si="276"/>
        <v>0</v>
      </c>
      <c r="N1167" s="33">
        <f t="shared" si="277"/>
        <v>0</v>
      </c>
      <c r="O1167" s="28"/>
      <c r="P1167" s="33">
        <f t="shared" si="278"/>
        <v>0</v>
      </c>
      <c r="Q1167" s="35" t="str" cm="1">
        <f t="array" ref="Q1167">IF(AF1167&lt;&gt;"",IFERROR(INDEX('Group List B'!B:B,MATCH(AI1167,'Group List B'!A:A,0),0),"-"),"")</f>
        <v/>
      </c>
      <c r="R1167" s="36">
        <f t="shared" si="279"/>
        <v>0</v>
      </c>
      <c r="S1167" s="36">
        <f t="shared" si="280"/>
        <v>0</v>
      </c>
      <c r="T1167" s="36">
        <f t="shared" si="281"/>
        <v>0</v>
      </c>
      <c r="U1167" s="28"/>
      <c r="V1167" s="37">
        <f t="shared" si="282"/>
        <v>0</v>
      </c>
      <c r="W1167" s="41"/>
      <c r="X1167" s="27"/>
      <c r="Y1167" s="27"/>
      <c r="Z1167" s="27"/>
      <c r="AA1167" s="15"/>
      <c r="AB1167" s="17"/>
      <c r="AC1167" s="17"/>
      <c r="AD1167" s="17"/>
      <c r="AE1167" s="90"/>
      <c r="AF1167" s="82" t="str">
        <f t="shared" si="283"/>
        <v/>
      </c>
      <c r="AG1167" s="83" t="str">
        <f t="shared" si="284"/>
        <v/>
      </c>
      <c r="AH1167" s="82" t="str">
        <f t="shared" si="285"/>
        <v/>
      </c>
      <c r="AI1167" s="82" t="str">
        <f t="shared" si="286"/>
        <v/>
      </c>
      <c r="AJ1167" s="90"/>
      <c r="AP1167" s="88"/>
    </row>
    <row r="1168" spans="1:42" x14ac:dyDescent="0.25">
      <c r="A1168" s="2"/>
      <c r="C1168" s="68" t="str" cm="1">
        <f t="array" ref="C1168">IF(AF1168&lt;&gt;"",
IFERROR(INDEX('LaunchPad Markbook'!A:A,MATCH(AH1168,'LaunchPad Markbook'!D:D,0),0),"-"),"")</f>
        <v/>
      </c>
      <c r="D1168" s="27"/>
      <c r="E1168" s="27"/>
      <c r="F1168" s="27"/>
      <c r="G1168" s="14">
        <f>IF(OR(H1168&gt;AB$2,I1168&gt;AC$2,J1168&gt;AD$2,
P1168&gt;1,V1168&gt;1,
L1168&gt;'Group List A'!E$2,M1168&gt;'Group List A'!F$2,N1168&gt;'Group List A'!G$2,
R1168&gt;'Group List B'!E$2,S1168&gt;'Group List B'!F$2,T1168&gt;'Group List B'!G$2),"Exceed",
IF(OR(H1168=AB$2,I1168=AC$2,J1168=AD$2,
P1168=1,V1168=1,
L1168='Group List A'!E$2,M1168='Group List A'!F$2,N1168='Group List A'!G$2,
R1168='Group List B'!E$2,S1168='Group List B'!F$2,T1168='Group List B'!G$2),"Limit",0))</f>
        <v>0</v>
      </c>
      <c r="H1168" s="29">
        <f t="shared" si="272"/>
        <v>0</v>
      </c>
      <c r="I1168" s="29">
        <f t="shared" si="273"/>
        <v>0</v>
      </c>
      <c r="J1168" s="29">
        <f t="shared" si="274"/>
        <v>0</v>
      </c>
      <c r="K1168" s="32" t="str" cm="1">
        <f t="array" ref="K1168">IF(AF1168&lt;&gt;"",IFERROR(INDEX('Group List A'!B:B,MATCH(AI1168,'Group List A'!A:A,0),0),"-"),"")</f>
        <v/>
      </c>
      <c r="L1168" s="33">
        <f t="shared" si="275"/>
        <v>0</v>
      </c>
      <c r="M1168" s="33">
        <f t="shared" si="276"/>
        <v>0</v>
      </c>
      <c r="N1168" s="33">
        <f t="shared" si="277"/>
        <v>0</v>
      </c>
      <c r="O1168" s="28"/>
      <c r="P1168" s="33">
        <f t="shared" si="278"/>
        <v>0</v>
      </c>
      <c r="Q1168" s="35" t="str" cm="1">
        <f t="array" ref="Q1168">IF(AF1168&lt;&gt;"",IFERROR(INDEX('Group List B'!B:B,MATCH(AI1168,'Group List B'!A:A,0),0),"-"),"")</f>
        <v/>
      </c>
      <c r="R1168" s="36">
        <f t="shared" si="279"/>
        <v>0</v>
      </c>
      <c r="S1168" s="36">
        <f t="shared" si="280"/>
        <v>0</v>
      </c>
      <c r="T1168" s="36">
        <f t="shared" si="281"/>
        <v>0</v>
      </c>
      <c r="U1168" s="28"/>
      <c r="V1168" s="37">
        <f t="shared" si="282"/>
        <v>0</v>
      </c>
      <c r="W1168" s="41"/>
      <c r="X1168" s="27"/>
      <c r="Y1168" s="27"/>
      <c r="Z1168" s="27"/>
      <c r="AA1168" s="15"/>
      <c r="AB1168" s="17"/>
      <c r="AC1168" s="17"/>
      <c r="AD1168" s="17"/>
      <c r="AE1168" s="90"/>
      <c r="AF1168" s="82" t="str">
        <f t="shared" si="283"/>
        <v/>
      </c>
      <c r="AG1168" s="83" t="str">
        <f t="shared" si="284"/>
        <v/>
      </c>
      <c r="AH1168" s="82" t="str">
        <f t="shared" si="285"/>
        <v/>
      </c>
      <c r="AI1168" s="82" t="str">
        <f t="shared" si="286"/>
        <v/>
      </c>
      <c r="AJ1168" s="90"/>
      <c r="AP1168" s="88"/>
    </row>
    <row r="1169" spans="1:42" x14ac:dyDescent="0.25">
      <c r="A1169" s="2"/>
      <c r="C1169" s="68" t="str" cm="1">
        <f t="array" ref="C1169">IF(AF1169&lt;&gt;"",
IFERROR(INDEX('LaunchPad Markbook'!A:A,MATCH(AH1169,'LaunchPad Markbook'!D:D,0),0),"-"),"")</f>
        <v/>
      </c>
      <c r="D1169" s="27"/>
      <c r="E1169" s="27"/>
      <c r="F1169" s="27"/>
      <c r="G1169" s="14">
        <f>IF(OR(H1169&gt;AB$2,I1169&gt;AC$2,J1169&gt;AD$2,
P1169&gt;1,V1169&gt;1,
L1169&gt;'Group List A'!E$2,M1169&gt;'Group List A'!F$2,N1169&gt;'Group List A'!G$2,
R1169&gt;'Group List B'!E$2,S1169&gt;'Group List B'!F$2,T1169&gt;'Group List B'!G$2),"Exceed",
IF(OR(H1169=AB$2,I1169=AC$2,J1169=AD$2,
P1169=1,V1169=1,
L1169='Group List A'!E$2,M1169='Group List A'!F$2,N1169='Group List A'!G$2,
R1169='Group List B'!E$2,S1169='Group List B'!F$2,T1169='Group List B'!G$2),"Limit",0))</f>
        <v>0</v>
      </c>
      <c r="H1169" s="29">
        <f t="shared" si="272"/>
        <v>0</v>
      </c>
      <c r="I1169" s="29">
        <f t="shared" si="273"/>
        <v>0</v>
      </c>
      <c r="J1169" s="29">
        <f t="shared" si="274"/>
        <v>0</v>
      </c>
      <c r="K1169" s="32" t="str" cm="1">
        <f t="array" ref="K1169">IF(AF1169&lt;&gt;"",IFERROR(INDEX('Group List A'!B:B,MATCH(AI1169,'Group List A'!A:A,0),0),"-"),"")</f>
        <v/>
      </c>
      <c r="L1169" s="33">
        <f t="shared" si="275"/>
        <v>0</v>
      </c>
      <c r="M1169" s="33">
        <f t="shared" si="276"/>
        <v>0</v>
      </c>
      <c r="N1169" s="33">
        <f t="shared" si="277"/>
        <v>0</v>
      </c>
      <c r="O1169" s="28"/>
      <c r="P1169" s="33">
        <f t="shared" si="278"/>
        <v>0</v>
      </c>
      <c r="Q1169" s="35" t="str" cm="1">
        <f t="array" ref="Q1169">IF(AF1169&lt;&gt;"",IFERROR(INDEX('Group List B'!B:B,MATCH(AI1169,'Group List B'!A:A,0),0),"-"),"")</f>
        <v/>
      </c>
      <c r="R1169" s="36">
        <f t="shared" si="279"/>
        <v>0</v>
      </c>
      <c r="S1169" s="36">
        <f t="shared" si="280"/>
        <v>0</v>
      </c>
      <c r="T1169" s="36">
        <f t="shared" si="281"/>
        <v>0</v>
      </c>
      <c r="U1169" s="28"/>
      <c r="V1169" s="37">
        <f t="shared" si="282"/>
        <v>0</v>
      </c>
      <c r="W1169" s="41"/>
      <c r="X1169" s="27"/>
      <c r="Y1169" s="27"/>
      <c r="Z1169" s="27"/>
      <c r="AA1169" s="15"/>
      <c r="AB1169" s="17"/>
      <c r="AC1169" s="17"/>
      <c r="AD1169" s="17"/>
      <c r="AE1169" s="90"/>
      <c r="AF1169" s="82" t="str">
        <f t="shared" si="283"/>
        <v/>
      </c>
      <c r="AG1169" s="83" t="str">
        <f t="shared" si="284"/>
        <v/>
      </c>
      <c r="AH1169" s="82" t="str">
        <f t="shared" si="285"/>
        <v/>
      </c>
      <c r="AI1169" s="82" t="str">
        <f t="shared" si="286"/>
        <v/>
      </c>
      <c r="AJ1169" s="90"/>
      <c r="AP1169" s="88"/>
    </row>
    <row r="1170" spans="1:42" x14ac:dyDescent="0.25">
      <c r="A1170" s="2"/>
      <c r="C1170" s="68" t="str" cm="1">
        <f t="array" ref="C1170">IF(AF1170&lt;&gt;"",
IFERROR(INDEX('LaunchPad Markbook'!A:A,MATCH(AH1170,'LaunchPad Markbook'!D:D,0),0),"-"),"")</f>
        <v/>
      </c>
      <c r="D1170" s="27"/>
      <c r="E1170" s="27"/>
      <c r="F1170" s="27"/>
      <c r="G1170" s="14">
        <f>IF(OR(H1170&gt;AB$2,I1170&gt;AC$2,J1170&gt;AD$2,
P1170&gt;1,V1170&gt;1,
L1170&gt;'Group List A'!E$2,M1170&gt;'Group List A'!F$2,N1170&gt;'Group List A'!G$2,
R1170&gt;'Group List B'!E$2,S1170&gt;'Group List B'!F$2,T1170&gt;'Group List B'!G$2),"Exceed",
IF(OR(H1170=AB$2,I1170=AC$2,J1170=AD$2,
P1170=1,V1170=1,
L1170='Group List A'!E$2,M1170='Group List A'!F$2,N1170='Group List A'!G$2,
R1170='Group List B'!E$2,S1170='Group List B'!F$2,T1170='Group List B'!G$2),"Limit",0))</f>
        <v>0</v>
      </c>
      <c r="H1170" s="29">
        <f t="shared" si="272"/>
        <v>0</v>
      </c>
      <c r="I1170" s="29">
        <f t="shared" si="273"/>
        <v>0</v>
      </c>
      <c r="J1170" s="29">
        <f t="shared" si="274"/>
        <v>0</v>
      </c>
      <c r="K1170" s="32" t="str" cm="1">
        <f t="array" ref="K1170">IF(AF1170&lt;&gt;"",IFERROR(INDEX('Group List A'!B:B,MATCH(AI1170,'Group List A'!A:A,0),0),"-"),"")</f>
        <v/>
      </c>
      <c r="L1170" s="33">
        <f t="shared" si="275"/>
        <v>0</v>
      </c>
      <c r="M1170" s="33">
        <f t="shared" si="276"/>
        <v>0</v>
      </c>
      <c r="N1170" s="33">
        <f t="shared" si="277"/>
        <v>0</v>
      </c>
      <c r="O1170" s="28"/>
      <c r="P1170" s="33">
        <f t="shared" si="278"/>
        <v>0</v>
      </c>
      <c r="Q1170" s="35" t="str" cm="1">
        <f t="array" ref="Q1170">IF(AF1170&lt;&gt;"",IFERROR(INDEX('Group List B'!B:B,MATCH(AI1170,'Group List B'!A:A,0),0),"-"),"")</f>
        <v/>
      </c>
      <c r="R1170" s="36">
        <f t="shared" si="279"/>
        <v>0</v>
      </c>
      <c r="S1170" s="36">
        <f t="shared" si="280"/>
        <v>0</v>
      </c>
      <c r="T1170" s="36">
        <f t="shared" si="281"/>
        <v>0</v>
      </c>
      <c r="U1170" s="28"/>
      <c r="V1170" s="37">
        <f t="shared" si="282"/>
        <v>0</v>
      </c>
      <c r="W1170" s="41"/>
      <c r="X1170" s="27"/>
      <c r="Y1170" s="27"/>
      <c r="Z1170" s="27"/>
      <c r="AA1170" s="15"/>
      <c r="AB1170" s="17"/>
      <c r="AC1170" s="17"/>
      <c r="AD1170" s="17"/>
      <c r="AE1170" s="90"/>
      <c r="AF1170" s="82" t="str">
        <f t="shared" si="283"/>
        <v/>
      </c>
      <c r="AG1170" s="83" t="str">
        <f t="shared" si="284"/>
        <v/>
      </c>
      <c r="AH1170" s="82" t="str">
        <f t="shared" si="285"/>
        <v/>
      </c>
      <c r="AI1170" s="82" t="str">
        <f t="shared" si="286"/>
        <v/>
      </c>
      <c r="AJ1170" s="90"/>
      <c r="AP1170" s="88"/>
    </row>
    <row r="1171" spans="1:42" x14ac:dyDescent="0.25">
      <c r="A1171" s="2"/>
      <c r="C1171" s="68" t="str" cm="1">
        <f t="array" ref="C1171">IF(AF1171&lt;&gt;"",
IFERROR(INDEX('LaunchPad Markbook'!A:A,MATCH(AH1171,'LaunchPad Markbook'!D:D,0),0),"-"),"")</f>
        <v/>
      </c>
      <c r="D1171" s="27"/>
      <c r="E1171" s="27"/>
      <c r="F1171" s="27"/>
      <c r="G1171" s="14">
        <f>IF(OR(H1171&gt;AB$2,I1171&gt;AC$2,J1171&gt;AD$2,
P1171&gt;1,V1171&gt;1,
L1171&gt;'Group List A'!E$2,M1171&gt;'Group List A'!F$2,N1171&gt;'Group List A'!G$2,
R1171&gt;'Group List B'!E$2,S1171&gt;'Group List B'!F$2,T1171&gt;'Group List B'!G$2),"Exceed",
IF(OR(H1171=AB$2,I1171=AC$2,J1171=AD$2,
P1171=1,V1171=1,
L1171='Group List A'!E$2,M1171='Group List A'!F$2,N1171='Group List A'!G$2,
R1171='Group List B'!E$2,S1171='Group List B'!F$2,T1171='Group List B'!G$2),"Limit",0))</f>
        <v>0</v>
      </c>
      <c r="H1171" s="29">
        <f t="shared" si="272"/>
        <v>0</v>
      </c>
      <c r="I1171" s="29">
        <f t="shared" si="273"/>
        <v>0</v>
      </c>
      <c r="J1171" s="29">
        <f t="shared" si="274"/>
        <v>0</v>
      </c>
      <c r="K1171" s="32" t="str" cm="1">
        <f t="array" ref="K1171">IF(AF1171&lt;&gt;"",IFERROR(INDEX('Group List A'!B:B,MATCH(AI1171,'Group List A'!A:A,0),0),"-"),"")</f>
        <v/>
      </c>
      <c r="L1171" s="33">
        <f t="shared" si="275"/>
        <v>0</v>
      </c>
      <c r="M1171" s="33">
        <f t="shared" si="276"/>
        <v>0</v>
      </c>
      <c r="N1171" s="33">
        <f t="shared" si="277"/>
        <v>0</v>
      </c>
      <c r="O1171" s="28"/>
      <c r="P1171" s="33">
        <f t="shared" si="278"/>
        <v>0</v>
      </c>
      <c r="Q1171" s="35" t="str" cm="1">
        <f t="array" ref="Q1171">IF(AF1171&lt;&gt;"",IFERROR(INDEX('Group List B'!B:B,MATCH(AI1171,'Group List B'!A:A,0),0),"-"),"")</f>
        <v/>
      </c>
      <c r="R1171" s="36">
        <f t="shared" si="279"/>
        <v>0</v>
      </c>
      <c r="S1171" s="36">
        <f t="shared" si="280"/>
        <v>0</v>
      </c>
      <c r="T1171" s="36">
        <f t="shared" si="281"/>
        <v>0</v>
      </c>
      <c r="U1171" s="28"/>
      <c r="V1171" s="37">
        <f t="shared" si="282"/>
        <v>0</v>
      </c>
      <c r="W1171" s="41"/>
      <c r="X1171" s="27"/>
      <c r="Y1171" s="27"/>
      <c r="Z1171" s="27"/>
      <c r="AA1171" s="15"/>
      <c r="AB1171" s="17"/>
      <c r="AC1171" s="17"/>
      <c r="AD1171" s="17"/>
      <c r="AE1171" s="90"/>
      <c r="AF1171" s="82" t="str">
        <f t="shared" si="283"/>
        <v/>
      </c>
      <c r="AG1171" s="83" t="str">
        <f t="shared" si="284"/>
        <v/>
      </c>
      <c r="AH1171" s="82" t="str">
        <f t="shared" si="285"/>
        <v/>
      </c>
      <c r="AI1171" s="82" t="str">
        <f t="shared" si="286"/>
        <v/>
      </c>
      <c r="AJ1171" s="90"/>
      <c r="AP1171" s="88"/>
    </row>
    <row r="1172" spans="1:42" x14ac:dyDescent="0.25">
      <c r="A1172" s="2"/>
      <c r="C1172" s="68" t="str" cm="1">
        <f t="array" ref="C1172">IF(AF1172&lt;&gt;"",
IFERROR(INDEX('LaunchPad Markbook'!A:A,MATCH(AH1172,'LaunchPad Markbook'!D:D,0),0),"-"),"")</f>
        <v/>
      </c>
      <c r="D1172" s="27"/>
      <c r="E1172" s="27"/>
      <c r="F1172" s="27"/>
      <c r="G1172" s="14">
        <f>IF(OR(H1172&gt;AB$2,I1172&gt;AC$2,J1172&gt;AD$2,
P1172&gt;1,V1172&gt;1,
L1172&gt;'Group List A'!E$2,M1172&gt;'Group List A'!F$2,N1172&gt;'Group List A'!G$2,
R1172&gt;'Group List B'!E$2,S1172&gt;'Group List B'!F$2,T1172&gt;'Group List B'!G$2),"Exceed",
IF(OR(H1172=AB$2,I1172=AC$2,J1172=AD$2,
P1172=1,V1172=1,
L1172='Group List A'!E$2,M1172='Group List A'!F$2,N1172='Group List A'!G$2,
R1172='Group List B'!E$2,S1172='Group List B'!F$2,T1172='Group List B'!G$2),"Limit",0))</f>
        <v>0</v>
      </c>
      <c r="H1172" s="29">
        <f t="shared" si="272"/>
        <v>0</v>
      </c>
      <c r="I1172" s="29">
        <f t="shared" si="273"/>
        <v>0</v>
      </c>
      <c r="J1172" s="29">
        <f t="shared" si="274"/>
        <v>0</v>
      </c>
      <c r="K1172" s="32" t="str" cm="1">
        <f t="array" ref="K1172">IF(AF1172&lt;&gt;"",IFERROR(INDEX('Group List A'!B:B,MATCH(AI1172,'Group List A'!A:A,0),0),"-"),"")</f>
        <v/>
      </c>
      <c r="L1172" s="33">
        <f t="shared" si="275"/>
        <v>0</v>
      </c>
      <c r="M1172" s="33">
        <f t="shared" si="276"/>
        <v>0</v>
      </c>
      <c r="N1172" s="33">
        <f t="shared" si="277"/>
        <v>0</v>
      </c>
      <c r="O1172" s="28"/>
      <c r="P1172" s="33">
        <f t="shared" si="278"/>
        <v>0</v>
      </c>
      <c r="Q1172" s="35" t="str" cm="1">
        <f t="array" ref="Q1172">IF(AF1172&lt;&gt;"",IFERROR(INDEX('Group List B'!B:B,MATCH(AI1172,'Group List B'!A:A,0),0),"-"),"")</f>
        <v/>
      </c>
      <c r="R1172" s="36">
        <f t="shared" si="279"/>
        <v>0</v>
      </c>
      <c r="S1172" s="36">
        <f t="shared" si="280"/>
        <v>0</v>
      </c>
      <c r="T1172" s="36">
        <f t="shared" si="281"/>
        <v>0</v>
      </c>
      <c r="U1172" s="28"/>
      <c r="V1172" s="37">
        <f t="shared" si="282"/>
        <v>0</v>
      </c>
      <c r="W1172" s="41"/>
      <c r="X1172" s="27"/>
      <c r="Y1172" s="27"/>
      <c r="Z1172" s="27"/>
      <c r="AA1172" s="15"/>
      <c r="AB1172" s="17"/>
      <c r="AC1172" s="17"/>
      <c r="AD1172" s="17"/>
      <c r="AE1172" s="90"/>
      <c r="AF1172" s="82" t="str">
        <f t="shared" si="283"/>
        <v/>
      </c>
      <c r="AG1172" s="83" t="str">
        <f t="shared" si="284"/>
        <v/>
      </c>
      <c r="AH1172" s="82" t="str">
        <f t="shared" si="285"/>
        <v/>
      </c>
      <c r="AI1172" s="82" t="str">
        <f t="shared" si="286"/>
        <v/>
      </c>
      <c r="AJ1172" s="90"/>
      <c r="AP1172" s="88"/>
    </row>
    <row r="1173" spans="1:42" x14ac:dyDescent="0.25">
      <c r="A1173" s="2"/>
      <c r="C1173" s="68" t="str" cm="1">
        <f t="array" ref="C1173">IF(AF1173&lt;&gt;"",
IFERROR(INDEX('LaunchPad Markbook'!A:A,MATCH(AH1173,'LaunchPad Markbook'!D:D,0),0),"-"),"")</f>
        <v/>
      </c>
      <c r="D1173" s="27"/>
      <c r="E1173" s="27"/>
      <c r="F1173" s="27"/>
      <c r="G1173" s="14">
        <f>IF(OR(H1173&gt;AB$2,I1173&gt;AC$2,J1173&gt;AD$2,
P1173&gt;1,V1173&gt;1,
L1173&gt;'Group List A'!E$2,M1173&gt;'Group List A'!F$2,N1173&gt;'Group List A'!G$2,
R1173&gt;'Group List B'!E$2,S1173&gt;'Group List B'!F$2,T1173&gt;'Group List B'!G$2),"Exceed",
IF(OR(H1173=AB$2,I1173=AC$2,J1173=AD$2,
P1173=1,V1173=1,
L1173='Group List A'!E$2,M1173='Group List A'!F$2,N1173='Group List A'!G$2,
R1173='Group List B'!E$2,S1173='Group List B'!F$2,T1173='Group List B'!G$2),"Limit",0))</f>
        <v>0</v>
      </c>
      <c r="H1173" s="29">
        <f t="shared" si="272"/>
        <v>0</v>
      </c>
      <c r="I1173" s="29">
        <f t="shared" si="273"/>
        <v>0</v>
      </c>
      <c r="J1173" s="29">
        <f t="shared" si="274"/>
        <v>0</v>
      </c>
      <c r="K1173" s="32" t="str" cm="1">
        <f t="array" ref="K1173">IF(AF1173&lt;&gt;"",IFERROR(INDEX('Group List A'!B:B,MATCH(AI1173,'Group List A'!A:A,0),0),"-"),"")</f>
        <v/>
      </c>
      <c r="L1173" s="33">
        <f t="shared" si="275"/>
        <v>0</v>
      </c>
      <c r="M1173" s="33">
        <f t="shared" si="276"/>
        <v>0</v>
      </c>
      <c r="N1173" s="33">
        <f t="shared" si="277"/>
        <v>0</v>
      </c>
      <c r="O1173" s="28"/>
      <c r="P1173" s="33">
        <f t="shared" si="278"/>
        <v>0</v>
      </c>
      <c r="Q1173" s="35" t="str" cm="1">
        <f t="array" ref="Q1173">IF(AF1173&lt;&gt;"",IFERROR(INDEX('Group List B'!B:B,MATCH(AI1173,'Group List B'!A:A,0),0),"-"),"")</f>
        <v/>
      </c>
      <c r="R1173" s="36">
        <f t="shared" si="279"/>
        <v>0</v>
      </c>
      <c r="S1173" s="36">
        <f t="shared" si="280"/>
        <v>0</v>
      </c>
      <c r="T1173" s="36">
        <f t="shared" si="281"/>
        <v>0</v>
      </c>
      <c r="U1173" s="28"/>
      <c r="V1173" s="37">
        <f t="shared" si="282"/>
        <v>0</v>
      </c>
      <c r="W1173" s="41"/>
      <c r="X1173" s="27"/>
      <c r="Y1173" s="27"/>
      <c r="Z1173" s="27"/>
      <c r="AA1173" s="15"/>
      <c r="AB1173" s="17"/>
      <c r="AC1173" s="17"/>
      <c r="AD1173" s="17"/>
      <c r="AE1173" s="90"/>
      <c r="AF1173" s="82" t="str">
        <f t="shared" si="283"/>
        <v/>
      </c>
      <c r="AG1173" s="83" t="str">
        <f t="shared" si="284"/>
        <v/>
      </c>
      <c r="AH1173" s="82" t="str">
        <f t="shared" si="285"/>
        <v/>
      </c>
      <c r="AI1173" s="82" t="str">
        <f t="shared" si="286"/>
        <v/>
      </c>
      <c r="AJ1173" s="90"/>
      <c r="AP1173" s="88"/>
    </row>
    <row r="1174" spans="1:42" x14ac:dyDescent="0.25">
      <c r="A1174" s="2"/>
      <c r="C1174" s="68" t="str" cm="1">
        <f t="array" ref="C1174">IF(AF1174&lt;&gt;"",
IFERROR(INDEX('LaunchPad Markbook'!A:A,MATCH(AH1174,'LaunchPad Markbook'!D:D,0),0),"-"),"")</f>
        <v/>
      </c>
      <c r="D1174" s="27"/>
      <c r="E1174" s="27"/>
      <c r="F1174" s="27"/>
      <c r="G1174" s="14">
        <f>IF(OR(H1174&gt;AB$2,I1174&gt;AC$2,J1174&gt;AD$2,
P1174&gt;1,V1174&gt;1,
L1174&gt;'Group List A'!E$2,M1174&gt;'Group List A'!F$2,N1174&gt;'Group List A'!G$2,
R1174&gt;'Group List B'!E$2,S1174&gt;'Group List B'!F$2,T1174&gt;'Group List B'!G$2),"Exceed",
IF(OR(H1174=AB$2,I1174=AC$2,J1174=AD$2,
P1174=1,V1174=1,
L1174='Group List A'!E$2,M1174='Group List A'!F$2,N1174='Group List A'!G$2,
R1174='Group List B'!E$2,S1174='Group List B'!F$2,T1174='Group List B'!G$2),"Limit",0))</f>
        <v>0</v>
      </c>
      <c r="H1174" s="29">
        <f t="shared" si="272"/>
        <v>0</v>
      </c>
      <c r="I1174" s="29">
        <f t="shared" si="273"/>
        <v>0</v>
      </c>
      <c r="J1174" s="29">
        <f t="shared" si="274"/>
        <v>0</v>
      </c>
      <c r="K1174" s="32" t="str" cm="1">
        <f t="array" ref="K1174">IF(AF1174&lt;&gt;"",IFERROR(INDEX('Group List A'!B:B,MATCH(AI1174,'Group List A'!A:A,0),0),"-"),"")</f>
        <v/>
      </c>
      <c r="L1174" s="33">
        <f t="shared" si="275"/>
        <v>0</v>
      </c>
      <c r="M1174" s="33">
        <f t="shared" si="276"/>
        <v>0</v>
      </c>
      <c r="N1174" s="33">
        <f t="shared" si="277"/>
        <v>0</v>
      </c>
      <c r="O1174" s="28"/>
      <c r="P1174" s="33">
        <f t="shared" si="278"/>
        <v>0</v>
      </c>
      <c r="Q1174" s="35" t="str" cm="1">
        <f t="array" ref="Q1174">IF(AF1174&lt;&gt;"",IFERROR(INDEX('Group List B'!B:B,MATCH(AI1174,'Group List B'!A:A,0),0),"-"),"")</f>
        <v/>
      </c>
      <c r="R1174" s="36">
        <f t="shared" si="279"/>
        <v>0</v>
      </c>
      <c r="S1174" s="36">
        <f t="shared" si="280"/>
        <v>0</v>
      </c>
      <c r="T1174" s="36">
        <f t="shared" si="281"/>
        <v>0</v>
      </c>
      <c r="U1174" s="28"/>
      <c r="V1174" s="37">
        <f t="shared" si="282"/>
        <v>0</v>
      </c>
      <c r="W1174" s="41"/>
      <c r="X1174" s="27"/>
      <c r="Y1174" s="27"/>
      <c r="Z1174" s="27"/>
      <c r="AA1174" s="15"/>
      <c r="AB1174" s="17"/>
      <c r="AC1174" s="17"/>
      <c r="AD1174" s="17"/>
      <c r="AE1174" s="90"/>
      <c r="AF1174" s="82" t="str">
        <f t="shared" si="283"/>
        <v/>
      </c>
      <c r="AG1174" s="83" t="str">
        <f t="shared" si="284"/>
        <v/>
      </c>
      <c r="AH1174" s="82" t="str">
        <f t="shared" si="285"/>
        <v/>
      </c>
      <c r="AI1174" s="82" t="str">
        <f t="shared" si="286"/>
        <v/>
      </c>
      <c r="AJ1174" s="90"/>
      <c r="AP1174" s="88"/>
    </row>
    <row r="1175" spans="1:42" x14ac:dyDescent="0.25">
      <c r="A1175" s="2"/>
      <c r="C1175" s="68" t="str" cm="1">
        <f t="array" ref="C1175">IF(AF1175&lt;&gt;"",
IFERROR(INDEX('LaunchPad Markbook'!A:A,MATCH(AH1175,'LaunchPad Markbook'!D:D,0),0),"-"),"")</f>
        <v/>
      </c>
      <c r="D1175" s="27"/>
      <c r="E1175" s="27"/>
      <c r="F1175" s="27"/>
      <c r="G1175" s="14">
        <f>IF(OR(H1175&gt;AB$2,I1175&gt;AC$2,J1175&gt;AD$2,
P1175&gt;1,V1175&gt;1,
L1175&gt;'Group List A'!E$2,M1175&gt;'Group List A'!F$2,N1175&gt;'Group List A'!G$2,
R1175&gt;'Group List B'!E$2,S1175&gt;'Group List B'!F$2,T1175&gt;'Group List B'!G$2),"Exceed",
IF(OR(H1175=AB$2,I1175=AC$2,J1175=AD$2,
P1175=1,V1175=1,
L1175='Group List A'!E$2,M1175='Group List A'!F$2,N1175='Group List A'!G$2,
R1175='Group List B'!E$2,S1175='Group List B'!F$2,T1175='Group List B'!G$2),"Limit",0))</f>
        <v>0</v>
      </c>
      <c r="H1175" s="29">
        <f t="shared" si="272"/>
        <v>0</v>
      </c>
      <c r="I1175" s="29">
        <f t="shared" si="273"/>
        <v>0</v>
      </c>
      <c r="J1175" s="29">
        <f t="shared" si="274"/>
        <v>0</v>
      </c>
      <c r="K1175" s="32" t="str" cm="1">
        <f t="array" ref="K1175">IF(AF1175&lt;&gt;"",IFERROR(INDEX('Group List A'!B:B,MATCH(AI1175,'Group List A'!A:A,0),0),"-"),"")</f>
        <v/>
      </c>
      <c r="L1175" s="33">
        <f t="shared" si="275"/>
        <v>0</v>
      </c>
      <c r="M1175" s="33">
        <f t="shared" si="276"/>
        <v>0</v>
      </c>
      <c r="N1175" s="33">
        <f t="shared" si="277"/>
        <v>0</v>
      </c>
      <c r="O1175" s="28"/>
      <c r="P1175" s="33">
        <f t="shared" si="278"/>
        <v>0</v>
      </c>
      <c r="Q1175" s="35" t="str" cm="1">
        <f t="array" ref="Q1175">IF(AF1175&lt;&gt;"",IFERROR(INDEX('Group List B'!B:B,MATCH(AI1175,'Group List B'!A:A,0),0),"-"),"")</f>
        <v/>
      </c>
      <c r="R1175" s="36">
        <f t="shared" si="279"/>
        <v>0</v>
      </c>
      <c r="S1175" s="36">
        <f t="shared" si="280"/>
        <v>0</v>
      </c>
      <c r="T1175" s="36">
        <f t="shared" si="281"/>
        <v>0</v>
      </c>
      <c r="U1175" s="28"/>
      <c r="V1175" s="37">
        <f t="shared" si="282"/>
        <v>0</v>
      </c>
      <c r="W1175" s="41"/>
      <c r="X1175" s="27"/>
      <c r="Y1175" s="27"/>
      <c r="Z1175" s="27"/>
      <c r="AA1175" s="15"/>
      <c r="AB1175" s="17"/>
      <c r="AC1175" s="17"/>
      <c r="AD1175" s="17"/>
      <c r="AE1175" s="90"/>
      <c r="AF1175" s="82" t="str">
        <f t="shared" si="283"/>
        <v/>
      </c>
      <c r="AG1175" s="83" t="str">
        <f t="shared" si="284"/>
        <v/>
      </c>
      <c r="AH1175" s="82" t="str">
        <f t="shared" si="285"/>
        <v/>
      </c>
      <c r="AI1175" s="82" t="str">
        <f t="shared" si="286"/>
        <v/>
      </c>
      <c r="AJ1175" s="90"/>
      <c r="AP1175" s="88"/>
    </row>
    <row r="1176" spans="1:42" x14ac:dyDescent="0.25">
      <c r="A1176" s="2"/>
      <c r="C1176" s="68" t="str" cm="1">
        <f t="array" ref="C1176">IF(AF1176&lt;&gt;"",
IFERROR(INDEX('LaunchPad Markbook'!A:A,MATCH(AH1176,'LaunchPad Markbook'!D:D,0),0),"-"),"")</f>
        <v/>
      </c>
      <c r="D1176" s="27"/>
      <c r="E1176" s="27"/>
      <c r="F1176" s="27"/>
      <c r="G1176" s="14">
        <f>IF(OR(H1176&gt;AB$2,I1176&gt;AC$2,J1176&gt;AD$2,
P1176&gt;1,V1176&gt;1,
L1176&gt;'Group List A'!E$2,M1176&gt;'Group List A'!F$2,N1176&gt;'Group List A'!G$2,
R1176&gt;'Group List B'!E$2,S1176&gt;'Group List B'!F$2,T1176&gt;'Group List B'!G$2),"Exceed",
IF(OR(H1176=AB$2,I1176=AC$2,J1176=AD$2,
P1176=1,V1176=1,
L1176='Group List A'!E$2,M1176='Group List A'!F$2,N1176='Group List A'!G$2,
R1176='Group List B'!E$2,S1176='Group List B'!F$2,T1176='Group List B'!G$2),"Limit",0))</f>
        <v>0</v>
      </c>
      <c r="H1176" s="29">
        <f t="shared" si="272"/>
        <v>0</v>
      </c>
      <c r="I1176" s="29">
        <f t="shared" si="273"/>
        <v>0</v>
      </c>
      <c r="J1176" s="29">
        <f t="shared" si="274"/>
        <v>0</v>
      </c>
      <c r="K1176" s="32" t="str" cm="1">
        <f t="array" ref="K1176">IF(AF1176&lt;&gt;"",IFERROR(INDEX('Group List A'!B:B,MATCH(AI1176,'Group List A'!A:A,0),0),"-"),"")</f>
        <v/>
      </c>
      <c r="L1176" s="33">
        <f t="shared" si="275"/>
        <v>0</v>
      </c>
      <c r="M1176" s="33">
        <f t="shared" si="276"/>
        <v>0</v>
      </c>
      <c r="N1176" s="33">
        <f t="shared" si="277"/>
        <v>0</v>
      </c>
      <c r="O1176" s="28"/>
      <c r="P1176" s="33">
        <f t="shared" si="278"/>
        <v>0</v>
      </c>
      <c r="Q1176" s="35" t="str" cm="1">
        <f t="array" ref="Q1176">IF(AF1176&lt;&gt;"",IFERROR(INDEX('Group List B'!B:B,MATCH(AI1176,'Group List B'!A:A,0),0),"-"),"")</f>
        <v/>
      </c>
      <c r="R1176" s="36">
        <f t="shared" si="279"/>
        <v>0</v>
      </c>
      <c r="S1176" s="36">
        <f t="shared" si="280"/>
        <v>0</v>
      </c>
      <c r="T1176" s="36">
        <f t="shared" si="281"/>
        <v>0</v>
      </c>
      <c r="U1176" s="28"/>
      <c r="V1176" s="37">
        <f t="shared" si="282"/>
        <v>0</v>
      </c>
      <c r="W1176" s="41"/>
      <c r="X1176" s="27"/>
      <c r="Y1176" s="27"/>
      <c r="Z1176" s="27"/>
      <c r="AA1176" s="15"/>
      <c r="AB1176" s="17"/>
      <c r="AC1176" s="17"/>
      <c r="AD1176" s="17"/>
      <c r="AE1176" s="90"/>
      <c r="AF1176" s="82" t="str">
        <f t="shared" si="283"/>
        <v/>
      </c>
      <c r="AG1176" s="83" t="str">
        <f t="shared" si="284"/>
        <v/>
      </c>
      <c r="AH1176" s="82" t="str">
        <f t="shared" si="285"/>
        <v/>
      </c>
      <c r="AI1176" s="82" t="str">
        <f t="shared" si="286"/>
        <v/>
      </c>
      <c r="AJ1176" s="90"/>
      <c r="AP1176" s="88"/>
    </row>
    <row r="1177" spans="1:42" x14ac:dyDescent="0.25">
      <c r="A1177" s="2"/>
      <c r="C1177" s="68" t="str" cm="1">
        <f t="array" ref="C1177">IF(AF1177&lt;&gt;"",
IFERROR(INDEX('LaunchPad Markbook'!A:A,MATCH(AH1177,'LaunchPad Markbook'!D:D,0),0),"-"),"")</f>
        <v/>
      </c>
      <c r="D1177" s="27"/>
      <c r="E1177" s="27"/>
      <c r="F1177" s="27"/>
      <c r="G1177" s="14">
        <f>IF(OR(H1177&gt;AB$2,I1177&gt;AC$2,J1177&gt;AD$2,
P1177&gt;1,V1177&gt;1,
L1177&gt;'Group List A'!E$2,M1177&gt;'Group List A'!F$2,N1177&gt;'Group List A'!G$2,
R1177&gt;'Group List B'!E$2,S1177&gt;'Group List B'!F$2,T1177&gt;'Group List B'!G$2),"Exceed",
IF(OR(H1177=AB$2,I1177=AC$2,J1177=AD$2,
P1177=1,V1177=1,
L1177='Group List A'!E$2,M1177='Group List A'!F$2,N1177='Group List A'!G$2,
R1177='Group List B'!E$2,S1177='Group List B'!F$2,T1177='Group List B'!G$2),"Limit",0))</f>
        <v>0</v>
      </c>
      <c r="H1177" s="29">
        <f t="shared" si="272"/>
        <v>0</v>
      </c>
      <c r="I1177" s="29">
        <f t="shared" si="273"/>
        <v>0</v>
      </c>
      <c r="J1177" s="29">
        <f t="shared" si="274"/>
        <v>0</v>
      </c>
      <c r="K1177" s="32" t="str" cm="1">
        <f t="array" ref="K1177">IF(AF1177&lt;&gt;"",IFERROR(INDEX('Group List A'!B:B,MATCH(AI1177,'Group List A'!A:A,0),0),"-"),"")</f>
        <v/>
      </c>
      <c r="L1177" s="33">
        <f t="shared" si="275"/>
        <v>0</v>
      </c>
      <c r="M1177" s="33">
        <f t="shared" si="276"/>
        <v>0</v>
      </c>
      <c r="N1177" s="33">
        <f t="shared" si="277"/>
        <v>0</v>
      </c>
      <c r="O1177" s="28"/>
      <c r="P1177" s="33">
        <f t="shared" si="278"/>
        <v>0</v>
      </c>
      <c r="Q1177" s="35" t="str" cm="1">
        <f t="array" ref="Q1177">IF(AF1177&lt;&gt;"",IFERROR(INDEX('Group List B'!B:B,MATCH(AI1177,'Group List B'!A:A,0),0),"-"),"")</f>
        <v/>
      </c>
      <c r="R1177" s="36">
        <f t="shared" si="279"/>
        <v>0</v>
      </c>
      <c r="S1177" s="36">
        <f t="shared" si="280"/>
        <v>0</v>
      </c>
      <c r="T1177" s="36">
        <f t="shared" si="281"/>
        <v>0</v>
      </c>
      <c r="U1177" s="28"/>
      <c r="V1177" s="37">
        <f t="shared" si="282"/>
        <v>0</v>
      </c>
      <c r="W1177" s="41"/>
      <c r="X1177" s="27"/>
      <c r="Y1177" s="27"/>
      <c r="Z1177" s="27"/>
      <c r="AA1177" s="15"/>
      <c r="AB1177" s="17"/>
      <c r="AC1177" s="17"/>
      <c r="AD1177" s="17"/>
      <c r="AE1177" s="90"/>
      <c r="AF1177" s="82" t="str">
        <f t="shared" si="283"/>
        <v/>
      </c>
      <c r="AG1177" s="83" t="str">
        <f t="shared" si="284"/>
        <v/>
      </c>
      <c r="AH1177" s="82" t="str">
        <f t="shared" si="285"/>
        <v/>
      </c>
      <c r="AI1177" s="82" t="str">
        <f t="shared" si="286"/>
        <v/>
      </c>
      <c r="AJ1177" s="90"/>
      <c r="AP1177" s="88"/>
    </row>
    <row r="1178" spans="1:42" x14ac:dyDescent="0.25">
      <c r="A1178" s="2"/>
      <c r="C1178" s="68" t="str" cm="1">
        <f t="array" ref="C1178">IF(AF1178&lt;&gt;"",
IFERROR(INDEX('LaunchPad Markbook'!A:A,MATCH(AH1178,'LaunchPad Markbook'!D:D,0),0),"-"),"")</f>
        <v/>
      </c>
      <c r="D1178" s="27"/>
      <c r="E1178" s="27"/>
      <c r="F1178" s="27"/>
      <c r="G1178" s="14">
        <f>IF(OR(H1178&gt;AB$2,I1178&gt;AC$2,J1178&gt;AD$2,
P1178&gt;1,V1178&gt;1,
L1178&gt;'Group List A'!E$2,M1178&gt;'Group List A'!F$2,N1178&gt;'Group List A'!G$2,
R1178&gt;'Group List B'!E$2,S1178&gt;'Group List B'!F$2,T1178&gt;'Group List B'!G$2),"Exceed",
IF(OR(H1178=AB$2,I1178=AC$2,J1178=AD$2,
P1178=1,V1178=1,
L1178='Group List A'!E$2,M1178='Group List A'!F$2,N1178='Group List A'!G$2,
R1178='Group List B'!E$2,S1178='Group List B'!F$2,T1178='Group List B'!G$2),"Limit",0))</f>
        <v>0</v>
      </c>
      <c r="H1178" s="29">
        <f t="shared" si="272"/>
        <v>0</v>
      </c>
      <c r="I1178" s="29">
        <f t="shared" si="273"/>
        <v>0</v>
      </c>
      <c r="J1178" s="29">
        <f t="shared" si="274"/>
        <v>0</v>
      </c>
      <c r="K1178" s="32" t="str" cm="1">
        <f t="array" ref="K1178">IF(AF1178&lt;&gt;"",IFERROR(INDEX('Group List A'!B:B,MATCH(AI1178,'Group List A'!A:A,0),0),"-"),"")</f>
        <v/>
      </c>
      <c r="L1178" s="33">
        <f t="shared" si="275"/>
        <v>0</v>
      </c>
      <c r="M1178" s="33">
        <f t="shared" si="276"/>
        <v>0</v>
      </c>
      <c r="N1178" s="33">
        <f t="shared" si="277"/>
        <v>0</v>
      </c>
      <c r="O1178" s="28"/>
      <c r="P1178" s="33">
        <f t="shared" si="278"/>
        <v>0</v>
      </c>
      <c r="Q1178" s="35" t="str" cm="1">
        <f t="array" ref="Q1178">IF(AF1178&lt;&gt;"",IFERROR(INDEX('Group List B'!B:B,MATCH(AI1178,'Group List B'!A:A,0),0),"-"),"")</f>
        <v/>
      </c>
      <c r="R1178" s="36">
        <f t="shared" si="279"/>
        <v>0</v>
      </c>
      <c r="S1178" s="36">
        <f t="shared" si="280"/>
        <v>0</v>
      </c>
      <c r="T1178" s="36">
        <f t="shared" si="281"/>
        <v>0</v>
      </c>
      <c r="U1178" s="28"/>
      <c r="V1178" s="37">
        <f t="shared" si="282"/>
        <v>0</v>
      </c>
      <c r="W1178" s="41"/>
      <c r="X1178" s="27"/>
      <c r="Y1178" s="27"/>
      <c r="Z1178" s="27"/>
      <c r="AA1178" s="15"/>
      <c r="AB1178" s="17"/>
      <c r="AC1178" s="17"/>
      <c r="AD1178" s="17"/>
      <c r="AE1178" s="90"/>
      <c r="AF1178" s="82" t="str">
        <f t="shared" si="283"/>
        <v/>
      </c>
      <c r="AG1178" s="83" t="str">
        <f t="shared" si="284"/>
        <v/>
      </c>
      <c r="AH1178" s="82" t="str">
        <f t="shared" si="285"/>
        <v/>
      </c>
      <c r="AI1178" s="82" t="str">
        <f t="shared" si="286"/>
        <v/>
      </c>
      <c r="AJ1178" s="90"/>
      <c r="AP1178" s="88"/>
    </row>
    <row r="1179" spans="1:42" x14ac:dyDescent="0.25">
      <c r="A1179" s="2"/>
      <c r="C1179" s="68" t="str" cm="1">
        <f t="array" ref="C1179">IF(AF1179&lt;&gt;"",
IFERROR(INDEX('LaunchPad Markbook'!A:A,MATCH(AH1179,'LaunchPad Markbook'!D:D,0),0),"-"),"")</f>
        <v/>
      </c>
      <c r="D1179" s="27"/>
      <c r="E1179" s="27"/>
      <c r="F1179" s="27"/>
      <c r="G1179" s="14">
        <f>IF(OR(H1179&gt;AB$2,I1179&gt;AC$2,J1179&gt;AD$2,
P1179&gt;1,V1179&gt;1,
L1179&gt;'Group List A'!E$2,M1179&gt;'Group List A'!F$2,N1179&gt;'Group List A'!G$2,
R1179&gt;'Group List B'!E$2,S1179&gt;'Group List B'!F$2,T1179&gt;'Group List B'!G$2),"Exceed",
IF(OR(H1179=AB$2,I1179=AC$2,J1179=AD$2,
P1179=1,V1179=1,
L1179='Group List A'!E$2,M1179='Group List A'!F$2,N1179='Group List A'!G$2,
R1179='Group List B'!E$2,S1179='Group List B'!F$2,T1179='Group List B'!G$2),"Limit",0))</f>
        <v>0</v>
      </c>
      <c r="H1179" s="29">
        <f t="shared" si="272"/>
        <v>0</v>
      </c>
      <c r="I1179" s="29">
        <f t="shared" si="273"/>
        <v>0</v>
      </c>
      <c r="J1179" s="29">
        <f t="shared" si="274"/>
        <v>0</v>
      </c>
      <c r="K1179" s="32" t="str" cm="1">
        <f t="array" ref="K1179">IF(AF1179&lt;&gt;"",IFERROR(INDEX('Group List A'!B:B,MATCH(AI1179,'Group List A'!A:A,0),0),"-"),"")</f>
        <v/>
      </c>
      <c r="L1179" s="33">
        <f t="shared" si="275"/>
        <v>0</v>
      </c>
      <c r="M1179" s="33">
        <f t="shared" si="276"/>
        <v>0</v>
      </c>
      <c r="N1179" s="33">
        <f t="shared" si="277"/>
        <v>0</v>
      </c>
      <c r="O1179" s="28"/>
      <c r="P1179" s="33">
        <f t="shared" si="278"/>
        <v>0</v>
      </c>
      <c r="Q1179" s="35" t="str" cm="1">
        <f t="array" ref="Q1179">IF(AF1179&lt;&gt;"",IFERROR(INDEX('Group List B'!B:B,MATCH(AI1179,'Group List B'!A:A,0),0),"-"),"")</f>
        <v/>
      </c>
      <c r="R1179" s="36">
        <f t="shared" si="279"/>
        <v>0</v>
      </c>
      <c r="S1179" s="36">
        <f t="shared" si="280"/>
        <v>0</v>
      </c>
      <c r="T1179" s="36">
        <f t="shared" si="281"/>
        <v>0</v>
      </c>
      <c r="U1179" s="28"/>
      <c r="V1179" s="37">
        <f t="shared" si="282"/>
        <v>0</v>
      </c>
      <c r="W1179" s="41"/>
      <c r="X1179" s="27"/>
      <c r="Y1179" s="27"/>
      <c r="Z1179" s="27"/>
      <c r="AA1179" s="15"/>
      <c r="AB1179" s="17"/>
      <c r="AC1179" s="17"/>
      <c r="AD1179" s="17"/>
      <c r="AE1179" s="90"/>
      <c r="AF1179" s="82" t="str">
        <f t="shared" si="283"/>
        <v/>
      </c>
      <c r="AG1179" s="83" t="str">
        <f t="shared" si="284"/>
        <v/>
      </c>
      <c r="AH1179" s="82" t="str">
        <f t="shared" si="285"/>
        <v/>
      </c>
      <c r="AI1179" s="82" t="str">
        <f t="shared" si="286"/>
        <v/>
      </c>
      <c r="AJ1179" s="90"/>
      <c r="AP1179" s="88"/>
    </row>
    <row r="1180" spans="1:42" x14ac:dyDescent="0.25">
      <c r="A1180" s="2"/>
      <c r="C1180" s="68" t="str" cm="1">
        <f t="array" ref="C1180">IF(AF1180&lt;&gt;"",
IFERROR(INDEX('LaunchPad Markbook'!A:A,MATCH(AH1180,'LaunchPad Markbook'!D:D,0),0),"-"),"")</f>
        <v/>
      </c>
      <c r="D1180" s="27"/>
      <c r="E1180" s="27"/>
      <c r="F1180" s="27"/>
      <c r="G1180" s="14">
        <f>IF(OR(H1180&gt;AB$2,I1180&gt;AC$2,J1180&gt;AD$2,
P1180&gt;1,V1180&gt;1,
L1180&gt;'Group List A'!E$2,M1180&gt;'Group List A'!F$2,N1180&gt;'Group List A'!G$2,
R1180&gt;'Group List B'!E$2,S1180&gt;'Group List B'!F$2,T1180&gt;'Group List B'!G$2),"Exceed",
IF(OR(H1180=AB$2,I1180=AC$2,J1180=AD$2,
P1180=1,V1180=1,
L1180='Group List A'!E$2,M1180='Group List A'!F$2,N1180='Group List A'!G$2,
R1180='Group List B'!E$2,S1180='Group List B'!F$2,T1180='Group List B'!G$2),"Limit",0))</f>
        <v>0</v>
      </c>
      <c r="H1180" s="29">
        <f t="shared" si="272"/>
        <v>0</v>
      </c>
      <c r="I1180" s="29">
        <f t="shared" si="273"/>
        <v>0</v>
      </c>
      <c r="J1180" s="29">
        <f t="shared" si="274"/>
        <v>0</v>
      </c>
      <c r="K1180" s="32" t="str" cm="1">
        <f t="array" ref="K1180">IF(AF1180&lt;&gt;"",IFERROR(INDEX('Group List A'!B:B,MATCH(AI1180,'Group List A'!A:A,0),0),"-"),"")</f>
        <v/>
      </c>
      <c r="L1180" s="33">
        <f t="shared" si="275"/>
        <v>0</v>
      </c>
      <c r="M1180" s="33">
        <f t="shared" si="276"/>
        <v>0</v>
      </c>
      <c r="N1180" s="33">
        <f t="shared" si="277"/>
        <v>0</v>
      </c>
      <c r="O1180" s="28"/>
      <c r="P1180" s="33">
        <f t="shared" si="278"/>
        <v>0</v>
      </c>
      <c r="Q1180" s="35" t="str" cm="1">
        <f t="array" ref="Q1180">IF(AF1180&lt;&gt;"",IFERROR(INDEX('Group List B'!B:B,MATCH(AI1180,'Group List B'!A:A,0),0),"-"),"")</f>
        <v/>
      </c>
      <c r="R1180" s="36">
        <f t="shared" si="279"/>
        <v>0</v>
      </c>
      <c r="S1180" s="36">
        <f t="shared" si="280"/>
        <v>0</v>
      </c>
      <c r="T1180" s="36">
        <f t="shared" si="281"/>
        <v>0</v>
      </c>
      <c r="U1180" s="28"/>
      <c r="V1180" s="37">
        <f t="shared" si="282"/>
        <v>0</v>
      </c>
      <c r="W1180" s="41"/>
      <c r="X1180" s="27"/>
      <c r="Y1180" s="27"/>
      <c r="Z1180" s="27"/>
      <c r="AA1180" s="15"/>
      <c r="AB1180" s="17"/>
      <c r="AC1180" s="17"/>
      <c r="AD1180" s="17"/>
      <c r="AE1180" s="90"/>
      <c r="AF1180" s="82" t="str">
        <f t="shared" si="283"/>
        <v/>
      </c>
      <c r="AG1180" s="83" t="str">
        <f t="shared" si="284"/>
        <v/>
      </c>
      <c r="AH1180" s="82" t="str">
        <f t="shared" si="285"/>
        <v/>
      </c>
      <c r="AI1180" s="82" t="str">
        <f t="shared" si="286"/>
        <v/>
      </c>
      <c r="AJ1180" s="90"/>
      <c r="AP1180" s="88"/>
    </row>
    <row r="1181" spans="1:42" x14ac:dyDescent="0.25">
      <c r="A1181" s="2"/>
      <c r="C1181" s="68" t="str" cm="1">
        <f t="array" ref="C1181">IF(AF1181&lt;&gt;"",
IFERROR(INDEX('LaunchPad Markbook'!A:A,MATCH(AH1181,'LaunchPad Markbook'!D:D,0),0),"-"),"")</f>
        <v/>
      </c>
      <c r="D1181" s="27"/>
      <c r="E1181" s="27"/>
      <c r="F1181" s="27"/>
      <c r="G1181" s="14">
        <f>IF(OR(H1181&gt;AB$2,I1181&gt;AC$2,J1181&gt;AD$2,
P1181&gt;1,V1181&gt;1,
L1181&gt;'Group List A'!E$2,M1181&gt;'Group List A'!F$2,N1181&gt;'Group List A'!G$2,
R1181&gt;'Group List B'!E$2,S1181&gt;'Group List B'!F$2,T1181&gt;'Group List B'!G$2),"Exceed",
IF(OR(H1181=AB$2,I1181=AC$2,J1181=AD$2,
P1181=1,V1181=1,
L1181='Group List A'!E$2,M1181='Group List A'!F$2,N1181='Group List A'!G$2,
R1181='Group List B'!E$2,S1181='Group List B'!F$2,T1181='Group List B'!G$2),"Limit",0))</f>
        <v>0</v>
      </c>
      <c r="H1181" s="29">
        <f t="shared" si="272"/>
        <v>0</v>
      </c>
      <c r="I1181" s="29">
        <f t="shared" si="273"/>
        <v>0</v>
      </c>
      <c r="J1181" s="29">
        <f t="shared" si="274"/>
        <v>0</v>
      </c>
      <c r="K1181" s="32" t="str" cm="1">
        <f t="array" ref="K1181">IF(AF1181&lt;&gt;"",IFERROR(INDEX('Group List A'!B:B,MATCH(AI1181,'Group List A'!A:A,0),0),"-"),"")</f>
        <v/>
      </c>
      <c r="L1181" s="33">
        <f t="shared" si="275"/>
        <v>0</v>
      </c>
      <c r="M1181" s="33">
        <f t="shared" si="276"/>
        <v>0</v>
      </c>
      <c r="N1181" s="33">
        <f t="shared" si="277"/>
        <v>0</v>
      </c>
      <c r="O1181" s="28"/>
      <c r="P1181" s="33">
        <f t="shared" si="278"/>
        <v>0</v>
      </c>
      <c r="Q1181" s="35" t="str" cm="1">
        <f t="array" ref="Q1181">IF(AF1181&lt;&gt;"",IFERROR(INDEX('Group List B'!B:B,MATCH(AI1181,'Group List B'!A:A,0),0),"-"),"")</f>
        <v/>
      </c>
      <c r="R1181" s="36">
        <f t="shared" si="279"/>
        <v>0</v>
      </c>
      <c r="S1181" s="36">
        <f t="shared" si="280"/>
        <v>0</v>
      </c>
      <c r="T1181" s="36">
        <f t="shared" si="281"/>
        <v>0</v>
      </c>
      <c r="U1181" s="28"/>
      <c r="V1181" s="37">
        <f t="shared" si="282"/>
        <v>0</v>
      </c>
      <c r="W1181" s="41"/>
      <c r="X1181" s="27"/>
      <c r="Y1181" s="27"/>
      <c r="Z1181" s="27"/>
      <c r="AA1181" s="15"/>
      <c r="AB1181" s="17"/>
      <c r="AC1181" s="17"/>
      <c r="AD1181" s="17"/>
      <c r="AE1181" s="90"/>
      <c r="AF1181" s="82" t="str">
        <f t="shared" si="283"/>
        <v/>
      </c>
      <c r="AG1181" s="83" t="str">
        <f t="shared" si="284"/>
        <v/>
      </c>
      <c r="AH1181" s="82" t="str">
        <f t="shared" si="285"/>
        <v/>
      </c>
      <c r="AI1181" s="82" t="str">
        <f t="shared" si="286"/>
        <v/>
      </c>
      <c r="AJ1181" s="90"/>
      <c r="AP1181" s="88"/>
    </row>
    <row r="1182" spans="1:42" x14ac:dyDescent="0.25">
      <c r="A1182" s="2"/>
      <c r="C1182" s="68" t="str" cm="1">
        <f t="array" ref="C1182">IF(AF1182&lt;&gt;"",
IFERROR(INDEX('LaunchPad Markbook'!A:A,MATCH(AH1182,'LaunchPad Markbook'!D:D,0),0),"-"),"")</f>
        <v/>
      </c>
      <c r="D1182" s="27"/>
      <c r="E1182" s="27"/>
      <c r="F1182" s="27"/>
      <c r="G1182" s="14">
        <f>IF(OR(H1182&gt;AB$2,I1182&gt;AC$2,J1182&gt;AD$2,
P1182&gt;1,V1182&gt;1,
L1182&gt;'Group List A'!E$2,M1182&gt;'Group List A'!F$2,N1182&gt;'Group List A'!G$2,
R1182&gt;'Group List B'!E$2,S1182&gt;'Group List B'!F$2,T1182&gt;'Group List B'!G$2),"Exceed",
IF(OR(H1182=AB$2,I1182=AC$2,J1182=AD$2,
P1182=1,V1182=1,
L1182='Group List A'!E$2,M1182='Group List A'!F$2,N1182='Group List A'!G$2,
R1182='Group List B'!E$2,S1182='Group List B'!F$2,T1182='Group List B'!G$2),"Limit",0))</f>
        <v>0</v>
      </c>
      <c r="H1182" s="29">
        <f t="shared" si="272"/>
        <v>0</v>
      </c>
      <c r="I1182" s="29">
        <f t="shared" si="273"/>
        <v>0</v>
      </c>
      <c r="J1182" s="29">
        <f t="shared" si="274"/>
        <v>0</v>
      </c>
      <c r="K1182" s="32" t="str" cm="1">
        <f t="array" ref="K1182">IF(AF1182&lt;&gt;"",IFERROR(INDEX('Group List A'!B:B,MATCH(AI1182,'Group List A'!A:A,0),0),"-"),"")</f>
        <v/>
      </c>
      <c r="L1182" s="33">
        <f t="shared" si="275"/>
        <v>0</v>
      </c>
      <c r="M1182" s="33">
        <f t="shared" si="276"/>
        <v>0</v>
      </c>
      <c r="N1182" s="33">
        <f t="shared" si="277"/>
        <v>0</v>
      </c>
      <c r="O1182" s="28"/>
      <c r="P1182" s="33">
        <f t="shared" si="278"/>
        <v>0</v>
      </c>
      <c r="Q1182" s="35" t="str" cm="1">
        <f t="array" ref="Q1182">IF(AF1182&lt;&gt;"",IFERROR(INDEX('Group List B'!B:B,MATCH(AI1182,'Group List B'!A:A,0),0),"-"),"")</f>
        <v/>
      </c>
      <c r="R1182" s="36">
        <f t="shared" si="279"/>
        <v>0</v>
      </c>
      <c r="S1182" s="36">
        <f t="shared" si="280"/>
        <v>0</v>
      </c>
      <c r="T1182" s="36">
        <f t="shared" si="281"/>
        <v>0</v>
      </c>
      <c r="U1182" s="28"/>
      <c r="V1182" s="37">
        <f t="shared" si="282"/>
        <v>0</v>
      </c>
      <c r="W1182" s="41"/>
      <c r="X1182" s="27"/>
      <c r="Y1182" s="27"/>
      <c r="Z1182" s="27"/>
      <c r="AA1182" s="15"/>
      <c r="AB1182" s="17"/>
      <c r="AC1182" s="17"/>
      <c r="AD1182" s="17"/>
      <c r="AE1182" s="90"/>
      <c r="AF1182" s="82" t="str">
        <f t="shared" si="283"/>
        <v/>
      </c>
      <c r="AG1182" s="83" t="str">
        <f t="shared" si="284"/>
        <v/>
      </c>
      <c r="AH1182" s="82" t="str">
        <f t="shared" si="285"/>
        <v/>
      </c>
      <c r="AI1182" s="82" t="str">
        <f t="shared" si="286"/>
        <v/>
      </c>
      <c r="AJ1182" s="90"/>
      <c r="AP1182" s="88"/>
    </row>
    <row r="1183" spans="1:42" x14ac:dyDescent="0.25">
      <c r="A1183" s="2"/>
      <c r="C1183" s="68" t="str" cm="1">
        <f t="array" ref="C1183">IF(AF1183&lt;&gt;"",
IFERROR(INDEX('LaunchPad Markbook'!A:A,MATCH(AH1183,'LaunchPad Markbook'!D:D,0),0),"-"),"")</f>
        <v/>
      </c>
      <c r="D1183" s="27"/>
      <c r="E1183" s="27"/>
      <c r="F1183" s="27"/>
      <c r="G1183" s="14">
        <f>IF(OR(H1183&gt;AB$2,I1183&gt;AC$2,J1183&gt;AD$2,
P1183&gt;1,V1183&gt;1,
L1183&gt;'Group List A'!E$2,M1183&gt;'Group List A'!F$2,N1183&gt;'Group List A'!G$2,
R1183&gt;'Group List B'!E$2,S1183&gt;'Group List B'!F$2,T1183&gt;'Group List B'!G$2),"Exceed",
IF(OR(H1183=AB$2,I1183=AC$2,J1183=AD$2,
P1183=1,V1183=1,
L1183='Group List A'!E$2,M1183='Group List A'!F$2,N1183='Group List A'!G$2,
R1183='Group List B'!E$2,S1183='Group List B'!F$2,T1183='Group List B'!G$2),"Limit",0))</f>
        <v>0</v>
      </c>
      <c r="H1183" s="29">
        <f t="shared" si="272"/>
        <v>0</v>
      </c>
      <c r="I1183" s="29">
        <f t="shared" si="273"/>
        <v>0</v>
      </c>
      <c r="J1183" s="29">
        <f t="shared" si="274"/>
        <v>0</v>
      </c>
      <c r="K1183" s="32" t="str" cm="1">
        <f t="array" ref="K1183">IF(AF1183&lt;&gt;"",IFERROR(INDEX('Group List A'!B:B,MATCH(AI1183,'Group List A'!A:A,0),0),"-"),"")</f>
        <v/>
      </c>
      <c r="L1183" s="33">
        <f t="shared" si="275"/>
        <v>0</v>
      </c>
      <c r="M1183" s="33">
        <f t="shared" si="276"/>
        <v>0</v>
      </c>
      <c r="N1183" s="33">
        <f t="shared" si="277"/>
        <v>0</v>
      </c>
      <c r="O1183" s="28"/>
      <c r="P1183" s="33">
        <f t="shared" si="278"/>
        <v>0</v>
      </c>
      <c r="Q1183" s="35" t="str" cm="1">
        <f t="array" ref="Q1183">IF(AF1183&lt;&gt;"",IFERROR(INDEX('Group List B'!B:B,MATCH(AI1183,'Group List B'!A:A,0),0),"-"),"")</f>
        <v/>
      </c>
      <c r="R1183" s="36">
        <f t="shared" si="279"/>
        <v>0</v>
      </c>
      <c r="S1183" s="36">
        <f t="shared" si="280"/>
        <v>0</v>
      </c>
      <c r="T1183" s="36">
        <f t="shared" si="281"/>
        <v>0</v>
      </c>
      <c r="U1183" s="28"/>
      <c r="V1183" s="37">
        <f t="shared" si="282"/>
        <v>0</v>
      </c>
      <c r="W1183" s="41"/>
      <c r="X1183" s="27"/>
      <c r="Y1183" s="27"/>
      <c r="Z1183" s="27"/>
      <c r="AA1183" s="15"/>
      <c r="AB1183" s="17"/>
      <c r="AC1183" s="17"/>
      <c r="AD1183" s="17"/>
      <c r="AE1183" s="90"/>
      <c r="AF1183" s="82" t="str">
        <f t="shared" si="283"/>
        <v/>
      </c>
      <c r="AG1183" s="83" t="str">
        <f t="shared" si="284"/>
        <v/>
      </c>
      <c r="AH1183" s="82" t="str">
        <f t="shared" si="285"/>
        <v/>
      </c>
      <c r="AI1183" s="82" t="str">
        <f t="shared" si="286"/>
        <v/>
      </c>
      <c r="AJ1183" s="90"/>
      <c r="AP1183" s="88"/>
    </row>
    <row r="1184" spans="1:42" x14ac:dyDescent="0.25">
      <c r="A1184" s="2"/>
      <c r="C1184" s="68" t="str" cm="1">
        <f t="array" ref="C1184">IF(AF1184&lt;&gt;"",
IFERROR(INDEX('LaunchPad Markbook'!A:A,MATCH(AH1184,'LaunchPad Markbook'!D:D,0),0),"-"),"")</f>
        <v/>
      </c>
      <c r="D1184" s="27"/>
      <c r="E1184" s="27"/>
      <c r="F1184" s="27"/>
      <c r="G1184" s="14">
        <f>IF(OR(H1184&gt;AB$2,I1184&gt;AC$2,J1184&gt;AD$2,
P1184&gt;1,V1184&gt;1,
L1184&gt;'Group List A'!E$2,M1184&gt;'Group List A'!F$2,N1184&gt;'Group List A'!G$2,
R1184&gt;'Group List B'!E$2,S1184&gt;'Group List B'!F$2,T1184&gt;'Group List B'!G$2),"Exceed",
IF(OR(H1184=AB$2,I1184=AC$2,J1184=AD$2,
P1184=1,V1184=1,
L1184='Group List A'!E$2,M1184='Group List A'!F$2,N1184='Group List A'!G$2,
R1184='Group List B'!E$2,S1184='Group List B'!F$2,T1184='Group List B'!G$2),"Limit",0))</f>
        <v>0</v>
      </c>
      <c r="H1184" s="29">
        <f t="shared" si="272"/>
        <v>0</v>
      </c>
      <c r="I1184" s="29">
        <f t="shared" si="273"/>
        <v>0</v>
      </c>
      <c r="J1184" s="29">
        <f t="shared" si="274"/>
        <v>0</v>
      </c>
      <c r="K1184" s="32" t="str" cm="1">
        <f t="array" ref="K1184">IF(AF1184&lt;&gt;"",IFERROR(INDEX('Group List A'!B:B,MATCH(AI1184,'Group List A'!A:A,0),0),"-"),"")</f>
        <v/>
      </c>
      <c r="L1184" s="33">
        <f t="shared" si="275"/>
        <v>0</v>
      </c>
      <c r="M1184" s="33">
        <f t="shared" si="276"/>
        <v>0</v>
      </c>
      <c r="N1184" s="33">
        <f t="shared" si="277"/>
        <v>0</v>
      </c>
      <c r="O1184" s="28"/>
      <c r="P1184" s="33">
        <f t="shared" si="278"/>
        <v>0</v>
      </c>
      <c r="Q1184" s="35" t="str" cm="1">
        <f t="array" ref="Q1184">IF(AF1184&lt;&gt;"",IFERROR(INDEX('Group List B'!B:B,MATCH(AI1184,'Group List B'!A:A,0),0),"-"),"")</f>
        <v/>
      </c>
      <c r="R1184" s="36">
        <f t="shared" si="279"/>
        <v>0</v>
      </c>
      <c r="S1184" s="36">
        <f t="shared" si="280"/>
        <v>0</v>
      </c>
      <c r="T1184" s="36">
        <f t="shared" si="281"/>
        <v>0</v>
      </c>
      <c r="U1184" s="28"/>
      <c r="V1184" s="37">
        <f t="shared" si="282"/>
        <v>0</v>
      </c>
      <c r="W1184" s="41"/>
      <c r="X1184" s="27"/>
      <c r="Y1184" s="27"/>
      <c r="Z1184" s="27"/>
      <c r="AA1184" s="15"/>
      <c r="AB1184" s="17"/>
      <c r="AC1184" s="17"/>
      <c r="AD1184" s="17"/>
      <c r="AE1184" s="90"/>
      <c r="AF1184" s="82" t="str">
        <f t="shared" si="283"/>
        <v/>
      </c>
      <c r="AG1184" s="83" t="str">
        <f t="shared" si="284"/>
        <v/>
      </c>
      <c r="AH1184" s="82" t="str">
        <f t="shared" si="285"/>
        <v/>
      </c>
      <c r="AI1184" s="82" t="str">
        <f t="shared" si="286"/>
        <v/>
      </c>
      <c r="AJ1184" s="90"/>
      <c r="AP1184" s="88"/>
    </row>
    <row r="1185" spans="1:42" x14ac:dyDescent="0.25">
      <c r="A1185" s="2"/>
      <c r="C1185" s="68" t="str" cm="1">
        <f t="array" ref="C1185">IF(AF1185&lt;&gt;"",
IFERROR(INDEX('LaunchPad Markbook'!A:A,MATCH(AH1185,'LaunchPad Markbook'!D:D,0),0),"-"),"")</f>
        <v/>
      </c>
      <c r="D1185" s="27"/>
      <c r="E1185" s="27"/>
      <c r="F1185" s="27"/>
      <c r="G1185" s="14">
        <f>IF(OR(H1185&gt;AB$2,I1185&gt;AC$2,J1185&gt;AD$2,
P1185&gt;1,V1185&gt;1,
L1185&gt;'Group List A'!E$2,M1185&gt;'Group List A'!F$2,N1185&gt;'Group List A'!G$2,
R1185&gt;'Group List B'!E$2,S1185&gt;'Group List B'!F$2,T1185&gt;'Group List B'!G$2),"Exceed",
IF(OR(H1185=AB$2,I1185=AC$2,J1185=AD$2,
P1185=1,V1185=1,
L1185='Group List A'!E$2,M1185='Group List A'!F$2,N1185='Group List A'!G$2,
R1185='Group List B'!E$2,S1185='Group List B'!F$2,T1185='Group List B'!G$2),"Limit",0))</f>
        <v>0</v>
      </c>
      <c r="H1185" s="29">
        <f t="shared" si="272"/>
        <v>0</v>
      </c>
      <c r="I1185" s="29">
        <f t="shared" si="273"/>
        <v>0</v>
      </c>
      <c r="J1185" s="29">
        <f t="shared" si="274"/>
        <v>0</v>
      </c>
      <c r="K1185" s="32" t="str" cm="1">
        <f t="array" ref="K1185">IF(AF1185&lt;&gt;"",IFERROR(INDEX('Group List A'!B:B,MATCH(AI1185,'Group List A'!A:A,0),0),"-"),"")</f>
        <v/>
      </c>
      <c r="L1185" s="33">
        <f t="shared" si="275"/>
        <v>0</v>
      </c>
      <c r="M1185" s="33">
        <f t="shared" si="276"/>
        <v>0</v>
      </c>
      <c r="N1185" s="33">
        <f t="shared" si="277"/>
        <v>0</v>
      </c>
      <c r="O1185" s="28"/>
      <c r="P1185" s="33">
        <f t="shared" si="278"/>
        <v>0</v>
      </c>
      <c r="Q1185" s="35" t="str" cm="1">
        <f t="array" ref="Q1185">IF(AF1185&lt;&gt;"",IFERROR(INDEX('Group List B'!B:B,MATCH(AI1185,'Group List B'!A:A,0),0),"-"),"")</f>
        <v/>
      </c>
      <c r="R1185" s="36">
        <f t="shared" si="279"/>
        <v>0</v>
      </c>
      <c r="S1185" s="36">
        <f t="shared" si="280"/>
        <v>0</v>
      </c>
      <c r="T1185" s="36">
        <f t="shared" si="281"/>
        <v>0</v>
      </c>
      <c r="U1185" s="28"/>
      <c r="V1185" s="37">
        <f t="shared" si="282"/>
        <v>0</v>
      </c>
      <c r="W1185" s="41"/>
      <c r="X1185" s="27"/>
      <c r="Y1185" s="27"/>
      <c r="Z1185" s="27"/>
      <c r="AA1185" s="15"/>
      <c r="AB1185" s="17"/>
      <c r="AC1185" s="17"/>
      <c r="AD1185" s="17"/>
      <c r="AE1185" s="90"/>
      <c r="AF1185" s="82" t="str">
        <f t="shared" si="283"/>
        <v/>
      </c>
      <c r="AG1185" s="83" t="str">
        <f t="shared" si="284"/>
        <v/>
      </c>
      <c r="AH1185" s="82" t="str">
        <f t="shared" si="285"/>
        <v/>
      </c>
      <c r="AI1185" s="82" t="str">
        <f t="shared" si="286"/>
        <v/>
      </c>
      <c r="AJ1185" s="90"/>
      <c r="AP1185" s="88"/>
    </row>
    <row r="1186" spans="1:42" x14ac:dyDescent="0.25">
      <c r="A1186" s="2"/>
      <c r="C1186" s="68" t="str" cm="1">
        <f t="array" ref="C1186">IF(AF1186&lt;&gt;"",
IFERROR(INDEX('LaunchPad Markbook'!A:A,MATCH(AH1186,'LaunchPad Markbook'!D:D,0),0),"-"),"")</f>
        <v/>
      </c>
      <c r="D1186" s="27"/>
      <c r="E1186" s="27"/>
      <c r="F1186" s="27"/>
      <c r="G1186" s="14">
        <f>IF(OR(H1186&gt;AB$2,I1186&gt;AC$2,J1186&gt;AD$2,
P1186&gt;1,V1186&gt;1,
L1186&gt;'Group List A'!E$2,M1186&gt;'Group List A'!F$2,N1186&gt;'Group List A'!G$2,
R1186&gt;'Group List B'!E$2,S1186&gt;'Group List B'!F$2,T1186&gt;'Group List B'!G$2),"Exceed",
IF(OR(H1186=AB$2,I1186=AC$2,J1186=AD$2,
P1186=1,V1186=1,
L1186='Group List A'!E$2,M1186='Group List A'!F$2,N1186='Group List A'!G$2,
R1186='Group List B'!E$2,S1186='Group List B'!F$2,T1186='Group List B'!G$2),"Limit",0))</f>
        <v>0</v>
      </c>
      <c r="H1186" s="29">
        <f t="shared" si="272"/>
        <v>0</v>
      </c>
      <c r="I1186" s="29">
        <f t="shared" si="273"/>
        <v>0</v>
      </c>
      <c r="J1186" s="29">
        <f t="shared" si="274"/>
        <v>0</v>
      </c>
      <c r="K1186" s="32" t="str" cm="1">
        <f t="array" ref="K1186">IF(AF1186&lt;&gt;"",IFERROR(INDEX('Group List A'!B:B,MATCH(AI1186,'Group List A'!A:A,0),0),"-"),"")</f>
        <v/>
      </c>
      <c r="L1186" s="33">
        <f t="shared" si="275"/>
        <v>0</v>
      </c>
      <c r="M1186" s="33">
        <f t="shared" si="276"/>
        <v>0</v>
      </c>
      <c r="N1186" s="33">
        <f t="shared" si="277"/>
        <v>0</v>
      </c>
      <c r="O1186" s="28"/>
      <c r="P1186" s="33">
        <f t="shared" si="278"/>
        <v>0</v>
      </c>
      <c r="Q1186" s="35" t="str" cm="1">
        <f t="array" ref="Q1186">IF(AF1186&lt;&gt;"",IFERROR(INDEX('Group List B'!B:B,MATCH(AI1186,'Group List B'!A:A,0),0),"-"),"")</f>
        <v/>
      </c>
      <c r="R1186" s="36">
        <f t="shared" si="279"/>
        <v>0</v>
      </c>
      <c r="S1186" s="36">
        <f t="shared" si="280"/>
        <v>0</v>
      </c>
      <c r="T1186" s="36">
        <f t="shared" si="281"/>
        <v>0</v>
      </c>
      <c r="U1186" s="28"/>
      <c r="V1186" s="37">
        <f t="shared" si="282"/>
        <v>0</v>
      </c>
      <c r="W1186" s="41"/>
      <c r="X1186" s="27"/>
      <c r="Y1186" s="27"/>
      <c r="Z1186" s="27"/>
      <c r="AA1186" s="15"/>
      <c r="AB1186" s="17"/>
      <c r="AC1186" s="17"/>
      <c r="AD1186" s="17"/>
      <c r="AE1186" s="90"/>
      <c r="AF1186" s="82" t="str">
        <f t="shared" si="283"/>
        <v/>
      </c>
      <c r="AG1186" s="83" t="str">
        <f t="shared" si="284"/>
        <v/>
      </c>
      <c r="AH1186" s="82" t="str">
        <f t="shared" si="285"/>
        <v/>
      </c>
      <c r="AI1186" s="82" t="str">
        <f t="shared" si="286"/>
        <v/>
      </c>
      <c r="AJ1186" s="90"/>
      <c r="AP1186" s="88"/>
    </row>
    <row r="1187" spans="1:42" x14ac:dyDescent="0.25">
      <c r="A1187" s="2"/>
      <c r="C1187" s="68" t="str" cm="1">
        <f t="array" ref="C1187">IF(AF1187&lt;&gt;"",
IFERROR(INDEX('LaunchPad Markbook'!A:A,MATCH(AH1187,'LaunchPad Markbook'!D:D,0),0),"-"),"")</f>
        <v/>
      </c>
      <c r="D1187" s="27"/>
      <c r="E1187" s="27"/>
      <c r="F1187" s="27"/>
      <c r="G1187" s="14">
        <f>IF(OR(H1187&gt;AB$2,I1187&gt;AC$2,J1187&gt;AD$2,
P1187&gt;1,V1187&gt;1,
L1187&gt;'Group List A'!E$2,M1187&gt;'Group List A'!F$2,N1187&gt;'Group List A'!G$2,
R1187&gt;'Group List B'!E$2,S1187&gt;'Group List B'!F$2,T1187&gt;'Group List B'!G$2),"Exceed",
IF(OR(H1187=AB$2,I1187=AC$2,J1187=AD$2,
P1187=1,V1187=1,
L1187='Group List A'!E$2,M1187='Group List A'!F$2,N1187='Group List A'!G$2,
R1187='Group List B'!E$2,S1187='Group List B'!F$2,T1187='Group List B'!G$2),"Limit",0))</f>
        <v>0</v>
      </c>
      <c r="H1187" s="29">
        <f t="shared" si="272"/>
        <v>0</v>
      </c>
      <c r="I1187" s="29">
        <f t="shared" si="273"/>
        <v>0</v>
      </c>
      <c r="J1187" s="29">
        <f t="shared" si="274"/>
        <v>0</v>
      </c>
      <c r="K1187" s="32" t="str" cm="1">
        <f t="array" ref="K1187">IF(AF1187&lt;&gt;"",IFERROR(INDEX('Group List A'!B:B,MATCH(AI1187,'Group List A'!A:A,0),0),"-"),"")</f>
        <v/>
      </c>
      <c r="L1187" s="33">
        <f t="shared" si="275"/>
        <v>0</v>
      </c>
      <c r="M1187" s="33">
        <f t="shared" si="276"/>
        <v>0</v>
      </c>
      <c r="N1187" s="33">
        <f t="shared" si="277"/>
        <v>0</v>
      </c>
      <c r="O1187" s="28"/>
      <c r="P1187" s="33">
        <f t="shared" si="278"/>
        <v>0</v>
      </c>
      <c r="Q1187" s="35" t="str" cm="1">
        <f t="array" ref="Q1187">IF(AF1187&lt;&gt;"",IFERROR(INDEX('Group List B'!B:B,MATCH(AI1187,'Group List B'!A:A,0),0),"-"),"")</f>
        <v/>
      </c>
      <c r="R1187" s="36">
        <f t="shared" si="279"/>
        <v>0</v>
      </c>
      <c r="S1187" s="36">
        <f t="shared" si="280"/>
        <v>0</v>
      </c>
      <c r="T1187" s="36">
        <f t="shared" si="281"/>
        <v>0</v>
      </c>
      <c r="U1187" s="28"/>
      <c r="V1187" s="37">
        <f t="shared" si="282"/>
        <v>0</v>
      </c>
      <c r="W1187" s="41"/>
      <c r="X1187" s="27"/>
      <c r="Y1187" s="27"/>
      <c r="Z1187" s="27"/>
      <c r="AA1187" s="15"/>
      <c r="AB1187" s="17"/>
      <c r="AC1187" s="17"/>
      <c r="AD1187" s="17"/>
      <c r="AE1187" s="90"/>
      <c r="AF1187" s="82" t="str">
        <f t="shared" si="283"/>
        <v/>
      </c>
      <c r="AG1187" s="83" t="str">
        <f t="shared" si="284"/>
        <v/>
      </c>
      <c r="AH1187" s="82" t="str">
        <f t="shared" si="285"/>
        <v/>
      </c>
      <c r="AI1187" s="82" t="str">
        <f t="shared" si="286"/>
        <v/>
      </c>
      <c r="AJ1187" s="90"/>
      <c r="AP1187" s="88"/>
    </row>
    <row r="1188" spans="1:42" x14ac:dyDescent="0.25">
      <c r="A1188" s="2"/>
      <c r="C1188" s="68" t="str" cm="1">
        <f t="array" ref="C1188">IF(AF1188&lt;&gt;"",
IFERROR(INDEX('LaunchPad Markbook'!A:A,MATCH(AH1188,'LaunchPad Markbook'!D:D,0),0),"-"),"")</f>
        <v/>
      </c>
      <c r="D1188" s="27"/>
      <c r="E1188" s="27"/>
      <c r="F1188" s="27"/>
      <c r="G1188" s="14">
        <f>IF(OR(H1188&gt;AB$2,I1188&gt;AC$2,J1188&gt;AD$2,
P1188&gt;1,V1188&gt;1,
L1188&gt;'Group List A'!E$2,M1188&gt;'Group List A'!F$2,N1188&gt;'Group List A'!G$2,
R1188&gt;'Group List B'!E$2,S1188&gt;'Group List B'!F$2,T1188&gt;'Group List B'!G$2),"Exceed",
IF(OR(H1188=AB$2,I1188=AC$2,J1188=AD$2,
P1188=1,V1188=1,
L1188='Group List A'!E$2,M1188='Group List A'!F$2,N1188='Group List A'!G$2,
R1188='Group List B'!E$2,S1188='Group List B'!F$2,T1188='Group List B'!G$2),"Limit",0))</f>
        <v>0</v>
      </c>
      <c r="H1188" s="29">
        <f t="shared" si="272"/>
        <v>0</v>
      </c>
      <c r="I1188" s="29">
        <f t="shared" si="273"/>
        <v>0</v>
      </c>
      <c r="J1188" s="29">
        <f t="shared" si="274"/>
        <v>0</v>
      </c>
      <c r="K1188" s="32" t="str" cm="1">
        <f t="array" ref="K1188">IF(AF1188&lt;&gt;"",IFERROR(INDEX('Group List A'!B:B,MATCH(AI1188,'Group List A'!A:A,0),0),"-"),"")</f>
        <v/>
      </c>
      <c r="L1188" s="33">
        <f t="shared" si="275"/>
        <v>0</v>
      </c>
      <c r="M1188" s="33">
        <f t="shared" si="276"/>
        <v>0</v>
      </c>
      <c r="N1188" s="33">
        <f t="shared" si="277"/>
        <v>0</v>
      </c>
      <c r="O1188" s="28"/>
      <c r="P1188" s="33">
        <f t="shared" si="278"/>
        <v>0</v>
      </c>
      <c r="Q1188" s="35" t="str" cm="1">
        <f t="array" ref="Q1188">IF(AF1188&lt;&gt;"",IFERROR(INDEX('Group List B'!B:B,MATCH(AI1188,'Group List B'!A:A,0),0),"-"),"")</f>
        <v/>
      </c>
      <c r="R1188" s="36">
        <f t="shared" si="279"/>
        <v>0</v>
      </c>
      <c r="S1188" s="36">
        <f t="shared" si="280"/>
        <v>0</v>
      </c>
      <c r="T1188" s="36">
        <f t="shared" si="281"/>
        <v>0</v>
      </c>
      <c r="U1188" s="28"/>
      <c r="V1188" s="37">
        <f t="shared" si="282"/>
        <v>0</v>
      </c>
      <c r="W1188" s="41"/>
      <c r="X1188" s="27"/>
      <c r="Y1188" s="27"/>
      <c r="Z1188" s="27"/>
      <c r="AA1188" s="15"/>
      <c r="AB1188" s="17"/>
      <c r="AC1188" s="17"/>
      <c r="AD1188" s="17"/>
      <c r="AE1188" s="90"/>
      <c r="AF1188" s="82" t="str">
        <f t="shared" si="283"/>
        <v/>
      </c>
      <c r="AG1188" s="83" t="str">
        <f t="shared" si="284"/>
        <v/>
      </c>
      <c r="AH1188" s="82" t="str">
        <f t="shared" si="285"/>
        <v/>
      </c>
      <c r="AI1188" s="82" t="str">
        <f t="shared" si="286"/>
        <v/>
      </c>
      <c r="AJ1188" s="90"/>
      <c r="AP1188" s="88"/>
    </row>
    <row r="1189" spans="1:42" x14ac:dyDescent="0.25">
      <c r="A1189" s="2"/>
      <c r="C1189" s="68" t="str" cm="1">
        <f t="array" ref="C1189">IF(AF1189&lt;&gt;"",
IFERROR(INDEX('LaunchPad Markbook'!A:A,MATCH(AH1189,'LaunchPad Markbook'!D:D,0),0),"-"),"")</f>
        <v/>
      </c>
      <c r="D1189" s="27"/>
      <c r="E1189" s="27"/>
      <c r="F1189" s="27"/>
      <c r="G1189" s="14">
        <f>IF(OR(H1189&gt;AB$2,I1189&gt;AC$2,J1189&gt;AD$2,
P1189&gt;1,V1189&gt;1,
L1189&gt;'Group List A'!E$2,M1189&gt;'Group List A'!F$2,N1189&gt;'Group List A'!G$2,
R1189&gt;'Group List B'!E$2,S1189&gt;'Group List B'!F$2,T1189&gt;'Group List B'!G$2),"Exceed",
IF(OR(H1189=AB$2,I1189=AC$2,J1189=AD$2,
P1189=1,V1189=1,
L1189='Group List A'!E$2,M1189='Group List A'!F$2,N1189='Group List A'!G$2,
R1189='Group List B'!E$2,S1189='Group List B'!F$2,T1189='Group List B'!G$2),"Limit",0))</f>
        <v>0</v>
      </c>
      <c r="H1189" s="29">
        <f t="shared" si="272"/>
        <v>0</v>
      </c>
      <c r="I1189" s="29">
        <f t="shared" si="273"/>
        <v>0</v>
      </c>
      <c r="J1189" s="29">
        <f t="shared" si="274"/>
        <v>0</v>
      </c>
      <c r="K1189" s="32" t="str" cm="1">
        <f t="array" ref="K1189">IF(AF1189&lt;&gt;"",IFERROR(INDEX('Group List A'!B:B,MATCH(AI1189,'Group List A'!A:A,0),0),"-"),"")</f>
        <v/>
      </c>
      <c r="L1189" s="33">
        <f t="shared" si="275"/>
        <v>0</v>
      </c>
      <c r="M1189" s="33">
        <f t="shared" si="276"/>
        <v>0</v>
      </c>
      <c r="N1189" s="33">
        <f t="shared" si="277"/>
        <v>0</v>
      </c>
      <c r="O1189" s="28"/>
      <c r="P1189" s="33">
        <f t="shared" si="278"/>
        <v>0</v>
      </c>
      <c r="Q1189" s="35" t="str" cm="1">
        <f t="array" ref="Q1189">IF(AF1189&lt;&gt;"",IFERROR(INDEX('Group List B'!B:B,MATCH(AI1189,'Group List B'!A:A,0),0),"-"),"")</f>
        <v/>
      </c>
      <c r="R1189" s="36">
        <f t="shared" si="279"/>
        <v>0</v>
      </c>
      <c r="S1189" s="36">
        <f t="shared" si="280"/>
        <v>0</v>
      </c>
      <c r="T1189" s="36">
        <f t="shared" si="281"/>
        <v>0</v>
      </c>
      <c r="U1189" s="28"/>
      <c r="V1189" s="37">
        <f t="shared" si="282"/>
        <v>0</v>
      </c>
      <c r="W1189" s="41"/>
      <c r="X1189" s="27"/>
      <c r="Y1189" s="27"/>
      <c r="Z1189" s="27"/>
      <c r="AA1189" s="15"/>
      <c r="AB1189" s="17"/>
      <c r="AC1189" s="17"/>
      <c r="AD1189" s="17"/>
      <c r="AE1189" s="90"/>
      <c r="AF1189" s="82" t="str">
        <f t="shared" si="283"/>
        <v/>
      </c>
      <c r="AG1189" s="83" t="str">
        <f t="shared" si="284"/>
        <v/>
      </c>
      <c r="AH1189" s="82" t="str">
        <f t="shared" si="285"/>
        <v/>
      </c>
      <c r="AI1189" s="82" t="str">
        <f t="shared" si="286"/>
        <v/>
      </c>
      <c r="AJ1189" s="90"/>
      <c r="AP1189" s="88"/>
    </row>
    <row r="1190" spans="1:42" x14ac:dyDescent="0.25">
      <c r="A1190" s="2"/>
      <c r="C1190" s="68" t="str" cm="1">
        <f t="array" ref="C1190">IF(AF1190&lt;&gt;"",
IFERROR(INDEX('LaunchPad Markbook'!A:A,MATCH(AH1190,'LaunchPad Markbook'!D:D,0),0),"-"),"")</f>
        <v/>
      </c>
      <c r="D1190" s="27"/>
      <c r="E1190" s="27"/>
      <c r="F1190" s="27"/>
      <c r="G1190" s="14">
        <f>IF(OR(H1190&gt;AB$2,I1190&gt;AC$2,J1190&gt;AD$2,
P1190&gt;1,V1190&gt;1,
L1190&gt;'Group List A'!E$2,M1190&gt;'Group List A'!F$2,N1190&gt;'Group List A'!G$2,
R1190&gt;'Group List B'!E$2,S1190&gt;'Group List B'!F$2,T1190&gt;'Group List B'!G$2),"Exceed",
IF(OR(H1190=AB$2,I1190=AC$2,J1190=AD$2,
P1190=1,V1190=1,
L1190='Group List A'!E$2,M1190='Group List A'!F$2,N1190='Group List A'!G$2,
R1190='Group List B'!E$2,S1190='Group List B'!F$2,T1190='Group List B'!G$2),"Limit",0))</f>
        <v>0</v>
      </c>
      <c r="H1190" s="29">
        <f t="shared" si="272"/>
        <v>0</v>
      </c>
      <c r="I1190" s="29">
        <f t="shared" si="273"/>
        <v>0</v>
      </c>
      <c r="J1190" s="29">
        <f t="shared" si="274"/>
        <v>0</v>
      </c>
      <c r="K1190" s="32" t="str" cm="1">
        <f t="array" ref="K1190">IF(AF1190&lt;&gt;"",IFERROR(INDEX('Group List A'!B:B,MATCH(AI1190,'Group List A'!A:A,0),0),"-"),"")</f>
        <v/>
      </c>
      <c r="L1190" s="33">
        <f t="shared" si="275"/>
        <v>0</v>
      </c>
      <c r="M1190" s="33">
        <f t="shared" si="276"/>
        <v>0</v>
      </c>
      <c r="N1190" s="33">
        <f t="shared" si="277"/>
        <v>0</v>
      </c>
      <c r="O1190" s="28"/>
      <c r="P1190" s="33">
        <f t="shared" si="278"/>
        <v>0</v>
      </c>
      <c r="Q1190" s="35" t="str" cm="1">
        <f t="array" ref="Q1190">IF(AF1190&lt;&gt;"",IFERROR(INDEX('Group List B'!B:B,MATCH(AI1190,'Group List B'!A:A,0),0),"-"),"")</f>
        <v/>
      </c>
      <c r="R1190" s="36">
        <f t="shared" si="279"/>
        <v>0</v>
      </c>
      <c r="S1190" s="36">
        <f t="shared" si="280"/>
        <v>0</v>
      </c>
      <c r="T1190" s="36">
        <f t="shared" si="281"/>
        <v>0</v>
      </c>
      <c r="U1190" s="28"/>
      <c r="V1190" s="37">
        <f t="shared" si="282"/>
        <v>0</v>
      </c>
      <c r="W1190" s="41"/>
      <c r="X1190" s="27"/>
      <c r="Y1190" s="27"/>
      <c r="Z1190" s="27"/>
      <c r="AA1190" s="15"/>
      <c r="AB1190" s="17"/>
      <c r="AC1190" s="17"/>
      <c r="AD1190" s="17"/>
      <c r="AE1190" s="90"/>
      <c r="AF1190" s="82" t="str">
        <f t="shared" si="283"/>
        <v/>
      </c>
      <c r="AG1190" s="83" t="str">
        <f t="shared" si="284"/>
        <v/>
      </c>
      <c r="AH1190" s="82" t="str">
        <f t="shared" si="285"/>
        <v/>
      </c>
      <c r="AI1190" s="82" t="str">
        <f t="shared" si="286"/>
        <v/>
      </c>
      <c r="AJ1190" s="90"/>
      <c r="AP1190" s="88"/>
    </row>
    <row r="1191" spans="1:42" x14ac:dyDescent="0.25">
      <c r="A1191" s="2"/>
      <c r="C1191" s="68" t="str" cm="1">
        <f t="array" ref="C1191">IF(AF1191&lt;&gt;"",
IFERROR(INDEX('LaunchPad Markbook'!A:A,MATCH(AH1191,'LaunchPad Markbook'!D:D,0),0),"-"),"")</f>
        <v/>
      </c>
      <c r="D1191" s="27"/>
      <c r="E1191" s="27"/>
      <c r="F1191" s="27"/>
      <c r="G1191" s="14">
        <f>IF(OR(H1191&gt;AB$2,I1191&gt;AC$2,J1191&gt;AD$2,
P1191&gt;1,V1191&gt;1,
L1191&gt;'Group List A'!E$2,M1191&gt;'Group List A'!F$2,N1191&gt;'Group List A'!G$2,
R1191&gt;'Group List B'!E$2,S1191&gt;'Group List B'!F$2,T1191&gt;'Group List B'!G$2),"Exceed",
IF(OR(H1191=AB$2,I1191=AC$2,J1191=AD$2,
P1191=1,V1191=1,
L1191='Group List A'!E$2,M1191='Group List A'!F$2,N1191='Group List A'!G$2,
R1191='Group List B'!E$2,S1191='Group List B'!F$2,T1191='Group List B'!G$2),"Limit",0))</f>
        <v>0</v>
      </c>
      <c r="H1191" s="29">
        <f t="shared" si="272"/>
        <v>0</v>
      </c>
      <c r="I1191" s="29">
        <f t="shared" si="273"/>
        <v>0</v>
      </c>
      <c r="J1191" s="29">
        <f t="shared" si="274"/>
        <v>0</v>
      </c>
      <c r="K1191" s="32" t="str" cm="1">
        <f t="array" ref="K1191">IF(AF1191&lt;&gt;"",IFERROR(INDEX('Group List A'!B:B,MATCH(AI1191,'Group List A'!A:A,0),0),"-"),"")</f>
        <v/>
      </c>
      <c r="L1191" s="33">
        <f t="shared" si="275"/>
        <v>0</v>
      </c>
      <c r="M1191" s="33">
        <f t="shared" si="276"/>
        <v>0</v>
      </c>
      <c r="N1191" s="33">
        <f t="shared" si="277"/>
        <v>0</v>
      </c>
      <c r="O1191" s="28"/>
      <c r="P1191" s="33">
        <f t="shared" si="278"/>
        <v>0</v>
      </c>
      <c r="Q1191" s="35" t="str" cm="1">
        <f t="array" ref="Q1191">IF(AF1191&lt;&gt;"",IFERROR(INDEX('Group List B'!B:B,MATCH(AI1191,'Group List B'!A:A,0),0),"-"),"")</f>
        <v/>
      </c>
      <c r="R1191" s="36">
        <f t="shared" si="279"/>
        <v>0</v>
      </c>
      <c r="S1191" s="36">
        <f t="shared" si="280"/>
        <v>0</v>
      </c>
      <c r="T1191" s="36">
        <f t="shared" si="281"/>
        <v>0</v>
      </c>
      <c r="U1191" s="28"/>
      <c r="V1191" s="37">
        <f t="shared" si="282"/>
        <v>0</v>
      </c>
      <c r="W1191" s="41"/>
      <c r="X1191" s="27"/>
      <c r="Y1191" s="27"/>
      <c r="Z1191" s="27"/>
      <c r="AA1191" s="15"/>
      <c r="AB1191" s="17"/>
      <c r="AC1191" s="17"/>
      <c r="AD1191" s="17"/>
      <c r="AE1191" s="90"/>
      <c r="AF1191" s="82" t="str">
        <f t="shared" si="283"/>
        <v/>
      </c>
      <c r="AG1191" s="83" t="str">
        <f t="shared" si="284"/>
        <v/>
      </c>
      <c r="AH1191" s="82" t="str">
        <f t="shared" si="285"/>
        <v/>
      </c>
      <c r="AI1191" s="82" t="str">
        <f t="shared" si="286"/>
        <v/>
      </c>
      <c r="AJ1191" s="90"/>
      <c r="AP1191" s="88"/>
    </row>
    <row r="1192" spans="1:42" x14ac:dyDescent="0.25">
      <c r="A1192" s="2"/>
      <c r="C1192" s="68" t="str" cm="1">
        <f t="array" ref="C1192">IF(AF1192&lt;&gt;"",
IFERROR(INDEX('LaunchPad Markbook'!A:A,MATCH(AH1192,'LaunchPad Markbook'!D:D,0),0),"-"),"")</f>
        <v/>
      </c>
      <c r="D1192" s="27"/>
      <c r="E1192" s="27"/>
      <c r="F1192" s="27"/>
      <c r="G1192" s="14">
        <f>IF(OR(H1192&gt;AB$2,I1192&gt;AC$2,J1192&gt;AD$2,
P1192&gt;1,V1192&gt;1,
L1192&gt;'Group List A'!E$2,M1192&gt;'Group List A'!F$2,N1192&gt;'Group List A'!G$2,
R1192&gt;'Group List B'!E$2,S1192&gt;'Group List B'!F$2,T1192&gt;'Group List B'!G$2),"Exceed",
IF(OR(H1192=AB$2,I1192=AC$2,J1192=AD$2,
P1192=1,V1192=1,
L1192='Group List A'!E$2,M1192='Group List A'!F$2,N1192='Group List A'!G$2,
R1192='Group List B'!E$2,S1192='Group List B'!F$2,T1192='Group List B'!G$2),"Limit",0))</f>
        <v>0</v>
      </c>
      <c r="H1192" s="29">
        <f t="shared" si="272"/>
        <v>0</v>
      </c>
      <c r="I1192" s="29">
        <f t="shared" si="273"/>
        <v>0</v>
      </c>
      <c r="J1192" s="29">
        <f t="shared" si="274"/>
        <v>0</v>
      </c>
      <c r="K1192" s="32" t="str" cm="1">
        <f t="array" ref="K1192">IF(AF1192&lt;&gt;"",IFERROR(INDEX('Group List A'!B:B,MATCH(AI1192,'Group List A'!A:A,0),0),"-"),"")</f>
        <v/>
      </c>
      <c r="L1192" s="33">
        <f t="shared" si="275"/>
        <v>0</v>
      </c>
      <c r="M1192" s="33">
        <f t="shared" si="276"/>
        <v>0</v>
      </c>
      <c r="N1192" s="33">
        <f t="shared" si="277"/>
        <v>0</v>
      </c>
      <c r="O1192" s="28"/>
      <c r="P1192" s="33">
        <f t="shared" si="278"/>
        <v>0</v>
      </c>
      <c r="Q1192" s="35" t="str" cm="1">
        <f t="array" ref="Q1192">IF(AF1192&lt;&gt;"",IFERROR(INDEX('Group List B'!B:B,MATCH(AI1192,'Group List B'!A:A,0),0),"-"),"")</f>
        <v/>
      </c>
      <c r="R1192" s="36">
        <f t="shared" si="279"/>
        <v>0</v>
      </c>
      <c r="S1192" s="36">
        <f t="shared" si="280"/>
        <v>0</v>
      </c>
      <c r="T1192" s="36">
        <f t="shared" si="281"/>
        <v>0</v>
      </c>
      <c r="U1192" s="28"/>
      <c r="V1192" s="37">
        <f t="shared" si="282"/>
        <v>0</v>
      </c>
      <c r="W1192" s="41"/>
      <c r="X1192" s="27"/>
      <c r="Y1192" s="27"/>
      <c r="Z1192" s="27"/>
      <c r="AA1192" s="15"/>
      <c r="AB1192" s="17"/>
      <c r="AC1192" s="17"/>
      <c r="AD1192" s="17"/>
      <c r="AE1192" s="90"/>
      <c r="AF1192" s="82" t="str">
        <f t="shared" si="283"/>
        <v/>
      </c>
      <c r="AG1192" s="83" t="str">
        <f t="shared" si="284"/>
        <v/>
      </c>
      <c r="AH1192" s="82" t="str">
        <f t="shared" si="285"/>
        <v/>
      </c>
      <c r="AI1192" s="82" t="str">
        <f t="shared" si="286"/>
        <v/>
      </c>
      <c r="AJ1192" s="90"/>
      <c r="AP1192" s="88"/>
    </row>
    <row r="1193" spans="1:42" x14ac:dyDescent="0.25">
      <c r="A1193" s="2"/>
      <c r="C1193" s="68" t="str" cm="1">
        <f t="array" ref="C1193">IF(AF1193&lt;&gt;"",
IFERROR(INDEX('LaunchPad Markbook'!A:A,MATCH(AH1193,'LaunchPad Markbook'!D:D,0),0),"-"),"")</f>
        <v/>
      </c>
      <c r="D1193" s="27"/>
      <c r="E1193" s="27"/>
      <c r="F1193" s="27"/>
      <c r="G1193" s="14">
        <f>IF(OR(H1193&gt;AB$2,I1193&gt;AC$2,J1193&gt;AD$2,
P1193&gt;1,V1193&gt;1,
L1193&gt;'Group List A'!E$2,M1193&gt;'Group List A'!F$2,N1193&gt;'Group List A'!G$2,
R1193&gt;'Group List B'!E$2,S1193&gt;'Group List B'!F$2,T1193&gt;'Group List B'!G$2),"Exceed",
IF(OR(H1193=AB$2,I1193=AC$2,J1193=AD$2,
P1193=1,V1193=1,
L1193='Group List A'!E$2,M1193='Group List A'!F$2,N1193='Group List A'!G$2,
R1193='Group List B'!E$2,S1193='Group List B'!F$2,T1193='Group List B'!G$2),"Limit",0))</f>
        <v>0</v>
      </c>
      <c r="H1193" s="29">
        <f t="shared" si="272"/>
        <v>0</v>
      </c>
      <c r="I1193" s="29">
        <f t="shared" si="273"/>
        <v>0</v>
      </c>
      <c r="J1193" s="29">
        <f t="shared" si="274"/>
        <v>0</v>
      </c>
      <c r="K1193" s="32" t="str" cm="1">
        <f t="array" ref="K1193">IF(AF1193&lt;&gt;"",IFERROR(INDEX('Group List A'!B:B,MATCH(AI1193,'Group List A'!A:A,0),0),"-"),"")</f>
        <v/>
      </c>
      <c r="L1193" s="33">
        <f t="shared" si="275"/>
        <v>0</v>
      </c>
      <c r="M1193" s="33">
        <f t="shared" si="276"/>
        <v>0</v>
      </c>
      <c r="N1193" s="33">
        <f t="shared" si="277"/>
        <v>0</v>
      </c>
      <c r="O1193" s="28"/>
      <c r="P1193" s="33">
        <f t="shared" si="278"/>
        <v>0</v>
      </c>
      <c r="Q1193" s="35" t="str" cm="1">
        <f t="array" ref="Q1193">IF(AF1193&lt;&gt;"",IFERROR(INDEX('Group List B'!B:B,MATCH(AI1193,'Group List B'!A:A,0),0),"-"),"")</f>
        <v/>
      </c>
      <c r="R1193" s="36">
        <f t="shared" si="279"/>
        <v>0</v>
      </c>
      <c r="S1193" s="36">
        <f t="shared" si="280"/>
        <v>0</v>
      </c>
      <c r="T1193" s="36">
        <f t="shared" si="281"/>
        <v>0</v>
      </c>
      <c r="U1193" s="28"/>
      <c r="V1193" s="37">
        <f t="shared" si="282"/>
        <v>0</v>
      </c>
      <c r="W1193" s="41"/>
      <c r="X1193" s="27"/>
      <c r="Y1193" s="27"/>
      <c r="Z1193" s="27"/>
      <c r="AA1193" s="15"/>
      <c r="AB1193" s="17"/>
      <c r="AC1193" s="17"/>
      <c r="AD1193" s="17"/>
      <c r="AE1193" s="90"/>
      <c r="AF1193" s="82" t="str">
        <f t="shared" si="283"/>
        <v/>
      </c>
      <c r="AG1193" s="83" t="str">
        <f t="shared" si="284"/>
        <v/>
      </c>
      <c r="AH1193" s="82" t="str">
        <f t="shared" si="285"/>
        <v/>
      </c>
      <c r="AI1193" s="82" t="str">
        <f t="shared" si="286"/>
        <v/>
      </c>
      <c r="AJ1193" s="90"/>
      <c r="AP1193" s="88"/>
    </row>
    <row r="1194" spans="1:42" x14ac:dyDescent="0.25">
      <c r="A1194" s="2"/>
      <c r="C1194" s="68" t="str" cm="1">
        <f t="array" ref="C1194">IF(AF1194&lt;&gt;"",
IFERROR(INDEX('LaunchPad Markbook'!A:A,MATCH(AH1194,'LaunchPad Markbook'!D:D,0),0),"-"),"")</f>
        <v/>
      </c>
      <c r="D1194" s="27"/>
      <c r="E1194" s="27"/>
      <c r="F1194" s="27"/>
      <c r="G1194" s="14">
        <f>IF(OR(H1194&gt;AB$2,I1194&gt;AC$2,J1194&gt;AD$2,
P1194&gt;1,V1194&gt;1,
L1194&gt;'Group List A'!E$2,M1194&gt;'Group List A'!F$2,N1194&gt;'Group List A'!G$2,
R1194&gt;'Group List B'!E$2,S1194&gt;'Group List B'!F$2,T1194&gt;'Group List B'!G$2),"Exceed",
IF(OR(H1194=AB$2,I1194=AC$2,J1194=AD$2,
P1194=1,V1194=1,
L1194='Group List A'!E$2,M1194='Group List A'!F$2,N1194='Group List A'!G$2,
R1194='Group List B'!E$2,S1194='Group List B'!F$2,T1194='Group List B'!G$2),"Limit",0))</f>
        <v>0</v>
      </c>
      <c r="H1194" s="29">
        <f t="shared" si="272"/>
        <v>0</v>
      </c>
      <c r="I1194" s="29">
        <f t="shared" si="273"/>
        <v>0</v>
      </c>
      <c r="J1194" s="29">
        <f t="shared" si="274"/>
        <v>0</v>
      </c>
      <c r="K1194" s="32" t="str" cm="1">
        <f t="array" ref="K1194">IF(AF1194&lt;&gt;"",IFERROR(INDEX('Group List A'!B:B,MATCH(AI1194,'Group List A'!A:A,0),0),"-"),"")</f>
        <v/>
      </c>
      <c r="L1194" s="33">
        <f t="shared" si="275"/>
        <v>0</v>
      </c>
      <c r="M1194" s="33">
        <f t="shared" si="276"/>
        <v>0</v>
      </c>
      <c r="N1194" s="33">
        <f t="shared" si="277"/>
        <v>0</v>
      </c>
      <c r="O1194" s="28"/>
      <c r="P1194" s="33">
        <f t="shared" si="278"/>
        <v>0</v>
      </c>
      <c r="Q1194" s="35" t="str" cm="1">
        <f t="array" ref="Q1194">IF(AF1194&lt;&gt;"",IFERROR(INDEX('Group List B'!B:B,MATCH(AI1194,'Group List B'!A:A,0),0),"-"),"")</f>
        <v/>
      </c>
      <c r="R1194" s="36">
        <f t="shared" si="279"/>
        <v>0</v>
      </c>
      <c r="S1194" s="36">
        <f t="shared" si="280"/>
        <v>0</v>
      </c>
      <c r="T1194" s="36">
        <f t="shared" si="281"/>
        <v>0</v>
      </c>
      <c r="U1194" s="28"/>
      <c r="V1194" s="37">
        <f t="shared" si="282"/>
        <v>0</v>
      </c>
      <c r="W1194" s="41"/>
      <c r="X1194" s="27"/>
      <c r="Y1194" s="27"/>
      <c r="Z1194" s="27"/>
      <c r="AA1194" s="15"/>
      <c r="AB1194" s="17"/>
      <c r="AC1194" s="17"/>
      <c r="AD1194" s="17"/>
      <c r="AE1194" s="90"/>
      <c r="AF1194" s="82" t="str">
        <f t="shared" si="283"/>
        <v/>
      </c>
      <c r="AG1194" s="83" t="str">
        <f t="shared" si="284"/>
        <v/>
      </c>
      <c r="AH1194" s="82" t="str">
        <f t="shared" si="285"/>
        <v/>
      </c>
      <c r="AI1194" s="82" t="str">
        <f t="shared" si="286"/>
        <v/>
      </c>
      <c r="AJ1194" s="90"/>
      <c r="AP1194" s="88"/>
    </row>
    <row r="1195" spans="1:42" x14ac:dyDescent="0.25">
      <c r="A1195" s="2"/>
      <c r="C1195" s="68" t="str" cm="1">
        <f t="array" ref="C1195">IF(AF1195&lt;&gt;"",
IFERROR(INDEX('LaunchPad Markbook'!A:A,MATCH(AH1195,'LaunchPad Markbook'!D:D,0),0),"-"),"")</f>
        <v/>
      </c>
      <c r="D1195" s="27"/>
      <c r="E1195" s="27"/>
      <c r="F1195" s="27"/>
      <c r="G1195" s="14">
        <f>IF(OR(H1195&gt;AB$2,I1195&gt;AC$2,J1195&gt;AD$2,
P1195&gt;1,V1195&gt;1,
L1195&gt;'Group List A'!E$2,M1195&gt;'Group List A'!F$2,N1195&gt;'Group List A'!G$2,
R1195&gt;'Group List B'!E$2,S1195&gt;'Group List B'!F$2,T1195&gt;'Group List B'!G$2),"Exceed",
IF(OR(H1195=AB$2,I1195=AC$2,J1195=AD$2,
P1195=1,V1195=1,
L1195='Group List A'!E$2,M1195='Group List A'!F$2,N1195='Group List A'!G$2,
R1195='Group List B'!E$2,S1195='Group List B'!F$2,T1195='Group List B'!G$2),"Limit",0))</f>
        <v>0</v>
      </c>
      <c r="H1195" s="29">
        <f t="shared" si="272"/>
        <v>0</v>
      </c>
      <c r="I1195" s="29">
        <f t="shared" si="273"/>
        <v>0</v>
      </c>
      <c r="J1195" s="29">
        <f t="shared" si="274"/>
        <v>0</v>
      </c>
      <c r="K1195" s="32" t="str" cm="1">
        <f t="array" ref="K1195">IF(AF1195&lt;&gt;"",IFERROR(INDEX('Group List A'!B:B,MATCH(AI1195,'Group List A'!A:A,0),0),"-"),"")</f>
        <v/>
      </c>
      <c r="L1195" s="33">
        <f t="shared" si="275"/>
        <v>0</v>
      </c>
      <c r="M1195" s="33">
        <f t="shared" si="276"/>
        <v>0</v>
      </c>
      <c r="N1195" s="33">
        <f t="shared" si="277"/>
        <v>0</v>
      </c>
      <c r="O1195" s="28"/>
      <c r="P1195" s="33">
        <f t="shared" si="278"/>
        <v>0</v>
      </c>
      <c r="Q1195" s="35" t="str" cm="1">
        <f t="array" ref="Q1195">IF(AF1195&lt;&gt;"",IFERROR(INDEX('Group List B'!B:B,MATCH(AI1195,'Group List B'!A:A,0),0),"-"),"")</f>
        <v/>
      </c>
      <c r="R1195" s="36">
        <f t="shared" si="279"/>
        <v>0</v>
      </c>
      <c r="S1195" s="36">
        <f t="shared" si="280"/>
        <v>0</v>
      </c>
      <c r="T1195" s="36">
        <f t="shared" si="281"/>
        <v>0</v>
      </c>
      <c r="U1195" s="28"/>
      <c r="V1195" s="37">
        <f t="shared" si="282"/>
        <v>0</v>
      </c>
      <c r="W1195" s="41"/>
      <c r="X1195" s="27"/>
      <c r="Y1195" s="27"/>
      <c r="Z1195" s="27"/>
      <c r="AA1195" s="15"/>
      <c r="AB1195" s="17"/>
      <c r="AC1195" s="17"/>
      <c r="AD1195" s="17"/>
      <c r="AE1195" s="90"/>
      <c r="AF1195" s="82" t="str">
        <f t="shared" si="283"/>
        <v/>
      </c>
      <c r="AG1195" s="83" t="str">
        <f t="shared" si="284"/>
        <v/>
      </c>
      <c r="AH1195" s="82" t="str">
        <f t="shared" si="285"/>
        <v/>
      </c>
      <c r="AI1195" s="82" t="str">
        <f t="shared" si="286"/>
        <v/>
      </c>
      <c r="AJ1195" s="90"/>
      <c r="AP1195" s="88"/>
    </row>
    <row r="1196" spans="1:42" x14ac:dyDescent="0.25">
      <c r="A1196" s="2"/>
      <c r="C1196" s="68" t="str" cm="1">
        <f t="array" ref="C1196">IF(AF1196&lt;&gt;"",
IFERROR(INDEX('LaunchPad Markbook'!A:A,MATCH(AH1196,'LaunchPad Markbook'!D:D,0),0),"-"),"")</f>
        <v/>
      </c>
      <c r="D1196" s="27"/>
      <c r="E1196" s="27"/>
      <c r="F1196" s="27"/>
      <c r="G1196" s="14">
        <f>IF(OR(H1196&gt;AB$2,I1196&gt;AC$2,J1196&gt;AD$2,
P1196&gt;1,V1196&gt;1,
L1196&gt;'Group List A'!E$2,M1196&gt;'Group List A'!F$2,N1196&gt;'Group List A'!G$2,
R1196&gt;'Group List B'!E$2,S1196&gt;'Group List B'!F$2,T1196&gt;'Group List B'!G$2),"Exceed",
IF(OR(H1196=AB$2,I1196=AC$2,J1196=AD$2,
P1196=1,V1196=1,
L1196='Group List A'!E$2,M1196='Group List A'!F$2,N1196='Group List A'!G$2,
R1196='Group List B'!E$2,S1196='Group List B'!F$2,T1196='Group List B'!G$2),"Limit",0))</f>
        <v>0</v>
      </c>
      <c r="H1196" s="29">
        <f t="shared" si="272"/>
        <v>0</v>
      </c>
      <c r="I1196" s="29">
        <f t="shared" si="273"/>
        <v>0</v>
      </c>
      <c r="J1196" s="29">
        <f t="shared" si="274"/>
        <v>0</v>
      </c>
      <c r="K1196" s="32" t="str" cm="1">
        <f t="array" ref="K1196">IF(AF1196&lt;&gt;"",IFERROR(INDEX('Group List A'!B:B,MATCH(AI1196,'Group List A'!A:A,0),0),"-"),"")</f>
        <v/>
      </c>
      <c r="L1196" s="33">
        <f t="shared" si="275"/>
        <v>0</v>
      </c>
      <c r="M1196" s="33">
        <f t="shared" si="276"/>
        <v>0</v>
      </c>
      <c r="N1196" s="33">
        <f t="shared" si="277"/>
        <v>0</v>
      </c>
      <c r="O1196" s="28"/>
      <c r="P1196" s="33">
        <f t="shared" si="278"/>
        <v>0</v>
      </c>
      <c r="Q1196" s="35" t="str" cm="1">
        <f t="array" ref="Q1196">IF(AF1196&lt;&gt;"",IFERROR(INDEX('Group List B'!B:B,MATCH(AI1196,'Group List B'!A:A,0),0),"-"),"")</f>
        <v/>
      </c>
      <c r="R1196" s="36">
        <f t="shared" si="279"/>
        <v>0</v>
      </c>
      <c r="S1196" s="36">
        <f t="shared" si="280"/>
        <v>0</v>
      </c>
      <c r="T1196" s="36">
        <f t="shared" si="281"/>
        <v>0</v>
      </c>
      <c r="U1196" s="28"/>
      <c r="V1196" s="37">
        <f t="shared" si="282"/>
        <v>0</v>
      </c>
      <c r="W1196" s="41"/>
      <c r="X1196" s="27"/>
      <c r="Y1196" s="27"/>
      <c r="Z1196" s="27"/>
      <c r="AA1196" s="15"/>
      <c r="AB1196" s="17"/>
      <c r="AC1196" s="17"/>
      <c r="AD1196" s="17"/>
      <c r="AE1196" s="90"/>
      <c r="AF1196" s="82" t="str">
        <f t="shared" si="283"/>
        <v/>
      </c>
      <c r="AG1196" s="83" t="str">
        <f t="shared" si="284"/>
        <v/>
      </c>
      <c r="AH1196" s="82" t="str">
        <f t="shared" si="285"/>
        <v/>
      </c>
      <c r="AI1196" s="82" t="str">
        <f t="shared" si="286"/>
        <v/>
      </c>
      <c r="AJ1196" s="90"/>
      <c r="AP1196" s="88"/>
    </row>
    <row r="1197" spans="1:42" x14ac:dyDescent="0.25">
      <c r="A1197" s="2"/>
      <c r="C1197" s="68" t="str" cm="1">
        <f t="array" ref="C1197">IF(AF1197&lt;&gt;"",
IFERROR(INDEX('LaunchPad Markbook'!A:A,MATCH(AH1197,'LaunchPad Markbook'!D:D,0),0),"-"),"")</f>
        <v/>
      </c>
      <c r="D1197" s="27"/>
      <c r="E1197" s="27"/>
      <c r="F1197" s="27"/>
      <c r="G1197" s="14">
        <f>IF(OR(H1197&gt;AB$2,I1197&gt;AC$2,J1197&gt;AD$2,
P1197&gt;1,V1197&gt;1,
L1197&gt;'Group List A'!E$2,M1197&gt;'Group List A'!F$2,N1197&gt;'Group List A'!G$2,
R1197&gt;'Group List B'!E$2,S1197&gt;'Group List B'!F$2,T1197&gt;'Group List B'!G$2),"Exceed",
IF(OR(H1197=AB$2,I1197=AC$2,J1197=AD$2,
P1197=1,V1197=1,
L1197='Group List A'!E$2,M1197='Group List A'!F$2,N1197='Group List A'!G$2,
R1197='Group List B'!E$2,S1197='Group List B'!F$2,T1197='Group List B'!G$2),"Limit",0))</f>
        <v>0</v>
      </c>
      <c r="H1197" s="29">
        <f t="shared" si="272"/>
        <v>0</v>
      </c>
      <c r="I1197" s="29">
        <f t="shared" si="273"/>
        <v>0</v>
      </c>
      <c r="J1197" s="29">
        <f t="shared" si="274"/>
        <v>0</v>
      </c>
      <c r="K1197" s="32" t="str" cm="1">
        <f t="array" ref="K1197">IF(AF1197&lt;&gt;"",IFERROR(INDEX('Group List A'!B:B,MATCH(AI1197,'Group List A'!A:A,0),0),"-"),"")</f>
        <v/>
      </c>
      <c r="L1197" s="33">
        <f t="shared" si="275"/>
        <v>0</v>
      </c>
      <c r="M1197" s="33">
        <f t="shared" si="276"/>
        <v>0</v>
      </c>
      <c r="N1197" s="33">
        <f t="shared" si="277"/>
        <v>0</v>
      </c>
      <c r="O1197" s="28"/>
      <c r="P1197" s="33">
        <f t="shared" si="278"/>
        <v>0</v>
      </c>
      <c r="Q1197" s="35" t="str" cm="1">
        <f t="array" ref="Q1197">IF(AF1197&lt;&gt;"",IFERROR(INDEX('Group List B'!B:B,MATCH(AI1197,'Group List B'!A:A,0),0),"-"),"")</f>
        <v/>
      </c>
      <c r="R1197" s="36">
        <f t="shared" si="279"/>
        <v>0</v>
      </c>
      <c r="S1197" s="36">
        <f t="shared" si="280"/>
        <v>0</v>
      </c>
      <c r="T1197" s="36">
        <f t="shared" si="281"/>
        <v>0</v>
      </c>
      <c r="U1197" s="28"/>
      <c r="V1197" s="37">
        <f t="shared" si="282"/>
        <v>0</v>
      </c>
      <c r="W1197" s="41"/>
      <c r="X1197" s="27"/>
      <c r="Y1197" s="27"/>
      <c r="Z1197" s="27"/>
      <c r="AA1197" s="15"/>
      <c r="AB1197" s="17"/>
      <c r="AC1197" s="17"/>
      <c r="AD1197" s="17"/>
      <c r="AE1197" s="90"/>
      <c r="AF1197" s="82" t="str">
        <f t="shared" si="283"/>
        <v/>
      </c>
      <c r="AG1197" s="83" t="str">
        <f t="shared" si="284"/>
        <v/>
      </c>
      <c r="AH1197" s="82" t="str">
        <f t="shared" si="285"/>
        <v/>
      </c>
      <c r="AI1197" s="82" t="str">
        <f t="shared" si="286"/>
        <v/>
      </c>
      <c r="AJ1197" s="90"/>
      <c r="AP1197" s="88"/>
    </row>
    <row r="1198" spans="1:42" x14ac:dyDescent="0.25">
      <c r="A1198" s="2"/>
      <c r="C1198" s="68" t="str" cm="1">
        <f t="array" ref="C1198">IF(AF1198&lt;&gt;"",
IFERROR(INDEX('LaunchPad Markbook'!A:A,MATCH(AH1198,'LaunchPad Markbook'!D:D,0),0),"-"),"")</f>
        <v/>
      </c>
      <c r="D1198" s="27"/>
      <c r="E1198" s="27"/>
      <c r="F1198" s="27"/>
      <c r="G1198" s="14">
        <f>IF(OR(H1198&gt;AB$2,I1198&gt;AC$2,J1198&gt;AD$2,
P1198&gt;1,V1198&gt;1,
L1198&gt;'Group List A'!E$2,M1198&gt;'Group List A'!F$2,N1198&gt;'Group List A'!G$2,
R1198&gt;'Group List B'!E$2,S1198&gt;'Group List B'!F$2,T1198&gt;'Group List B'!G$2),"Exceed",
IF(OR(H1198=AB$2,I1198=AC$2,J1198=AD$2,
P1198=1,V1198=1,
L1198='Group List A'!E$2,M1198='Group List A'!F$2,N1198='Group List A'!G$2,
R1198='Group List B'!E$2,S1198='Group List B'!F$2,T1198='Group List B'!G$2),"Limit",0))</f>
        <v>0</v>
      </c>
      <c r="H1198" s="29">
        <f t="shared" si="272"/>
        <v>0</v>
      </c>
      <c r="I1198" s="29">
        <f t="shared" si="273"/>
        <v>0</v>
      </c>
      <c r="J1198" s="29">
        <f t="shared" si="274"/>
        <v>0</v>
      </c>
      <c r="K1198" s="32" t="str" cm="1">
        <f t="array" ref="K1198">IF(AF1198&lt;&gt;"",IFERROR(INDEX('Group List A'!B:B,MATCH(AI1198,'Group List A'!A:A,0),0),"-"),"")</f>
        <v/>
      </c>
      <c r="L1198" s="33">
        <f t="shared" si="275"/>
        <v>0</v>
      </c>
      <c r="M1198" s="33">
        <f t="shared" si="276"/>
        <v>0</v>
      </c>
      <c r="N1198" s="33">
        <f t="shared" si="277"/>
        <v>0</v>
      </c>
      <c r="O1198" s="28"/>
      <c r="P1198" s="33">
        <f t="shared" si="278"/>
        <v>0</v>
      </c>
      <c r="Q1198" s="35" t="str" cm="1">
        <f t="array" ref="Q1198">IF(AF1198&lt;&gt;"",IFERROR(INDEX('Group List B'!B:B,MATCH(AI1198,'Group List B'!A:A,0),0),"-"),"")</f>
        <v/>
      </c>
      <c r="R1198" s="36">
        <f t="shared" si="279"/>
        <v>0</v>
      </c>
      <c r="S1198" s="36">
        <f t="shared" si="280"/>
        <v>0</v>
      </c>
      <c r="T1198" s="36">
        <f t="shared" si="281"/>
        <v>0</v>
      </c>
      <c r="U1198" s="28"/>
      <c r="V1198" s="37">
        <f t="shared" si="282"/>
        <v>0</v>
      </c>
      <c r="W1198" s="41"/>
      <c r="X1198" s="27"/>
      <c r="Y1198" s="27"/>
      <c r="Z1198" s="27"/>
      <c r="AA1198" s="15"/>
      <c r="AB1198" s="17"/>
      <c r="AC1198" s="17"/>
      <c r="AD1198" s="17"/>
      <c r="AE1198" s="90"/>
      <c r="AF1198" s="82" t="str">
        <f t="shared" si="283"/>
        <v/>
      </c>
      <c r="AG1198" s="83" t="str">
        <f t="shared" si="284"/>
        <v/>
      </c>
      <c r="AH1198" s="82" t="str">
        <f t="shared" si="285"/>
        <v/>
      </c>
      <c r="AI1198" s="82" t="str">
        <f t="shared" si="286"/>
        <v/>
      </c>
      <c r="AJ1198" s="90"/>
      <c r="AP1198" s="88"/>
    </row>
    <row r="1199" spans="1:42" x14ac:dyDescent="0.25">
      <c r="A1199" s="2"/>
      <c r="C1199" s="68" t="str" cm="1">
        <f t="array" ref="C1199">IF(AF1199&lt;&gt;"",
IFERROR(INDEX('LaunchPad Markbook'!A:A,MATCH(AH1199,'LaunchPad Markbook'!D:D,0),0),"-"),"")</f>
        <v/>
      </c>
      <c r="D1199" s="27"/>
      <c r="E1199" s="27"/>
      <c r="F1199" s="27"/>
      <c r="G1199" s="14">
        <f>IF(OR(H1199&gt;AB$2,I1199&gt;AC$2,J1199&gt;AD$2,
P1199&gt;1,V1199&gt;1,
L1199&gt;'Group List A'!E$2,M1199&gt;'Group List A'!F$2,N1199&gt;'Group List A'!G$2,
R1199&gt;'Group List B'!E$2,S1199&gt;'Group List B'!F$2,T1199&gt;'Group List B'!G$2),"Exceed",
IF(OR(H1199=AB$2,I1199=AC$2,J1199=AD$2,
P1199=1,V1199=1,
L1199='Group List A'!E$2,M1199='Group List A'!F$2,N1199='Group List A'!G$2,
R1199='Group List B'!E$2,S1199='Group List B'!F$2,T1199='Group List B'!G$2),"Limit",0))</f>
        <v>0</v>
      </c>
      <c r="H1199" s="29">
        <f t="shared" si="272"/>
        <v>0</v>
      </c>
      <c r="I1199" s="29">
        <f t="shared" si="273"/>
        <v>0</v>
      </c>
      <c r="J1199" s="29">
        <f t="shared" si="274"/>
        <v>0</v>
      </c>
      <c r="K1199" s="32" t="str" cm="1">
        <f t="array" ref="K1199">IF(AF1199&lt;&gt;"",IFERROR(INDEX('Group List A'!B:B,MATCH(AI1199,'Group List A'!A:A,0),0),"-"),"")</f>
        <v/>
      </c>
      <c r="L1199" s="33">
        <f t="shared" si="275"/>
        <v>0</v>
      </c>
      <c r="M1199" s="33">
        <f t="shared" si="276"/>
        <v>0</v>
      </c>
      <c r="N1199" s="33">
        <f t="shared" si="277"/>
        <v>0</v>
      </c>
      <c r="O1199" s="28"/>
      <c r="P1199" s="33">
        <f t="shared" si="278"/>
        <v>0</v>
      </c>
      <c r="Q1199" s="35" t="str" cm="1">
        <f t="array" ref="Q1199">IF(AF1199&lt;&gt;"",IFERROR(INDEX('Group List B'!B:B,MATCH(AI1199,'Group List B'!A:A,0),0),"-"),"")</f>
        <v/>
      </c>
      <c r="R1199" s="36">
        <f t="shared" si="279"/>
        <v>0</v>
      </c>
      <c r="S1199" s="36">
        <f t="shared" si="280"/>
        <v>0</v>
      </c>
      <c r="T1199" s="36">
        <f t="shared" si="281"/>
        <v>0</v>
      </c>
      <c r="U1199" s="28"/>
      <c r="V1199" s="37">
        <f t="shared" si="282"/>
        <v>0</v>
      </c>
      <c r="W1199" s="41"/>
      <c r="X1199" s="27"/>
      <c r="Y1199" s="27"/>
      <c r="Z1199" s="27"/>
      <c r="AA1199" s="15"/>
      <c r="AB1199" s="17"/>
      <c r="AC1199" s="17"/>
      <c r="AD1199" s="17"/>
      <c r="AE1199" s="90"/>
      <c r="AF1199" s="82" t="str">
        <f t="shared" si="283"/>
        <v/>
      </c>
      <c r="AG1199" s="83" t="str">
        <f t="shared" si="284"/>
        <v/>
      </c>
      <c r="AH1199" s="82" t="str">
        <f t="shared" si="285"/>
        <v/>
      </c>
      <c r="AI1199" s="82" t="str">
        <f t="shared" si="286"/>
        <v/>
      </c>
      <c r="AJ1199" s="90"/>
      <c r="AP1199" s="88"/>
    </row>
    <row r="1200" spans="1:42" x14ac:dyDescent="0.25">
      <c r="A1200" s="2"/>
      <c r="C1200" s="68" t="str" cm="1">
        <f t="array" ref="C1200">IF(AF1200&lt;&gt;"",
IFERROR(INDEX('LaunchPad Markbook'!A:A,MATCH(AH1200,'LaunchPad Markbook'!D:D,0),0),"-"),"")</f>
        <v/>
      </c>
      <c r="D1200" s="27"/>
      <c r="E1200" s="27"/>
      <c r="F1200" s="27"/>
      <c r="G1200" s="14">
        <f>IF(OR(H1200&gt;AB$2,I1200&gt;AC$2,J1200&gt;AD$2,
P1200&gt;1,V1200&gt;1,
L1200&gt;'Group List A'!E$2,M1200&gt;'Group List A'!F$2,N1200&gt;'Group List A'!G$2,
R1200&gt;'Group List B'!E$2,S1200&gt;'Group List B'!F$2,T1200&gt;'Group List B'!G$2),"Exceed",
IF(OR(H1200=AB$2,I1200=AC$2,J1200=AD$2,
P1200=1,V1200=1,
L1200='Group List A'!E$2,M1200='Group List A'!F$2,N1200='Group List A'!G$2,
R1200='Group List B'!E$2,S1200='Group List B'!F$2,T1200='Group List B'!G$2),"Limit",0))</f>
        <v>0</v>
      </c>
      <c r="H1200" s="29">
        <f t="shared" si="272"/>
        <v>0</v>
      </c>
      <c r="I1200" s="29">
        <f t="shared" si="273"/>
        <v>0</v>
      </c>
      <c r="J1200" s="29">
        <f t="shared" si="274"/>
        <v>0</v>
      </c>
      <c r="K1200" s="32" t="str" cm="1">
        <f t="array" ref="K1200">IF(AF1200&lt;&gt;"",IFERROR(INDEX('Group List A'!B:B,MATCH(AI1200,'Group List A'!A:A,0),0),"-"),"")</f>
        <v/>
      </c>
      <c r="L1200" s="33">
        <f t="shared" si="275"/>
        <v>0</v>
      </c>
      <c r="M1200" s="33">
        <f t="shared" si="276"/>
        <v>0</v>
      </c>
      <c r="N1200" s="33">
        <f t="shared" si="277"/>
        <v>0</v>
      </c>
      <c r="O1200" s="28"/>
      <c r="P1200" s="33">
        <f t="shared" si="278"/>
        <v>0</v>
      </c>
      <c r="Q1200" s="35" t="str" cm="1">
        <f t="array" ref="Q1200">IF(AF1200&lt;&gt;"",IFERROR(INDEX('Group List B'!B:B,MATCH(AI1200,'Group List B'!A:A,0),0),"-"),"")</f>
        <v/>
      </c>
      <c r="R1200" s="36">
        <f t="shared" si="279"/>
        <v>0</v>
      </c>
      <c r="S1200" s="36">
        <f t="shared" si="280"/>
        <v>0</v>
      </c>
      <c r="T1200" s="36">
        <f t="shared" si="281"/>
        <v>0</v>
      </c>
      <c r="U1200" s="28"/>
      <c r="V1200" s="37">
        <f t="shared" si="282"/>
        <v>0</v>
      </c>
      <c r="W1200" s="41"/>
      <c r="X1200" s="27"/>
      <c r="Y1200" s="27"/>
      <c r="Z1200" s="27"/>
      <c r="AA1200" s="15"/>
      <c r="AB1200" s="17"/>
      <c r="AC1200" s="17"/>
      <c r="AD1200" s="17"/>
      <c r="AE1200" s="90"/>
      <c r="AF1200" s="82" t="str">
        <f t="shared" si="283"/>
        <v/>
      </c>
      <c r="AG1200" s="83" t="str">
        <f t="shared" si="284"/>
        <v/>
      </c>
      <c r="AH1200" s="82" t="str">
        <f t="shared" si="285"/>
        <v/>
      </c>
      <c r="AI1200" s="82" t="str">
        <f t="shared" si="286"/>
        <v/>
      </c>
      <c r="AJ1200" s="90"/>
      <c r="AP1200" s="88"/>
    </row>
    <row r="1201" spans="1:41" s="24" customFormat="1" x14ac:dyDescent="0.25">
      <c r="A1201" s="18"/>
      <c r="B1201" s="72"/>
      <c r="C1201" s="69"/>
      <c r="D1201" s="18"/>
      <c r="E1201" s="21"/>
      <c r="F1201" s="22"/>
      <c r="G1201" s="23"/>
      <c r="H1201" s="23"/>
      <c r="I1201" s="23"/>
      <c r="J1201" s="23"/>
      <c r="K1201" s="40"/>
      <c r="L1201" s="23"/>
      <c r="M1201" s="23"/>
      <c r="N1201" s="23"/>
      <c r="O1201" s="23"/>
      <c r="P1201" s="23"/>
      <c r="Q1201" s="40"/>
      <c r="R1201" s="23"/>
      <c r="S1201" s="23"/>
      <c r="T1201" s="23"/>
      <c r="U1201" s="23"/>
      <c r="W1201" s="40"/>
      <c r="X1201" s="23"/>
      <c r="Y1201" s="23"/>
      <c r="Z1201" s="23"/>
      <c r="AA1201" s="19"/>
      <c r="AB1201" s="20"/>
      <c r="AC1201" s="21"/>
      <c r="AD1201" s="22"/>
      <c r="AF1201" s="84"/>
      <c r="AG1201" s="85"/>
      <c r="AH1201" s="84"/>
      <c r="AI1201" s="84"/>
      <c r="AK1201" s="23"/>
      <c r="AL1201" s="81"/>
      <c r="AM1201" s="81"/>
      <c r="AN1201" s="81"/>
      <c r="AO1201" s="23"/>
    </row>
    <row r="1202" spans="1:41" s="24" customFormat="1" x14ac:dyDescent="0.25">
      <c r="A1202" s="18"/>
      <c r="B1202" s="72"/>
      <c r="C1202" s="69"/>
      <c r="D1202" s="18"/>
      <c r="E1202" s="21"/>
      <c r="F1202" s="22"/>
      <c r="G1202" s="23"/>
      <c r="H1202" s="23"/>
      <c r="I1202" s="23"/>
      <c r="J1202" s="23"/>
      <c r="K1202" s="40"/>
      <c r="L1202" s="23"/>
      <c r="M1202" s="23"/>
      <c r="N1202" s="23"/>
      <c r="O1202" s="23"/>
      <c r="P1202" s="23"/>
      <c r="Q1202" s="40"/>
      <c r="R1202" s="23"/>
      <c r="S1202" s="23"/>
      <c r="T1202" s="23"/>
      <c r="U1202" s="23"/>
      <c r="W1202" s="40"/>
      <c r="X1202" s="23"/>
      <c r="Y1202" s="23"/>
      <c r="Z1202" s="23"/>
      <c r="AA1202" s="19"/>
      <c r="AB1202" s="20"/>
      <c r="AC1202" s="21"/>
      <c r="AD1202" s="22"/>
      <c r="AF1202" s="84"/>
      <c r="AG1202" s="85"/>
      <c r="AH1202" s="84"/>
      <c r="AI1202" s="84"/>
      <c r="AK1202" s="23"/>
      <c r="AL1202" s="81"/>
      <c r="AM1202" s="81"/>
      <c r="AN1202" s="81"/>
      <c r="AO1202" s="23"/>
    </row>
    <row r="1203" spans="1:41" s="24" customFormat="1" x14ac:dyDescent="0.25">
      <c r="A1203" s="18"/>
      <c r="B1203" s="72"/>
      <c r="C1203" s="69"/>
      <c r="D1203" s="18"/>
      <c r="E1203" s="21"/>
      <c r="F1203" s="22"/>
      <c r="G1203" s="23"/>
      <c r="H1203" s="23"/>
      <c r="I1203" s="23"/>
      <c r="J1203" s="23"/>
      <c r="K1203" s="40"/>
      <c r="L1203" s="23"/>
      <c r="M1203" s="23"/>
      <c r="N1203" s="23"/>
      <c r="O1203" s="23"/>
      <c r="P1203" s="23"/>
      <c r="Q1203" s="40"/>
      <c r="R1203" s="23"/>
      <c r="S1203" s="23"/>
      <c r="T1203" s="23"/>
      <c r="U1203" s="23"/>
      <c r="W1203" s="40"/>
      <c r="X1203" s="23"/>
      <c r="Y1203" s="23"/>
      <c r="Z1203" s="23"/>
      <c r="AA1203" s="19"/>
      <c r="AB1203" s="20"/>
      <c r="AC1203" s="21"/>
      <c r="AD1203" s="22"/>
      <c r="AF1203" s="84"/>
      <c r="AG1203" s="85"/>
      <c r="AH1203" s="84"/>
      <c r="AI1203" s="84"/>
      <c r="AK1203" s="23"/>
      <c r="AL1203" s="81"/>
      <c r="AM1203" s="81"/>
      <c r="AN1203" s="81"/>
      <c r="AO1203" s="23"/>
    </row>
    <row r="1204" spans="1:41" s="24" customFormat="1" x14ac:dyDescent="0.25">
      <c r="A1204" s="18"/>
      <c r="B1204" s="73"/>
      <c r="C1204" s="70"/>
      <c r="D1204" s="20"/>
      <c r="E1204" s="21"/>
      <c r="F1204" s="22"/>
      <c r="G1204" s="23"/>
      <c r="H1204" s="23"/>
      <c r="I1204" s="23"/>
      <c r="J1204" s="23"/>
      <c r="K1204" s="40"/>
      <c r="L1204" s="23"/>
      <c r="M1204" s="23"/>
      <c r="N1204" s="23"/>
      <c r="O1204" s="23"/>
      <c r="P1204" s="23"/>
      <c r="Q1204" s="40"/>
      <c r="R1204" s="23"/>
      <c r="S1204" s="23"/>
      <c r="T1204" s="23"/>
      <c r="U1204" s="23"/>
      <c r="W1204" s="40"/>
      <c r="X1204" s="23"/>
      <c r="Y1204" s="23"/>
      <c r="Z1204" s="23"/>
      <c r="AA1204" s="19"/>
      <c r="AB1204" s="20"/>
      <c r="AC1204" s="21"/>
      <c r="AD1204" s="22"/>
      <c r="AF1204" s="84"/>
      <c r="AG1204" s="85"/>
      <c r="AH1204" s="84"/>
      <c r="AI1204" s="84"/>
      <c r="AK1204" s="23"/>
      <c r="AL1204" s="81"/>
      <c r="AM1204" s="81"/>
      <c r="AN1204" s="81"/>
      <c r="AO1204" s="23"/>
    </row>
    <row r="1205" spans="1:41" s="24" customFormat="1" x14ac:dyDescent="0.25">
      <c r="A1205" s="18"/>
      <c r="B1205" s="73"/>
      <c r="C1205" s="70"/>
      <c r="D1205" s="20"/>
      <c r="E1205" s="21"/>
      <c r="F1205" s="22"/>
      <c r="G1205" s="23"/>
      <c r="H1205" s="23"/>
      <c r="I1205" s="23"/>
      <c r="J1205" s="23"/>
      <c r="K1205" s="40"/>
      <c r="L1205" s="23"/>
      <c r="M1205" s="23"/>
      <c r="N1205" s="23"/>
      <c r="O1205" s="23"/>
      <c r="P1205" s="23"/>
      <c r="Q1205" s="40"/>
      <c r="R1205" s="23"/>
      <c r="S1205" s="23"/>
      <c r="T1205" s="23"/>
      <c r="U1205" s="23"/>
      <c r="W1205" s="40"/>
      <c r="X1205" s="23"/>
      <c r="Y1205" s="23"/>
      <c r="Z1205" s="23"/>
      <c r="AA1205" s="19"/>
      <c r="AB1205" s="20"/>
      <c r="AC1205" s="21"/>
      <c r="AD1205" s="22"/>
      <c r="AF1205" s="84"/>
      <c r="AG1205" s="85"/>
      <c r="AH1205" s="84"/>
      <c r="AI1205" s="84"/>
      <c r="AK1205" s="23"/>
      <c r="AL1205" s="81"/>
      <c r="AM1205" s="81"/>
      <c r="AN1205" s="81"/>
      <c r="AO1205" s="23"/>
    </row>
    <row r="1206" spans="1:41" s="24" customFormat="1" x14ac:dyDescent="0.25">
      <c r="A1206" s="18"/>
      <c r="B1206" s="73"/>
      <c r="C1206" s="70"/>
      <c r="D1206" s="20"/>
      <c r="E1206" s="21"/>
      <c r="F1206" s="22"/>
      <c r="G1206" s="23"/>
      <c r="H1206" s="23"/>
      <c r="I1206" s="23"/>
      <c r="J1206" s="23"/>
      <c r="K1206" s="40"/>
      <c r="L1206" s="23"/>
      <c r="M1206" s="23"/>
      <c r="N1206" s="23"/>
      <c r="O1206" s="23"/>
      <c r="P1206" s="23"/>
      <c r="Q1206" s="40"/>
      <c r="R1206" s="23"/>
      <c r="S1206" s="23"/>
      <c r="T1206" s="23"/>
      <c r="U1206" s="23"/>
      <c r="W1206" s="40"/>
      <c r="X1206" s="23"/>
      <c r="Y1206" s="23"/>
      <c r="Z1206" s="23"/>
      <c r="AA1206" s="19"/>
      <c r="AB1206" s="20"/>
      <c r="AC1206" s="21"/>
      <c r="AD1206" s="22"/>
      <c r="AF1206" s="84"/>
      <c r="AG1206" s="85"/>
      <c r="AH1206" s="84"/>
      <c r="AI1206" s="84"/>
      <c r="AK1206" s="23"/>
      <c r="AL1206" s="81"/>
      <c r="AM1206" s="81"/>
      <c r="AN1206" s="81"/>
      <c r="AO1206" s="23"/>
    </row>
    <row r="1207" spans="1:41" s="24" customFormat="1" x14ac:dyDescent="0.25">
      <c r="A1207" s="18"/>
      <c r="B1207" s="73"/>
      <c r="C1207" s="70"/>
      <c r="D1207" s="20"/>
      <c r="E1207" s="21"/>
      <c r="F1207" s="22"/>
      <c r="G1207" s="23"/>
      <c r="H1207" s="23"/>
      <c r="I1207" s="23"/>
      <c r="J1207" s="23"/>
      <c r="K1207" s="40"/>
      <c r="L1207" s="23"/>
      <c r="M1207" s="23"/>
      <c r="N1207" s="23"/>
      <c r="O1207" s="23"/>
      <c r="P1207" s="23"/>
      <c r="Q1207" s="40"/>
      <c r="R1207" s="23"/>
      <c r="S1207" s="23"/>
      <c r="T1207" s="23"/>
      <c r="U1207" s="23"/>
      <c r="W1207" s="40"/>
      <c r="X1207" s="23"/>
      <c r="Y1207" s="23"/>
      <c r="Z1207" s="23"/>
      <c r="AA1207" s="19"/>
      <c r="AB1207" s="20"/>
      <c r="AC1207" s="21"/>
      <c r="AD1207" s="22"/>
      <c r="AF1207" s="84"/>
      <c r="AG1207" s="85"/>
      <c r="AH1207" s="84"/>
      <c r="AI1207" s="84"/>
      <c r="AK1207" s="23"/>
      <c r="AL1207" s="81"/>
      <c r="AM1207" s="81"/>
      <c r="AN1207" s="81"/>
      <c r="AO1207" s="23"/>
    </row>
    <row r="1208" spans="1:41" s="24" customFormat="1" x14ac:dyDescent="0.25">
      <c r="A1208" s="18"/>
      <c r="B1208" s="73"/>
      <c r="C1208" s="70"/>
      <c r="D1208" s="20"/>
      <c r="E1208" s="21"/>
      <c r="F1208" s="22"/>
      <c r="G1208" s="23"/>
      <c r="H1208" s="23"/>
      <c r="I1208" s="23"/>
      <c r="J1208" s="23"/>
      <c r="K1208" s="40"/>
      <c r="L1208" s="23"/>
      <c r="M1208" s="23"/>
      <c r="N1208" s="23"/>
      <c r="O1208" s="23"/>
      <c r="P1208" s="23"/>
      <c r="Q1208" s="40"/>
      <c r="R1208" s="23"/>
      <c r="S1208" s="23"/>
      <c r="T1208" s="23"/>
      <c r="U1208" s="23"/>
      <c r="W1208" s="40"/>
      <c r="X1208" s="23"/>
      <c r="Y1208" s="23"/>
      <c r="Z1208" s="23"/>
      <c r="AA1208" s="19"/>
      <c r="AB1208" s="20"/>
      <c r="AC1208" s="21"/>
      <c r="AD1208" s="22"/>
      <c r="AF1208" s="84"/>
      <c r="AG1208" s="85"/>
      <c r="AH1208" s="84"/>
      <c r="AI1208" s="84"/>
      <c r="AK1208" s="23"/>
      <c r="AL1208" s="81"/>
      <c r="AM1208" s="81"/>
      <c r="AN1208" s="81"/>
      <c r="AO1208" s="23"/>
    </row>
    <row r="1209" spans="1:41" s="24" customFormat="1" x14ac:dyDescent="0.25">
      <c r="A1209" s="18"/>
      <c r="B1209" s="73"/>
      <c r="C1209" s="70"/>
      <c r="D1209" s="20"/>
      <c r="E1209" s="21"/>
      <c r="F1209" s="22"/>
      <c r="G1209" s="23"/>
      <c r="H1209" s="23"/>
      <c r="I1209" s="23"/>
      <c r="J1209" s="23"/>
      <c r="K1209" s="40"/>
      <c r="L1209" s="23"/>
      <c r="M1209" s="23"/>
      <c r="N1209" s="23"/>
      <c r="O1209" s="23"/>
      <c r="P1209" s="23"/>
      <c r="Q1209" s="40"/>
      <c r="R1209" s="23"/>
      <c r="S1209" s="23"/>
      <c r="T1209" s="23"/>
      <c r="U1209" s="23"/>
      <c r="W1209" s="40"/>
      <c r="X1209" s="23"/>
      <c r="Y1209" s="23"/>
      <c r="Z1209" s="23"/>
      <c r="AA1209" s="19"/>
      <c r="AB1209" s="20"/>
      <c r="AC1209" s="21"/>
      <c r="AD1209" s="22"/>
      <c r="AF1209" s="84"/>
      <c r="AG1209" s="85"/>
      <c r="AH1209" s="84"/>
      <c r="AI1209" s="84"/>
      <c r="AK1209" s="23"/>
      <c r="AL1209" s="81"/>
      <c r="AM1209" s="81"/>
      <c r="AN1209" s="81"/>
      <c r="AO1209" s="23"/>
    </row>
    <row r="1210" spans="1:41" s="24" customFormat="1" x14ac:dyDescent="0.25">
      <c r="A1210" s="18"/>
      <c r="B1210" s="73"/>
      <c r="C1210" s="70"/>
      <c r="D1210" s="20"/>
      <c r="E1210" s="21"/>
      <c r="F1210" s="22"/>
      <c r="G1210" s="23"/>
      <c r="H1210" s="23"/>
      <c r="I1210" s="23"/>
      <c r="J1210" s="23"/>
      <c r="K1210" s="40"/>
      <c r="L1210" s="23"/>
      <c r="M1210" s="23"/>
      <c r="N1210" s="23"/>
      <c r="O1210" s="23"/>
      <c r="P1210" s="23"/>
      <c r="Q1210" s="40"/>
      <c r="R1210" s="23"/>
      <c r="S1210" s="23"/>
      <c r="T1210" s="23"/>
      <c r="U1210" s="23"/>
      <c r="W1210" s="40"/>
      <c r="X1210" s="23"/>
      <c r="Y1210" s="23"/>
      <c r="Z1210" s="23"/>
      <c r="AA1210" s="19"/>
      <c r="AB1210" s="20"/>
      <c r="AC1210" s="21"/>
      <c r="AD1210" s="22"/>
      <c r="AF1210" s="84"/>
      <c r="AG1210" s="85"/>
      <c r="AH1210" s="84"/>
      <c r="AI1210" s="84"/>
      <c r="AK1210" s="23"/>
      <c r="AL1210" s="81"/>
      <c r="AM1210" s="81"/>
      <c r="AN1210" s="81"/>
      <c r="AO1210" s="23"/>
    </row>
    <row r="1211" spans="1:41" s="24" customFormat="1" x14ac:dyDescent="0.25">
      <c r="A1211" s="18"/>
      <c r="B1211" s="73"/>
      <c r="C1211" s="70"/>
      <c r="D1211" s="20"/>
      <c r="E1211" s="21"/>
      <c r="F1211" s="22"/>
      <c r="G1211" s="23"/>
      <c r="H1211" s="23"/>
      <c r="I1211" s="23"/>
      <c r="J1211" s="23"/>
      <c r="K1211" s="40"/>
      <c r="L1211" s="23"/>
      <c r="M1211" s="23"/>
      <c r="N1211" s="23"/>
      <c r="O1211" s="23"/>
      <c r="P1211" s="23"/>
      <c r="Q1211" s="40"/>
      <c r="R1211" s="23"/>
      <c r="S1211" s="23"/>
      <c r="T1211" s="23"/>
      <c r="U1211" s="23"/>
      <c r="W1211" s="40"/>
      <c r="X1211" s="23"/>
      <c r="Y1211" s="23"/>
      <c r="Z1211" s="23"/>
      <c r="AA1211" s="19"/>
      <c r="AB1211" s="20"/>
      <c r="AC1211" s="21"/>
      <c r="AD1211" s="22"/>
      <c r="AF1211" s="84"/>
      <c r="AG1211" s="85"/>
      <c r="AH1211" s="84"/>
      <c r="AI1211" s="84"/>
      <c r="AK1211" s="23"/>
      <c r="AL1211" s="81"/>
      <c r="AM1211" s="81"/>
      <c r="AN1211" s="81"/>
      <c r="AO1211" s="23"/>
    </row>
    <row r="1212" spans="1:41" s="24" customFormat="1" x14ac:dyDescent="0.25">
      <c r="A1212" s="18"/>
      <c r="B1212" s="73"/>
      <c r="C1212" s="70"/>
      <c r="D1212" s="20"/>
      <c r="E1212" s="21"/>
      <c r="F1212" s="22"/>
      <c r="G1212" s="23"/>
      <c r="H1212" s="23"/>
      <c r="I1212" s="23"/>
      <c r="J1212" s="23"/>
      <c r="K1212" s="40"/>
      <c r="L1212" s="23"/>
      <c r="M1212" s="23"/>
      <c r="N1212" s="23"/>
      <c r="O1212" s="23"/>
      <c r="P1212" s="23"/>
      <c r="Q1212" s="40"/>
      <c r="R1212" s="23"/>
      <c r="S1212" s="23"/>
      <c r="T1212" s="23"/>
      <c r="U1212" s="23"/>
      <c r="W1212" s="40"/>
      <c r="X1212" s="23"/>
      <c r="Y1212" s="23"/>
      <c r="Z1212" s="23"/>
      <c r="AA1212" s="19"/>
      <c r="AB1212" s="20"/>
      <c r="AC1212" s="21"/>
      <c r="AD1212" s="22"/>
      <c r="AF1212" s="84"/>
      <c r="AG1212" s="85"/>
      <c r="AH1212" s="84"/>
      <c r="AI1212" s="84"/>
      <c r="AK1212" s="23"/>
      <c r="AL1212" s="81"/>
      <c r="AM1212" s="81"/>
      <c r="AN1212" s="81"/>
      <c r="AO1212" s="23"/>
    </row>
    <row r="1213" spans="1:41" s="24" customFormat="1" x14ac:dyDescent="0.25">
      <c r="A1213" s="18"/>
      <c r="B1213" s="73"/>
      <c r="C1213" s="70"/>
      <c r="D1213" s="20"/>
      <c r="E1213" s="21"/>
      <c r="F1213" s="22"/>
      <c r="G1213" s="23"/>
      <c r="H1213" s="23"/>
      <c r="I1213" s="23"/>
      <c r="J1213" s="23"/>
      <c r="K1213" s="40"/>
      <c r="L1213" s="23"/>
      <c r="M1213" s="23"/>
      <c r="N1213" s="23"/>
      <c r="O1213" s="23"/>
      <c r="P1213" s="23"/>
      <c r="Q1213" s="40"/>
      <c r="R1213" s="23"/>
      <c r="S1213" s="23"/>
      <c r="T1213" s="23"/>
      <c r="U1213" s="23"/>
      <c r="W1213" s="40"/>
      <c r="X1213" s="23"/>
      <c r="Y1213" s="23"/>
      <c r="Z1213" s="23"/>
      <c r="AA1213" s="19"/>
      <c r="AB1213" s="20"/>
      <c r="AC1213" s="21"/>
      <c r="AD1213" s="22"/>
      <c r="AF1213" s="84"/>
      <c r="AG1213" s="85"/>
      <c r="AH1213" s="84"/>
      <c r="AI1213" s="84"/>
      <c r="AK1213" s="23"/>
      <c r="AL1213" s="81"/>
      <c r="AM1213" s="81"/>
      <c r="AN1213" s="81"/>
      <c r="AO1213" s="23"/>
    </row>
    <row r="1214" spans="1:41" s="24" customFormat="1" x14ac:dyDescent="0.25">
      <c r="A1214" s="18"/>
      <c r="B1214" s="73"/>
      <c r="C1214" s="70"/>
      <c r="D1214" s="20"/>
      <c r="E1214" s="21"/>
      <c r="F1214" s="22"/>
      <c r="G1214" s="23"/>
      <c r="H1214" s="23"/>
      <c r="I1214" s="23"/>
      <c r="J1214" s="23"/>
      <c r="K1214" s="40"/>
      <c r="L1214" s="23"/>
      <c r="M1214" s="23"/>
      <c r="N1214" s="23"/>
      <c r="O1214" s="23"/>
      <c r="P1214" s="23"/>
      <c r="Q1214" s="40"/>
      <c r="R1214" s="23"/>
      <c r="S1214" s="23"/>
      <c r="T1214" s="23"/>
      <c r="U1214" s="23"/>
      <c r="W1214" s="40"/>
      <c r="X1214" s="23"/>
      <c r="Y1214" s="23"/>
      <c r="Z1214" s="23"/>
      <c r="AA1214" s="19"/>
      <c r="AB1214" s="20"/>
      <c r="AC1214" s="21"/>
      <c r="AD1214" s="22"/>
      <c r="AF1214" s="84"/>
      <c r="AG1214" s="85"/>
      <c r="AH1214" s="84"/>
      <c r="AI1214" s="84"/>
      <c r="AK1214" s="23"/>
      <c r="AL1214" s="81"/>
      <c r="AM1214" s="81"/>
      <c r="AN1214" s="81"/>
      <c r="AO1214" s="23"/>
    </row>
    <row r="1215" spans="1:41" s="24" customFormat="1" x14ac:dyDescent="0.25">
      <c r="A1215" s="18"/>
      <c r="B1215" s="73"/>
      <c r="C1215" s="70"/>
      <c r="D1215" s="20"/>
      <c r="E1215" s="21"/>
      <c r="F1215" s="22"/>
      <c r="G1215" s="23"/>
      <c r="H1215" s="23"/>
      <c r="I1215" s="23"/>
      <c r="J1215" s="23"/>
      <c r="K1215" s="40"/>
      <c r="L1215" s="23"/>
      <c r="M1215" s="23"/>
      <c r="N1215" s="23"/>
      <c r="O1215" s="23"/>
      <c r="P1215" s="23"/>
      <c r="Q1215" s="40"/>
      <c r="R1215" s="23"/>
      <c r="S1215" s="23"/>
      <c r="T1215" s="23"/>
      <c r="U1215" s="23"/>
      <c r="W1215" s="40"/>
      <c r="X1215" s="23"/>
      <c r="Y1215" s="23"/>
      <c r="Z1215" s="23"/>
      <c r="AA1215" s="19"/>
      <c r="AB1215" s="20"/>
      <c r="AC1215" s="21"/>
      <c r="AD1215" s="22"/>
      <c r="AF1215" s="84"/>
      <c r="AG1215" s="85"/>
      <c r="AH1215" s="84"/>
      <c r="AI1215" s="84"/>
      <c r="AK1215" s="23"/>
      <c r="AL1215" s="81"/>
      <c r="AM1215" s="81"/>
      <c r="AN1215" s="81"/>
      <c r="AO1215" s="23"/>
    </row>
    <row r="1216" spans="1:41" s="24" customFormat="1" x14ac:dyDescent="0.25">
      <c r="A1216" s="18"/>
      <c r="B1216" s="73"/>
      <c r="C1216" s="70"/>
      <c r="D1216" s="20"/>
      <c r="E1216" s="21"/>
      <c r="F1216" s="22"/>
      <c r="G1216" s="23"/>
      <c r="H1216" s="23"/>
      <c r="I1216" s="23"/>
      <c r="J1216" s="23"/>
      <c r="K1216" s="40"/>
      <c r="L1216" s="23"/>
      <c r="M1216" s="23"/>
      <c r="N1216" s="23"/>
      <c r="O1216" s="23"/>
      <c r="P1216" s="23"/>
      <c r="Q1216" s="40"/>
      <c r="R1216" s="23"/>
      <c r="S1216" s="23"/>
      <c r="T1216" s="23"/>
      <c r="U1216" s="23"/>
      <c r="W1216" s="40"/>
      <c r="X1216" s="23"/>
      <c r="Y1216" s="23"/>
      <c r="Z1216" s="23"/>
      <c r="AA1216" s="19"/>
      <c r="AB1216" s="20"/>
      <c r="AC1216" s="21"/>
      <c r="AD1216" s="22"/>
      <c r="AF1216" s="84"/>
      <c r="AG1216" s="85"/>
      <c r="AH1216" s="84"/>
      <c r="AI1216" s="84"/>
      <c r="AK1216" s="23"/>
      <c r="AL1216" s="81"/>
      <c r="AM1216" s="81"/>
      <c r="AN1216" s="81"/>
      <c r="AO1216" s="23"/>
    </row>
    <row r="1217" spans="1:41" s="24" customFormat="1" x14ac:dyDescent="0.25">
      <c r="A1217" s="18"/>
      <c r="B1217" s="73"/>
      <c r="C1217" s="70"/>
      <c r="D1217" s="20"/>
      <c r="E1217" s="21"/>
      <c r="F1217" s="22"/>
      <c r="G1217" s="23"/>
      <c r="H1217" s="23"/>
      <c r="I1217" s="23"/>
      <c r="J1217" s="23"/>
      <c r="K1217" s="40"/>
      <c r="L1217" s="23"/>
      <c r="M1217" s="23"/>
      <c r="N1217" s="23"/>
      <c r="O1217" s="23"/>
      <c r="P1217" s="23"/>
      <c r="Q1217" s="40"/>
      <c r="R1217" s="23"/>
      <c r="S1217" s="23"/>
      <c r="T1217" s="23"/>
      <c r="U1217" s="23"/>
      <c r="W1217" s="40"/>
      <c r="X1217" s="23"/>
      <c r="Y1217" s="23"/>
      <c r="Z1217" s="23"/>
      <c r="AA1217" s="19"/>
      <c r="AB1217" s="20"/>
      <c r="AC1217" s="21"/>
      <c r="AD1217" s="22"/>
      <c r="AF1217" s="84"/>
      <c r="AG1217" s="85"/>
      <c r="AH1217" s="84"/>
      <c r="AI1217" s="84"/>
      <c r="AK1217" s="23"/>
      <c r="AL1217" s="81"/>
      <c r="AM1217" s="81"/>
      <c r="AN1217" s="81"/>
      <c r="AO1217" s="23"/>
    </row>
    <row r="1218" spans="1:41" s="24" customFormat="1" x14ac:dyDescent="0.25">
      <c r="A1218" s="18"/>
      <c r="B1218" s="73"/>
      <c r="C1218" s="70"/>
      <c r="D1218" s="20"/>
      <c r="E1218" s="21"/>
      <c r="F1218" s="22"/>
      <c r="G1218" s="23"/>
      <c r="H1218" s="23"/>
      <c r="I1218" s="23"/>
      <c r="J1218" s="23"/>
      <c r="K1218" s="40"/>
      <c r="L1218" s="23"/>
      <c r="M1218" s="23"/>
      <c r="N1218" s="23"/>
      <c r="O1218" s="23"/>
      <c r="P1218" s="23"/>
      <c r="Q1218" s="40"/>
      <c r="R1218" s="23"/>
      <c r="S1218" s="23"/>
      <c r="T1218" s="23"/>
      <c r="U1218" s="23"/>
      <c r="W1218" s="40"/>
      <c r="X1218" s="23"/>
      <c r="Y1218" s="23"/>
      <c r="Z1218" s="23"/>
      <c r="AA1218" s="19"/>
      <c r="AB1218" s="20"/>
      <c r="AC1218" s="21"/>
      <c r="AD1218" s="22"/>
      <c r="AF1218" s="84"/>
      <c r="AG1218" s="85"/>
      <c r="AH1218" s="84"/>
      <c r="AI1218" s="84"/>
      <c r="AK1218" s="23"/>
      <c r="AL1218" s="81"/>
      <c r="AM1218" s="81"/>
      <c r="AN1218" s="81"/>
      <c r="AO1218" s="23"/>
    </row>
    <row r="1219" spans="1:41" s="24" customFormat="1" x14ac:dyDescent="0.25">
      <c r="A1219" s="18"/>
      <c r="B1219" s="73"/>
      <c r="C1219" s="70"/>
      <c r="D1219" s="20"/>
      <c r="E1219" s="21"/>
      <c r="F1219" s="22"/>
      <c r="G1219" s="23"/>
      <c r="H1219" s="23"/>
      <c r="I1219" s="23"/>
      <c r="J1219" s="23"/>
      <c r="K1219" s="40"/>
      <c r="L1219" s="23"/>
      <c r="M1219" s="23"/>
      <c r="N1219" s="23"/>
      <c r="O1219" s="23"/>
      <c r="P1219" s="23"/>
      <c r="Q1219" s="40"/>
      <c r="R1219" s="23"/>
      <c r="S1219" s="23"/>
      <c r="T1219" s="23"/>
      <c r="U1219" s="23"/>
      <c r="W1219" s="40"/>
      <c r="X1219" s="23"/>
      <c r="Y1219" s="23"/>
      <c r="Z1219" s="23"/>
      <c r="AA1219" s="19"/>
      <c r="AB1219" s="20"/>
      <c r="AC1219" s="21"/>
      <c r="AD1219" s="22"/>
      <c r="AF1219" s="84"/>
      <c r="AG1219" s="85"/>
      <c r="AH1219" s="84"/>
      <c r="AI1219" s="84"/>
      <c r="AK1219" s="23"/>
      <c r="AL1219" s="81"/>
      <c r="AM1219" s="81"/>
      <c r="AN1219" s="81"/>
      <c r="AO1219" s="23"/>
    </row>
    <row r="1220" spans="1:41" s="24" customFormat="1" x14ac:dyDescent="0.25">
      <c r="A1220" s="18"/>
      <c r="B1220" s="73"/>
      <c r="C1220" s="70"/>
      <c r="D1220" s="20"/>
      <c r="E1220" s="21"/>
      <c r="F1220" s="22"/>
      <c r="G1220" s="23"/>
      <c r="H1220" s="23"/>
      <c r="I1220" s="23"/>
      <c r="J1220" s="23"/>
      <c r="K1220" s="40"/>
      <c r="L1220" s="23"/>
      <c r="M1220" s="23"/>
      <c r="N1220" s="23"/>
      <c r="O1220" s="23"/>
      <c r="P1220" s="23"/>
      <c r="Q1220" s="40"/>
      <c r="R1220" s="23"/>
      <c r="S1220" s="23"/>
      <c r="T1220" s="23"/>
      <c r="U1220" s="23"/>
      <c r="W1220" s="40"/>
      <c r="X1220" s="23"/>
      <c r="Y1220" s="23"/>
      <c r="Z1220" s="23"/>
      <c r="AA1220" s="19"/>
      <c r="AB1220" s="20"/>
      <c r="AC1220" s="21"/>
      <c r="AD1220" s="22"/>
      <c r="AF1220" s="84"/>
      <c r="AG1220" s="85"/>
      <c r="AH1220" s="84"/>
      <c r="AI1220" s="84"/>
      <c r="AK1220" s="23"/>
      <c r="AL1220" s="81"/>
      <c r="AM1220" s="81"/>
      <c r="AN1220" s="81"/>
      <c r="AO1220" s="23"/>
    </row>
    <row r="1221" spans="1:41" s="24" customFormat="1" x14ac:dyDescent="0.25">
      <c r="A1221" s="18"/>
      <c r="B1221" s="73"/>
      <c r="C1221" s="70"/>
      <c r="D1221" s="20"/>
      <c r="E1221" s="21"/>
      <c r="F1221" s="22"/>
      <c r="G1221" s="23"/>
      <c r="H1221" s="23"/>
      <c r="I1221" s="23"/>
      <c r="J1221" s="23"/>
      <c r="K1221" s="40"/>
      <c r="L1221" s="23"/>
      <c r="M1221" s="23"/>
      <c r="N1221" s="23"/>
      <c r="O1221" s="23"/>
      <c r="P1221" s="23"/>
      <c r="Q1221" s="40"/>
      <c r="R1221" s="23"/>
      <c r="S1221" s="23"/>
      <c r="T1221" s="23"/>
      <c r="U1221" s="23"/>
      <c r="W1221" s="40"/>
      <c r="X1221" s="23"/>
      <c r="Y1221" s="23"/>
      <c r="Z1221" s="23"/>
      <c r="AA1221" s="19"/>
      <c r="AB1221" s="20"/>
      <c r="AC1221" s="21"/>
      <c r="AD1221" s="22"/>
      <c r="AF1221" s="84"/>
      <c r="AG1221" s="85"/>
      <c r="AH1221" s="84"/>
      <c r="AI1221" s="84"/>
      <c r="AK1221" s="23"/>
      <c r="AL1221" s="81"/>
      <c r="AM1221" s="81"/>
      <c r="AN1221" s="81"/>
      <c r="AO1221" s="23"/>
    </row>
    <row r="1222" spans="1:41" s="24" customFormat="1" x14ac:dyDescent="0.25">
      <c r="A1222" s="18"/>
      <c r="B1222" s="73"/>
      <c r="C1222" s="70"/>
      <c r="D1222" s="20"/>
      <c r="E1222" s="21"/>
      <c r="F1222" s="22"/>
      <c r="G1222" s="23"/>
      <c r="H1222" s="23"/>
      <c r="I1222" s="23"/>
      <c r="J1222" s="23"/>
      <c r="K1222" s="40"/>
      <c r="L1222" s="23"/>
      <c r="M1222" s="23"/>
      <c r="N1222" s="23"/>
      <c r="O1222" s="23"/>
      <c r="P1222" s="23"/>
      <c r="Q1222" s="40"/>
      <c r="R1222" s="23"/>
      <c r="S1222" s="23"/>
      <c r="T1222" s="23"/>
      <c r="U1222" s="23"/>
      <c r="W1222" s="40"/>
      <c r="X1222" s="23"/>
      <c r="Y1222" s="23"/>
      <c r="Z1222" s="23"/>
      <c r="AA1222" s="19"/>
      <c r="AB1222" s="20"/>
      <c r="AC1222" s="21"/>
      <c r="AD1222" s="22"/>
      <c r="AF1222" s="84"/>
      <c r="AG1222" s="85"/>
      <c r="AH1222" s="84"/>
      <c r="AI1222" s="84"/>
      <c r="AK1222" s="23"/>
      <c r="AL1222" s="81"/>
      <c r="AM1222" s="81"/>
      <c r="AN1222" s="81"/>
      <c r="AO1222" s="23"/>
    </row>
    <row r="1223" spans="1:41" s="24" customFormat="1" x14ac:dyDescent="0.25">
      <c r="A1223" s="18"/>
      <c r="B1223" s="73"/>
      <c r="C1223" s="70"/>
      <c r="D1223" s="20"/>
      <c r="E1223" s="21"/>
      <c r="F1223" s="22"/>
      <c r="G1223" s="23"/>
      <c r="H1223" s="23"/>
      <c r="I1223" s="23"/>
      <c r="J1223" s="23"/>
      <c r="K1223" s="40"/>
      <c r="L1223" s="23"/>
      <c r="M1223" s="23"/>
      <c r="N1223" s="23"/>
      <c r="O1223" s="23"/>
      <c r="P1223" s="23"/>
      <c r="Q1223" s="40"/>
      <c r="R1223" s="23"/>
      <c r="S1223" s="23"/>
      <c r="T1223" s="23"/>
      <c r="U1223" s="23"/>
      <c r="W1223" s="40"/>
      <c r="X1223" s="23"/>
      <c r="Y1223" s="23"/>
      <c r="Z1223" s="23"/>
      <c r="AA1223" s="19"/>
      <c r="AB1223" s="20"/>
      <c r="AC1223" s="21"/>
      <c r="AD1223" s="22"/>
      <c r="AF1223" s="84"/>
      <c r="AG1223" s="85"/>
      <c r="AH1223" s="84"/>
      <c r="AI1223" s="84"/>
      <c r="AK1223" s="23"/>
      <c r="AL1223" s="81"/>
      <c r="AM1223" s="81"/>
      <c r="AN1223" s="81"/>
      <c r="AO1223" s="23"/>
    </row>
    <row r="1224" spans="1:41" s="24" customFormat="1" x14ac:dyDescent="0.25">
      <c r="A1224" s="18"/>
      <c r="B1224" s="73"/>
      <c r="C1224" s="70"/>
      <c r="D1224" s="20"/>
      <c r="E1224" s="21"/>
      <c r="F1224" s="22"/>
      <c r="G1224" s="23"/>
      <c r="H1224" s="23"/>
      <c r="I1224" s="23"/>
      <c r="J1224" s="23"/>
      <c r="K1224" s="40"/>
      <c r="L1224" s="23"/>
      <c r="M1224" s="23"/>
      <c r="N1224" s="23"/>
      <c r="O1224" s="23"/>
      <c r="P1224" s="23"/>
      <c r="Q1224" s="40"/>
      <c r="R1224" s="23"/>
      <c r="S1224" s="23"/>
      <c r="T1224" s="23"/>
      <c r="U1224" s="23"/>
      <c r="W1224" s="40"/>
      <c r="X1224" s="23"/>
      <c r="Y1224" s="23"/>
      <c r="Z1224" s="23"/>
      <c r="AA1224" s="19"/>
      <c r="AB1224" s="20"/>
      <c r="AC1224" s="21"/>
      <c r="AD1224" s="22"/>
      <c r="AF1224" s="84"/>
      <c r="AG1224" s="85"/>
      <c r="AH1224" s="84"/>
      <c r="AI1224" s="84"/>
      <c r="AK1224" s="23"/>
      <c r="AL1224" s="81"/>
      <c r="AM1224" s="81"/>
      <c r="AN1224" s="81"/>
      <c r="AO1224" s="23"/>
    </row>
    <row r="1225" spans="1:41" s="24" customFormat="1" x14ac:dyDescent="0.25">
      <c r="A1225" s="18"/>
      <c r="B1225" s="73"/>
      <c r="C1225" s="70"/>
      <c r="D1225" s="20"/>
      <c r="E1225" s="21"/>
      <c r="F1225" s="22"/>
      <c r="G1225" s="23"/>
      <c r="H1225" s="23"/>
      <c r="I1225" s="23"/>
      <c r="J1225" s="23"/>
      <c r="K1225" s="40"/>
      <c r="L1225" s="23"/>
      <c r="M1225" s="23"/>
      <c r="N1225" s="23"/>
      <c r="O1225" s="23"/>
      <c r="P1225" s="23"/>
      <c r="Q1225" s="40"/>
      <c r="R1225" s="23"/>
      <c r="S1225" s="23"/>
      <c r="T1225" s="23"/>
      <c r="U1225" s="23"/>
      <c r="W1225" s="40"/>
      <c r="X1225" s="23"/>
      <c r="Y1225" s="23"/>
      <c r="Z1225" s="23"/>
      <c r="AA1225" s="19"/>
      <c r="AB1225" s="20"/>
      <c r="AC1225" s="21"/>
      <c r="AD1225" s="22"/>
      <c r="AF1225" s="84"/>
      <c r="AG1225" s="85"/>
      <c r="AH1225" s="84"/>
      <c r="AI1225" s="84"/>
      <c r="AK1225" s="23"/>
      <c r="AL1225" s="81"/>
      <c r="AM1225" s="81"/>
      <c r="AN1225" s="81"/>
      <c r="AO1225" s="23"/>
    </row>
    <row r="1226" spans="1:41" s="24" customFormat="1" x14ac:dyDescent="0.25">
      <c r="A1226" s="18"/>
      <c r="B1226" s="73"/>
      <c r="C1226" s="70"/>
      <c r="D1226" s="20"/>
      <c r="E1226" s="21"/>
      <c r="F1226" s="22"/>
      <c r="G1226" s="23"/>
      <c r="H1226" s="23"/>
      <c r="I1226" s="23"/>
      <c r="J1226" s="23"/>
      <c r="K1226" s="40"/>
      <c r="L1226" s="23"/>
      <c r="M1226" s="23"/>
      <c r="N1226" s="23"/>
      <c r="O1226" s="23"/>
      <c r="P1226" s="23"/>
      <c r="Q1226" s="40"/>
      <c r="R1226" s="23"/>
      <c r="S1226" s="23"/>
      <c r="T1226" s="23"/>
      <c r="U1226" s="23"/>
      <c r="W1226" s="40"/>
      <c r="X1226" s="23"/>
      <c r="Y1226" s="23"/>
      <c r="Z1226" s="23"/>
      <c r="AA1226" s="19"/>
      <c r="AB1226" s="20"/>
      <c r="AC1226" s="21"/>
      <c r="AD1226" s="22"/>
      <c r="AF1226" s="84"/>
      <c r="AG1226" s="85"/>
      <c r="AH1226" s="84"/>
      <c r="AI1226" s="84"/>
      <c r="AK1226" s="23"/>
      <c r="AL1226" s="81"/>
      <c r="AM1226" s="81"/>
      <c r="AN1226" s="81"/>
      <c r="AO1226" s="23"/>
    </row>
    <row r="1227" spans="1:41" s="24" customFormat="1" x14ac:dyDescent="0.25">
      <c r="A1227" s="18"/>
      <c r="B1227" s="73"/>
      <c r="C1227" s="70"/>
      <c r="D1227" s="20"/>
      <c r="E1227" s="21"/>
      <c r="F1227" s="22"/>
      <c r="G1227" s="23"/>
      <c r="H1227" s="23"/>
      <c r="I1227" s="23"/>
      <c r="J1227" s="23"/>
      <c r="K1227" s="40"/>
      <c r="L1227" s="23"/>
      <c r="M1227" s="23"/>
      <c r="N1227" s="23"/>
      <c r="O1227" s="23"/>
      <c r="P1227" s="23"/>
      <c r="Q1227" s="40"/>
      <c r="R1227" s="23"/>
      <c r="S1227" s="23"/>
      <c r="T1227" s="23"/>
      <c r="U1227" s="23"/>
      <c r="W1227" s="40"/>
      <c r="X1227" s="23"/>
      <c r="Y1227" s="23"/>
      <c r="Z1227" s="23"/>
      <c r="AA1227" s="19"/>
      <c r="AB1227" s="20"/>
      <c r="AC1227" s="21"/>
      <c r="AD1227" s="22"/>
      <c r="AF1227" s="84"/>
      <c r="AG1227" s="85"/>
      <c r="AH1227" s="84"/>
      <c r="AI1227" s="84"/>
      <c r="AK1227" s="23"/>
      <c r="AL1227" s="81"/>
      <c r="AM1227" s="81"/>
      <c r="AN1227" s="81"/>
      <c r="AO1227" s="23"/>
    </row>
    <row r="1228" spans="1:41" s="24" customFormat="1" x14ac:dyDescent="0.25">
      <c r="A1228" s="18"/>
      <c r="B1228" s="73"/>
      <c r="C1228" s="70"/>
      <c r="D1228" s="20"/>
      <c r="E1228" s="21"/>
      <c r="F1228" s="22"/>
      <c r="G1228" s="23"/>
      <c r="H1228" s="23"/>
      <c r="I1228" s="23"/>
      <c r="J1228" s="23"/>
      <c r="K1228" s="40"/>
      <c r="L1228" s="23"/>
      <c r="M1228" s="23"/>
      <c r="N1228" s="23"/>
      <c r="O1228" s="23"/>
      <c r="P1228" s="23"/>
      <c r="Q1228" s="40"/>
      <c r="R1228" s="23"/>
      <c r="S1228" s="23"/>
      <c r="T1228" s="23"/>
      <c r="U1228" s="23"/>
      <c r="W1228" s="40"/>
      <c r="X1228" s="23"/>
      <c r="Y1228" s="23"/>
      <c r="Z1228" s="23"/>
      <c r="AA1228" s="19"/>
      <c r="AB1228" s="20"/>
      <c r="AC1228" s="21"/>
      <c r="AD1228" s="22"/>
      <c r="AF1228" s="84"/>
      <c r="AG1228" s="85"/>
      <c r="AH1228" s="84"/>
      <c r="AI1228" s="84"/>
      <c r="AK1228" s="23"/>
      <c r="AL1228" s="81"/>
      <c r="AM1228" s="81"/>
      <c r="AN1228" s="81"/>
      <c r="AO1228" s="23"/>
    </row>
    <row r="1229" spans="1:41" s="24" customFormat="1" x14ac:dyDescent="0.25">
      <c r="A1229" s="18"/>
      <c r="B1229" s="73"/>
      <c r="C1229" s="70"/>
      <c r="D1229" s="20"/>
      <c r="E1229" s="21"/>
      <c r="F1229" s="22"/>
      <c r="G1229" s="23"/>
      <c r="H1229" s="23"/>
      <c r="I1229" s="23"/>
      <c r="J1229" s="23"/>
      <c r="K1229" s="40"/>
      <c r="L1229" s="23"/>
      <c r="M1229" s="23"/>
      <c r="N1229" s="23"/>
      <c r="O1229" s="23"/>
      <c r="P1229" s="23"/>
      <c r="Q1229" s="40"/>
      <c r="R1229" s="23"/>
      <c r="S1229" s="23"/>
      <c r="T1229" s="23"/>
      <c r="U1229" s="23"/>
      <c r="W1229" s="40"/>
      <c r="X1229" s="23"/>
      <c r="Y1229" s="23"/>
      <c r="Z1229" s="23"/>
      <c r="AA1229" s="19"/>
      <c r="AB1229" s="20"/>
      <c r="AC1229" s="21"/>
      <c r="AD1229" s="22"/>
      <c r="AF1229" s="84"/>
      <c r="AG1229" s="85"/>
      <c r="AH1229" s="84"/>
      <c r="AI1229" s="84"/>
      <c r="AK1229" s="23"/>
      <c r="AL1229" s="81"/>
      <c r="AM1229" s="81"/>
      <c r="AN1229" s="81"/>
      <c r="AO1229" s="23"/>
    </row>
    <row r="1230" spans="1:41" s="24" customFormat="1" x14ac:dyDescent="0.25">
      <c r="A1230" s="18"/>
      <c r="B1230" s="73"/>
      <c r="C1230" s="70"/>
      <c r="D1230" s="20"/>
      <c r="E1230" s="21"/>
      <c r="F1230" s="22"/>
      <c r="G1230" s="23"/>
      <c r="H1230" s="23"/>
      <c r="I1230" s="23"/>
      <c r="J1230" s="23"/>
      <c r="K1230" s="40"/>
      <c r="L1230" s="23"/>
      <c r="M1230" s="23"/>
      <c r="N1230" s="23"/>
      <c r="O1230" s="23"/>
      <c r="P1230" s="23"/>
      <c r="Q1230" s="40"/>
      <c r="R1230" s="23"/>
      <c r="S1230" s="23"/>
      <c r="T1230" s="23"/>
      <c r="U1230" s="23"/>
      <c r="W1230" s="40"/>
      <c r="X1230" s="23"/>
      <c r="Y1230" s="23"/>
      <c r="Z1230" s="23"/>
      <c r="AA1230" s="19"/>
      <c r="AB1230" s="20"/>
      <c r="AC1230" s="21"/>
      <c r="AD1230" s="22"/>
      <c r="AF1230" s="84"/>
      <c r="AG1230" s="85"/>
      <c r="AH1230" s="84"/>
      <c r="AI1230" s="84"/>
      <c r="AK1230" s="23"/>
      <c r="AL1230" s="81"/>
      <c r="AM1230" s="81"/>
      <c r="AN1230" s="81"/>
      <c r="AO1230" s="23"/>
    </row>
    <row r="1231" spans="1:41" s="24" customFormat="1" x14ac:dyDescent="0.25">
      <c r="A1231" s="18"/>
      <c r="B1231" s="73"/>
      <c r="C1231" s="70"/>
      <c r="D1231" s="20"/>
      <c r="E1231" s="21"/>
      <c r="F1231" s="22"/>
      <c r="G1231" s="23"/>
      <c r="H1231" s="23"/>
      <c r="I1231" s="23"/>
      <c r="J1231" s="23"/>
      <c r="K1231" s="40"/>
      <c r="L1231" s="23"/>
      <c r="M1231" s="23"/>
      <c r="N1231" s="23"/>
      <c r="O1231" s="23"/>
      <c r="P1231" s="23"/>
      <c r="Q1231" s="40"/>
      <c r="R1231" s="23"/>
      <c r="S1231" s="23"/>
      <c r="T1231" s="23"/>
      <c r="U1231" s="23"/>
      <c r="W1231" s="40"/>
      <c r="X1231" s="23"/>
      <c r="Y1231" s="23"/>
      <c r="Z1231" s="23"/>
      <c r="AA1231" s="19"/>
      <c r="AB1231" s="20"/>
      <c r="AC1231" s="21"/>
      <c r="AD1231" s="22"/>
      <c r="AF1231" s="84"/>
      <c r="AG1231" s="85"/>
      <c r="AH1231" s="84"/>
      <c r="AI1231" s="84"/>
      <c r="AK1231" s="23"/>
      <c r="AL1231" s="81"/>
      <c r="AM1231" s="81"/>
      <c r="AN1231" s="81"/>
      <c r="AO1231" s="23"/>
    </row>
    <row r="1232" spans="1:41" s="24" customFormat="1" x14ac:dyDescent="0.25">
      <c r="A1232" s="18"/>
      <c r="B1232" s="73"/>
      <c r="C1232" s="70"/>
      <c r="D1232" s="20"/>
      <c r="E1232" s="21"/>
      <c r="F1232" s="22"/>
      <c r="G1232" s="23"/>
      <c r="H1232" s="23"/>
      <c r="I1232" s="23"/>
      <c r="J1232" s="23"/>
      <c r="K1232" s="40"/>
      <c r="L1232" s="23"/>
      <c r="M1232" s="23"/>
      <c r="N1232" s="23"/>
      <c r="O1232" s="23"/>
      <c r="P1232" s="23"/>
      <c r="Q1232" s="40"/>
      <c r="R1232" s="23"/>
      <c r="S1232" s="23"/>
      <c r="T1232" s="23"/>
      <c r="U1232" s="23"/>
      <c r="W1232" s="40"/>
      <c r="X1232" s="23"/>
      <c r="Y1232" s="23"/>
      <c r="Z1232" s="23"/>
      <c r="AA1232" s="19"/>
      <c r="AB1232" s="20"/>
      <c r="AC1232" s="21"/>
      <c r="AD1232" s="22"/>
      <c r="AF1232" s="84"/>
      <c r="AG1232" s="85"/>
      <c r="AH1232" s="84"/>
      <c r="AI1232" s="84"/>
      <c r="AK1232" s="23"/>
      <c r="AL1232" s="81"/>
      <c r="AM1232" s="81"/>
      <c r="AN1232" s="81"/>
      <c r="AO1232" s="23"/>
    </row>
    <row r="1233" spans="1:41" s="24" customFormat="1" x14ac:dyDescent="0.25">
      <c r="A1233" s="18"/>
      <c r="B1233" s="73"/>
      <c r="C1233" s="70"/>
      <c r="D1233" s="20"/>
      <c r="E1233" s="21"/>
      <c r="F1233" s="22"/>
      <c r="G1233" s="23"/>
      <c r="H1233" s="23"/>
      <c r="I1233" s="23"/>
      <c r="J1233" s="23"/>
      <c r="K1233" s="40"/>
      <c r="L1233" s="23"/>
      <c r="M1233" s="23"/>
      <c r="N1233" s="23"/>
      <c r="O1233" s="23"/>
      <c r="P1233" s="23"/>
      <c r="Q1233" s="40"/>
      <c r="R1233" s="23"/>
      <c r="S1233" s="23"/>
      <c r="T1233" s="23"/>
      <c r="U1233" s="23"/>
      <c r="W1233" s="40"/>
      <c r="X1233" s="23"/>
      <c r="Y1233" s="23"/>
      <c r="Z1233" s="23"/>
      <c r="AA1233" s="19"/>
      <c r="AB1233" s="20"/>
      <c r="AC1233" s="21"/>
      <c r="AD1233" s="22"/>
      <c r="AF1233" s="84"/>
      <c r="AG1233" s="85"/>
      <c r="AH1233" s="84"/>
      <c r="AI1233" s="84"/>
      <c r="AK1233" s="23"/>
      <c r="AL1233" s="81"/>
      <c r="AM1233" s="81"/>
      <c r="AN1233" s="81"/>
      <c r="AO1233" s="23"/>
    </row>
    <row r="1234" spans="1:41" s="24" customFormat="1" x14ac:dyDescent="0.25">
      <c r="A1234" s="18"/>
      <c r="B1234" s="73"/>
      <c r="C1234" s="70"/>
      <c r="D1234" s="20"/>
      <c r="E1234" s="21"/>
      <c r="F1234" s="22"/>
      <c r="G1234" s="23"/>
      <c r="H1234" s="23"/>
      <c r="I1234" s="23"/>
      <c r="J1234" s="23"/>
      <c r="K1234" s="40"/>
      <c r="L1234" s="23"/>
      <c r="M1234" s="23"/>
      <c r="N1234" s="23"/>
      <c r="O1234" s="23"/>
      <c r="P1234" s="23"/>
      <c r="Q1234" s="40"/>
      <c r="R1234" s="23"/>
      <c r="S1234" s="23"/>
      <c r="T1234" s="23"/>
      <c r="U1234" s="23"/>
      <c r="W1234" s="40"/>
      <c r="X1234" s="23"/>
      <c r="Y1234" s="23"/>
      <c r="Z1234" s="23"/>
      <c r="AA1234" s="19"/>
      <c r="AB1234" s="20"/>
      <c r="AC1234" s="21"/>
      <c r="AD1234" s="22"/>
      <c r="AF1234" s="84"/>
      <c r="AG1234" s="85"/>
      <c r="AH1234" s="84"/>
      <c r="AI1234" s="84"/>
      <c r="AK1234" s="23"/>
      <c r="AL1234" s="81"/>
      <c r="AM1234" s="81"/>
      <c r="AN1234" s="81"/>
      <c r="AO1234" s="23"/>
    </row>
    <row r="1235" spans="1:41" s="24" customFormat="1" x14ac:dyDescent="0.25">
      <c r="A1235" s="18"/>
      <c r="B1235" s="73"/>
      <c r="C1235" s="70"/>
      <c r="D1235" s="20"/>
      <c r="E1235" s="21"/>
      <c r="F1235" s="22"/>
      <c r="G1235" s="23"/>
      <c r="H1235" s="23"/>
      <c r="I1235" s="23"/>
      <c r="J1235" s="23"/>
      <c r="K1235" s="40"/>
      <c r="L1235" s="23"/>
      <c r="M1235" s="23"/>
      <c r="N1235" s="23"/>
      <c r="O1235" s="23"/>
      <c r="P1235" s="23"/>
      <c r="Q1235" s="40"/>
      <c r="R1235" s="23"/>
      <c r="S1235" s="23"/>
      <c r="T1235" s="23"/>
      <c r="U1235" s="23"/>
      <c r="W1235" s="40"/>
      <c r="X1235" s="23"/>
      <c r="Y1235" s="23"/>
      <c r="Z1235" s="23"/>
      <c r="AA1235" s="19"/>
      <c r="AB1235" s="20"/>
      <c r="AC1235" s="21"/>
      <c r="AD1235" s="22"/>
      <c r="AF1235" s="84"/>
      <c r="AG1235" s="85"/>
      <c r="AH1235" s="84"/>
      <c r="AI1235" s="84"/>
      <c r="AK1235" s="23"/>
      <c r="AL1235" s="81"/>
      <c r="AM1235" s="81"/>
      <c r="AN1235" s="81"/>
      <c r="AO1235" s="23"/>
    </row>
    <row r="1236" spans="1:41" s="24" customFormat="1" x14ac:dyDescent="0.25">
      <c r="A1236" s="18"/>
      <c r="B1236" s="73"/>
      <c r="C1236" s="70"/>
      <c r="D1236" s="20"/>
      <c r="E1236" s="21"/>
      <c r="F1236" s="22"/>
      <c r="G1236" s="23"/>
      <c r="H1236" s="23"/>
      <c r="I1236" s="23"/>
      <c r="J1236" s="23"/>
      <c r="K1236" s="40"/>
      <c r="L1236" s="23"/>
      <c r="M1236" s="23"/>
      <c r="N1236" s="23"/>
      <c r="O1236" s="23"/>
      <c r="P1236" s="23"/>
      <c r="Q1236" s="40"/>
      <c r="R1236" s="23"/>
      <c r="S1236" s="23"/>
      <c r="T1236" s="23"/>
      <c r="U1236" s="23"/>
      <c r="W1236" s="40"/>
      <c r="X1236" s="23"/>
      <c r="Y1236" s="23"/>
      <c r="Z1236" s="23"/>
      <c r="AA1236" s="19"/>
      <c r="AB1236" s="20"/>
      <c r="AC1236" s="21"/>
      <c r="AD1236" s="22"/>
      <c r="AF1236" s="84"/>
      <c r="AG1236" s="85"/>
      <c r="AH1236" s="84"/>
      <c r="AI1236" s="84"/>
      <c r="AK1236" s="23"/>
      <c r="AL1236" s="81"/>
      <c r="AM1236" s="81"/>
      <c r="AN1236" s="81"/>
      <c r="AO1236" s="23"/>
    </row>
    <row r="1237" spans="1:41" s="24" customFormat="1" x14ac:dyDescent="0.25">
      <c r="A1237" s="18"/>
      <c r="B1237" s="73"/>
      <c r="C1237" s="70"/>
      <c r="D1237" s="20"/>
      <c r="E1237" s="21"/>
      <c r="F1237" s="22"/>
      <c r="G1237" s="23"/>
      <c r="H1237" s="23"/>
      <c r="I1237" s="23"/>
      <c r="J1237" s="23"/>
      <c r="K1237" s="40"/>
      <c r="L1237" s="23"/>
      <c r="M1237" s="23"/>
      <c r="N1237" s="23"/>
      <c r="O1237" s="23"/>
      <c r="P1237" s="23"/>
      <c r="Q1237" s="40"/>
      <c r="R1237" s="23"/>
      <c r="S1237" s="23"/>
      <c r="T1237" s="23"/>
      <c r="U1237" s="23"/>
      <c r="W1237" s="40"/>
      <c r="X1237" s="23"/>
      <c r="Y1237" s="23"/>
      <c r="Z1237" s="23"/>
      <c r="AA1237" s="19"/>
      <c r="AB1237" s="20"/>
      <c r="AC1237" s="21"/>
      <c r="AD1237" s="22"/>
      <c r="AF1237" s="84"/>
      <c r="AG1237" s="85"/>
      <c r="AH1237" s="84"/>
      <c r="AI1237" s="84"/>
      <c r="AK1237" s="23"/>
      <c r="AL1237" s="81"/>
      <c r="AM1237" s="81"/>
      <c r="AN1237" s="81"/>
      <c r="AO1237" s="23"/>
    </row>
    <row r="1238" spans="1:41" s="24" customFormat="1" x14ac:dyDescent="0.25">
      <c r="A1238" s="18"/>
      <c r="B1238" s="73"/>
      <c r="C1238" s="70"/>
      <c r="D1238" s="20"/>
      <c r="E1238" s="21"/>
      <c r="F1238" s="22"/>
      <c r="G1238" s="23"/>
      <c r="H1238" s="23"/>
      <c r="I1238" s="23"/>
      <c r="J1238" s="23"/>
      <c r="K1238" s="40"/>
      <c r="L1238" s="23"/>
      <c r="M1238" s="23"/>
      <c r="N1238" s="23"/>
      <c r="O1238" s="23"/>
      <c r="P1238" s="23"/>
      <c r="Q1238" s="40"/>
      <c r="R1238" s="23"/>
      <c r="S1238" s="23"/>
      <c r="T1238" s="23"/>
      <c r="U1238" s="23"/>
      <c r="W1238" s="40"/>
      <c r="X1238" s="23"/>
      <c r="Y1238" s="23"/>
      <c r="Z1238" s="23"/>
      <c r="AA1238" s="19"/>
      <c r="AB1238" s="20"/>
      <c r="AC1238" s="21"/>
      <c r="AD1238" s="22"/>
      <c r="AF1238" s="84"/>
      <c r="AG1238" s="85"/>
      <c r="AH1238" s="84"/>
      <c r="AI1238" s="84"/>
      <c r="AK1238" s="23"/>
      <c r="AL1238" s="81"/>
      <c r="AM1238" s="81"/>
      <c r="AN1238" s="81"/>
      <c r="AO1238" s="23"/>
    </row>
    <row r="1239" spans="1:41" s="24" customFormat="1" x14ac:dyDescent="0.25">
      <c r="A1239" s="18"/>
      <c r="B1239" s="73"/>
      <c r="C1239" s="70"/>
      <c r="D1239" s="20"/>
      <c r="E1239" s="21"/>
      <c r="F1239" s="22"/>
      <c r="G1239" s="23"/>
      <c r="H1239" s="23"/>
      <c r="I1239" s="23"/>
      <c r="J1239" s="23"/>
      <c r="K1239" s="40"/>
      <c r="L1239" s="23"/>
      <c r="M1239" s="23"/>
      <c r="N1239" s="23"/>
      <c r="O1239" s="23"/>
      <c r="P1239" s="23"/>
      <c r="Q1239" s="40"/>
      <c r="R1239" s="23"/>
      <c r="S1239" s="23"/>
      <c r="T1239" s="23"/>
      <c r="U1239" s="23"/>
      <c r="W1239" s="40"/>
      <c r="X1239" s="23"/>
      <c r="Y1239" s="23"/>
      <c r="Z1239" s="23"/>
      <c r="AA1239" s="19"/>
      <c r="AB1239" s="20"/>
      <c r="AC1239" s="21"/>
      <c r="AD1239" s="22"/>
      <c r="AF1239" s="84"/>
      <c r="AG1239" s="85"/>
      <c r="AH1239" s="84"/>
      <c r="AI1239" s="84"/>
      <c r="AK1239" s="23"/>
      <c r="AL1239" s="81"/>
      <c r="AM1239" s="81"/>
      <c r="AN1239" s="81"/>
      <c r="AO1239" s="23"/>
    </row>
    <row r="1240" spans="1:41" s="24" customFormat="1" x14ac:dyDescent="0.25">
      <c r="A1240" s="18"/>
      <c r="B1240" s="73"/>
      <c r="C1240" s="70"/>
      <c r="D1240" s="20"/>
      <c r="E1240" s="21"/>
      <c r="F1240" s="22"/>
      <c r="G1240" s="23"/>
      <c r="H1240" s="23"/>
      <c r="I1240" s="23"/>
      <c r="J1240" s="23"/>
      <c r="K1240" s="40"/>
      <c r="L1240" s="23"/>
      <c r="M1240" s="23"/>
      <c r="N1240" s="23"/>
      <c r="O1240" s="23"/>
      <c r="P1240" s="23"/>
      <c r="Q1240" s="40"/>
      <c r="R1240" s="23"/>
      <c r="S1240" s="23"/>
      <c r="T1240" s="23"/>
      <c r="U1240" s="23"/>
      <c r="W1240" s="40"/>
      <c r="X1240" s="23"/>
      <c r="Y1240" s="23"/>
      <c r="Z1240" s="23"/>
      <c r="AA1240" s="19"/>
      <c r="AB1240" s="20"/>
      <c r="AC1240" s="21"/>
      <c r="AD1240" s="22"/>
      <c r="AF1240" s="84"/>
      <c r="AG1240" s="85"/>
      <c r="AH1240" s="84"/>
      <c r="AI1240" s="84"/>
      <c r="AK1240" s="23"/>
      <c r="AL1240" s="81"/>
      <c r="AM1240" s="81"/>
      <c r="AN1240" s="81"/>
      <c r="AO1240" s="23"/>
    </row>
    <row r="1241" spans="1:41" s="24" customFormat="1" x14ac:dyDescent="0.25">
      <c r="A1241" s="18"/>
      <c r="B1241" s="73"/>
      <c r="C1241" s="70"/>
      <c r="D1241" s="20"/>
      <c r="E1241" s="21"/>
      <c r="F1241" s="22"/>
      <c r="G1241" s="23"/>
      <c r="H1241" s="23"/>
      <c r="I1241" s="23"/>
      <c r="J1241" s="23"/>
      <c r="K1241" s="40"/>
      <c r="L1241" s="23"/>
      <c r="M1241" s="23"/>
      <c r="N1241" s="23"/>
      <c r="O1241" s="23"/>
      <c r="P1241" s="23"/>
      <c r="Q1241" s="40"/>
      <c r="R1241" s="23"/>
      <c r="S1241" s="23"/>
      <c r="T1241" s="23"/>
      <c r="U1241" s="23"/>
      <c r="W1241" s="40"/>
      <c r="X1241" s="23"/>
      <c r="Y1241" s="23"/>
      <c r="Z1241" s="23"/>
      <c r="AA1241" s="19"/>
      <c r="AB1241" s="20"/>
      <c r="AC1241" s="21"/>
      <c r="AD1241" s="22"/>
      <c r="AF1241" s="84"/>
      <c r="AG1241" s="85"/>
      <c r="AH1241" s="84"/>
      <c r="AI1241" s="84"/>
      <c r="AK1241" s="23"/>
      <c r="AL1241" s="81"/>
      <c r="AM1241" s="81"/>
      <c r="AN1241" s="81"/>
      <c r="AO1241" s="23"/>
    </row>
    <row r="1242" spans="1:41" s="24" customFormat="1" x14ac:dyDescent="0.25">
      <c r="A1242" s="18"/>
      <c r="B1242" s="73"/>
      <c r="C1242" s="70"/>
      <c r="D1242" s="20"/>
      <c r="E1242" s="21"/>
      <c r="F1242" s="22"/>
      <c r="G1242" s="23"/>
      <c r="H1242" s="23"/>
      <c r="I1242" s="23"/>
      <c r="J1242" s="23"/>
      <c r="K1242" s="40"/>
      <c r="L1242" s="23"/>
      <c r="M1242" s="23"/>
      <c r="N1242" s="23"/>
      <c r="O1242" s="23"/>
      <c r="P1242" s="23"/>
      <c r="Q1242" s="40"/>
      <c r="R1242" s="23"/>
      <c r="S1242" s="23"/>
      <c r="T1242" s="23"/>
      <c r="U1242" s="23"/>
      <c r="W1242" s="40"/>
      <c r="X1242" s="23"/>
      <c r="Y1242" s="23"/>
      <c r="Z1242" s="23"/>
      <c r="AA1242" s="19"/>
      <c r="AB1242" s="20"/>
      <c r="AC1242" s="21"/>
      <c r="AD1242" s="22"/>
      <c r="AF1242" s="84"/>
      <c r="AG1242" s="85"/>
      <c r="AH1242" s="84"/>
      <c r="AI1242" s="84"/>
      <c r="AK1242" s="23"/>
      <c r="AL1242" s="81"/>
      <c r="AM1242" s="81"/>
      <c r="AN1242" s="81"/>
      <c r="AO1242" s="23"/>
    </row>
    <row r="1243" spans="1:41" s="24" customFormat="1" x14ac:dyDescent="0.25">
      <c r="A1243" s="18"/>
      <c r="B1243" s="73"/>
      <c r="C1243" s="70"/>
      <c r="D1243" s="20"/>
      <c r="E1243" s="21"/>
      <c r="F1243" s="22"/>
      <c r="G1243" s="23"/>
      <c r="H1243" s="23"/>
      <c r="I1243" s="23"/>
      <c r="J1243" s="23"/>
      <c r="K1243" s="40"/>
      <c r="L1243" s="23"/>
      <c r="M1243" s="23"/>
      <c r="N1243" s="23"/>
      <c r="O1243" s="23"/>
      <c r="P1243" s="23"/>
      <c r="Q1243" s="40"/>
      <c r="R1243" s="23"/>
      <c r="S1243" s="23"/>
      <c r="T1243" s="23"/>
      <c r="U1243" s="23"/>
      <c r="W1243" s="40"/>
      <c r="X1243" s="23"/>
      <c r="Y1243" s="23"/>
      <c r="Z1243" s="23"/>
      <c r="AA1243" s="19"/>
      <c r="AB1243" s="20"/>
      <c r="AC1243" s="21"/>
      <c r="AD1243" s="22"/>
      <c r="AF1243" s="84"/>
      <c r="AG1243" s="85"/>
      <c r="AH1243" s="84"/>
      <c r="AI1243" s="84"/>
      <c r="AK1243" s="23"/>
      <c r="AL1243" s="81"/>
      <c r="AM1243" s="81"/>
      <c r="AN1243" s="81"/>
      <c r="AO1243" s="23"/>
    </row>
    <row r="1244" spans="1:41" s="24" customFormat="1" x14ac:dyDescent="0.25">
      <c r="A1244" s="18"/>
      <c r="B1244" s="73"/>
      <c r="C1244" s="70"/>
      <c r="D1244" s="20"/>
      <c r="E1244" s="21"/>
      <c r="F1244" s="22"/>
      <c r="G1244" s="23"/>
      <c r="H1244" s="23"/>
      <c r="I1244" s="23"/>
      <c r="J1244" s="23"/>
      <c r="K1244" s="40"/>
      <c r="L1244" s="23"/>
      <c r="M1244" s="23"/>
      <c r="N1244" s="23"/>
      <c r="O1244" s="23"/>
      <c r="P1244" s="23"/>
      <c r="Q1244" s="40"/>
      <c r="R1244" s="23"/>
      <c r="S1244" s="23"/>
      <c r="T1244" s="23"/>
      <c r="U1244" s="23"/>
      <c r="W1244" s="40"/>
      <c r="X1244" s="23"/>
      <c r="Y1244" s="23"/>
      <c r="Z1244" s="23"/>
      <c r="AA1244" s="19"/>
      <c r="AB1244" s="20"/>
      <c r="AC1244" s="21"/>
      <c r="AD1244" s="22"/>
      <c r="AF1244" s="84"/>
      <c r="AG1244" s="85"/>
      <c r="AH1244" s="84"/>
      <c r="AI1244" s="84"/>
      <c r="AK1244" s="23"/>
      <c r="AL1244" s="81"/>
      <c r="AM1244" s="81"/>
      <c r="AN1244" s="81"/>
      <c r="AO1244" s="23"/>
    </row>
    <row r="1245" spans="1:41" s="24" customFormat="1" x14ac:dyDescent="0.25">
      <c r="A1245" s="18"/>
      <c r="B1245" s="73"/>
      <c r="C1245" s="70"/>
      <c r="D1245" s="20"/>
      <c r="E1245" s="21"/>
      <c r="F1245" s="22"/>
      <c r="G1245" s="23"/>
      <c r="H1245" s="23"/>
      <c r="I1245" s="23"/>
      <c r="J1245" s="23"/>
      <c r="K1245" s="40"/>
      <c r="L1245" s="23"/>
      <c r="M1245" s="23"/>
      <c r="N1245" s="23"/>
      <c r="O1245" s="23"/>
      <c r="P1245" s="23"/>
      <c r="Q1245" s="40"/>
      <c r="R1245" s="23"/>
      <c r="S1245" s="23"/>
      <c r="T1245" s="23"/>
      <c r="U1245" s="23"/>
      <c r="W1245" s="40"/>
      <c r="X1245" s="23"/>
      <c r="Y1245" s="23"/>
      <c r="Z1245" s="23"/>
      <c r="AA1245" s="19"/>
      <c r="AB1245" s="20"/>
      <c r="AC1245" s="21"/>
      <c r="AD1245" s="22"/>
      <c r="AF1245" s="84"/>
      <c r="AG1245" s="85"/>
      <c r="AH1245" s="84"/>
      <c r="AI1245" s="84"/>
      <c r="AK1245" s="23"/>
      <c r="AL1245" s="81"/>
      <c r="AM1245" s="81"/>
      <c r="AN1245" s="81"/>
      <c r="AO1245" s="23"/>
    </row>
    <row r="1246" spans="1:41" s="24" customFormat="1" x14ac:dyDescent="0.25">
      <c r="A1246" s="18"/>
      <c r="B1246" s="73"/>
      <c r="C1246" s="70"/>
      <c r="D1246" s="20"/>
      <c r="E1246" s="21"/>
      <c r="F1246" s="22"/>
      <c r="G1246" s="23"/>
      <c r="H1246" s="23"/>
      <c r="I1246" s="23"/>
      <c r="J1246" s="23"/>
      <c r="K1246" s="40"/>
      <c r="L1246" s="23"/>
      <c r="M1246" s="23"/>
      <c r="N1246" s="23"/>
      <c r="O1246" s="23"/>
      <c r="P1246" s="23"/>
      <c r="Q1246" s="40"/>
      <c r="R1246" s="23"/>
      <c r="S1246" s="23"/>
      <c r="T1246" s="23"/>
      <c r="U1246" s="23"/>
      <c r="W1246" s="40"/>
      <c r="X1246" s="23"/>
      <c r="Y1246" s="23"/>
      <c r="Z1246" s="23"/>
      <c r="AA1246" s="19"/>
      <c r="AB1246" s="20"/>
      <c r="AC1246" s="21"/>
      <c r="AD1246" s="22"/>
      <c r="AF1246" s="84"/>
      <c r="AG1246" s="85"/>
      <c r="AH1246" s="84"/>
      <c r="AI1246" s="84"/>
      <c r="AK1246" s="23"/>
      <c r="AL1246" s="81"/>
      <c r="AM1246" s="81"/>
      <c r="AN1246" s="81"/>
      <c r="AO1246" s="23"/>
    </row>
    <row r="1247" spans="1:41" s="24" customFormat="1" x14ac:dyDescent="0.25">
      <c r="A1247" s="18"/>
      <c r="B1247" s="73"/>
      <c r="C1247" s="70"/>
      <c r="D1247" s="20"/>
      <c r="E1247" s="21"/>
      <c r="F1247" s="22"/>
      <c r="G1247" s="23"/>
      <c r="H1247" s="23"/>
      <c r="I1247" s="23"/>
      <c r="J1247" s="23"/>
      <c r="K1247" s="40"/>
      <c r="L1247" s="23"/>
      <c r="M1247" s="23"/>
      <c r="N1247" s="23"/>
      <c r="O1247" s="23"/>
      <c r="P1247" s="23"/>
      <c r="Q1247" s="40"/>
      <c r="R1247" s="23"/>
      <c r="S1247" s="23"/>
      <c r="T1247" s="23"/>
      <c r="U1247" s="23"/>
      <c r="W1247" s="40"/>
      <c r="X1247" s="23"/>
      <c r="Y1247" s="23"/>
      <c r="Z1247" s="23"/>
      <c r="AA1247" s="19"/>
      <c r="AB1247" s="20"/>
      <c r="AC1247" s="21"/>
      <c r="AD1247" s="22"/>
      <c r="AF1247" s="84"/>
      <c r="AG1247" s="85"/>
      <c r="AH1247" s="84"/>
      <c r="AI1247" s="84"/>
      <c r="AK1247" s="23"/>
      <c r="AL1247" s="81"/>
      <c r="AM1247" s="81"/>
      <c r="AN1247" s="81"/>
      <c r="AO1247" s="23"/>
    </row>
    <row r="1248" spans="1:41" s="24" customFormat="1" x14ac:dyDescent="0.25">
      <c r="A1248" s="18"/>
      <c r="B1248" s="73"/>
      <c r="C1248" s="70"/>
      <c r="D1248" s="20"/>
      <c r="E1248" s="21"/>
      <c r="F1248" s="22"/>
      <c r="G1248" s="23"/>
      <c r="H1248" s="23"/>
      <c r="I1248" s="23"/>
      <c r="J1248" s="23"/>
      <c r="K1248" s="40"/>
      <c r="L1248" s="23"/>
      <c r="M1248" s="23"/>
      <c r="N1248" s="23"/>
      <c r="O1248" s="23"/>
      <c r="P1248" s="23"/>
      <c r="Q1248" s="40"/>
      <c r="R1248" s="23"/>
      <c r="S1248" s="23"/>
      <c r="T1248" s="23"/>
      <c r="U1248" s="23"/>
      <c r="W1248" s="40"/>
      <c r="X1248" s="23"/>
      <c r="Y1248" s="23"/>
      <c r="Z1248" s="23"/>
      <c r="AA1248" s="19"/>
      <c r="AB1248" s="20"/>
      <c r="AC1248" s="21"/>
      <c r="AD1248" s="22"/>
      <c r="AF1248" s="84"/>
      <c r="AG1248" s="85"/>
      <c r="AH1248" s="84"/>
      <c r="AI1248" s="84"/>
      <c r="AK1248" s="23"/>
      <c r="AL1248" s="81"/>
      <c r="AM1248" s="81"/>
      <c r="AN1248" s="81"/>
      <c r="AO1248" s="23"/>
    </row>
    <row r="1249" spans="1:41" s="24" customFormat="1" x14ac:dyDescent="0.25">
      <c r="A1249" s="18"/>
      <c r="B1249" s="73"/>
      <c r="C1249" s="70"/>
      <c r="D1249" s="20"/>
      <c r="E1249" s="21"/>
      <c r="F1249" s="22"/>
      <c r="G1249" s="23"/>
      <c r="H1249" s="23"/>
      <c r="I1249" s="23"/>
      <c r="J1249" s="23"/>
      <c r="K1249" s="40"/>
      <c r="L1249" s="23"/>
      <c r="M1249" s="23"/>
      <c r="N1249" s="23"/>
      <c r="O1249" s="23"/>
      <c r="P1249" s="23"/>
      <c r="Q1249" s="40"/>
      <c r="R1249" s="23"/>
      <c r="S1249" s="23"/>
      <c r="T1249" s="23"/>
      <c r="U1249" s="23"/>
      <c r="W1249" s="40"/>
      <c r="X1249" s="23"/>
      <c r="Y1249" s="23"/>
      <c r="Z1249" s="23"/>
      <c r="AA1249" s="19"/>
      <c r="AB1249" s="20"/>
      <c r="AC1249" s="21"/>
      <c r="AD1249" s="22"/>
      <c r="AF1249" s="84"/>
      <c r="AG1249" s="85"/>
      <c r="AH1249" s="84"/>
      <c r="AI1249" s="84"/>
      <c r="AK1249" s="23"/>
      <c r="AL1249" s="81"/>
      <c r="AM1249" s="81"/>
      <c r="AN1249" s="81"/>
      <c r="AO1249" s="23"/>
    </row>
    <row r="1250" spans="1:41" s="24" customFormat="1" x14ac:dyDescent="0.25">
      <c r="A1250" s="18"/>
      <c r="B1250" s="73"/>
      <c r="C1250" s="70"/>
      <c r="D1250" s="20"/>
      <c r="E1250" s="21"/>
      <c r="F1250" s="22"/>
      <c r="G1250" s="23"/>
      <c r="H1250" s="23"/>
      <c r="I1250" s="23"/>
      <c r="J1250" s="23"/>
      <c r="K1250" s="40"/>
      <c r="L1250" s="23"/>
      <c r="M1250" s="23"/>
      <c r="N1250" s="23"/>
      <c r="O1250" s="23"/>
      <c r="P1250" s="23"/>
      <c r="Q1250" s="40"/>
      <c r="R1250" s="23"/>
      <c r="S1250" s="23"/>
      <c r="T1250" s="23"/>
      <c r="U1250" s="23"/>
      <c r="W1250" s="40"/>
      <c r="X1250" s="23"/>
      <c r="Y1250" s="23"/>
      <c r="Z1250" s="23"/>
      <c r="AA1250" s="19"/>
      <c r="AB1250" s="20"/>
      <c r="AC1250" s="21"/>
      <c r="AD1250" s="22"/>
      <c r="AF1250" s="84"/>
      <c r="AG1250" s="85"/>
      <c r="AH1250" s="84"/>
      <c r="AI1250" s="84"/>
      <c r="AK1250" s="23"/>
      <c r="AL1250" s="81"/>
      <c r="AM1250" s="81"/>
      <c r="AN1250" s="81"/>
      <c r="AO1250" s="23"/>
    </row>
    <row r="1251" spans="1:41" s="24" customFormat="1" x14ac:dyDescent="0.25">
      <c r="A1251" s="18"/>
      <c r="B1251" s="73"/>
      <c r="C1251" s="70"/>
      <c r="D1251" s="20"/>
      <c r="E1251" s="21"/>
      <c r="F1251" s="22"/>
      <c r="G1251" s="23"/>
      <c r="H1251" s="23"/>
      <c r="I1251" s="23"/>
      <c r="J1251" s="23"/>
      <c r="K1251" s="40"/>
      <c r="L1251" s="23"/>
      <c r="M1251" s="23"/>
      <c r="N1251" s="23"/>
      <c r="O1251" s="23"/>
      <c r="P1251" s="23"/>
      <c r="Q1251" s="40"/>
      <c r="R1251" s="23"/>
      <c r="S1251" s="23"/>
      <c r="T1251" s="23"/>
      <c r="U1251" s="23"/>
      <c r="W1251" s="40"/>
      <c r="X1251" s="23"/>
      <c r="Y1251" s="23"/>
      <c r="Z1251" s="23"/>
      <c r="AA1251" s="19"/>
      <c r="AB1251" s="20"/>
      <c r="AC1251" s="21"/>
      <c r="AD1251" s="22"/>
      <c r="AF1251" s="84"/>
      <c r="AG1251" s="85"/>
      <c r="AH1251" s="84"/>
      <c r="AI1251" s="84"/>
      <c r="AK1251" s="23"/>
      <c r="AL1251" s="81"/>
      <c r="AM1251" s="81"/>
      <c r="AN1251" s="81"/>
      <c r="AO1251" s="23"/>
    </row>
    <row r="1252" spans="1:41" s="24" customFormat="1" x14ac:dyDescent="0.25">
      <c r="A1252" s="18"/>
      <c r="B1252" s="73"/>
      <c r="C1252" s="70"/>
      <c r="D1252" s="20"/>
      <c r="E1252" s="21"/>
      <c r="F1252" s="22"/>
      <c r="G1252" s="23"/>
      <c r="H1252" s="23"/>
      <c r="I1252" s="23"/>
      <c r="J1252" s="23"/>
      <c r="K1252" s="40"/>
      <c r="L1252" s="23"/>
      <c r="M1252" s="23"/>
      <c r="N1252" s="23"/>
      <c r="O1252" s="23"/>
      <c r="P1252" s="23"/>
      <c r="Q1252" s="40"/>
      <c r="R1252" s="23"/>
      <c r="S1252" s="23"/>
      <c r="T1252" s="23"/>
      <c r="U1252" s="23"/>
      <c r="W1252" s="40"/>
      <c r="X1252" s="23"/>
      <c r="Y1252" s="23"/>
      <c r="Z1252" s="23"/>
      <c r="AA1252" s="19"/>
      <c r="AB1252" s="20"/>
      <c r="AC1252" s="21"/>
      <c r="AD1252" s="22"/>
      <c r="AF1252" s="84"/>
      <c r="AG1252" s="85"/>
      <c r="AH1252" s="84"/>
      <c r="AI1252" s="84"/>
      <c r="AK1252" s="23"/>
      <c r="AL1252" s="81"/>
      <c r="AM1252" s="81"/>
      <c r="AN1252" s="81"/>
      <c r="AO1252" s="23"/>
    </row>
    <row r="1253" spans="1:41" s="24" customFormat="1" x14ac:dyDescent="0.25">
      <c r="A1253" s="18"/>
      <c r="B1253" s="73"/>
      <c r="C1253" s="70"/>
      <c r="D1253" s="20"/>
      <c r="E1253" s="21"/>
      <c r="F1253" s="22"/>
      <c r="G1253" s="23"/>
      <c r="H1253" s="23"/>
      <c r="I1253" s="23"/>
      <c r="J1253" s="23"/>
      <c r="K1253" s="40"/>
      <c r="L1253" s="23"/>
      <c r="M1253" s="23"/>
      <c r="N1253" s="23"/>
      <c r="O1253" s="23"/>
      <c r="P1253" s="23"/>
      <c r="Q1253" s="40"/>
      <c r="R1253" s="23"/>
      <c r="S1253" s="23"/>
      <c r="T1253" s="23"/>
      <c r="U1253" s="23"/>
      <c r="W1253" s="40"/>
      <c r="X1253" s="23"/>
      <c r="Y1253" s="23"/>
      <c r="Z1253" s="23"/>
      <c r="AA1253" s="19"/>
      <c r="AB1253" s="20"/>
      <c r="AC1253" s="21"/>
      <c r="AD1253" s="22"/>
      <c r="AF1253" s="84"/>
      <c r="AG1253" s="85"/>
      <c r="AH1253" s="84"/>
      <c r="AI1253" s="84"/>
      <c r="AK1253" s="23"/>
      <c r="AL1253" s="81"/>
      <c r="AM1253" s="81"/>
      <c r="AN1253" s="81"/>
      <c r="AO1253" s="23"/>
    </row>
    <row r="1254" spans="1:41" s="24" customFormat="1" x14ac:dyDescent="0.25">
      <c r="A1254" s="18"/>
      <c r="B1254" s="73"/>
      <c r="C1254" s="70"/>
      <c r="D1254" s="20"/>
      <c r="E1254" s="21"/>
      <c r="F1254" s="22"/>
      <c r="G1254" s="23"/>
      <c r="H1254" s="23"/>
      <c r="I1254" s="23"/>
      <c r="J1254" s="23"/>
      <c r="K1254" s="40"/>
      <c r="L1254" s="23"/>
      <c r="M1254" s="23"/>
      <c r="N1254" s="23"/>
      <c r="O1254" s="23"/>
      <c r="P1254" s="23"/>
      <c r="Q1254" s="40"/>
      <c r="R1254" s="23"/>
      <c r="S1254" s="23"/>
      <c r="T1254" s="23"/>
      <c r="U1254" s="23"/>
      <c r="W1254" s="40"/>
      <c r="X1254" s="23"/>
      <c r="Y1254" s="23"/>
      <c r="Z1254" s="23"/>
      <c r="AA1254" s="19"/>
      <c r="AB1254" s="20"/>
      <c r="AC1254" s="21"/>
      <c r="AD1254" s="22"/>
      <c r="AF1254" s="84"/>
      <c r="AG1254" s="85"/>
      <c r="AH1254" s="84"/>
      <c r="AI1254" s="84"/>
      <c r="AK1254" s="23"/>
      <c r="AL1254" s="81"/>
      <c r="AM1254" s="81"/>
      <c r="AN1254" s="81"/>
      <c r="AO1254" s="23"/>
    </row>
    <row r="1255" spans="1:41" s="24" customFormat="1" x14ac:dyDescent="0.25">
      <c r="A1255" s="18"/>
      <c r="B1255" s="73"/>
      <c r="C1255" s="70"/>
      <c r="D1255" s="20"/>
      <c r="E1255" s="21"/>
      <c r="F1255" s="22"/>
      <c r="G1255" s="23"/>
      <c r="H1255" s="23"/>
      <c r="I1255" s="23"/>
      <c r="J1255" s="23"/>
      <c r="K1255" s="40"/>
      <c r="L1255" s="23"/>
      <c r="M1255" s="23"/>
      <c r="N1255" s="23"/>
      <c r="O1255" s="23"/>
      <c r="P1255" s="23"/>
      <c r="Q1255" s="40"/>
      <c r="R1255" s="23"/>
      <c r="S1255" s="23"/>
      <c r="T1255" s="23"/>
      <c r="U1255" s="23"/>
      <c r="W1255" s="40"/>
      <c r="X1255" s="23"/>
      <c r="Y1255" s="23"/>
      <c r="Z1255" s="23"/>
      <c r="AA1255" s="19"/>
      <c r="AB1255" s="20"/>
      <c r="AC1255" s="21"/>
      <c r="AD1255" s="22"/>
      <c r="AF1255" s="84"/>
      <c r="AG1255" s="85"/>
      <c r="AH1255" s="84"/>
      <c r="AI1255" s="84"/>
      <c r="AK1255" s="23"/>
      <c r="AL1255" s="81"/>
      <c r="AM1255" s="81"/>
      <c r="AN1255" s="81"/>
      <c r="AO1255" s="23"/>
    </row>
    <row r="1256" spans="1:41" s="24" customFormat="1" x14ac:dyDescent="0.25">
      <c r="A1256" s="18"/>
      <c r="B1256" s="73"/>
      <c r="C1256" s="70"/>
      <c r="D1256" s="20"/>
      <c r="E1256" s="21"/>
      <c r="F1256" s="22"/>
      <c r="G1256" s="23"/>
      <c r="H1256" s="23"/>
      <c r="I1256" s="23"/>
      <c r="J1256" s="23"/>
      <c r="K1256" s="40"/>
      <c r="L1256" s="23"/>
      <c r="M1256" s="23"/>
      <c r="N1256" s="23"/>
      <c r="O1256" s="23"/>
      <c r="P1256" s="23"/>
      <c r="Q1256" s="40"/>
      <c r="R1256" s="23"/>
      <c r="S1256" s="23"/>
      <c r="T1256" s="23"/>
      <c r="U1256" s="23"/>
      <c r="W1256" s="40"/>
      <c r="X1256" s="23"/>
      <c r="Y1256" s="23"/>
      <c r="Z1256" s="23"/>
      <c r="AA1256" s="19"/>
      <c r="AB1256" s="20"/>
      <c r="AC1256" s="21"/>
      <c r="AD1256" s="22"/>
      <c r="AF1256" s="84"/>
      <c r="AG1256" s="85"/>
      <c r="AH1256" s="84"/>
      <c r="AI1256" s="84"/>
      <c r="AK1256" s="23"/>
      <c r="AL1256" s="81"/>
      <c r="AM1256" s="81"/>
      <c r="AN1256" s="81"/>
      <c r="AO1256" s="23"/>
    </row>
    <row r="1257" spans="1:41" s="24" customFormat="1" x14ac:dyDescent="0.25">
      <c r="A1257" s="18"/>
      <c r="B1257" s="73"/>
      <c r="C1257" s="70"/>
      <c r="D1257" s="20"/>
      <c r="E1257" s="21"/>
      <c r="F1257" s="22"/>
      <c r="G1257" s="23"/>
      <c r="H1257" s="23"/>
      <c r="I1257" s="23"/>
      <c r="J1257" s="23"/>
      <c r="K1257" s="40"/>
      <c r="L1257" s="23"/>
      <c r="M1257" s="23"/>
      <c r="N1257" s="23"/>
      <c r="O1257" s="23"/>
      <c r="P1257" s="23"/>
      <c r="Q1257" s="40"/>
      <c r="R1257" s="23"/>
      <c r="S1257" s="23"/>
      <c r="T1257" s="23"/>
      <c r="U1257" s="23"/>
      <c r="W1257" s="40"/>
      <c r="X1257" s="23"/>
      <c r="Y1257" s="23"/>
      <c r="Z1257" s="23"/>
      <c r="AA1257" s="19"/>
      <c r="AB1257" s="20"/>
      <c r="AC1257" s="21"/>
      <c r="AD1257" s="22"/>
      <c r="AF1257" s="84"/>
      <c r="AG1257" s="85"/>
      <c r="AH1257" s="84"/>
      <c r="AI1257" s="84"/>
      <c r="AK1257" s="23"/>
      <c r="AL1257" s="81"/>
      <c r="AM1257" s="81"/>
      <c r="AN1257" s="81"/>
      <c r="AO1257" s="23"/>
    </row>
    <row r="1258" spans="1:41" s="24" customFormat="1" x14ac:dyDescent="0.25">
      <c r="A1258" s="18"/>
      <c r="B1258" s="73"/>
      <c r="C1258" s="70"/>
      <c r="D1258" s="20"/>
      <c r="E1258" s="21"/>
      <c r="F1258" s="22"/>
      <c r="G1258" s="23"/>
      <c r="H1258" s="23"/>
      <c r="I1258" s="23"/>
      <c r="J1258" s="23"/>
      <c r="K1258" s="40"/>
      <c r="L1258" s="23"/>
      <c r="M1258" s="23"/>
      <c r="N1258" s="23"/>
      <c r="O1258" s="23"/>
      <c r="P1258" s="23"/>
      <c r="Q1258" s="40"/>
      <c r="R1258" s="23"/>
      <c r="S1258" s="23"/>
      <c r="T1258" s="23"/>
      <c r="U1258" s="23"/>
      <c r="W1258" s="40"/>
      <c r="X1258" s="23"/>
      <c r="Y1258" s="23"/>
      <c r="Z1258" s="23"/>
      <c r="AA1258" s="19"/>
      <c r="AB1258" s="20"/>
      <c r="AC1258" s="21"/>
      <c r="AD1258" s="22"/>
      <c r="AF1258" s="84"/>
      <c r="AG1258" s="85"/>
      <c r="AH1258" s="84"/>
      <c r="AI1258" s="84"/>
      <c r="AK1258" s="23"/>
      <c r="AL1258" s="81"/>
      <c r="AM1258" s="81"/>
      <c r="AN1258" s="81"/>
      <c r="AO1258" s="23"/>
    </row>
    <row r="1259" spans="1:41" s="24" customFormat="1" x14ac:dyDescent="0.25">
      <c r="A1259" s="18"/>
      <c r="B1259" s="73"/>
      <c r="C1259" s="70"/>
      <c r="D1259" s="20"/>
      <c r="E1259" s="21"/>
      <c r="F1259" s="22"/>
      <c r="G1259" s="23"/>
      <c r="H1259" s="23"/>
      <c r="I1259" s="23"/>
      <c r="J1259" s="23"/>
      <c r="K1259" s="40"/>
      <c r="L1259" s="23"/>
      <c r="M1259" s="23"/>
      <c r="N1259" s="23"/>
      <c r="O1259" s="23"/>
      <c r="P1259" s="23"/>
      <c r="Q1259" s="40"/>
      <c r="R1259" s="23"/>
      <c r="S1259" s="23"/>
      <c r="T1259" s="23"/>
      <c r="U1259" s="23"/>
      <c r="W1259" s="40"/>
      <c r="X1259" s="23"/>
      <c r="Y1259" s="23"/>
      <c r="Z1259" s="23"/>
      <c r="AA1259" s="19"/>
      <c r="AB1259" s="20"/>
      <c r="AC1259" s="21"/>
      <c r="AD1259" s="22"/>
      <c r="AF1259" s="84"/>
      <c r="AG1259" s="85"/>
      <c r="AH1259" s="84"/>
      <c r="AI1259" s="84"/>
      <c r="AK1259" s="23"/>
      <c r="AL1259" s="81"/>
      <c r="AM1259" s="81"/>
      <c r="AN1259" s="81"/>
      <c r="AO1259" s="23"/>
    </row>
    <row r="1260" spans="1:41" s="24" customFormat="1" x14ac:dyDescent="0.25">
      <c r="A1260" s="18"/>
      <c r="B1260" s="73"/>
      <c r="C1260" s="70"/>
      <c r="D1260" s="20"/>
      <c r="E1260" s="21"/>
      <c r="F1260" s="22"/>
      <c r="G1260" s="23"/>
      <c r="H1260" s="23"/>
      <c r="I1260" s="23"/>
      <c r="J1260" s="23"/>
      <c r="K1260" s="40"/>
      <c r="L1260" s="23"/>
      <c r="M1260" s="23"/>
      <c r="N1260" s="23"/>
      <c r="O1260" s="23"/>
      <c r="P1260" s="23"/>
      <c r="Q1260" s="40"/>
      <c r="R1260" s="23"/>
      <c r="S1260" s="23"/>
      <c r="T1260" s="23"/>
      <c r="U1260" s="23"/>
      <c r="W1260" s="40"/>
      <c r="X1260" s="23"/>
      <c r="Y1260" s="23"/>
      <c r="Z1260" s="23"/>
      <c r="AA1260" s="19"/>
      <c r="AB1260" s="20"/>
      <c r="AC1260" s="21"/>
      <c r="AD1260" s="22"/>
      <c r="AF1260" s="84"/>
      <c r="AG1260" s="85"/>
      <c r="AH1260" s="84"/>
      <c r="AI1260" s="84"/>
      <c r="AK1260" s="23"/>
      <c r="AL1260" s="81"/>
      <c r="AM1260" s="81"/>
      <c r="AN1260" s="81"/>
      <c r="AO1260" s="23"/>
    </row>
    <row r="1261" spans="1:41" s="24" customFormat="1" x14ac:dyDescent="0.25">
      <c r="A1261" s="18"/>
      <c r="B1261" s="73"/>
      <c r="C1261" s="70"/>
      <c r="D1261" s="20"/>
      <c r="E1261" s="21"/>
      <c r="F1261" s="22"/>
      <c r="G1261" s="23"/>
      <c r="H1261" s="23"/>
      <c r="I1261" s="23"/>
      <c r="J1261" s="23"/>
      <c r="K1261" s="40"/>
      <c r="L1261" s="23"/>
      <c r="M1261" s="23"/>
      <c r="N1261" s="23"/>
      <c r="O1261" s="23"/>
      <c r="P1261" s="23"/>
      <c r="Q1261" s="40"/>
      <c r="R1261" s="23"/>
      <c r="S1261" s="23"/>
      <c r="T1261" s="23"/>
      <c r="U1261" s="23"/>
      <c r="W1261" s="40"/>
      <c r="X1261" s="23"/>
      <c r="Y1261" s="23"/>
      <c r="Z1261" s="23"/>
      <c r="AA1261" s="19"/>
      <c r="AB1261" s="20"/>
      <c r="AC1261" s="21"/>
      <c r="AD1261" s="22"/>
      <c r="AF1261" s="84"/>
      <c r="AG1261" s="85"/>
      <c r="AH1261" s="84"/>
      <c r="AI1261" s="84"/>
      <c r="AK1261" s="23"/>
      <c r="AL1261" s="81"/>
      <c r="AM1261" s="81"/>
      <c r="AN1261" s="81"/>
      <c r="AO1261" s="23"/>
    </row>
    <row r="1262" spans="1:41" s="24" customFormat="1" x14ac:dyDescent="0.25">
      <c r="A1262" s="18"/>
      <c r="B1262" s="73"/>
      <c r="C1262" s="70"/>
      <c r="D1262" s="20"/>
      <c r="E1262" s="21"/>
      <c r="F1262" s="22"/>
      <c r="G1262" s="23"/>
      <c r="H1262" s="23"/>
      <c r="I1262" s="23"/>
      <c r="J1262" s="23"/>
      <c r="K1262" s="40"/>
      <c r="L1262" s="23"/>
      <c r="M1262" s="23"/>
      <c r="N1262" s="23"/>
      <c r="O1262" s="23"/>
      <c r="P1262" s="23"/>
      <c r="Q1262" s="40"/>
      <c r="R1262" s="23"/>
      <c r="S1262" s="23"/>
      <c r="T1262" s="23"/>
      <c r="U1262" s="23"/>
      <c r="W1262" s="40"/>
      <c r="X1262" s="23"/>
      <c r="Y1262" s="23"/>
      <c r="Z1262" s="23"/>
      <c r="AA1262" s="19"/>
      <c r="AB1262" s="20"/>
      <c r="AC1262" s="21"/>
      <c r="AD1262" s="22"/>
      <c r="AF1262" s="84"/>
      <c r="AG1262" s="85"/>
      <c r="AH1262" s="84"/>
      <c r="AI1262" s="84"/>
      <c r="AK1262" s="23"/>
      <c r="AL1262" s="81"/>
      <c r="AM1262" s="81"/>
      <c r="AN1262" s="81"/>
      <c r="AO1262" s="23"/>
    </row>
    <row r="1263" spans="1:41" s="24" customFormat="1" x14ac:dyDescent="0.25">
      <c r="A1263" s="18"/>
      <c r="B1263" s="73"/>
      <c r="C1263" s="70"/>
      <c r="D1263" s="20"/>
      <c r="E1263" s="21"/>
      <c r="F1263" s="22"/>
      <c r="G1263" s="23"/>
      <c r="H1263" s="23"/>
      <c r="I1263" s="23"/>
      <c r="J1263" s="23"/>
      <c r="K1263" s="40"/>
      <c r="L1263" s="23"/>
      <c r="M1263" s="23"/>
      <c r="N1263" s="23"/>
      <c r="O1263" s="23"/>
      <c r="P1263" s="23"/>
      <c r="Q1263" s="40"/>
      <c r="R1263" s="23"/>
      <c r="S1263" s="23"/>
      <c r="T1263" s="23"/>
      <c r="U1263" s="23"/>
      <c r="W1263" s="40"/>
      <c r="X1263" s="23"/>
      <c r="Y1263" s="23"/>
      <c r="Z1263" s="23"/>
      <c r="AA1263" s="19"/>
      <c r="AB1263" s="20"/>
      <c r="AC1263" s="21"/>
      <c r="AD1263" s="22"/>
      <c r="AF1263" s="84"/>
      <c r="AG1263" s="85"/>
      <c r="AH1263" s="84"/>
      <c r="AI1263" s="84"/>
      <c r="AK1263" s="23"/>
      <c r="AL1263" s="81"/>
      <c r="AM1263" s="81"/>
      <c r="AN1263" s="81"/>
      <c r="AO1263" s="23"/>
    </row>
    <row r="1264" spans="1:41" s="24" customFormat="1" x14ac:dyDescent="0.25">
      <c r="A1264" s="18"/>
      <c r="B1264" s="73"/>
      <c r="C1264" s="70"/>
      <c r="D1264" s="20"/>
      <c r="E1264" s="21"/>
      <c r="F1264" s="22"/>
      <c r="G1264" s="23"/>
      <c r="H1264" s="23"/>
      <c r="I1264" s="23"/>
      <c r="J1264" s="23"/>
      <c r="K1264" s="40"/>
      <c r="L1264" s="23"/>
      <c r="M1264" s="23"/>
      <c r="N1264" s="23"/>
      <c r="O1264" s="23"/>
      <c r="P1264" s="23"/>
      <c r="Q1264" s="40"/>
      <c r="R1264" s="23"/>
      <c r="S1264" s="23"/>
      <c r="T1264" s="23"/>
      <c r="U1264" s="23"/>
      <c r="W1264" s="40"/>
      <c r="X1264" s="23"/>
      <c r="Y1264" s="23"/>
      <c r="Z1264" s="23"/>
      <c r="AA1264" s="19"/>
      <c r="AB1264" s="20"/>
      <c r="AC1264" s="21"/>
      <c r="AD1264" s="22"/>
      <c r="AF1264" s="84"/>
      <c r="AG1264" s="85"/>
      <c r="AH1264" s="84"/>
      <c r="AI1264" s="84"/>
      <c r="AK1264" s="23"/>
      <c r="AL1264" s="81"/>
      <c r="AM1264" s="81"/>
      <c r="AN1264" s="81"/>
      <c r="AO1264" s="23"/>
    </row>
    <row r="1265" spans="1:41" s="24" customFormat="1" x14ac:dyDescent="0.25">
      <c r="A1265" s="18"/>
      <c r="B1265" s="73"/>
      <c r="C1265" s="70"/>
      <c r="D1265" s="20"/>
      <c r="E1265" s="21"/>
      <c r="F1265" s="22"/>
      <c r="G1265" s="23"/>
      <c r="H1265" s="23"/>
      <c r="I1265" s="23"/>
      <c r="J1265" s="23"/>
      <c r="K1265" s="40"/>
      <c r="L1265" s="23"/>
      <c r="M1265" s="23"/>
      <c r="N1265" s="23"/>
      <c r="O1265" s="23"/>
      <c r="P1265" s="23"/>
      <c r="Q1265" s="40"/>
      <c r="R1265" s="23"/>
      <c r="S1265" s="23"/>
      <c r="T1265" s="23"/>
      <c r="U1265" s="23"/>
      <c r="W1265" s="40"/>
      <c r="X1265" s="23"/>
      <c r="Y1265" s="23"/>
      <c r="Z1265" s="23"/>
      <c r="AA1265" s="19"/>
      <c r="AB1265" s="20"/>
      <c r="AC1265" s="21"/>
      <c r="AD1265" s="22"/>
      <c r="AF1265" s="84"/>
      <c r="AG1265" s="85"/>
      <c r="AH1265" s="84"/>
      <c r="AI1265" s="84"/>
      <c r="AK1265" s="23"/>
      <c r="AL1265" s="81"/>
      <c r="AM1265" s="81"/>
      <c r="AN1265" s="81"/>
      <c r="AO1265" s="23"/>
    </row>
    <row r="1266" spans="1:41" s="24" customFormat="1" x14ac:dyDescent="0.25">
      <c r="A1266" s="18"/>
      <c r="B1266" s="73"/>
      <c r="C1266" s="70"/>
      <c r="D1266" s="20"/>
      <c r="E1266" s="21"/>
      <c r="F1266" s="22"/>
      <c r="G1266" s="23"/>
      <c r="H1266" s="23"/>
      <c r="I1266" s="23"/>
      <c r="J1266" s="23"/>
      <c r="K1266" s="40"/>
      <c r="L1266" s="23"/>
      <c r="M1266" s="23"/>
      <c r="N1266" s="23"/>
      <c r="O1266" s="23"/>
      <c r="P1266" s="23"/>
      <c r="Q1266" s="40"/>
      <c r="R1266" s="23"/>
      <c r="S1266" s="23"/>
      <c r="T1266" s="23"/>
      <c r="U1266" s="23"/>
      <c r="W1266" s="40"/>
      <c r="X1266" s="23"/>
      <c r="Y1266" s="23"/>
      <c r="Z1266" s="23"/>
      <c r="AA1266" s="19"/>
      <c r="AB1266" s="20"/>
      <c r="AC1266" s="21"/>
      <c r="AD1266" s="22"/>
      <c r="AF1266" s="84"/>
      <c r="AG1266" s="85"/>
      <c r="AH1266" s="84"/>
      <c r="AI1266" s="84"/>
      <c r="AK1266" s="23"/>
      <c r="AL1266" s="81"/>
      <c r="AM1266" s="81"/>
      <c r="AN1266" s="81"/>
      <c r="AO1266" s="23"/>
    </row>
    <row r="1267" spans="1:41" s="24" customFormat="1" x14ac:dyDescent="0.25">
      <c r="A1267" s="18"/>
      <c r="B1267" s="73"/>
      <c r="C1267" s="70"/>
      <c r="D1267" s="20"/>
      <c r="E1267" s="21"/>
      <c r="F1267" s="22"/>
      <c r="G1267" s="23"/>
      <c r="H1267" s="23"/>
      <c r="I1267" s="23"/>
      <c r="J1267" s="23"/>
      <c r="K1267" s="40"/>
      <c r="L1267" s="23"/>
      <c r="M1267" s="23"/>
      <c r="N1267" s="23"/>
      <c r="O1267" s="23"/>
      <c r="P1267" s="23"/>
      <c r="Q1267" s="40"/>
      <c r="R1267" s="23"/>
      <c r="S1267" s="23"/>
      <c r="T1267" s="23"/>
      <c r="U1267" s="23"/>
      <c r="W1267" s="40"/>
      <c r="X1267" s="23"/>
      <c r="Y1267" s="23"/>
      <c r="Z1267" s="23"/>
      <c r="AA1267" s="19"/>
      <c r="AB1267" s="20"/>
      <c r="AC1267" s="21"/>
      <c r="AD1267" s="22"/>
      <c r="AF1267" s="84"/>
      <c r="AG1267" s="85"/>
      <c r="AH1267" s="84"/>
      <c r="AI1267" s="84"/>
      <c r="AK1267" s="23"/>
      <c r="AL1267" s="81"/>
      <c r="AM1267" s="81"/>
      <c r="AN1267" s="81"/>
      <c r="AO1267" s="23"/>
    </row>
    <row r="1268" spans="1:41" s="24" customFormat="1" x14ac:dyDescent="0.25">
      <c r="A1268" s="18"/>
      <c r="B1268" s="73"/>
      <c r="C1268" s="70"/>
      <c r="D1268" s="20"/>
      <c r="E1268" s="21"/>
      <c r="F1268" s="22"/>
      <c r="G1268" s="23"/>
      <c r="H1268" s="23"/>
      <c r="I1268" s="23"/>
      <c r="J1268" s="23"/>
      <c r="K1268" s="40"/>
      <c r="L1268" s="23"/>
      <c r="M1268" s="23"/>
      <c r="N1268" s="23"/>
      <c r="O1268" s="23"/>
      <c r="P1268" s="23"/>
      <c r="Q1268" s="40"/>
      <c r="R1268" s="23"/>
      <c r="S1268" s="23"/>
      <c r="T1268" s="23"/>
      <c r="U1268" s="23"/>
      <c r="W1268" s="40"/>
      <c r="X1268" s="23"/>
      <c r="Y1268" s="23"/>
      <c r="Z1268" s="23"/>
      <c r="AA1268" s="19"/>
      <c r="AB1268" s="20"/>
      <c r="AC1268" s="21"/>
      <c r="AD1268" s="22"/>
      <c r="AF1268" s="84"/>
      <c r="AG1268" s="85"/>
      <c r="AH1268" s="84"/>
      <c r="AI1268" s="84"/>
      <c r="AK1268" s="23"/>
      <c r="AL1268" s="81"/>
      <c r="AM1268" s="81"/>
      <c r="AN1268" s="81"/>
      <c r="AO1268" s="23"/>
    </row>
    <row r="1269" spans="1:41" s="24" customFormat="1" x14ac:dyDescent="0.25">
      <c r="A1269" s="18"/>
      <c r="B1269" s="73"/>
      <c r="C1269" s="70"/>
      <c r="D1269" s="20"/>
      <c r="E1269" s="21"/>
      <c r="F1269" s="22"/>
      <c r="G1269" s="23"/>
      <c r="H1269" s="23"/>
      <c r="I1269" s="23"/>
      <c r="J1269" s="23"/>
      <c r="K1269" s="40"/>
      <c r="L1269" s="23"/>
      <c r="M1269" s="23"/>
      <c r="N1269" s="23"/>
      <c r="O1269" s="23"/>
      <c r="P1269" s="23"/>
      <c r="Q1269" s="40"/>
      <c r="R1269" s="23"/>
      <c r="S1269" s="23"/>
      <c r="T1269" s="23"/>
      <c r="U1269" s="23"/>
      <c r="W1269" s="40"/>
      <c r="X1269" s="23"/>
      <c r="Y1269" s="23"/>
      <c r="Z1269" s="23"/>
      <c r="AA1269" s="19"/>
      <c r="AB1269" s="20"/>
      <c r="AC1269" s="21"/>
      <c r="AD1269" s="22"/>
      <c r="AF1269" s="84"/>
      <c r="AG1269" s="85"/>
      <c r="AH1269" s="84"/>
      <c r="AI1269" s="84"/>
      <c r="AK1269" s="23"/>
      <c r="AL1269" s="81"/>
      <c r="AM1269" s="81"/>
      <c r="AN1269" s="81"/>
      <c r="AO1269" s="23"/>
    </row>
    <row r="1270" spans="1:41" s="24" customFormat="1" x14ac:dyDescent="0.25">
      <c r="A1270" s="18"/>
      <c r="B1270" s="73"/>
      <c r="C1270" s="70"/>
      <c r="D1270" s="20"/>
      <c r="E1270" s="21"/>
      <c r="F1270" s="22"/>
      <c r="G1270" s="23"/>
      <c r="H1270" s="23"/>
      <c r="I1270" s="23"/>
      <c r="J1270" s="23"/>
      <c r="K1270" s="40"/>
      <c r="L1270" s="23"/>
      <c r="M1270" s="23"/>
      <c r="N1270" s="23"/>
      <c r="O1270" s="23"/>
      <c r="P1270" s="23"/>
      <c r="Q1270" s="40"/>
      <c r="R1270" s="23"/>
      <c r="S1270" s="23"/>
      <c r="T1270" s="23"/>
      <c r="U1270" s="23"/>
      <c r="W1270" s="40"/>
      <c r="X1270" s="23"/>
      <c r="Y1270" s="23"/>
      <c r="Z1270" s="23"/>
      <c r="AA1270" s="19"/>
      <c r="AB1270" s="20"/>
      <c r="AC1270" s="21"/>
      <c r="AD1270" s="22"/>
      <c r="AF1270" s="84"/>
      <c r="AG1270" s="85"/>
      <c r="AH1270" s="84"/>
      <c r="AI1270" s="84"/>
      <c r="AK1270" s="23"/>
      <c r="AL1270" s="81"/>
      <c r="AM1270" s="81"/>
      <c r="AN1270" s="81"/>
      <c r="AO1270" s="23"/>
    </row>
    <row r="1271" spans="1:41" s="24" customFormat="1" x14ac:dyDescent="0.25">
      <c r="A1271" s="18"/>
      <c r="B1271" s="73"/>
      <c r="C1271" s="70"/>
      <c r="D1271" s="20"/>
      <c r="E1271" s="21"/>
      <c r="F1271" s="22"/>
      <c r="G1271" s="23"/>
      <c r="H1271" s="23"/>
      <c r="I1271" s="23"/>
      <c r="J1271" s="23"/>
      <c r="K1271" s="40"/>
      <c r="L1271" s="23"/>
      <c r="M1271" s="23"/>
      <c r="N1271" s="23"/>
      <c r="O1271" s="23"/>
      <c r="P1271" s="23"/>
      <c r="Q1271" s="40"/>
      <c r="R1271" s="23"/>
      <c r="S1271" s="23"/>
      <c r="T1271" s="23"/>
      <c r="U1271" s="23"/>
      <c r="W1271" s="40"/>
      <c r="X1271" s="23"/>
      <c r="Y1271" s="23"/>
      <c r="Z1271" s="23"/>
      <c r="AA1271" s="19"/>
      <c r="AB1271" s="20"/>
      <c r="AC1271" s="21"/>
      <c r="AD1271" s="22"/>
      <c r="AF1271" s="84"/>
      <c r="AG1271" s="85"/>
      <c r="AH1271" s="84"/>
      <c r="AI1271" s="84"/>
      <c r="AK1271" s="23"/>
      <c r="AL1271" s="81"/>
      <c r="AM1271" s="81"/>
      <c r="AN1271" s="81"/>
      <c r="AO1271" s="23"/>
    </row>
    <row r="1272" spans="1:41" s="24" customFormat="1" x14ac:dyDescent="0.25">
      <c r="A1272" s="18"/>
      <c r="B1272" s="73"/>
      <c r="C1272" s="70"/>
      <c r="D1272" s="20"/>
      <c r="E1272" s="21"/>
      <c r="F1272" s="22"/>
      <c r="G1272" s="23"/>
      <c r="H1272" s="23"/>
      <c r="I1272" s="23"/>
      <c r="J1272" s="23"/>
      <c r="K1272" s="40"/>
      <c r="L1272" s="23"/>
      <c r="M1272" s="23"/>
      <c r="N1272" s="23"/>
      <c r="O1272" s="23"/>
      <c r="P1272" s="23"/>
      <c r="Q1272" s="40"/>
      <c r="R1272" s="23"/>
      <c r="S1272" s="23"/>
      <c r="T1272" s="23"/>
      <c r="U1272" s="23"/>
      <c r="W1272" s="40"/>
      <c r="X1272" s="23"/>
      <c r="Y1272" s="23"/>
      <c r="Z1272" s="23"/>
      <c r="AA1272" s="19"/>
      <c r="AB1272" s="20"/>
      <c r="AC1272" s="21"/>
      <c r="AD1272" s="22"/>
      <c r="AF1272" s="84"/>
      <c r="AG1272" s="85"/>
      <c r="AH1272" s="84"/>
      <c r="AI1272" s="84"/>
      <c r="AK1272" s="23"/>
      <c r="AL1272" s="81"/>
      <c r="AM1272" s="81"/>
      <c r="AN1272" s="81"/>
      <c r="AO1272" s="23"/>
    </row>
    <row r="1273" spans="1:41" s="24" customFormat="1" x14ac:dyDescent="0.25">
      <c r="A1273" s="18"/>
      <c r="B1273" s="73"/>
      <c r="C1273" s="70"/>
      <c r="D1273" s="20"/>
      <c r="E1273" s="21"/>
      <c r="F1273" s="22"/>
      <c r="G1273" s="23"/>
      <c r="H1273" s="23"/>
      <c r="I1273" s="23"/>
      <c r="J1273" s="23"/>
      <c r="K1273" s="40"/>
      <c r="L1273" s="23"/>
      <c r="M1273" s="23"/>
      <c r="N1273" s="23"/>
      <c r="O1273" s="23"/>
      <c r="P1273" s="23"/>
      <c r="Q1273" s="40"/>
      <c r="R1273" s="23"/>
      <c r="S1273" s="23"/>
      <c r="T1273" s="23"/>
      <c r="U1273" s="23"/>
      <c r="W1273" s="40"/>
      <c r="X1273" s="23"/>
      <c r="Y1273" s="23"/>
      <c r="Z1273" s="23"/>
      <c r="AA1273" s="19"/>
      <c r="AB1273" s="20"/>
      <c r="AC1273" s="21"/>
      <c r="AD1273" s="22"/>
      <c r="AF1273" s="84"/>
      <c r="AG1273" s="85"/>
      <c r="AH1273" s="84"/>
      <c r="AI1273" s="84"/>
      <c r="AK1273" s="23"/>
      <c r="AL1273" s="81"/>
      <c r="AM1273" s="81"/>
      <c r="AN1273" s="81"/>
      <c r="AO1273" s="23"/>
    </row>
    <row r="1274" spans="1:41" s="24" customFormat="1" x14ac:dyDescent="0.25">
      <c r="A1274" s="18"/>
      <c r="B1274" s="73"/>
      <c r="C1274" s="70"/>
      <c r="D1274" s="20"/>
      <c r="E1274" s="21"/>
      <c r="F1274" s="22"/>
      <c r="G1274" s="23"/>
      <c r="H1274" s="23"/>
      <c r="I1274" s="23"/>
      <c r="J1274" s="23"/>
      <c r="K1274" s="40"/>
      <c r="L1274" s="23"/>
      <c r="M1274" s="23"/>
      <c r="N1274" s="23"/>
      <c r="O1274" s="23"/>
      <c r="P1274" s="23"/>
      <c r="Q1274" s="40"/>
      <c r="R1274" s="23"/>
      <c r="S1274" s="23"/>
      <c r="T1274" s="23"/>
      <c r="U1274" s="23"/>
      <c r="W1274" s="40"/>
      <c r="X1274" s="23"/>
      <c r="Y1274" s="23"/>
      <c r="Z1274" s="23"/>
      <c r="AA1274" s="19"/>
      <c r="AB1274" s="20"/>
      <c r="AC1274" s="21"/>
      <c r="AD1274" s="22"/>
      <c r="AF1274" s="84"/>
      <c r="AG1274" s="85"/>
      <c r="AH1274" s="84"/>
      <c r="AI1274" s="84"/>
      <c r="AK1274" s="23"/>
      <c r="AL1274" s="81"/>
      <c r="AM1274" s="81"/>
      <c r="AN1274" s="81"/>
      <c r="AO1274" s="23"/>
    </row>
    <row r="1275" spans="1:41" s="24" customFormat="1" x14ac:dyDescent="0.25">
      <c r="A1275" s="18"/>
      <c r="B1275" s="73"/>
      <c r="C1275" s="70"/>
      <c r="D1275" s="20"/>
      <c r="E1275" s="21"/>
      <c r="F1275" s="22"/>
      <c r="G1275" s="23"/>
      <c r="H1275" s="23"/>
      <c r="I1275" s="23"/>
      <c r="J1275" s="23"/>
      <c r="K1275" s="40"/>
      <c r="L1275" s="23"/>
      <c r="M1275" s="23"/>
      <c r="N1275" s="23"/>
      <c r="O1275" s="23"/>
      <c r="P1275" s="23"/>
      <c r="Q1275" s="40"/>
      <c r="R1275" s="23"/>
      <c r="S1275" s="23"/>
      <c r="T1275" s="23"/>
      <c r="U1275" s="23"/>
      <c r="W1275" s="40"/>
      <c r="X1275" s="23"/>
      <c r="Y1275" s="23"/>
      <c r="Z1275" s="23"/>
      <c r="AA1275" s="19"/>
      <c r="AB1275" s="20"/>
      <c r="AC1275" s="21"/>
      <c r="AD1275" s="22"/>
      <c r="AF1275" s="84"/>
      <c r="AG1275" s="85"/>
      <c r="AH1275" s="84"/>
      <c r="AI1275" s="84"/>
      <c r="AK1275" s="23"/>
      <c r="AL1275" s="81"/>
      <c r="AM1275" s="81"/>
      <c r="AN1275" s="81"/>
      <c r="AO1275" s="23"/>
    </row>
    <row r="1276" spans="1:41" s="24" customFormat="1" x14ac:dyDescent="0.25">
      <c r="A1276" s="18"/>
      <c r="B1276" s="73"/>
      <c r="C1276" s="70"/>
      <c r="D1276" s="20"/>
      <c r="E1276" s="21"/>
      <c r="F1276" s="22"/>
      <c r="G1276" s="23"/>
      <c r="H1276" s="23"/>
      <c r="I1276" s="23"/>
      <c r="J1276" s="23"/>
      <c r="K1276" s="40"/>
      <c r="L1276" s="23"/>
      <c r="M1276" s="23"/>
      <c r="N1276" s="23"/>
      <c r="O1276" s="23"/>
      <c r="P1276" s="23"/>
      <c r="Q1276" s="40"/>
      <c r="R1276" s="23"/>
      <c r="S1276" s="23"/>
      <c r="T1276" s="23"/>
      <c r="U1276" s="23"/>
      <c r="W1276" s="40"/>
      <c r="X1276" s="23"/>
      <c r="Y1276" s="23"/>
      <c r="Z1276" s="23"/>
      <c r="AA1276" s="19"/>
      <c r="AB1276" s="20"/>
      <c r="AC1276" s="21"/>
      <c r="AD1276" s="22"/>
      <c r="AF1276" s="84"/>
      <c r="AG1276" s="85"/>
      <c r="AH1276" s="84"/>
      <c r="AI1276" s="84"/>
      <c r="AK1276" s="23"/>
      <c r="AL1276" s="81"/>
      <c r="AM1276" s="81"/>
      <c r="AN1276" s="81"/>
      <c r="AO1276" s="23"/>
    </row>
    <row r="1277" spans="1:41" s="24" customFormat="1" x14ac:dyDescent="0.25">
      <c r="A1277" s="18"/>
      <c r="B1277" s="73"/>
      <c r="C1277" s="70"/>
      <c r="D1277" s="20"/>
      <c r="E1277" s="21"/>
      <c r="F1277" s="22"/>
      <c r="G1277" s="23"/>
      <c r="H1277" s="23"/>
      <c r="I1277" s="23"/>
      <c r="J1277" s="23"/>
      <c r="K1277" s="40"/>
      <c r="L1277" s="23"/>
      <c r="M1277" s="23"/>
      <c r="N1277" s="23"/>
      <c r="O1277" s="23"/>
      <c r="P1277" s="23"/>
      <c r="Q1277" s="40"/>
      <c r="R1277" s="23"/>
      <c r="S1277" s="23"/>
      <c r="T1277" s="23"/>
      <c r="U1277" s="23"/>
      <c r="W1277" s="40"/>
      <c r="X1277" s="23"/>
      <c r="Y1277" s="23"/>
      <c r="Z1277" s="23"/>
      <c r="AA1277" s="19"/>
      <c r="AB1277" s="20"/>
      <c r="AC1277" s="21"/>
      <c r="AD1277" s="22"/>
      <c r="AF1277" s="84"/>
      <c r="AG1277" s="85"/>
      <c r="AH1277" s="84"/>
      <c r="AI1277" s="84"/>
      <c r="AK1277" s="23"/>
      <c r="AL1277" s="81"/>
      <c r="AM1277" s="81"/>
      <c r="AN1277" s="81"/>
      <c r="AO1277" s="23"/>
    </row>
    <row r="1278" spans="1:41" s="24" customFormat="1" x14ac:dyDescent="0.25">
      <c r="A1278" s="18"/>
      <c r="B1278" s="73"/>
      <c r="C1278" s="70"/>
      <c r="D1278" s="20"/>
      <c r="E1278" s="21"/>
      <c r="F1278" s="22"/>
      <c r="G1278" s="23"/>
      <c r="H1278" s="23"/>
      <c r="I1278" s="23"/>
      <c r="J1278" s="23"/>
      <c r="K1278" s="40"/>
      <c r="L1278" s="23"/>
      <c r="M1278" s="23"/>
      <c r="N1278" s="23"/>
      <c r="O1278" s="23"/>
      <c r="P1278" s="23"/>
      <c r="Q1278" s="40"/>
      <c r="R1278" s="23"/>
      <c r="S1278" s="23"/>
      <c r="T1278" s="23"/>
      <c r="U1278" s="23"/>
      <c r="W1278" s="40"/>
      <c r="X1278" s="23"/>
      <c r="Y1278" s="23"/>
      <c r="Z1278" s="23"/>
      <c r="AA1278" s="19"/>
      <c r="AB1278" s="20"/>
      <c r="AC1278" s="21"/>
      <c r="AD1278" s="22"/>
      <c r="AF1278" s="84"/>
      <c r="AG1278" s="85"/>
      <c r="AH1278" s="84"/>
      <c r="AI1278" s="84"/>
      <c r="AK1278" s="23"/>
      <c r="AL1278" s="81"/>
      <c r="AM1278" s="81"/>
      <c r="AN1278" s="81"/>
      <c r="AO1278" s="23"/>
    </row>
    <row r="1279" spans="1:41" s="24" customFormat="1" x14ac:dyDescent="0.25">
      <c r="A1279" s="18"/>
      <c r="B1279" s="73"/>
      <c r="C1279" s="70"/>
      <c r="D1279" s="20"/>
      <c r="E1279" s="21"/>
      <c r="F1279" s="22"/>
      <c r="G1279" s="23"/>
      <c r="H1279" s="23"/>
      <c r="I1279" s="23"/>
      <c r="J1279" s="23"/>
      <c r="K1279" s="40"/>
      <c r="L1279" s="23"/>
      <c r="M1279" s="23"/>
      <c r="N1279" s="23"/>
      <c r="O1279" s="23"/>
      <c r="P1279" s="23"/>
      <c r="Q1279" s="40"/>
      <c r="R1279" s="23"/>
      <c r="S1279" s="23"/>
      <c r="T1279" s="23"/>
      <c r="U1279" s="23"/>
      <c r="W1279" s="40"/>
      <c r="X1279" s="23"/>
      <c r="Y1279" s="23"/>
      <c r="Z1279" s="23"/>
      <c r="AA1279" s="19"/>
      <c r="AB1279" s="20"/>
      <c r="AC1279" s="21"/>
      <c r="AD1279" s="22"/>
      <c r="AF1279" s="84"/>
      <c r="AG1279" s="85"/>
      <c r="AH1279" s="84"/>
      <c r="AI1279" s="84"/>
      <c r="AK1279" s="23"/>
      <c r="AL1279" s="81"/>
      <c r="AM1279" s="81"/>
      <c r="AN1279" s="81"/>
      <c r="AO1279" s="23"/>
    </row>
    <row r="1280" spans="1:41" s="24" customFormat="1" x14ac:dyDescent="0.25">
      <c r="A1280" s="18"/>
      <c r="B1280" s="73"/>
      <c r="C1280" s="70"/>
      <c r="D1280" s="20"/>
      <c r="E1280" s="21"/>
      <c r="F1280" s="22"/>
      <c r="G1280" s="23"/>
      <c r="H1280" s="23"/>
      <c r="I1280" s="23"/>
      <c r="J1280" s="23"/>
      <c r="K1280" s="40"/>
      <c r="L1280" s="23"/>
      <c r="M1280" s="23"/>
      <c r="N1280" s="23"/>
      <c r="O1280" s="23"/>
      <c r="P1280" s="23"/>
      <c r="Q1280" s="40"/>
      <c r="R1280" s="23"/>
      <c r="S1280" s="23"/>
      <c r="T1280" s="23"/>
      <c r="U1280" s="23"/>
      <c r="W1280" s="40"/>
      <c r="X1280" s="23"/>
      <c r="Y1280" s="23"/>
      <c r="Z1280" s="23"/>
      <c r="AA1280" s="19"/>
      <c r="AB1280" s="20"/>
      <c r="AC1280" s="21"/>
      <c r="AD1280" s="22"/>
      <c r="AF1280" s="84"/>
      <c r="AG1280" s="85"/>
      <c r="AH1280" s="84"/>
      <c r="AI1280" s="84"/>
      <c r="AK1280" s="23"/>
      <c r="AL1280" s="81"/>
      <c r="AM1280" s="81"/>
      <c r="AN1280" s="81"/>
      <c r="AO1280" s="23"/>
    </row>
    <row r="1281" spans="1:41" s="24" customFormat="1" x14ac:dyDescent="0.25">
      <c r="A1281" s="18"/>
      <c r="B1281" s="73"/>
      <c r="C1281" s="70"/>
      <c r="D1281" s="20"/>
      <c r="E1281" s="21"/>
      <c r="F1281" s="22"/>
      <c r="G1281" s="23"/>
      <c r="H1281" s="23"/>
      <c r="I1281" s="23"/>
      <c r="J1281" s="23"/>
      <c r="K1281" s="40"/>
      <c r="L1281" s="23"/>
      <c r="M1281" s="23"/>
      <c r="N1281" s="23"/>
      <c r="O1281" s="23"/>
      <c r="P1281" s="23"/>
      <c r="Q1281" s="40"/>
      <c r="R1281" s="23"/>
      <c r="S1281" s="23"/>
      <c r="T1281" s="23"/>
      <c r="U1281" s="23"/>
      <c r="W1281" s="40"/>
      <c r="X1281" s="23"/>
      <c r="Y1281" s="23"/>
      <c r="Z1281" s="23"/>
      <c r="AA1281" s="19"/>
      <c r="AB1281" s="20"/>
      <c r="AC1281" s="21"/>
      <c r="AD1281" s="22"/>
      <c r="AF1281" s="84"/>
      <c r="AG1281" s="85"/>
      <c r="AH1281" s="84"/>
      <c r="AI1281" s="84"/>
      <c r="AK1281" s="23"/>
      <c r="AL1281" s="81"/>
      <c r="AM1281" s="81"/>
      <c r="AN1281" s="81"/>
      <c r="AO1281" s="23"/>
    </row>
    <row r="1282" spans="1:41" s="24" customFormat="1" x14ac:dyDescent="0.25">
      <c r="A1282" s="18"/>
      <c r="B1282" s="73"/>
      <c r="C1282" s="70"/>
      <c r="D1282" s="20"/>
      <c r="E1282" s="21"/>
      <c r="F1282" s="22"/>
      <c r="G1282" s="23"/>
      <c r="H1282" s="23"/>
      <c r="I1282" s="23"/>
      <c r="J1282" s="23"/>
      <c r="K1282" s="40"/>
      <c r="L1282" s="23"/>
      <c r="M1282" s="23"/>
      <c r="N1282" s="23"/>
      <c r="O1282" s="23"/>
      <c r="P1282" s="23"/>
      <c r="Q1282" s="40"/>
      <c r="R1282" s="23"/>
      <c r="S1282" s="23"/>
      <c r="T1282" s="23"/>
      <c r="U1282" s="23"/>
      <c r="W1282" s="40"/>
      <c r="X1282" s="23"/>
      <c r="Y1282" s="23"/>
      <c r="Z1282" s="23"/>
      <c r="AA1282" s="19"/>
      <c r="AB1282" s="20"/>
      <c r="AC1282" s="21"/>
      <c r="AD1282" s="22"/>
      <c r="AF1282" s="84"/>
      <c r="AG1282" s="85"/>
      <c r="AH1282" s="84"/>
      <c r="AI1282" s="84"/>
      <c r="AK1282" s="23"/>
      <c r="AL1282" s="81"/>
      <c r="AM1282" s="81"/>
      <c r="AN1282" s="81"/>
      <c r="AO1282" s="23"/>
    </row>
    <row r="1283" spans="1:41" s="24" customFormat="1" x14ac:dyDescent="0.25">
      <c r="A1283" s="18"/>
      <c r="B1283" s="73"/>
      <c r="C1283" s="70"/>
      <c r="D1283" s="20"/>
      <c r="E1283" s="21"/>
      <c r="F1283" s="22"/>
      <c r="G1283" s="23"/>
      <c r="H1283" s="23"/>
      <c r="I1283" s="23"/>
      <c r="J1283" s="23"/>
      <c r="K1283" s="40"/>
      <c r="L1283" s="23"/>
      <c r="M1283" s="23"/>
      <c r="N1283" s="23"/>
      <c r="O1283" s="23"/>
      <c r="P1283" s="23"/>
      <c r="Q1283" s="40"/>
      <c r="R1283" s="23"/>
      <c r="S1283" s="23"/>
      <c r="T1283" s="23"/>
      <c r="U1283" s="23"/>
      <c r="W1283" s="40"/>
      <c r="X1283" s="23"/>
      <c r="Y1283" s="23"/>
      <c r="Z1283" s="23"/>
      <c r="AA1283" s="19"/>
      <c r="AB1283" s="20"/>
      <c r="AC1283" s="21"/>
      <c r="AD1283" s="22"/>
      <c r="AF1283" s="84"/>
      <c r="AG1283" s="85"/>
      <c r="AH1283" s="84"/>
      <c r="AI1283" s="84"/>
      <c r="AK1283" s="23"/>
      <c r="AL1283" s="81"/>
      <c r="AM1283" s="81"/>
      <c r="AN1283" s="81"/>
      <c r="AO1283" s="23"/>
    </row>
    <row r="1284" spans="1:41" s="24" customFormat="1" x14ac:dyDescent="0.25">
      <c r="A1284" s="18"/>
      <c r="B1284" s="73"/>
      <c r="C1284" s="70"/>
      <c r="D1284" s="20"/>
      <c r="E1284" s="21"/>
      <c r="F1284" s="22"/>
      <c r="G1284" s="23"/>
      <c r="H1284" s="23"/>
      <c r="I1284" s="23"/>
      <c r="J1284" s="23"/>
      <c r="K1284" s="40"/>
      <c r="L1284" s="23"/>
      <c r="M1284" s="23"/>
      <c r="N1284" s="23"/>
      <c r="O1284" s="23"/>
      <c r="P1284" s="23"/>
      <c r="Q1284" s="40"/>
      <c r="R1284" s="23"/>
      <c r="S1284" s="23"/>
      <c r="T1284" s="23"/>
      <c r="U1284" s="23"/>
      <c r="W1284" s="40"/>
      <c r="X1284" s="23"/>
      <c r="Y1284" s="23"/>
      <c r="Z1284" s="23"/>
      <c r="AA1284" s="19"/>
      <c r="AB1284" s="20"/>
      <c r="AC1284" s="21"/>
      <c r="AD1284" s="22"/>
      <c r="AF1284" s="84"/>
      <c r="AG1284" s="85"/>
      <c r="AH1284" s="84"/>
      <c r="AI1284" s="84"/>
      <c r="AK1284" s="23"/>
      <c r="AL1284" s="81"/>
      <c r="AM1284" s="81"/>
      <c r="AN1284" s="81"/>
      <c r="AO1284" s="23"/>
    </row>
    <row r="1285" spans="1:41" s="24" customFormat="1" x14ac:dyDescent="0.25">
      <c r="A1285" s="18"/>
      <c r="B1285" s="73"/>
      <c r="C1285" s="70"/>
      <c r="D1285" s="20"/>
      <c r="E1285" s="21"/>
      <c r="F1285" s="22"/>
      <c r="G1285" s="23"/>
      <c r="H1285" s="23"/>
      <c r="I1285" s="23"/>
      <c r="J1285" s="23"/>
      <c r="K1285" s="40"/>
      <c r="L1285" s="23"/>
      <c r="M1285" s="23"/>
      <c r="N1285" s="23"/>
      <c r="O1285" s="23"/>
      <c r="P1285" s="23"/>
      <c r="Q1285" s="40"/>
      <c r="R1285" s="23"/>
      <c r="S1285" s="23"/>
      <c r="T1285" s="23"/>
      <c r="U1285" s="23"/>
      <c r="W1285" s="40"/>
      <c r="X1285" s="23"/>
      <c r="Y1285" s="23"/>
      <c r="Z1285" s="23"/>
      <c r="AA1285" s="19"/>
      <c r="AB1285" s="20"/>
      <c r="AC1285" s="21"/>
      <c r="AD1285" s="22"/>
      <c r="AF1285" s="84"/>
      <c r="AG1285" s="85"/>
      <c r="AH1285" s="84"/>
      <c r="AI1285" s="84"/>
      <c r="AK1285" s="23"/>
      <c r="AL1285" s="81"/>
      <c r="AM1285" s="81"/>
      <c r="AN1285" s="81"/>
      <c r="AO1285" s="23"/>
    </row>
    <row r="1286" spans="1:41" s="24" customFormat="1" x14ac:dyDescent="0.25">
      <c r="A1286" s="18"/>
      <c r="B1286" s="73"/>
      <c r="C1286" s="70"/>
      <c r="D1286" s="20"/>
      <c r="E1286" s="21"/>
      <c r="F1286" s="22"/>
      <c r="G1286" s="23"/>
      <c r="H1286" s="23"/>
      <c r="I1286" s="23"/>
      <c r="J1286" s="23"/>
      <c r="K1286" s="40"/>
      <c r="L1286" s="23"/>
      <c r="M1286" s="23"/>
      <c r="N1286" s="23"/>
      <c r="O1286" s="23"/>
      <c r="P1286" s="23"/>
      <c r="Q1286" s="40"/>
      <c r="R1286" s="23"/>
      <c r="S1286" s="23"/>
      <c r="T1286" s="23"/>
      <c r="U1286" s="23"/>
      <c r="W1286" s="40"/>
      <c r="X1286" s="23"/>
      <c r="Y1286" s="23"/>
      <c r="Z1286" s="23"/>
      <c r="AA1286" s="19"/>
      <c r="AB1286" s="20"/>
      <c r="AC1286" s="21"/>
      <c r="AD1286" s="22"/>
      <c r="AF1286" s="84"/>
      <c r="AG1286" s="85"/>
      <c r="AH1286" s="84"/>
      <c r="AI1286" s="84"/>
      <c r="AK1286" s="23"/>
      <c r="AL1286" s="81"/>
      <c r="AM1286" s="81"/>
      <c r="AN1286" s="81"/>
      <c r="AO1286" s="23"/>
    </row>
    <row r="1287" spans="1:41" s="24" customFormat="1" x14ac:dyDescent="0.25">
      <c r="A1287" s="18"/>
      <c r="B1287" s="73"/>
      <c r="C1287" s="70"/>
      <c r="D1287" s="20"/>
      <c r="E1287" s="21"/>
      <c r="F1287" s="22"/>
      <c r="G1287" s="23"/>
      <c r="H1287" s="23"/>
      <c r="I1287" s="23"/>
      <c r="J1287" s="23"/>
      <c r="K1287" s="40"/>
      <c r="L1287" s="23"/>
      <c r="M1287" s="23"/>
      <c r="N1287" s="23"/>
      <c r="O1287" s="23"/>
      <c r="P1287" s="23"/>
      <c r="Q1287" s="40"/>
      <c r="R1287" s="23"/>
      <c r="S1287" s="23"/>
      <c r="T1287" s="23"/>
      <c r="U1287" s="23"/>
      <c r="W1287" s="40"/>
      <c r="X1287" s="23"/>
      <c r="Y1287" s="23"/>
      <c r="Z1287" s="23"/>
      <c r="AA1287" s="19"/>
      <c r="AB1287" s="20"/>
      <c r="AC1287" s="21"/>
      <c r="AD1287" s="22"/>
      <c r="AF1287" s="84"/>
      <c r="AG1287" s="85"/>
      <c r="AH1287" s="84"/>
      <c r="AI1287" s="84"/>
      <c r="AK1287" s="23"/>
      <c r="AL1287" s="81"/>
      <c r="AM1287" s="81"/>
      <c r="AN1287" s="81"/>
      <c r="AO1287" s="23"/>
    </row>
    <row r="1288" spans="1:41" s="24" customFormat="1" x14ac:dyDescent="0.25">
      <c r="A1288" s="18"/>
      <c r="B1288" s="73"/>
      <c r="C1288" s="70"/>
      <c r="D1288" s="20"/>
      <c r="E1288" s="21"/>
      <c r="F1288" s="22"/>
      <c r="G1288" s="23"/>
      <c r="H1288" s="23"/>
      <c r="I1288" s="23"/>
      <c r="J1288" s="23"/>
      <c r="K1288" s="40"/>
      <c r="L1288" s="23"/>
      <c r="M1288" s="23"/>
      <c r="N1288" s="23"/>
      <c r="O1288" s="23"/>
      <c r="P1288" s="23"/>
      <c r="Q1288" s="40"/>
      <c r="R1288" s="23"/>
      <c r="S1288" s="23"/>
      <c r="T1288" s="23"/>
      <c r="U1288" s="23"/>
      <c r="W1288" s="40"/>
      <c r="X1288" s="23"/>
      <c r="Y1288" s="23"/>
      <c r="Z1288" s="23"/>
      <c r="AA1288" s="19"/>
      <c r="AB1288" s="20"/>
      <c r="AC1288" s="21"/>
      <c r="AD1288" s="22"/>
      <c r="AF1288" s="84"/>
      <c r="AG1288" s="85"/>
      <c r="AH1288" s="84"/>
      <c r="AI1288" s="84"/>
      <c r="AK1288" s="23"/>
      <c r="AL1288" s="81"/>
      <c r="AM1288" s="81"/>
      <c r="AN1288" s="81"/>
      <c r="AO1288" s="23"/>
    </row>
    <row r="1289" spans="1:41" s="24" customFormat="1" x14ac:dyDescent="0.25">
      <c r="A1289" s="18"/>
      <c r="B1289" s="73"/>
      <c r="C1289" s="70"/>
      <c r="D1289" s="20"/>
      <c r="E1289" s="21"/>
      <c r="F1289" s="22"/>
      <c r="G1289" s="23"/>
      <c r="H1289" s="23"/>
      <c r="I1289" s="23"/>
      <c r="J1289" s="23"/>
      <c r="K1289" s="40"/>
      <c r="L1289" s="23"/>
      <c r="M1289" s="23"/>
      <c r="N1289" s="23"/>
      <c r="O1289" s="23"/>
      <c r="P1289" s="23"/>
      <c r="Q1289" s="40"/>
      <c r="R1289" s="23"/>
      <c r="S1289" s="23"/>
      <c r="T1289" s="23"/>
      <c r="U1289" s="23"/>
      <c r="W1289" s="40"/>
      <c r="X1289" s="23"/>
      <c r="Y1289" s="23"/>
      <c r="Z1289" s="23"/>
      <c r="AA1289" s="19"/>
      <c r="AB1289" s="20"/>
      <c r="AC1289" s="21"/>
      <c r="AD1289" s="22"/>
      <c r="AF1289" s="84"/>
      <c r="AG1289" s="85"/>
      <c r="AH1289" s="84"/>
      <c r="AI1289" s="84"/>
      <c r="AK1289" s="23"/>
      <c r="AL1289" s="81"/>
      <c r="AM1289" s="81"/>
      <c r="AN1289" s="81"/>
      <c r="AO1289" s="23"/>
    </row>
    <row r="1290" spans="1:41" s="24" customFormat="1" x14ac:dyDescent="0.25">
      <c r="A1290" s="18"/>
      <c r="B1290" s="73"/>
      <c r="C1290" s="70"/>
      <c r="D1290" s="20"/>
      <c r="E1290" s="21"/>
      <c r="F1290" s="22"/>
      <c r="G1290" s="23"/>
      <c r="H1290" s="23"/>
      <c r="I1290" s="23"/>
      <c r="J1290" s="23"/>
      <c r="K1290" s="40"/>
      <c r="L1290" s="23"/>
      <c r="M1290" s="23"/>
      <c r="N1290" s="23"/>
      <c r="O1290" s="23"/>
      <c r="P1290" s="23"/>
      <c r="Q1290" s="40"/>
      <c r="R1290" s="23"/>
      <c r="S1290" s="23"/>
      <c r="T1290" s="23"/>
      <c r="U1290" s="23"/>
      <c r="W1290" s="40"/>
      <c r="X1290" s="23"/>
      <c r="Y1290" s="23"/>
      <c r="Z1290" s="23"/>
      <c r="AA1290" s="19"/>
      <c r="AB1290" s="20"/>
      <c r="AC1290" s="21"/>
      <c r="AD1290" s="22"/>
      <c r="AF1290" s="84"/>
      <c r="AG1290" s="85"/>
      <c r="AH1290" s="84"/>
      <c r="AI1290" s="84"/>
      <c r="AK1290" s="23"/>
      <c r="AL1290" s="81"/>
      <c r="AM1290" s="81"/>
      <c r="AN1290" s="81"/>
      <c r="AO1290" s="23"/>
    </row>
    <row r="1291" spans="1:41" s="24" customFormat="1" x14ac:dyDescent="0.25">
      <c r="A1291" s="18"/>
      <c r="B1291" s="73"/>
      <c r="C1291" s="70"/>
      <c r="D1291" s="20"/>
      <c r="E1291" s="21"/>
      <c r="F1291" s="22"/>
      <c r="G1291" s="23"/>
      <c r="H1291" s="23"/>
      <c r="I1291" s="23"/>
      <c r="J1291" s="23"/>
      <c r="K1291" s="40"/>
      <c r="L1291" s="23"/>
      <c r="M1291" s="23"/>
      <c r="N1291" s="23"/>
      <c r="O1291" s="23"/>
      <c r="P1291" s="23"/>
      <c r="Q1291" s="40"/>
      <c r="R1291" s="23"/>
      <c r="S1291" s="23"/>
      <c r="T1291" s="23"/>
      <c r="U1291" s="23"/>
      <c r="W1291" s="40"/>
      <c r="X1291" s="23"/>
      <c r="Y1291" s="23"/>
      <c r="Z1291" s="23"/>
      <c r="AA1291" s="19"/>
      <c r="AB1291" s="20"/>
      <c r="AC1291" s="21"/>
      <c r="AD1291" s="22"/>
      <c r="AF1291" s="84"/>
      <c r="AG1291" s="85"/>
      <c r="AH1291" s="84"/>
      <c r="AI1291" s="84"/>
      <c r="AK1291" s="23"/>
      <c r="AL1291" s="81"/>
      <c r="AM1291" s="81"/>
      <c r="AN1291" s="81"/>
      <c r="AO1291" s="23"/>
    </row>
    <row r="1292" spans="1:41" s="24" customFormat="1" x14ac:dyDescent="0.25">
      <c r="A1292" s="18"/>
      <c r="B1292" s="73"/>
      <c r="C1292" s="70"/>
      <c r="D1292" s="20"/>
      <c r="E1292" s="21"/>
      <c r="F1292" s="22"/>
      <c r="G1292" s="23"/>
      <c r="H1292" s="23"/>
      <c r="I1292" s="23"/>
      <c r="J1292" s="23"/>
      <c r="K1292" s="40"/>
      <c r="L1292" s="23"/>
      <c r="M1292" s="23"/>
      <c r="N1292" s="23"/>
      <c r="O1292" s="23"/>
      <c r="P1292" s="23"/>
      <c r="Q1292" s="40"/>
      <c r="R1292" s="23"/>
      <c r="S1292" s="23"/>
      <c r="T1292" s="23"/>
      <c r="U1292" s="23"/>
      <c r="W1292" s="40"/>
      <c r="X1292" s="23"/>
      <c r="Y1292" s="23"/>
      <c r="Z1292" s="23"/>
      <c r="AA1292" s="19"/>
      <c r="AB1292" s="20"/>
      <c r="AC1292" s="21"/>
      <c r="AD1292" s="22"/>
      <c r="AF1292" s="84"/>
      <c r="AG1292" s="85"/>
      <c r="AH1292" s="84"/>
      <c r="AI1292" s="84"/>
      <c r="AK1292" s="23"/>
      <c r="AL1292" s="81"/>
      <c r="AM1292" s="81"/>
      <c r="AN1292" s="81"/>
      <c r="AO1292" s="23"/>
    </row>
    <row r="1293" spans="1:41" s="24" customFormat="1" x14ac:dyDescent="0.25">
      <c r="A1293" s="18"/>
      <c r="B1293" s="73"/>
      <c r="C1293" s="70"/>
      <c r="D1293" s="20"/>
      <c r="E1293" s="21"/>
      <c r="F1293" s="22"/>
      <c r="G1293" s="23"/>
      <c r="H1293" s="23"/>
      <c r="I1293" s="23"/>
      <c r="J1293" s="23"/>
      <c r="K1293" s="40"/>
      <c r="L1293" s="23"/>
      <c r="M1293" s="23"/>
      <c r="N1293" s="23"/>
      <c r="O1293" s="23"/>
      <c r="P1293" s="23"/>
      <c r="Q1293" s="40"/>
      <c r="R1293" s="23"/>
      <c r="S1293" s="23"/>
      <c r="T1293" s="23"/>
      <c r="U1293" s="23"/>
      <c r="W1293" s="40"/>
      <c r="X1293" s="23"/>
      <c r="Y1293" s="23"/>
      <c r="Z1293" s="23"/>
      <c r="AA1293" s="19"/>
      <c r="AB1293" s="20"/>
      <c r="AC1293" s="21"/>
      <c r="AD1293" s="22"/>
      <c r="AF1293" s="84"/>
      <c r="AG1293" s="85"/>
      <c r="AH1293" s="84"/>
      <c r="AI1293" s="84"/>
      <c r="AK1293" s="23"/>
      <c r="AL1293" s="81"/>
      <c r="AM1293" s="81"/>
      <c r="AN1293" s="81"/>
      <c r="AO1293" s="23"/>
    </row>
    <row r="1294" spans="1:41" s="24" customFormat="1" x14ac:dyDescent="0.25">
      <c r="A1294" s="18"/>
      <c r="B1294" s="73"/>
      <c r="C1294" s="70"/>
      <c r="D1294" s="20"/>
      <c r="E1294" s="21"/>
      <c r="F1294" s="22"/>
      <c r="G1294" s="23"/>
      <c r="H1294" s="23"/>
      <c r="I1294" s="23"/>
      <c r="J1294" s="23"/>
      <c r="K1294" s="40"/>
      <c r="L1294" s="23"/>
      <c r="M1294" s="23"/>
      <c r="N1294" s="23"/>
      <c r="O1294" s="23"/>
      <c r="P1294" s="23"/>
      <c r="Q1294" s="40"/>
      <c r="R1294" s="23"/>
      <c r="S1294" s="23"/>
      <c r="T1294" s="23"/>
      <c r="U1294" s="23"/>
      <c r="W1294" s="40"/>
      <c r="X1294" s="23"/>
      <c r="Y1294" s="23"/>
      <c r="Z1294" s="23"/>
      <c r="AA1294" s="19"/>
      <c r="AB1294" s="20"/>
      <c r="AC1294" s="21"/>
      <c r="AD1294" s="22"/>
      <c r="AF1294" s="84"/>
      <c r="AG1294" s="85"/>
      <c r="AH1294" s="84"/>
      <c r="AI1294" s="84"/>
      <c r="AK1294" s="23"/>
      <c r="AL1294" s="81"/>
      <c r="AM1294" s="81"/>
      <c r="AN1294" s="81"/>
      <c r="AO1294" s="23"/>
    </row>
    <row r="1295" spans="1:41" s="24" customFormat="1" x14ac:dyDescent="0.25">
      <c r="A1295" s="18"/>
      <c r="B1295" s="73"/>
      <c r="C1295" s="70"/>
      <c r="D1295" s="20"/>
      <c r="E1295" s="21"/>
      <c r="F1295" s="22"/>
      <c r="G1295" s="23"/>
      <c r="H1295" s="23"/>
      <c r="I1295" s="23"/>
      <c r="J1295" s="23"/>
      <c r="K1295" s="40"/>
      <c r="L1295" s="23"/>
      <c r="M1295" s="23"/>
      <c r="N1295" s="23"/>
      <c r="O1295" s="23"/>
      <c r="P1295" s="23"/>
      <c r="Q1295" s="40"/>
      <c r="R1295" s="23"/>
      <c r="S1295" s="23"/>
      <c r="T1295" s="23"/>
      <c r="U1295" s="23"/>
      <c r="W1295" s="40"/>
      <c r="X1295" s="23"/>
      <c r="Y1295" s="23"/>
      <c r="Z1295" s="23"/>
      <c r="AA1295" s="19"/>
      <c r="AB1295" s="20"/>
      <c r="AC1295" s="21"/>
      <c r="AD1295" s="22"/>
      <c r="AF1295" s="84"/>
      <c r="AG1295" s="85"/>
      <c r="AH1295" s="84"/>
      <c r="AI1295" s="84"/>
      <c r="AK1295" s="23"/>
      <c r="AL1295" s="81"/>
      <c r="AM1295" s="81"/>
      <c r="AN1295" s="81"/>
      <c r="AO1295" s="23"/>
    </row>
    <row r="1296" spans="1:41" s="24" customFormat="1" x14ac:dyDescent="0.25">
      <c r="A1296" s="18"/>
      <c r="B1296" s="73"/>
      <c r="C1296" s="70"/>
      <c r="D1296" s="20"/>
      <c r="E1296" s="21"/>
      <c r="F1296" s="22"/>
      <c r="G1296" s="23"/>
      <c r="H1296" s="23"/>
      <c r="I1296" s="23"/>
      <c r="J1296" s="23"/>
      <c r="K1296" s="40"/>
      <c r="L1296" s="23"/>
      <c r="M1296" s="23"/>
      <c r="N1296" s="23"/>
      <c r="O1296" s="23"/>
      <c r="P1296" s="23"/>
      <c r="Q1296" s="40"/>
      <c r="R1296" s="23"/>
      <c r="S1296" s="23"/>
      <c r="T1296" s="23"/>
      <c r="U1296" s="23"/>
      <c r="W1296" s="40"/>
      <c r="X1296" s="23"/>
      <c r="Y1296" s="23"/>
      <c r="Z1296" s="23"/>
      <c r="AA1296" s="19"/>
      <c r="AB1296" s="20"/>
      <c r="AC1296" s="21"/>
      <c r="AD1296" s="22"/>
      <c r="AF1296" s="84"/>
      <c r="AG1296" s="85"/>
      <c r="AH1296" s="84"/>
      <c r="AI1296" s="84"/>
      <c r="AK1296" s="23"/>
      <c r="AL1296" s="81"/>
      <c r="AM1296" s="81"/>
      <c r="AN1296" s="81"/>
      <c r="AO1296" s="23"/>
    </row>
    <row r="1297" spans="1:41" s="24" customFormat="1" x14ac:dyDescent="0.25">
      <c r="A1297" s="18"/>
      <c r="B1297" s="73"/>
      <c r="C1297" s="70"/>
      <c r="D1297" s="20"/>
      <c r="E1297" s="21"/>
      <c r="F1297" s="22"/>
      <c r="G1297" s="23"/>
      <c r="H1297" s="23"/>
      <c r="I1297" s="23"/>
      <c r="J1297" s="23"/>
      <c r="K1297" s="40"/>
      <c r="L1297" s="23"/>
      <c r="M1297" s="23"/>
      <c r="N1297" s="23"/>
      <c r="O1297" s="23"/>
      <c r="P1297" s="23"/>
      <c r="Q1297" s="40"/>
      <c r="R1297" s="23"/>
      <c r="S1297" s="23"/>
      <c r="T1297" s="23"/>
      <c r="U1297" s="23"/>
      <c r="W1297" s="40"/>
      <c r="X1297" s="23"/>
      <c r="Y1297" s="23"/>
      <c r="Z1297" s="23"/>
      <c r="AA1297" s="19"/>
      <c r="AB1297" s="20"/>
      <c r="AC1297" s="21"/>
      <c r="AD1297" s="22"/>
      <c r="AF1297" s="84"/>
      <c r="AG1297" s="85"/>
      <c r="AH1297" s="84"/>
      <c r="AI1297" s="84"/>
      <c r="AK1297" s="23"/>
      <c r="AL1297" s="81"/>
      <c r="AM1297" s="81"/>
      <c r="AN1297" s="81"/>
      <c r="AO1297" s="23"/>
    </row>
    <row r="1298" spans="1:41" s="24" customFormat="1" x14ac:dyDescent="0.25">
      <c r="A1298" s="18"/>
      <c r="B1298" s="73"/>
      <c r="C1298" s="70"/>
      <c r="D1298" s="20"/>
      <c r="E1298" s="21"/>
      <c r="F1298" s="22"/>
      <c r="G1298" s="23"/>
      <c r="H1298" s="23"/>
      <c r="I1298" s="23"/>
      <c r="J1298" s="23"/>
      <c r="K1298" s="40"/>
      <c r="L1298" s="23"/>
      <c r="M1298" s="23"/>
      <c r="N1298" s="23"/>
      <c r="O1298" s="23"/>
      <c r="P1298" s="23"/>
      <c r="Q1298" s="40"/>
      <c r="R1298" s="23"/>
      <c r="S1298" s="23"/>
      <c r="T1298" s="23"/>
      <c r="U1298" s="23"/>
      <c r="W1298" s="40"/>
      <c r="X1298" s="23"/>
      <c r="Y1298" s="23"/>
      <c r="Z1298" s="23"/>
      <c r="AA1298" s="19"/>
      <c r="AB1298" s="20"/>
      <c r="AC1298" s="21"/>
      <c r="AD1298" s="22"/>
      <c r="AF1298" s="84"/>
      <c r="AG1298" s="85"/>
      <c r="AH1298" s="84"/>
      <c r="AI1298" s="84"/>
      <c r="AK1298" s="23"/>
      <c r="AL1298" s="81"/>
      <c r="AM1298" s="81"/>
      <c r="AN1298" s="81"/>
      <c r="AO1298" s="23"/>
    </row>
    <row r="1299" spans="1:41" s="24" customFormat="1" x14ac:dyDescent="0.25">
      <c r="A1299" s="18"/>
      <c r="B1299" s="73"/>
      <c r="C1299" s="70"/>
      <c r="D1299" s="20"/>
      <c r="E1299" s="21"/>
      <c r="F1299" s="22"/>
      <c r="G1299" s="23"/>
      <c r="H1299" s="23"/>
      <c r="I1299" s="23"/>
      <c r="J1299" s="23"/>
      <c r="K1299" s="40"/>
      <c r="L1299" s="23"/>
      <c r="M1299" s="23"/>
      <c r="N1299" s="23"/>
      <c r="O1299" s="23"/>
      <c r="P1299" s="23"/>
      <c r="Q1299" s="40"/>
      <c r="R1299" s="23"/>
      <c r="S1299" s="23"/>
      <c r="T1299" s="23"/>
      <c r="U1299" s="23"/>
      <c r="W1299" s="40"/>
      <c r="X1299" s="23"/>
      <c r="Y1299" s="23"/>
      <c r="Z1299" s="23"/>
      <c r="AA1299" s="19"/>
      <c r="AB1299" s="20"/>
      <c r="AC1299" s="21"/>
      <c r="AD1299" s="22"/>
      <c r="AF1299" s="84"/>
      <c r="AG1299" s="85"/>
      <c r="AH1299" s="84"/>
      <c r="AI1299" s="84"/>
      <c r="AK1299" s="23"/>
      <c r="AL1299" s="81"/>
      <c r="AM1299" s="81"/>
      <c r="AN1299" s="81"/>
      <c r="AO1299" s="23"/>
    </row>
    <row r="1300" spans="1:41" s="24" customFormat="1" x14ac:dyDescent="0.25">
      <c r="A1300" s="18"/>
      <c r="B1300" s="73"/>
      <c r="C1300" s="70"/>
      <c r="D1300" s="20"/>
      <c r="E1300" s="21"/>
      <c r="F1300" s="22"/>
      <c r="G1300" s="23"/>
      <c r="H1300" s="23"/>
      <c r="I1300" s="23"/>
      <c r="J1300" s="23"/>
      <c r="K1300" s="40"/>
      <c r="L1300" s="23"/>
      <c r="M1300" s="23"/>
      <c r="N1300" s="23"/>
      <c r="O1300" s="23"/>
      <c r="P1300" s="23"/>
      <c r="Q1300" s="40"/>
      <c r="R1300" s="23"/>
      <c r="S1300" s="23"/>
      <c r="T1300" s="23"/>
      <c r="U1300" s="23"/>
      <c r="W1300" s="40"/>
      <c r="X1300" s="23"/>
      <c r="Y1300" s="23"/>
      <c r="Z1300" s="23"/>
      <c r="AA1300" s="19"/>
      <c r="AB1300" s="20"/>
      <c r="AC1300" s="21"/>
      <c r="AD1300" s="22"/>
      <c r="AF1300" s="84"/>
      <c r="AG1300" s="85"/>
      <c r="AH1300" s="84"/>
      <c r="AI1300" s="84"/>
      <c r="AK1300" s="23"/>
      <c r="AL1300" s="81"/>
      <c r="AM1300" s="81"/>
      <c r="AN1300" s="81"/>
      <c r="AO1300" s="23"/>
    </row>
  </sheetData>
  <conditionalFormatting sqref="G2:G1048576">
    <cfRule type="cellIs" dxfId="30" priority="1" operator="equal">
      <formula>"Exceed"</formula>
    </cfRule>
    <cfRule type="cellIs" dxfId="29" priority="2" operator="equal">
      <formula>"Limit"</formula>
    </cfRule>
  </conditionalFormatting>
  <conditionalFormatting sqref="G2:J1048576">
    <cfRule type="cellIs" dxfId="28" priority="3" operator="equal">
      <formula>0</formula>
    </cfRule>
  </conditionalFormatting>
  <conditionalFormatting sqref="H2:H1048576">
    <cfRule type="cellIs" dxfId="27" priority="72" operator="equal">
      <formula>$AB$2</formula>
    </cfRule>
    <cfRule type="cellIs" dxfId="26" priority="73" operator="greaterThan">
      <formula>$AB$2</formula>
    </cfRule>
  </conditionalFormatting>
  <conditionalFormatting sqref="I2:I1048576">
    <cfRule type="cellIs" dxfId="25" priority="29" operator="equal">
      <formula>$AC$2</formula>
    </cfRule>
    <cfRule type="cellIs" dxfId="24" priority="30" operator="greaterThan">
      <formula>$AC$2</formula>
    </cfRule>
  </conditionalFormatting>
  <conditionalFormatting sqref="J2:J1048576">
    <cfRule type="cellIs" dxfId="23" priority="25" operator="equal">
      <formula>$AD$2</formula>
    </cfRule>
    <cfRule type="cellIs" dxfId="22" priority="26" operator="greaterThan">
      <formula>$AD$2</formula>
    </cfRule>
  </conditionalFormatting>
  <conditionalFormatting sqref="L2:N1048576">
    <cfRule type="cellIs" dxfId="19" priority="18" operator="equal">
      <formula>0</formula>
    </cfRule>
  </conditionalFormatting>
  <conditionalFormatting sqref="P2:P1048576">
    <cfRule type="cellIs" dxfId="14" priority="13" operator="equal">
      <formula>0</formula>
    </cfRule>
    <cfRule type="cellIs" dxfId="13" priority="14" operator="equal">
      <formula>1</formula>
    </cfRule>
    <cfRule type="cellIs" dxfId="12" priority="15" operator="greaterThan">
      <formula>1</formula>
    </cfRule>
  </conditionalFormatting>
  <conditionalFormatting sqref="R2:T1048576">
    <cfRule type="cellIs" dxfId="9" priority="5" operator="equal">
      <formula>0</formula>
    </cfRule>
  </conditionalFormatting>
  <conditionalFormatting sqref="V2:V1048576">
    <cfRule type="cellIs" dxfId="4" priority="4" operator="equal">
      <formula>0</formula>
    </cfRule>
    <cfRule type="cellIs" dxfId="3" priority="45" operator="equal">
      <formula>1</formula>
    </cfRule>
    <cfRule type="cellIs" dxfId="2" priority="46" operator="greaterThan">
      <formula>1</formula>
    </cfRule>
  </conditionalFormatting>
  <conditionalFormatting sqref="Y2:Z1200 X3:Z1048576">
    <cfRule type="cellIs" dxfId="1" priority="44" operator="equal">
      <formula>0</formula>
    </cfRule>
  </conditionalFormatting>
  <dataValidations count="5">
    <dataValidation type="list" allowBlank="1" showInputMessage="1" showErrorMessage="1" sqref="D2:F1200" xr:uid="{80B48245-E3DE-40A7-8265-0305B359EC32}">
      <formula1>$AK$2:$AK$4</formula1>
    </dataValidation>
    <dataValidation type="list" allowBlank="1" showInputMessage="1" showErrorMessage="1" sqref="W2:W1200" xr:uid="{DF3DD433-DFBC-40FB-8501-5FA616CE2887}">
      <formula1>$AN$2:$AN$9</formula1>
    </dataValidation>
    <dataValidation type="list" allowBlank="1" showInputMessage="1" showErrorMessage="1" sqref="X2:Z1200" xr:uid="{CD1DF1CB-0255-49AF-AA7D-CDDC97B6D0CC}">
      <formula1>$AO$2:$AO$5</formula1>
    </dataValidation>
    <dataValidation type="list" allowBlank="1" showInputMessage="1" showErrorMessage="1" sqref="O2:O1200" xr:uid="{90C1A5C2-6E5A-493F-96A0-45C0D9A6084E}">
      <formula1>$AL$2</formula1>
    </dataValidation>
    <dataValidation type="list" allowBlank="1" showInputMessage="1" showErrorMessage="1" sqref="U2:U1200" xr:uid="{4DAD0B49-2640-4D99-8FD8-06E22C382BA9}">
      <formula1>$AM$2</formula1>
    </dataValidation>
  </dataValidations>
  <pageMargins left="0.7" right="0.7" top="0.75" bottom="0.75" header="0.3" footer="0.3"/>
  <pageSetup paperSize="9" orientation="portrait" r:id="rId1"/>
  <drawing r:id="rId2"/>
  <tableParts count="5">
    <tablePart r:id="rId3"/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6" operator="equal" id="{22C4C993-D2C4-4746-A4CA-93BC494553E1}">
            <xm:f>'Group List A'!$E$2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0" operator="greaterThan" id="{91D3F780-E3D5-4027-B347-A78B52E42040}">
            <xm:f>'Group List A'!$E$2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L2:L1048576</xm:sqref>
        </x14:conditionalFormatting>
        <x14:conditionalFormatting xmlns:xm="http://schemas.microsoft.com/office/excel/2006/main">
          <x14:cfRule type="cellIs" priority="22" operator="equal" id="{281338E3-7B39-4995-9D9C-EB6729AC940E}">
            <xm:f>'Group List A'!$F$2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3" operator="greaterThan" id="{BC8B7738-AC02-406F-8E59-71BA11C71B34}">
            <xm:f>'Group List A'!$F$2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M2:M1048576</xm:sqref>
        </x14:conditionalFormatting>
        <x14:conditionalFormatting xmlns:xm="http://schemas.microsoft.com/office/excel/2006/main">
          <x14:cfRule type="cellIs" priority="19" operator="equal" id="{CF29538F-80E6-47E3-93DF-7B47541D1BDF}">
            <xm:f>'Group List A'!$G$2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0" operator="greaterThan" id="{A4861459-D993-4296-B2B9-38A935D4A008}">
            <xm:f>'Group List A'!$G$2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N2:N1048576</xm:sqref>
        </x14:conditionalFormatting>
        <x14:conditionalFormatting xmlns:xm="http://schemas.microsoft.com/office/excel/2006/main">
          <x14:cfRule type="cellIs" priority="50" operator="equal" id="{7957D84B-D0D2-463B-8E98-73DB0F969E3F}">
            <xm:f>'Group List B'!$E$2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9" operator="greaterThan" id="{CBD63506-10D4-4620-AE49-29CFF43C6BB0}">
            <xm:f>'Group List B'!$E$2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R2:R1048576</xm:sqref>
        </x14:conditionalFormatting>
        <x14:conditionalFormatting xmlns:xm="http://schemas.microsoft.com/office/excel/2006/main">
          <x14:cfRule type="cellIs" priority="12" operator="equal" id="{62188D05-D4AE-4365-BFD3-E4DC400B2A0B}">
            <xm:f>'Group List B'!$F$2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9" operator="greaterThan" id="{158699EA-F70D-44B5-A543-AE38D307F51B}">
            <xm:f>'Group List B'!$F$2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S2:S1048576</xm:sqref>
        </x14:conditionalFormatting>
        <x14:conditionalFormatting xmlns:xm="http://schemas.microsoft.com/office/excel/2006/main">
          <x14:cfRule type="cellIs" priority="6" operator="equal" id="{FDB82073-7E89-4C08-9491-64B6F646D9ED}">
            <xm:f>'Group List B'!$G$2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" operator="greaterThan" id="{63DC75FF-C433-4F52-804D-33E21AB5CD37}">
            <xm:f>'Group List B'!$G$2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T2:T1048576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BE19-3D3B-4E1A-99FA-3BB410400D25}">
  <sheetPr>
    <tabColor rgb="FF7C3275"/>
  </sheetPr>
  <dimension ref="A1:AC3"/>
  <sheetViews>
    <sheetView workbookViewId="0"/>
  </sheetViews>
  <sheetFormatPr defaultRowHeight="15" x14ac:dyDescent="0.25"/>
  <cols>
    <col min="1" max="1" width="47.7109375" bestFit="1" customWidth="1"/>
    <col min="2" max="2" width="7" bestFit="1" customWidth="1"/>
    <col min="3" max="3" width="10.28515625" bestFit="1" customWidth="1"/>
    <col min="4" max="4" width="41.28515625" bestFit="1" customWidth="1"/>
    <col min="5" max="5" width="12.85546875" bestFit="1" customWidth="1"/>
    <col min="6" max="6" width="13.5703125" bestFit="1" customWidth="1"/>
    <col min="7" max="7" width="42.85546875" bestFit="1" customWidth="1"/>
    <col min="8" max="8" width="21.42578125" bestFit="1" customWidth="1"/>
    <col min="9" max="9" width="19.28515625" bestFit="1" customWidth="1"/>
    <col min="10" max="10" width="20.5703125" bestFit="1" customWidth="1"/>
    <col min="11" max="11" width="29.85546875" bestFit="1" customWidth="1"/>
    <col min="12" max="12" width="18.5703125" bestFit="1" customWidth="1"/>
    <col min="13" max="13" width="27.7109375" bestFit="1" customWidth="1"/>
    <col min="14" max="14" width="25.85546875" bestFit="1" customWidth="1"/>
    <col min="15" max="15" width="23.7109375" bestFit="1" customWidth="1"/>
    <col min="16" max="16" width="25" bestFit="1" customWidth="1"/>
    <col min="17" max="17" width="34.28515625" bestFit="1" customWidth="1"/>
    <col min="18" max="18" width="23" bestFit="1" customWidth="1"/>
    <col min="19" max="19" width="32.140625" bestFit="1" customWidth="1"/>
    <col min="20" max="20" width="13.5703125" bestFit="1" customWidth="1"/>
    <col min="21" max="21" width="11.42578125" bestFit="1" customWidth="1"/>
    <col min="22" max="22" width="12.7109375" bestFit="1" customWidth="1"/>
    <col min="23" max="23" width="22" bestFit="1" customWidth="1"/>
    <col min="24" max="24" width="10.7109375" bestFit="1" customWidth="1"/>
    <col min="25" max="25" width="19.85546875" bestFit="1" customWidth="1"/>
    <col min="26" max="26" width="13.28515625" bestFit="1" customWidth="1"/>
    <col min="27" max="27" width="22.42578125" bestFit="1" customWidth="1"/>
    <col min="28" max="28" width="11.140625" bestFit="1" customWidth="1"/>
    <col min="29" max="29" width="20.28515625" bestFit="1" customWidth="1"/>
  </cols>
  <sheetData>
    <row r="1" spans="1:29" x14ac:dyDescent="0.25">
      <c r="A1" t="s">
        <v>46</v>
      </c>
      <c r="B1" t="s">
        <v>13</v>
      </c>
      <c r="C1" t="s">
        <v>47</v>
      </c>
      <c r="D1" t="s">
        <v>48</v>
      </c>
      <c r="E1" t="s">
        <v>49</v>
      </c>
      <c r="F1" t="s">
        <v>50</v>
      </c>
      <c r="G1" t="s">
        <v>80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81</v>
      </c>
      <c r="AA1" t="s">
        <v>82</v>
      </c>
      <c r="AB1" t="s">
        <v>83</v>
      </c>
      <c r="AC1" t="s">
        <v>84</v>
      </c>
    </row>
    <row r="2" spans="1:29" x14ac:dyDescent="0.25">
      <c r="G2" t="s">
        <v>69</v>
      </c>
    </row>
    <row r="3" spans="1:29" x14ac:dyDescent="0.25">
      <c r="A3" t="s">
        <v>70</v>
      </c>
      <c r="G3">
        <v>21</v>
      </c>
      <c r="H3" t="s">
        <v>71</v>
      </c>
      <c r="I3" t="s">
        <v>71</v>
      </c>
      <c r="J3" t="s">
        <v>71</v>
      </c>
      <c r="K3" t="s">
        <v>71</v>
      </c>
      <c r="L3" t="s">
        <v>71</v>
      </c>
      <c r="M3" t="s">
        <v>71</v>
      </c>
      <c r="N3" t="s">
        <v>71</v>
      </c>
      <c r="O3" t="s">
        <v>71</v>
      </c>
      <c r="P3" t="s">
        <v>71</v>
      </c>
      <c r="Q3" t="s">
        <v>71</v>
      </c>
      <c r="R3" t="s">
        <v>71</v>
      </c>
      <c r="S3" t="s">
        <v>71</v>
      </c>
      <c r="T3" t="s">
        <v>71</v>
      </c>
      <c r="U3" t="s">
        <v>71</v>
      </c>
      <c r="V3" t="s">
        <v>71</v>
      </c>
      <c r="W3" t="s">
        <v>71</v>
      </c>
      <c r="X3" t="s">
        <v>71</v>
      </c>
      <c r="Y3" t="s">
        <v>71</v>
      </c>
      <c r="Z3" t="s">
        <v>71</v>
      </c>
      <c r="AA3" t="s">
        <v>71</v>
      </c>
      <c r="AB3" t="s">
        <v>71</v>
      </c>
      <c r="AC3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CEFEF8"/>
  </sheetPr>
  <dimension ref="A1:G2200"/>
  <sheetViews>
    <sheetView workbookViewId="0">
      <selection activeCell="A3" sqref="A3"/>
    </sheetView>
  </sheetViews>
  <sheetFormatPr defaultColWidth="9.140625" defaultRowHeight="15" x14ac:dyDescent="0.25"/>
  <cols>
    <col min="1" max="1" width="12.42578125" style="79" customWidth="1"/>
    <col min="2" max="2" width="10.28515625" style="79" customWidth="1"/>
    <col min="3" max="3" width="9.140625" style="76"/>
    <col min="5" max="5" width="14" customWidth="1"/>
  </cols>
  <sheetData>
    <row r="1" spans="1:7" x14ac:dyDescent="0.25">
      <c r="A1" s="4" t="s">
        <v>13</v>
      </c>
      <c r="B1" s="4" t="s">
        <v>14</v>
      </c>
      <c r="C1" s="74"/>
      <c r="D1" s="100" t="s">
        <v>15</v>
      </c>
      <c r="E1" s="100" t="s">
        <v>18</v>
      </c>
      <c r="F1" s="100" t="s">
        <v>17</v>
      </c>
      <c r="G1" s="100" t="s">
        <v>19</v>
      </c>
    </row>
    <row r="2" spans="1:7" x14ac:dyDescent="0.25">
      <c r="A2" s="77">
        <v>10995375</v>
      </c>
      <c r="B2" s="77" t="s">
        <v>26</v>
      </c>
      <c r="C2" s="75"/>
      <c r="D2" s="101" t="s">
        <v>85</v>
      </c>
      <c r="E2" s="101">
        <v>1</v>
      </c>
      <c r="F2" s="101">
        <v>2</v>
      </c>
      <c r="G2" s="101">
        <v>2</v>
      </c>
    </row>
    <row r="3" spans="1:7" x14ac:dyDescent="0.25">
      <c r="A3" s="77"/>
      <c r="B3" s="77"/>
      <c r="C3" s="75"/>
    </row>
    <row r="4" spans="1:7" x14ac:dyDescent="0.25">
      <c r="A4" s="77"/>
      <c r="B4" s="77"/>
      <c r="C4" s="75"/>
    </row>
    <row r="5" spans="1:7" x14ac:dyDescent="0.25">
      <c r="A5" s="77"/>
      <c r="B5" s="77"/>
      <c r="C5" s="75"/>
    </row>
    <row r="6" spans="1:7" x14ac:dyDescent="0.25">
      <c r="A6" s="77"/>
      <c r="B6" s="77"/>
      <c r="C6" s="75"/>
    </row>
    <row r="7" spans="1:7" x14ac:dyDescent="0.25">
      <c r="A7" s="77"/>
      <c r="B7" s="77"/>
      <c r="C7" s="75"/>
    </row>
    <row r="8" spans="1:7" x14ac:dyDescent="0.25">
      <c r="A8" s="77"/>
      <c r="B8" s="77"/>
      <c r="C8" s="75"/>
    </row>
    <row r="9" spans="1:7" x14ac:dyDescent="0.25">
      <c r="A9" s="77"/>
      <c r="B9" s="77"/>
      <c r="C9" s="75"/>
    </row>
    <row r="10" spans="1:7" x14ac:dyDescent="0.25">
      <c r="A10" s="77"/>
      <c r="B10" s="77"/>
      <c r="C10" s="75"/>
    </row>
    <row r="11" spans="1:7" x14ac:dyDescent="0.25">
      <c r="A11" s="77"/>
      <c r="B11" s="77"/>
      <c r="C11" s="75"/>
    </row>
    <row r="12" spans="1:7" x14ac:dyDescent="0.25">
      <c r="A12" s="77"/>
      <c r="B12" s="77"/>
      <c r="C12" s="75"/>
    </row>
    <row r="13" spans="1:7" x14ac:dyDescent="0.25">
      <c r="A13" s="77"/>
      <c r="B13" s="77"/>
      <c r="C13" s="75"/>
    </row>
    <row r="14" spans="1:7" x14ac:dyDescent="0.25">
      <c r="A14" s="77"/>
      <c r="B14" s="77"/>
      <c r="C14" s="75"/>
    </row>
    <row r="15" spans="1:7" x14ac:dyDescent="0.25">
      <c r="A15" s="77"/>
      <c r="B15" s="77"/>
      <c r="C15" s="75"/>
    </row>
    <row r="16" spans="1:7" x14ac:dyDescent="0.25">
      <c r="A16" s="77"/>
      <c r="B16" s="77"/>
      <c r="C16" s="75"/>
    </row>
    <row r="17" spans="1:3" x14ac:dyDescent="0.25">
      <c r="A17" s="77"/>
      <c r="B17" s="77"/>
      <c r="C17" s="75"/>
    </row>
    <row r="18" spans="1:3" x14ac:dyDescent="0.25">
      <c r="A18" s="77"/>
      <c r="B18" s="77"/>
      <c r="C18" s="75"/>
    </row>
    <row r="19" spans="1:3" x14ac:dyDescent="0.25">
      <c r="A19" s="77"/>
      <c r="B19" s="77"/>
      <c r="C19" s="75"/>
    </row>
    <row r="20" spans="1:3" x14ac:dyDescent="0.25">
      <c r="A20" s="77"/>
      <c r="B20" s="77"/>
      <c r="C20" s="75"/>
    </row>
    <row r="21" spans="1:3" x14ac:dyDescent="0.25">
      <c r="A21" s="77"/>
      <c r="B21" s="77"/>
      <c r="C21" s="75"/>
    </row>
    <row r="22" spans="1:3" x14ac:dyDescent="0.25">
      <c r="A22" s="77"/>
      <c r="B22" s="77"/>
      <c r="C22" s="75"/>
    </row>
    <row r="23" spans="1:3" x14ac:dyDescent="0.25">
      <c r="A23" s="77"/>
      <c r="B23" s="77"/>
      <c r="C23" s="75"/>
    </row>
    <row r="24" spans="1:3" x14ac:dyDescent="0.25">
      <c r="A24" s="77"/>
      <c r="B24" s="77"/>
      <c r="C24" s="75"/>
    </row>
    <row r="25" spans="1:3" x14ac:dyDescent="0.25">
      <c r="A25" s="77"/>
      <c r="B25" s="77"/>
      <c r="C25" s="75"/>
    </row>
    <row r="26" spans="1:3" x14ac:dyDescent="0.25">
      <c r="A26" s="77"/>
      <c r="B26" s="77"/>
      <c r="C26" s="75"/>
    </row>
    <row r="27" spans="1:3" x14ac:dyDescent="0.25">
      <c r="A27" s="77"/>
      <c r="B27" s="77"/>
      <c r="C27" s="75"/>
    </row>
    <row r="28" spans="1:3" x14ac:dyDescent="0.25">
      <c r="A28" s="77"/>
      <c r="B28" s="77"/>
      <c r="C28" s="75"/>
    </row>
    <row r="29" spans="1:3" x14ac:dyDescent="0.25">
      <c r="A29" s="77"/>
      <c r="B29" s="77"/>
      <c r="C29" s="75"/>
    </row>
    <row r="30" spans="1:3" x14ac:dyDescent="0.25">
      <c r="A30" s="77"/>
      <c r="B30" s="77"/>
      <c r="C30" s="75"/>
    </row>
    <row r="31" spans="1:3" x14ac:dyDescent="0.25">
      <c r="A31" s="77"/>
      <c r="B31" s="77"/>
      <c r="C31" s="75"/>
    </row>
    <row r="32" spans="1:3" x14ac:dyDescent="0.25">
      <c r="A32" s="77"/>
      <c r="B32" s="77"/>
      <c r="C32" s="75"/>
    </row>
    <row r="33" spans="1:3" x14ac:dyDescent="0.25">
      <c r="A33" s="77"/>
      <c r="B33" s="77"/>
      <c r="C33" s="75"/>
    </row>
    <row r="34" spans="1:3" x14ac:dyDescent="0.25">
      <c r="A34" s="77"/>
      <c r="B34" s="77"/>
      <c r="C34" s="75"/>
    </row>
    <row r="35" spans="1:3" x14ac:dyDescent="0.25">
      <c r="A35" s="77"/>
      <c r="B35" s="77"/>
      <c r="C35" s="75"/>
    </row>
    <row r="36" spans="1:3" x14ac:dyDescent="0.25">
      <c r="A36" s="77"/>
      <c r="B36" s="77"/>
      <c r="C36" s="75"/>
    </row>
    <row r="37" spans="1:3" x14ac:dyDescent="0.25">
      <c r="A37" s="77"/>
      <c r="B37" s="77"/>
      <c r="C37" s="75"/>
    </row>
    <row r="38" spans="1:3" x14ac:dyDescent="0.25">
      <c r="A38" s="77"/>
      <c r="B38" s="77"/>
      <c r="C38" s="75"/>
    </row>
    <row r="39" spans="1:3" x14ac:dyDescent="0.25">
      <c r="A39" s="77"/>
      <c r="B39" s="77"/>
      <c r="C39" s="75"/>
    </row>
    <row r="40" spans="1:3" x14ac:dyDescent="0.25">
      <c r="A40" s="77"/>
      <c r="B40" s="77"/>
      <c r="C40" s="75"/>
    </row>
    <row r="41" spans="1:3" x14ac:dyDescent="0.25">
      <c r="A41" s="77"/>
      <c r="B41" s="77"/>
      <c r="C41" s="75"/>
    </row>
    <row r="42" spans="1:3" x14ac:dyDescent="0.25">
      <c r="A42" s="77"/>
      <c r="B42" s="77"/>
      <c r="C42" s="75"/>
    </row>
    <row r="43" spans="1:3" x14ac:dyDescent="0.25">
      <c r="A43" s="77"/>
      <c r="B43" s="77"/>
      <c r="C43" s="75"/>
    </row>
    <row r="44" spans="1:3" x14ac:dyDescent="0.25">
      <c r="A44" s="77"/>
      <c r="B44" s="77"/>
      <c r="C44" s="75"/>
    </row>
    <row r="45" spans="1:3" x14ac:dyDescent="0.25">
      <c r="A45" s="77"/>
      <c r="B45" s="77"/>
      <c r="C45" s="75"/>
    </row>
    <row r="46" spans="1:3" x14ac:dyDescent="0.25">
      <c r="A46" s="77"/>
      <c r="B46" s="77"/>
      <c r="C46" s="75"/>
    </row>
    <row r="47" spans="1:3" x14ac:dyDescent="0.25">
      <c r="A47" s="77"/>
      <c r="B47" s="77"/>
      <c r="C47" s="75"/>
    </row>
    <row r="48" spans="1:3" x14ac:dyDescent="0.25">
      <c r="A48" s="77"/>
      <c r="B48" s="77"/>
      <c r="C48" s="75"/>
    </row>
    <row r="49" spans="1:3" x14ac:dyDescent="0.25">
      <c r="A49" s="77"/>
      <c r="B49" s="77"/>
      <c r="C49" s="75"/>
    </row>
    <row r="50" spans="1:3" x14ac:dyDescent="0.25">
      <c r="A50" s="77"/>
      <c r="B50" s="77"/>
      <c r="C50" s="75"/>
    </row>
    <row r="51" spans="1:3" x14ac:dyDescent="0.25">
      <c r="A51" s="77"/>
      <c r="B51" s="77"/>
      <c r="C51" s="75"/>
    </row>
    <row r="52" spans="1:3" x14ac:dyDescent="0.25">
      <c r="A52" s="77"/>
      <c r="B52" s="77"/>
      <c r="C52" s="75"/>
    </row>
    <row r="53" spans="1:3" x14ac:dyDescent="0.25">
      <c r="A53" s="77"/>
      <c r="B53" s="77"/>
      <c r="C53" s="75"/>
    </row>
    <row r="54" spans="1:3" x14ac:dyDescent="0.25">
      <c r="A54" s="77"/>
      <c r="B54" s="77"/>
      <c r="C54" s="75"/>
    </row>
    <row r="55" spans="1:3" x14ac:dyDescent="0.25">
      <c r="A55" s="77"/>
      <c r="B55" s="77"/>
      <c r="C55" s="75"/>
    </row>
    <row r="56" spans="1:3" x14ac:dyDescent="0.25">
      <c r="A56" s="77"/>
      <c r="B56" s="77"/>
      <c r="C56" s="75"/>
    </row>
    <row r="57" spans="1:3" x14ac:dyDescent="0.25">
      <c r="A57" s="77"/>
      <c r="B57" s="77"/>
      <c r="C57" s="75"/>
    </row>
    <row r="58" spans="1:3" x14ac:dyDescent="0.25">
      <c r="A58" s="77"/>
      <c r="B58" s="77"/>
      <c r="C58" s="75"/>
    </row>
    <row r="59" spans="1:3" x14ac:dyDescent="0.25">
      <c r="A59" s="77"/>
      <c r="B59" s="77"/>
      <c r="C59" s="75"/>
    </row>
    <row r="60" spans="1:3" x14ac:dyDescent="0.25">
      <c r="A60" s="77"/>
      <c r="B60" s="77"/>
      <c r="C60" s="75"/>
    </row>
    <row r="61" spans="1:3" x14ac:dyDescent="0.25">
      <c r="A61" s="77"/>
      <c r="B61" s="77"/>
      <c r="C61" s="75"/>
    </row>
    <row r="62" spans="1:3" x14ac:dyDescent="0.25">
      <c r="A62" s="77"/>
      <c r="B62" s="77"/>
      <c r="C62" s="75"/>
    </row>
    <row r="63" spans="1:3" x14ac:dyDescent="0.25">
      <c r="A63" s="77"/>
      <c r="B63" s="77"/>
      <c r="C63" s="75"/>
    </row>
    <row r="64" spans="1:3" x14ac:dyDescent="0.25">
      <c r="A64" s="77"/>
      <c r="B64" s="77"/>
      <c r="C64" s="75"/>
    </row>
    <row r="65" spans="1:3" x14ac:dyDescent="0.25">
      <c r="A65" s="77"/>
      <c r="B65" s="77"/>
      <c r="C65" s="75"/>
    </row>
    <row r="66" spans="1:3" x14ac:dyDescent="0.25">
      <c r="A66" s="77"/>
      <c r="B66" s="77"/>
      <c r="C66" s="75"/>
    </row>
    <row r="67" spans="1:3" x14ac:dyDescent="0.25">
      <c r="A67" s="77"/>
      <c r="B67" s="77"/>
      <c r="C67" s="75"/>
    </row>
    <row r="68" spans="1:3" x14ac:dyDescent="0.25">
      <c r="A68" s="77"/>
      <c r="B68" s="77"/>
      <c r="C68" s="75"/>
    </row>
    <row r="69" spans="1:3" x14ac:dyDescent="0.25">
      <c r="A69" s="77"/>
      <c r="B69" s="77"/>
      <c r="C69" s="75"/>
    </row>
    <row r="70" spans="1:3" x14ac:dyDescent="0.25">
      <c r="A70" s="77"/>
      <c r="B70" s="77"/>
      <c r="C70" s="75"/>
    </row>
    <row r="71" spans="1:3" x14ac:dyDescent="0.25">
      <c r="A71" s="77"/>
      <c r="B71" s="77"/>
      <c r="C71" s="75"/>
    </row>
    <row r="72" spans="1:3" x14ac:dyDescent="0.25">
      <c r="A72" s="77"/>
      <c r="B72" s="77"/>
      <c r="C72" s="75"/>
    </row>
    <row r="73" spans="1:3" x14ac:dyDescent="0.25">
      <c r="A73" s="77"/>
      <c r="B73" s="77"/>
      <c r="C73" s="75"/>
    </row>
    <row r="74" spans="1:3" x14ac:dyDescent="0.25">
      <c r="A74" s="77"/>
      <c r="B74" s="77"/>
      <c r="C74" s="75"/>
    </row>
    <row r="75" spans="1:3" x14ac:dyDescent="0.25">
      <c r="A75" s="77"/>
      <c r="B75" s="77"/>
      <c r="C75" s="75"/>
    </row>
    <row r="76" spans="1:3" x14ac:dyDescent="0.25">
      <c r="A76" s="77"/>
      <c r="B76" s="77"/>
      <c r="C76" s="75"/>
    </row>
    <row r="77" spans="1:3" x14ac:dyDescent="0.25">
      <c r="A77" s="77"/>
      <c r="B77" s="77"/>
      <c r="C77" s="75"/>
    </row>
    <row r="78" spans="1:3" x14ac:dyDescent="0.25">
      <c r="A78" s="77"/>
      <c r="B78" s="77"/>
      <c r="C78" s="75"/>
    </row>
    <row r="79" spans="1:3" x14ac:dyDescent="0.25">
      <c r="A79" s="77"/>
      <c r="B79" s="77"/>
      <c r="C79" s="75"/>
    </row>
    <row r="80" spans="1:3" x14ac:dyDescent="0.25">
      <c r="A80" s="77"/>
      <c r="B80" s="77"/>
      <c r="C80" s="75"/>
    </row>
    <row r="81" spans="1:3" x14ac:dyDescent="0.25">
      <c r="A81" s="77"/>
      <c r="B81" s="77"/>
      <c r="C81" s="75"/>
    </row>
    <row r="82" spans="1:3" x14ac:dyDescent="0.25">
      <c r="A82" s="77"/>
      <c r="B82" s="77"/>
      <c r="C82" s="75"/>
    </row>
    <row r="83" spans="1:3" x14ac:dyDescent="0.25">
      <c r="A83" s="77"/>
      <c r="B83" s="77"/>
      <c r="C83" s="75"/>
    </row>
    <row r="84" spans="1:3" x14ac:dyDescent="0.25">
      <c r="A84" s="77"/>
      <c r="B84" s="77"/>
      <c r="C84" s="75"/>
    </row>
    <row r="85" spans="1:3" x14ac:dyDescent="0.25">
      <c r="A85" s="77"/>
      <c r="B85" s="77"/>
      <c r="C85" s="75"/>
    </row>
    <row r="86" spans="1:3" x14ac:dyDescent="0.25">
      <c r="A86" s="77"/>
      <c r="B86" s="77"/>
      <c r="C86" s="75"/>
    </row>
    <row r="87" spans="1:3" x14ac:dyDescent="0.25">
      <c r="A87" s="77"/>
      <c r="B87" s="77"/>
      <c r="C87" s="75"/>
    </row>
    <row r="88" spans="1:3" x14ac:dyDescent="0.25">
      <c r="A88" s="77"/>
      <c r="B88" s="77"/>
      <c r="C88" s="75"/>
    </row>
    <row r="89" spans="1:3" x14ac:dyDescent="0.25">
      <c r="A89" s="77"/>
      <c r="B89" s="77"/>
      <c r="C89" s="75"/>
    </row>
    <row r="90" spans="1:3" x14ac:dyDescent="0.25">
      <c r="A90" s="77"/>
      <c r="B90" s="77"/>
      <c r="C90" s="75"/>
    </row>
    <row r="91" spans="1:3" x14ac:dyDescent="0.25">
      <c r="A91" s="77"/>
      <c r="B91" s="77"/>
      <c r="C91" s="75"/>
    </row>
    <row r="92" spans="1:3" x14ac:dyDescent="0.25">
      <c r="A92" s="77"/>
      <c r="B92" s="77"/>
      <c r="C92" s="75"/>
    </row>
    <row r="93" spans="1:3" x14ac:dyDescent="0.25">
      <c r="A93" s="77"/>
      <c r="B93" s="77"/>
      <c r="C93" s="75"/>
    </row>
    <row r="94" spans="1:3" x14ac:dyDescent="0.25">
      <c r="A94" s="77"/>
      <c r="B94" s="77"/>
      <c r="C94" s="75"/>
    </row>
    <row r="95" spans="1:3" x14ac:dyDescent="0.25">
      <c r="A95" s="77"/>
      <c r="B95" s="77"/>
      <c r="C95" s="75"/>
    </row>
    <row r="96" spans="1:3" x14ac:dyDescent="0.25">
      <c r="A96" s="77"/>
      <c r="B96" s="77"/>
      <c r="C96" s="75"/>
    </row>
    <row r="97" spans="1:3" x14ac:dyDescent="0.25">
      <c r="A97" s="77"/>
      <c r="B97" s="77"/>
      <c r="C97" s="75"/>
    </row>
    <row r="98" spans="1:3" x14ac:dyDescent="0.25">
      <c r="A98" s="77"/>
      <c r="B98" s="77"/>
      <c r="C98" s="75"/>
    </row>
    <row r="99" spans="1:3" x14ac:dyDescent="0.25">
      <c r="A99" s="77"/>
      <c r="B99" s="77"/>
      <c r="C99" s="75"/>
    </row>
    <row r="100" spans="1:3" x14ac:dyDescent="0.25">
      <c r="A100" s="77"/>
      <c r="B100" s="77"/>
      <c r="C100" s="75"/>
    </row>
    <row r="101" spans="1:3" x14ac:dyDescent="0.25">
      <c r="A101" s="77"/>
      <c r="B101" s="77"/>
      <c r="C101" s="75"/>
    </row>
    <row r="102" spans="1:3" x14ac:dyDescent="0.25">
      <c r="A102" s="77"/>
      <c r="B102" s="77"/>
      <c r="C102" s="75"/>
    </row>
    <row r="103" spans="1:3" x14ac:dyDescent="0.25">
      <c r="A103" s="77"/>
      <c r="B103" s="77"/>
      <c r="C103" s="75"/>
    </row>
    <row r="104" spans="1:3" x14ac:dyDescent="0.25">
      <c r="A104" s="77"/>
      <c r="B104" s="77"/>
      <c r="C104" s="75"/>
    </row>
    <row r="105" spans="1:3" x14ac:dyDescent="0.25">
      <c r="A105" s="77"/>
      <c r="B105" s="77"/>
      <c r="C105" s="75"/>
    </row>
    <row r="106" spans="1:3" x14ac:dyDescent="0.25">
      <c r="A106" s="77"/>
      <c r="B106" s="77"/>
      <c r="C106" s="75"/>
    </row>
    <row r="107" spans="1:3" x14ac:dyDescent="0.25">
      <c r="A107" s="77"/>
      <c r="B107" s="77"/>
      <c r="C107" s="75"/>
    </row>
    <row r="108" spans="1:3" x14ac:dyDescent="0.25">
      <c r="A108" s="77"/>
      <c r="B108" s="77"/>
      <c r="C108" s="75"/>
    </row>
    <row r="109" spans="1:3" x14ac:dyDescent="0.25">
      <c r="A109" s="77"/>
      <c r="B109" s="77"/>
      <c r="C109" s="75"/>
    </row>
    <row r="110" spans="1:3" x14ac:dyDescent="0.25">
      <c r="A110" s="77"/>
      <c r="B110" s="77"/>
      <c r="C110" s="75"/>
    </row>
    <row r="111" spans="1:3" x14ac:dyDescent="0.25">
      <c r="A111" s="77"/>
      <c r="B111" s="77"/>
      <c r="C111" s="75"/>
    </row>
    <row r="112" spans="1:3" x14ac:dyDescent="0.25">
      <c r="A112" s="77"/>
      <c r="B112" s="77"/>
      <c r="C112" s="75"/>
    </row>
    <row r="113" spans="1:3" x14ac:dyDescent="0.25">
      <c r="A113" s="77"/>
      <c r="B113" s="77"/>
      <c r="C113" s="75"/>
    </row>
    <row r="114" spans="1:3" x14ac:dyDescent="0.25">
      <c r="A114" s="77"/>
      <c r="B114" s="77"/>
      <c r="C114" s="75"/>
    </row>
    <row r="115" spans="1:3" x14ac:dyDescent="0.25">
      <c r="A115" s="77"/>
      <c r="B115" s="77"/>
      <c r="C115" s="75"/>
    </row>
    <row r="116" spans="1:3" x14ac:dyDescent="0.25">
      <c r="A116" s="77"/>
      <c r="B116" s="77"/>
      <c r="C116" s="75"/>
    </row>
    <row r="117" spans="1:3" x14ac:dyDescent="0.25">
      <c r="A117" s="77"/>
      <c r="B117" s="77"/>
      <c r="C117" s="75"/>
    </row>
    <row r="118" spans="1:3" x14ac:dyDescent="0.25">
      <c r="A118" s="77"/>
      <c r="B118" s="77"/>
      <c r="C118" s="75"/>
    </row>
    <row r="119" spans="1:3" x14ac:dyDescent="0.25">
      <c r="A119" s="77"/>
      <c r="B119" s="77"/>
      <c r="C119" s="75"/>
    </row>
    <row r="120" spans="1:3" x14ac:dyDescent="0.25">
      <c r="A120" s="77"/>
      <c r="B120" s="77"/>
      <c r="C120" s="75"/>
    </row>
    <row r="121" spans="1:3" x14ac:dyDescent="0.25">
      <c r="A121" s="77"/>
      <c r="B121" s="77"/>
      <c r="C121" s="75"/>
    </row>
    <row r="122" spans="1:3" x14ac:dyDescent="0.25">
      <c r="A122" s="77"/>
      <c r="B122" s="77"/>
      <c r="C122" s="75"/>
    </row>
    <row r="123" spans="1:3" x14ac:dyDescent="0.25">
      <c r="A123" s="77"/>
      <c r="B123" s="77"/>
      <c r="C123" s="75"/>
    </row>
    <row r="124" spans="1:3" x14ac:dyDescent="0.25">
      <c r="A124" s="77"/>
      <c r="B124" s="77"/>
      <c r="C124" s="75"/>
    </row>
    <row r="125" spans="1:3" x14ac:dyDescent="0.25">
      <c r="A125" s="77"/>
      <c r="B125" s="77"/>
      <c r="C125" s="75"/>
    </row>
    <row r="126" spans="1:3" x14ac:dyDescent="0.25">
      <c r="A126" s="77"/>
      <c r="B126" s="77"/>
      <c r="C126" s="75"/>
    </row>
    <row r="127" spans="1:3" x14ac:dyDescent="0.25">
      <c r="A127" s="77"/>
      <c r="B127" s="77"/>
      <c r="C127" s="75"/>
    </row>
    <row r="128" spans="1:3" x14ac:dyDescent="0.25">
      <c r="A128" s="77"/>
      <c r="B128" s="77"/>
      <c r="C128" s="75"/>
    </row>
    <row r="129" spans="1:3" x14ac:dyDescent="0.25">
      <c r="A129" s="77"/>
      <c r="B129" s="77"/>
      <c r="C129" s="75"/>
    </row>
    <row r="130" spans="1:3" x14ac:dyDescent="0.25">
      <c r="A130" s="77"/>
      <c r="B130" s="77"/>
      <c r="C130" s="75"/>
    </row>
    <row r="131" spans="1:3" x14ac:dyDescent="0.25">
      <c r="A131" s="77"/>
      <c r="B131" s="77"/>
      <c r="C131" s="75"/>
    </row>
    <row r="132" spans="1:3" x14ac:dyDescent="0.25">
      <c r="A132" s="77"/>
      <c r="B132" s="77"/>
      <c r="C132" s="75"/>
    </row>
    <row r="133" spans="1:3" x14ac:dyDescent="0.25">
      <c r="A133" s="77"/>
      <c r="B133" s="77"/>
      <c r="C133" s="75"/>
    </row>
    <row r="134" spans="1:3" x14ac:dyDescent="0.25">
      <c r="A134" s="77"/>
      <c r="B134" s="77"/>
      <c r="C134" s="75"/>
    </row>
    <row r="135" spans="1:3" x14ac:dyDescent="0.25">
      <c r="A135" s="77"/>
      <c r="B135" s="77"/>
      <c r="C135" s="75"/>
    </row>
    <row r="136" spans="1:3" x14ac:dyDescent="0.25">
      <c r="A136" s="77"/>
      <c r="B136" s="77"/>
      <c r="C136" s="75"/>
    </row>
    <row r="137" spans="1:3" x14ac:dyDescent="0.25">
      <c r="A137" s="77"/>
      <c r="B137" s="77"/>
      <c r="C137" s="75"/>
    </row>
    <row r="138" spans="1:3" x14ac:dyDescent="0.25">
      <c r="A138" s="77"/>
      <c r="B138" s="77"/>
      <c r="C138" s="75"/>
    </row>
    <row r="139" spans="1:3" x14ac:dyDescent="0.25">
      <c r="A139" s="77"/>
      <c r="B139" s="77"/>
      <c r="C139" s="75"/>
    </row>
    <row r="140" spans="1:3" x14ac:dyDescent="0.25">
      <c r="A140" s="77"/>
      <c r="B140" s="77"/>
      <c r="C140" s="75"/>
    </row>
    <row r="141" spans="1:3" x14ac:dyDescent="0.25">
      <c r="A141" s="77"/>
      <c r="B141" s="77"/>
      <c r="C141" s="75"/>
    </row>
    <row r="142" spans="1:3" x14ac:dyDescent="0.25">
      <c r="A142" s="77"/>
      <c r="B142" s="77"/>
      <c r="C142" s="75"/>
    </row>
    <row r="143" spans="1:3" x14ac:dyDescent="0.25">
      <c r="A143" s="77"/>
      <c r="B143" s="77"/>
      <c r="C143" s="75"/>
    </row>
    <row r="144" spans="1:3" x14ac:dyDescent="0.25">
      <c r="A144" s="77"/>
      <c r="B144" s="77"/>
      <c r="C144" s="75"/>
    </row>
    <row r="145" spans="1:3" x14ac:dyDescent="0.25">
      <c r="A145" s="77"/>
      <c r="B145" s="77"/>
      <c r="C145" s="75"/>
    </row>
    <row r="146" spans="1:3" x14ac:dyDescent="0.25">
      <c r="A146" s="77"/>
      <c r="B146" s="77"/>
      <c r="C146" s="75"/>
    </row>
    <row r="147" spans="1:3" x14ac:dyDescent="0.25">
      <c r="A147" s="77"/>
      <c r="B147" s="77"/>
      <c r="C147" s="75"/>
    </row>
    <row r="148" spans="1:3" x14ac:dyDescent="0.25">
      <c r="A148" s="77"/>
      <c r="B148" s="77"/>
      <c r="C148" s="75"/>
    </row>
    <row r="149" spans="1:3" x14ac:dyDescent="0.25">
      <c r="A149" s="77"/>
      <c r="B149" s="77"/>
      <c r="C149" s="75"/>
    </row>
    <row r="150" spans="1:3" x14ac:dyDescent="0.25">
      <c r="A150" s="77"/>
      <c r="B150" s="77"/>
      <c r="C150" s="75"/>
    </row>
    <row r="151" spans="1:3" x14ac:dyDescent="0.25">
      <c r="A151" s="77"/>
      <c r="B151" s="77"/>
      <c r="C151" s="75"/>
    </row>
    <row r="152" spans="1:3" x14ac:dyDescent="0.25">
      <c r="A152" s="77"/>
      <c r="B152" s="77"/>
      <c r="C152" s="75"/>
    </row>
    <row r="153" spans="1:3" x14ac:dyDescent="0.25">
      <c r="A153" s="77"/>
      <c r="B153" s="77"/>
      <c r="C153" s="75"/>
    </row>
    <row r="154" spans="1:3" x14ac:dyDescent="0.25">
      <c r="A154" s="77"/>
      <c r="B154" s="77"/>
      <c r="C154" s="75"/>
    </row>
    <row r="155" spans="1:3" x14ac:dyDescent="0.25">
      <c r="A155" s="77"/>
      <c r="B155" s="77"/>
      <c r="C155" s="75"/>
    </row>
    <row r="156" spans="1:3" x14ac:dyDescent="0.25">
      <c r="A156" s="77"/>
      <c r="B156" s="77"/>
      <c r="C156" s="75"/>
    </row>
    <row r="157" spans="1:3" x14ac:dyDescent="0.25">
      <c r="A157" s="77"/>
      <c r="B157" s="77"/>
      <c r="C157" s="75"/>
    </row>
    <row r="158" spans="1:3" x14ac:dyDescent="0.25">
      <c r="A158" s="77"/>
      <c r="B158" s="77"/>
      <c r="C158" s="75"/>
    </row>
    <row r="159" spans="1:3" x14ac:dyDescent="0.25">
      <c r="A159" s="77"/>
      <c r="B159" s="77"/>
      <c r="C159" s="75"/>
    </row>
    <row r="160" spans="1:3" x14ac:dyDescent="0.25">
      <c r="A160" s="77"/>
      <c r="B160" s="77"/>
      <c r="C160" s="75"/>
    </row>
    <row r="161" spans="1:3" x14ac:dyDescent="0.25">
      <c r="A161" s="77"/>
      <c r="B161" s="77"/>
      <c r="C161" s="75"/>
    </row>
    <row r="162" spans="1:3" x14ac:dyDescent="0.25">
      <c r="A162" s="77"/>
      <c r="B162" s="77"/>
      <c r="C162" s="75"/>
    </row>
    <row r="163" spans="1:3" x14ac:dyDescent="0.25">
      <c r="A163" s="77"/>
      <c r="B163" s="77"/>
      <c r="C163" s="75"/>
    </row>
    <row r="164" spans="1:3" x14ac:dyDescent="0.25">
      <c r="A164" s="77"/>
      <c r="B164" s="77"/>
      <c r="C164" s="75"/>
    </row>
    <row r="165" spans="1:3" x14ac:dyDescent="0.25">
      <c r="A165" s="77"/>
      <c r="B165" s="77"/>
      <c r="C165" s="75"/>
    </row>
    <row r="166" spans="1:3" x14ac:dyDescent="0.25">
      <c r="A166" s="77"/>
      <c r="B166" s="77"/>
      <c r="C166" s="75"/>
    </row>
    <row r="167" spans="1:3" x14ac:dyDescent="0.25">
      <c r="A167" s="77"/>
      <c r="B167" s="77"/>
      <c r="C167" s="75"/>
    </row>
    <row r="168" spans="1:3" x14ac:dyDescent="0.25">
      <c r="A168" s="77"/>
      <c r="B168" s="77"/>
      <c r="C168" s="75"/>
    </row>
    <row r="169" spans="1:3" x14ac:dyDescent="0.25">
      <c r="A169" s="77"/>
      <c r="B169" s="77"/>
      <c r="C169" s="75"/>
    </row>
    <row r="170" spans="1:3" x14ac:dyDescent="0.25">
      <c r="A170" s="77"/>
      <c r="B170" s="77"/>
      <c r="C170" s="75"/>
    </row>
    <row r="171" spans="1:3" x14ac:dyDescent="0.25">
      <c r="A171" s="77"/>
      <c r="B171" s="77"/>
      <c r="C171" s="75"/>
    </row>
    <row r="172" spans="1:3" x14ac:dyDescent="0.25">
      <c r="A172" s="77"/>
      <c r="B172" s="77"/>
      <c r="C172" s="75"/>
    </row>
    <row r="173" spans="1:3" x14ac:dyDescent="0.25">
      <c r="A173" s="77"/>
      <c r="B173" s="77"/>
      <c r="C173" s="75"/>
    </row>
    <row r="174" spans="1:3" x14ac:dyDescent="0.25">
      <c r="A174" s="77"/>
      <c r="B174" s="77"/>
      <c r="C174" s="75"/>
    </row>
    <row r="175" spans="1:3" x14ac:dyDescent="0.25">
      <c r="A175" s="77"/>
      <c r="B175" s="77"/>
      <c r="C175" s="75"/>
    </row>
    <row r="176" spans="1:3" x14ac:dyDescent="0.25">
      <c r="A176" s="77"/>
      <c r="B176" s="77"/>
      <c r="C176" s="75"/>
    </row>
    <row r="177" spans="1:3" x14ac:dyDescent="0.25">
      <c r="A177" s="77"/>
      <c r="B177" s="77"/>
      <c r="C177" s="75"/>
    </row>
    <row r="178" spans="1:3" x14ac:dyDescent="0.25">
      <c r="A178" s="77"/>
      <c r="B178" s="77"/>
      <c r="C178" s="75"/>
    </row>
    <row r="179" spans="1:3" x14ac:dyDescent="0.25">
      <c r="A179" s="77"/>
      <c r="B179" s="77"/>
      <c r="C179" s="75"/>
    </row>
    <row r="180" spans="1:3" x14ac:dyDescent="0.25">
      <c r="A180" s="77"/>
      <c r="B180" s="77"/>
      <c r="C180" s="75"/>
    </row>
    <row r="181" spans="1:3" x14ac:dyDescent="0.25">
      <c r="A181" s="77"/>
      <c r="B181" s="77"/>
      <c r="C181" s="75"/>
    </row>
    <row r="182" spans="1:3" x14ac:dyDescent="0.25">
      <c r="A182" s="77"/>
      <c r="B182" s="77"/>
      <c r="C182" s="75"/>
    </row>
    <row r="183" spans="1:3" x14ac:dyDescent="0.25">
      <c r="A183" s="77"/>
      <c r="B183" s="77"/>
      <c r="C183" s="75"/>
    </row>
    <row r="184" spans="1:3" x14ac:dyDescent="0.25">
      <c r="A184" s="77"/>
      <c r="B184" s="77"/>
      <c r="C184" s="75"/>
    </row>
    <row r="185" spans="1:3" x14ac:dyDescent="0.25">
      <c r="A185" s="77"/>
      <c r="B185" s="77"/>
      <c r="C185" s="75"/>
    </row>
    <row r="186" spans="1:3" x14ac:dyDescent="0.25">
      <c r="A186" s="77"/>
      <c r="B186" s="77"/>
      <c r="C186" s="75"/>
    </row>
    <row r="187" spans="1:3" x14ac:dyDescent="0.25">
      <c r="A187" s="77"/>
      <c r="B187" s="77"/>
      <c r="C187" s="75"/>
    </row>
    <row r="188" spans="1:3" x14ac:dyDescent="0.25">
      <c r="A188" s="77"/>
      <c r="B188" s="77"/>
      <c r="C188" s="75"/>
    </row>
    <row r="189" spans="1:3" x14ac:dyDescent="0.25">
      <c r="A189" s="77"/>
      <c r="B189" s="77"/>
      <c r="C189" s="75"/>
    </row>
    <row r="190" spans="1:3" x14ac:dyDescent="0.25">
      <c r="A190" s="77"/>
      <c r="B190" s="77"/>
      <c r="C190" s="75"/>
    </row>
    <row r="191" spans="1:3" x14ac:dyDescent="0.25">
      <c r="A191" s="77"/>
      <c r="B191" s="77"/>
      <c r="C191" s="75"/>
    </row>
    <row r="192" spans="1:3" x14ac:dyDescent="0.25">
      <c r="A192" s="77"/>
      <c r="B192" s="77"/>
      <c r="C192" s="75"/>
    </row>
    <row r="193" spans="1:3" x14ac:dyDescent="0.25">
      <c r="A193" s="77"/>
      <c r="B193" s="77"/>
      <c r="C193" s="75"/>
    </row>
    <row r="194" spans="1:3" x14ac:dyDescent="0.25">
      <c r="A194" s="77"/>
      <c r="B194" s="77"/>
      <c r="C194" s="75"/>
    </row>
    <row r="195" spans="1:3" x14ac:dyDescent="0.25">
      <c r="A195" s="77"/>
      <c r="B195" s="77"/>
      <c r="C195" s="75"/>
    </row>
    <row r="196" spans="1:3" x14ac:dyDescent="0.25">
      <c r="A196" s="77"/>
      <c r="B196" s="77"/>
      <c r="C196" s="75"/>
    </row>
    <row r="197" spans="1:3" x14ac:dyDescent="0.25">
      <c r="A197" s="77"/>
      <c r="B197" s="77"/>
      <c r="C197" s="75"/>
    </row>
    <row r="198" spans="1:3" x14ac:dyDescent="0.25">
      <c r="A198" s="77"/>
      <c r="B198" s="77"/>
      <c r="C198" s="75"/>
    </row>
    <row r="199" spans="1:3" x14ac:dyDescent="0.25">
      <c r="A199" s="77"/>
      <c r="B199" s="77"/>
      <c r="C199" s="75"/>
    </row>
    <row r="200" spans="1:3" x14ac:dyDescent="0.25">
      <c r="A200" s="77"/>
      <c r="B200" s="77"/>
      <c r="C200" s="75"/>
    </row>
    <row r="201" spans="1:3" x14ac:dyDescent="0.25">
      <c r="A201" s="77"/>
      <c r="B201" s="77"/>
      <c r="C201" s="75"/>
    </row>
    <row r="202" spans="1:3" x14ac:dyDescent="0.25">
      <c r="A202" s="77"/>
      <c r="B202" s="77"/>
      <c r="C202" s="75"/>
    </row>
    <row r="203" spans="1:3" x14ac:dyDescent="0.25">
      <c r="A203" s="77"/>
      <c r="B203" s="77"/>
      <c r="C203" s="75"/>
    </row>
    <row r="204" spans="1:3" x14ac:dyDescent="0.25">
      <c r="A204" s="77"/>
      <c r="B204" s="77"/>
      <c r="C204" s="75"/>
    </row>
    <row r="205" spans="1:3" x14ac:dyDescent="0.25">
      <c r="A205" s="77"/>
      <c r="B205" s="77"/>
      <c r="C205" s="75"/>
    </row>
    <row r="206" spans="1:3" x14ac:dyDescent="0.25">
      <c r="A206" s="77"/>
      <c r="B206" s="77"/>
      <c r="C206" s="75"/>
    </row>
    <row r="207" spans="1:3" x14ac:dyDescent="0.25">
      <c r="A207" s="77"/>
      <c r="B207" s="77"/>
      <c r="C207" s="75"/>
    </row>
    <row r="208" spans="1:3" x14ac:dyDescent="0.25">
      <c r="A208" s="77"/>
      <c r="B208" s="77"/>
      <c r="C208" s="75"/>
    </row>
    <row r="209" spans="1:3" x14ac:dyDescent="0.25">
      <c r="A209" s="77"/>
      <c r="B209" s="77"/>
      <c r="C209" s="75"/>
    </row>
    <row r="210" spans="1:3" x14ac:dyDescent="0.25">
      <c r="A210" s="77"/>
      <c r="B210" s="77"/>
      <c r="C210" s="75"/>
    </row>
    <row r="211" spans="1:3" x14ac:dyDescent="0.25">
      <c r="A211" s="77"/>
      <c r="B211" s="77"/>
      <c r="C211" s="75"/>
    </row>
    <row r="212" spans="1:3" x14ac:dyDescent="0.25">
      <c r="A212" s="77"/>
      <c r="B212" s="77"/>
      <c r="C212" s="75"/>
    </row>
    <row r="213" spans="1:3" x14ac:dyDescent="0.25">
      <c r="A213" s="77"/>
      <c r="B213" s="77"/>
      <c r="C213" s="75"/>
    </row>
    <row r="214" spans="1:3" x14ac:dyDescent="0.25">
      <c r="A214" s="77"/>
      <c r="B214" s="77"/>
      <c r="C214" s="75"/>
    </row>
    <row r="215" spans="1:3" x14ac:dyDescent="0.25">
      <c r="A215" s="77"/>
      <c r="B215" s="77"/>
      <c r="C215" s="75"/>
    </row>
    <row r="216" spans="1:3" x14ac:dyDescent="0.25">
      <c r="A216" s="77"/>
      <c r="B216" s="77"/>
      <c r="C216" s="75"/>
    </row>
    <row r="217" spans="1:3" x14ac:dyDescent="0.25">
      <c r="A217" s="77"/>
      <c r="B217" s="77"/>
      <c r="C217" s="75"/>
    </row>
    <row r="218" spans="1:3" x14ac:dyDescent="0.25">
      <c r="A218" s="77"/>
      <c r="B218" s="77"/>
      <c r="C218" s="75"/>
    </row>
    <row r="219" spans="1:3" x14ac:dyDescent="0.25">
      <c r="A219" s="77"/>
      <c r="B219" s="77"/>
      <c r="C219" s="75"/>
    </row>
    <row r="220" spans="1:3" x14ac:dyDescent="0.25">
      <c r="A220" s="77"/>
      <c r="B220" s="77"/>
      <c r="C220" s="75"/>
    </row>
    <row r="221" spans="1:3" x14ac:dyDescent="0.25">
      <c r="A221" s="77"/>
      <c r="B221" s="77"/>
      <c r="C221" s="75"/>
    </row>
    <row r="222" spans="1:3" x14ac:dyDescent="0.25">
      <c r="A222" s="77"/>
      <c r="B222" s="77"/>
      <c r="C222" s="75"/>
    </row>
    <row r="223" spans="1:3" x14ac:dyDescent="0.25">
      <c r="A223" s="77"/>
      <c r="B223" s="77"/>
      <c r="C223" s="75"/>
    </row>
    <row r="224" spans="1:3" x14ac:dyDescent="0.25">
      <c r="A224" s="77"/>
      <c r="B224" s="77"/>
      <c r="C224" s="75"/>
    </row>
    <row r="225" spans="1:3" x14ac:dyDescent="0.25">
      <c r="A225" s="77"/>
      <c r="B225" s="77"/>
      <c r="C225" s="75"/>
    </row>
    <row r="226" spans="1:3" x14ac:dyDescent="0.25">
      <c r="A226" s="77"/>
      <c r="B226" s="77"/>
      <c r="C226" s="75"/>
    </row>
    <row r="227" spans="1:3" x14ac:dyDescent="0.25">
      <c r="A227" s="77"/>
      <c r="B227" s="77"/>
      <c r="C227" s="75"/>
    </row>
    <row r="228" spans="1:3" x14ac:dyDescent="0.25">
      <c r="A228" s="77"/>
      <c r="B228" s="77"/>
      <c r="C228" s="75"/>
    </row>
    <row r="229" spans="1:3" x14ac:dyDescent="0.25">
      <c r="A229" s="77"/>
      <c r="B229" s="77"/>
      <c r="C229" s="75"/>
    </row>
    <row r="230" spans="1:3" x14ac:dyDescent="0.25">
      <c r="A230" s="77"/>
      <c r="B230" s="77"/>
      <c r="C230" s="75"/>
    </row>
    <row r="231" spans="1:3" x14ac:dyDescent="0.25">
      <c r="A231" s="77"/>
      <c r="B231" s="77"/>
      <c r="C231" s="75"/>
    </row>
    <row r="232" spans="1:3" x14ac:dyDescent="0.25">
      <c r="A232" s="77"/>
      <c r="B232" s="77"/>
      <c r="C232" s="75"/>
    </row>
    <row r="233" spans="1:3" x14ac:dyDescent="0.25">
      <c r="A233" s="77"/>
      <c r="B233" s="77"/>
      <c r="C233" s="75"/>
    </row>
    <row r="234" spans="1:3" x14ac:dyDescent="0.25">
      <c r="A234" s="77"/>
      <c r="B234" s="77"/>
      <c r="C234" s="75"/>
    </row>
    <row r="235" spans="1:3" x14ac:dyDescent="0.25">
      <c r="A235" s="77"/>
      <c r="B235" s="77"/>
      <c r="C235" s="75"/>
    </row>
    <row r="236" spans="1:3" x14ac:dyDescent="0.25">
      <c r="A236" s="77"/>
      <c r="B236" s="77"/>
      <c r="C236" s="75"/>
    </row>
    <row r="237" spans="1:3" x14ac:dyDescent="0.25">
      <c r="A237" s="77"/>
      <c r="B237" s="77"/>
      <c r="C237" s="75"/>
    </row>
    <row r="238" spans="1:3" x14ac:dyDescent="0.25">
      <c r="A238" s="77"/>
      <c r="B238" s="77"/>
      <c r="C238" s="75"/>
    </row>
    <row r="239" spans="1:3" x14ac:dyDescent="0.25">
      <c r="A239" s="77"/>
      <c r="B239" s="77"/>
      <c r="C239" s="75"/>
    </row>
    <row r="240" spans="1:3" x14ac:dyDescent="0.25">
      <c r="A240" s="77"/>
      <c r="B240" s="77"/>
      <c r="C240" s="75"/>
    </row>
    <row r="241" spans="1:3" x14ac:dyDescent="0.25">
      <c r="A241" s="77"/>
      <c r="B241" s="77"/>
      <c r="C241" s="75"/>
    </row>
    <row r="242" spans="1:3" x14ac:dyDescent="0.25">
      <c r="A242" s="77"/>
      <c r="B242" s="77"/>
      <c r="C242" s="75"/>
    </row>
    <row r="243" spans="1:3" x14ac:dyDescent="0.25">
      <c r="A243" s="77"/>
      <c r="B243" s="77"/>
      <c r="C243" s="75"/>
    </row>
    <row r="244" spans="1:3" x14ac:dyDescent="0.25">
      <c r="A244" s="77"/>
      <c r="B244" s="77"/>
      <c r="C244" s="75"/>
    </row>
    <row r="245" spans="1:3" x14ac:dyDescent="0.25">
      <c r="A245" s="77"/>
      <c r="B245" s="77"/>
      <c r="C245" s="75"/>
    </row>
    <row r="246" spans="1:3" x14ac:dyDescent="0.25">
      <c r="A246" s="77"/>
      <c r="B246" s="77"/>
      <c r="C246" s="75"/>
    </row>
    <row r="247" spans="1:3" x14ac:dyDescent="0.25">
      <c r="A247" s="77"/>
      <c r="B247" s="77"/>
      <c r="C247" s="75"/>
    </row>
    <row r="248" spans="1:3" x14ac:dyDescent="0.25">
      <c r="A248" s="77"/>
      <c r="B248" s="77"/>
      <c r="C248" s="75"/>
    </row>
    <row r="249" spans="1:3" x14ac:dyDescent="0.25">
      <c r="A249" s="77"/>
      <c r="B249" s="77"/>
      <c r="C249" s="75"/>
    </row>
    <row r="250" spans="1:3" x14ac:dyDescent="0.25">
      <c r="A250" s="77"/>
      <c r="B250" s="77"/>
      <c r="C250" s="75"/>
    </row>
    <row r="251" spans="1:3" x14ac:dyDescent="0.25">
      <c r="A251" s="77"/>
      <c r="B251" s="77"/>
      <c r="C251" s="75"/>
    </row>
    <row r="252" spans="1:3" x14ac:dyDescent="0.25">
      <c r="A252" s="77"/>
      <c r="B252" s="77"/>
      <c r="C252" s="75"/>
    </row>
    <row r="253" spans="1:3" x14ac:dyDescent="0.25">
      <c r="A253" s="77"/>
      <c r="B253" s="77"/>
      <c r="C253" s="75"/>
    </row>
    <row r="254" spans="1:3" x14ac:dyDescent="0.25">
      <c r="A254" s="77"/>
      <c r="B254" s="77"/>
      <c r="C254" s="75"/>
    </row>
    <row r="255" spans="1:3" x14ac:dyDescent="0.25">
      <c r="A255" s="77"/>
      <c r="B255" s="77"/>
      <c r="C255" s="75"/>
    </row>
    <row r="256" spans="1:3" x14ac:dyDescent="0.25">
      <c r="A256" s="77"/>
      <c r="B256" s="77"/>
      <c r="C256" s="75"/>
    </row>
    <row r="257" spans="1:3" x14ac:dyDescent="0.25">
      <c r="A257" s="77"/>
      <c r="B257" s="77"/>
      <c r="C257" s="75"/>
    </row>
    <row r="258" spans="1:3" x14ac:dyDescent="0.25">
      <c r="A258" s="77"/>
      <c r="B258" s="77"/>
      <c r="C258" s="75"/>
    </row>
    <row r="259" spans="1:3" x14ac:dyDescent="0.25">
      <c r="A259" s="77"/>
      <c r="B259" s="77"/>
      <c r="C259" s="75"/>
    </row>
    <row r="260" spans="1:3" x14ac:dyDescent="0.25">
      <c r="A260" s="77"/>
      <c r="B260" s="77"/>
      <c r="C260" s="75"/>
    </row>
    <row r="261" spans="1:3" x14ac:dyDescent="0.25">
      <c r="A261" s="77"/>
      <c r="B261" s="77"/>
      <c r="C261" s="75"/>
    </row>
    <row r="262" spans="1:3" x14ac:dyDescent="0.25">
      <c r="A262" s="77"/>
      <c r="B262" s="77"/>
      <c r="C262" s="75"/>
    </row>
    <row r="263" spans="1:3" x14ac:dyDescent="0.25">
      <c r="A263" s="77"/>
      <c r="B263" s="77"/>
      <c r="C263" s="75"/>
    </row>
    <row r="264" spans="1:3" x14ac:dyDescent="0.25">
      <c r="A264" s="77"/>
      <c r="B264" s="77"/>
      <c r="C264" s="75"/>
    </row>
    <row r="265" spans="1:3" x14ac:dyDescent="0.25">
      <c r="A265" s="77"/>
      <c r="B265" s="77"/>
      <c r="C265" s="75"/>
    </row>
    <row r="266" spans="1:3" x14ac:dyDescent="0.25">
      <c r="A266" s="77"/>
      <c r="B266" s="77"/>
      <c r="C266" s="75"/>
    </row>
    <row r="267" spans="1:3" x14ac:dyDescent="0.25">
      <c r="A267" s="77"/>
      <c r="B267" s="77"/>
      <c r="C267" s="75"/>
    </row>
    <row r="268" spans="1:3" x14ac:dyDescent="0.25">
      <c r="A268" s="77"/>
      <c r="B268" s="77"/>
      <c r="C268" s="75"/>
    </row>
    <row r="269" spans="1:3" x14ac:dyDescent="0.25">
      <c r="A269" s="77"/>
      <c r="B269" s="77"/>
      <c r="C269" s="75"/>
    </row>
    <row r="270" spans="1:3" x14ac:dyDescent="0.25">
      <c r="A270" s="77"/>
      <c r="B270" s="77"/>
      <c r="C270" s="75"/>
    </row>
    <row r="271" spans="1:3" x14ac:dyDescent="0.25">
      <c r="A271" s="77"/>
      <c r="B271" s="77"/>
      <c r="C271" s="75"/>
    </row>
    <row r="272" spans="1:3" x14ac:dyDescent="0.25">
      <c r="A272" s="77"/>
      <c r="B272" s="77"/>
      <c r="C272" s="75"/>
    </row>
    <row r="273" spans="1:3" x14ac:dyDescent="0.25">
      <c r="A273" s="77"/>
      <c r="B273" s="77"/>
      <c r="C273" s="75"/>
    </row>
    <row r="274" spans="1:3" x14ac:dyDescent="0.25">
      <c r="A274" s="77"/>
      <c r="B274" s="77"/>
      <c r="C274" s="75"/>
    </row>
    <row r="275" spans="1:3" x14ac:dyDescent="0.25">
      <c r="A275" s="77"/>
      <c r="B275" s="77"/>
      <c r="C275" s="75"/>
    </row>
    <row r="276" spans="1:3" x14ac:dyDescent="0.25">
      <c r="A276" s="77"/>
      <c r="B276" s="77"/>
      <c r="C276" s="75"/>
    </row>
    <row r="277" spans="1:3" x14ac:dyDescent="0.25">
      <c r="A277" s="77"/>
      <c r="B277" s="77"/>
      <c r="C277" s="75"/>
    </row>
    <row r="278" spans="1:3" x14ac:dyDescent="0.25">
      <c r="A278" s="77"/>
      <c r="B278" s="77"/>
      <c r="C278" s="75"/>
    </row>
    <row r="279" spans="1:3" x14ac:dyDescent="0.25">
      <c r="A279" s="77"/>
      <c r="B279" s="77"/>
      <c r="C279" s="75"/>
    </row>
    <row r="280" spans="1:3" x14ac:dyDescent="0.25">
      <c r="A280" s="77"/>
      <c r="B280" s="77"/>
      <c r="C280" s="75"/>
    </row>
    <row r="281" spans="1:3" x14ac:dyDescent="0.25">
      <c r="A281" s="77"/>
      <c r="B281" s="77"/>
      <c r="C281" s="75"/>
    </row>
    <row r="282" spans="1:3" x14ac:dyDescent="0.25">
      <c r="A282" s="77"/>
      <c r="B282" s="77"/>
      <c r="C282" s="75"/>
    </row>
    <row r="283" spans="1:3" x14ac:dyDescent="0.25">
      <c r="A283" s="77"/>
      <c r="B283" s="77"/>
      <c r="C283" s="75"/>
    </row>
    <row r="284" spans="1:3" x14ac:dyDescent="0.25">
      <c r="A284" s="77"/>
      <c r="B284" s="77"/>
      <c r="C284" s="75"/>
    </row>
    <row r="285" spans="1:3" x14ac:dyDescent="0.25">
      <c r="A285" s="77"/>
      <c r="B285" s="77"/>
      <c r="C285" s="75"/>
    </row>
    <row r="286" spans="1:3" x14ac:dyDescent="0.25">
      <c r="A286" s="77"/>
      <c r="B286" s="77"/>
      <c r="C286" s="75"/>
    </row>
    <row r="287" spans="1:3" x14ac:dyDescent="0.25">
      <c r="A287" s="77"/>
      <c r="B287" s="77"/>
      <c r="C287" s="75"/>
    </row>
    <row r="288" spans="1:3" x14ac:dyDescent="0.25">
      <c r="A288" s="77"/>
      <c r="B288" s="77"/>
      <c r="C288" s="75"/>
    </row>
    <row r="289" spans="1:3" x14ac:dyDescent="0.25">
      <c r="A289" s="77"/>
      <c r="B289" s="77"/>
      <c r="C289" s="75"/>
    </row>
    <row r="290" spans="1:3" x14ac:dyDescent="0.25">
      <c r="A290" s="77"/>
      <c r="B290" s="77"/>
      <c r="C290" s="75"/>
    </row>
    <row r="291" spans="1:3" x14ac:dyDescent="0.25">
      <c r="A291" s="77"/>
      <c r="B291" s="77"/>
      <c r="C291" s="75"/>
    </row>
    <row r="292" spans="1:3" x14ac:dyDescent="0.25">
      <c r="A292" s="77"/>
      <c r="B292" s="77"/>
      <c r="C292" s="75"/>
    </row>
    <row r="293" spans="1:3" x14ac:dyDescent="0.25">
      <c r="A293" s="77"/>
      <c r="B293" s="77"/>
      <c r="C293" s="75"/>
    </row>
    <row r="294" spans="1:3" x14ac:dyDescent="0.25">
      <c r="A294" s="77"/>
      <c r="B294" s="77"/>
      <c r="C294" s="75"/>
    </row>
    <row r="295" spans="1:3" x14ac:dyDescent="0.25">
      <c r="A295" s="77"/>
      <c r="B295" s="77"/>
      <c r="C295" s="75"/>
    </row>
    <row r="296" spans="1:3" x14ac:dyDescent="0.25">
      <c r="A296" s="77"/>
      <c r="B296" s="77"/>
      <c r="C296" s="75"/>
    </row>
    <row r="297" spans="1:3" x14ac:dyDescent="0.25">
      <c r="A297" s="77"/>
      <c r="B297" s="77"/>
      <c r="C297" s="75"/>
    </row>
    <row r="298" spans="1:3" x14ac:dyDescent="0.25">
      <c r="A298" s="77"/>
      <c r="B298" s="77"/>
      <c r="C298" s="75"/>
    </row>
    <row r="299" spans="1:3" x14ac:dyDescent="0.25">
      <c r="A299" s="77"/>
      <c r="B299" s="77"/>
      <c r="C299" s="75"/>
    </row>
    <row r="300" spans="1:3" x14ac:dyDescent="0.25">
      <c r="A300" s="77"/>
      <c r="B300" s="77"/>
      <c r="C300" s="75"/>
    </row>
    <row r="301" spans="1:3" x14ac:dyDescent="0.25">
      <c r="A301" s="77"/>
      <c r="B301" s="77"/>
      <c r="C301" s="75"/>
    </row>
    <row r="302" spans="1:3" x14ac:dyDescent="0.25">
      <c r="A302" s="77"/>
      <c r="B302" s="77"/>
      <c r="C302" s="75"/>
    </row>
    <row r="303" spans="1:3" x14ac:dyDescent="0.25">
      <c r="A303" s="77"/>
      <c r="B303" s="77"/>
      <c r="C303" s="75"/>
    </row>
    <row r="304" spans="1:3" x14ac:dyDescent="0.25">
      <c r="A304" s="77"/>
      <c r="B304" s="77"/>
      <c r="C304" s="75"/>
    </row>
    <row r="305" spans="1:3" x14ac:dyDescent="0.25">
      <c r="A305" s="77"/>
      <c r="B305" s="77"/>
      <c r="C305" s="75"/>
    </row>
    <row r="306" spans="1:3" x14ac:dyDescent="0.25">
      <c r="A306" s="77"/>
      <c r="B306" s="77"/>
      <c r="C306" s="75"/>
    </row>
    <row r="307" spans="1:3" x14ac:dyDescent="0.25">
      <c r="A307" s="77"/>
      <c r="B307" s="77"/>
      <c r="C307" s="75"/>
    </row>
    <row r="308" spans="1:3" x14ac:dyDescent="0.25">
      <c r="A308" s="77"/>
      <c r="B308" s="77"/>
      <c r="C308" s="75"/>
    </row>
    <row r="309" spans="1:3" x14ac:dyDescent="0.25">
      <c r="A309" s="77"/>
      <c r="B309" s="77"/>
      <c r="C309" s="75"/>
    </row>
    <row r="310" spans="1:3" x14ac:dyDescent="0.25">
      <c r="A310" s="77"/>
      <c r="B310" s="77"/>
      <c r="C310" s="75"/>
    </row>
    <row r="311" spans="1:3" x14ac:dyDescent="0.25">
      <c r="A311" s="77"/>
      <c r="B311" s="77"/>
      <c r="C311" s="75"/>
    </row>
    <row r="312" spans="1:3" x14ac:dyDescent="0.25">
      <c r="A312" s="77"/>
      <c r="B312" s="77"/>
      <c r="C312" s="75"/>
    </row>
    <row r="313" spans="1:3" x14ac:dyDescent="0.25">
      <c r="A313" s="77"/>
      <c r="B313" s="77"/>
      <c r="C313" s="75"/>
    </row>
    <row r="314" spans="1:3" x14ac:dyDescent="0.25">
      <c r="A314" s="77"/>
      <c r="B314" s="77"/>
      <c r="C314" s="75"/>
    </row>
    <row r="315" spans="1:3" x14ac:dyDescent="0.25">
      <c r="A315" s="77"/>
      <c r="B315" s="77"/>
      <c r="C315" s="75"/>
    </row>
    <row r="316" spans="1:3" x14ac:dyDescent="0.25">
      <c r="A316" s="77"/>
      <c r="B316" s="77"/>
      <c r="C316" s="75"/>
    </row>
    <row r="317" spans="1:3" x14ac:dyDescent="0.25">
      <c r="A317" s="77"/>
      <c r="B317" s="77"/>
      <c r="C317" s="75"/>
    </row>
    <row r="318" spans="1:3" x14ac:dyDescent="0.25">
      <c r="A318" s="77"/>
      <c r="B318" s="77"/>
      <c r="C318" s="75"/>
    </row>
    <row r="319" spans="1:3" x14ac:dyDescent="0.25">
      <c r="A319" s="77"/>
      <c r="B319" s="77"/>
      <c r="C319" s="75"/>
    </row>
    <row r="320" spans="1:3" x14ac:dyDescent="0.25">
      <c r="A320" s="77"/>
      <c r="B320" s="77"/>
      <c r="C320" s="75"/>
    </row>
    <row r="321" spans="1:3" x14ac:dyDescent="0.25">
      <c r="A321" s="77"/>
      <c r="B321" s="77"/>
      <c r="C321" s="75"/>
    </row>
    <row r="322" spans="1:3" x14ac:dyDescent="0.25">
      <c r="A322" s="77"/>
      <c r="B322" s="77"/>
      <c r="C322" s="75"/>
    </row>
    <row r="323" spans="1:3" x14ac:dyDescent="0.25">
      <c r="A323" s="77"/>
      <c r="B323" s="77"/>
      <c r="C323" s="75"/>
    </row>
    <row r="324" spans="1:3" x14ac:dyDescent="0.25">
      <c r="A324" s="77"/>
      <c r="B324" s="77"/>
      <c r="C324" s="75"/>
    </row>
    <row r="325" spans="1:3" x14ac:dyDescent="0.25">
      <c r="A325" s="77"/>
      <c r="B325" s="77"/>
      <c r="C325" s="75"/>
    </row>
    <row r="326" spans="1:3" x14ac:dyDescent="0.25">
      <c r="A326" s="77"/>
      <c r="B326" s="77"/>
      <c r="C326" s="75"/>
    </row>
    <row r="327" spans="1:3" x14ac:dyDescent="0.25">
      <c r="A327" s="77"/>
      <c r="B327" s="77"/>
      <c r="C327" s="75"/>
    </row>
    <row r="328" spans="1:3" x14ac:dyDescent="0.25">
      <c r="A328" s="77"/>
      <c r="B328" s="77"/>
      <c r="C328" s="75"/>
    </row>
    <row r="329" spans="1:3" x14ac:dyDescent="0.25">
      <c r="A329" s="77"/>
      <c r="B329" s="77"/>
      <c r="C329" s="75"/>
    </row>
    <row r="330" spans="1:3" x14ac:dyDescent="0.25">
      <c r="A330" s="77"/>
      <c r="B330" s="77"/>
      <c r="C330" s="75"/>
    </row>
    <row r="331" spans="1:3" x14ac:dyDescent="0.25">
      <c r="A331" s="77"/>
      <c r="B331" s="77"/>
      <c r="C331" s="75"/>
    </row>
    <row r="332" spans="1:3" x14ac:dyDescent="0.25">
      <c r="A332" s="77"/>
      <c r="B332" s="77"/>
      <c r="C332" s="75"/>
    </row>
    <row r="333" spans="1:3" x14ac:dyDescent="0.25">
      <c r="A333" s="77"/>
      <c r="B333" s="77"/>
      <c r="C333" s="75"/>
    </row>
    <row r="334" spans="1:3" x14ac:dyDescent="0.25">
      <c r="A334" s="77"/>
      <c r="B334" s="77"/>
      <c r="C334" s="75"/>
    </row>
    <row r="335" spans="1:3" x14ac:dyDescent="0.25">
      <c r="A335" s="77"/>
      <c r="B335" s="77"/>
      <c r="C335" s="75"/>
    </row>
    <row r="336" spans="1:3" x14ac:dyDescent="0.25">
      <c r="A336" s="77"/>
      <c r="B336" s="77"/>
      <c r="C336" s="75"/>
    </row>
    <row r="337" spans="1:3" x14ac:dyDescent="0.25">
      <c r="A337" s="77"/>
      <c r="B337" s="77"/>
      <c r="C337" s="75"/>
    </row>
    <row r="338" spans="1:3" x14ac:dyDescent="0.25">
      <c r="A338" s="77"/>
      <c r="B338" s="77"/>
      <c r="C338" s="75"/>
    </row>
    <row r="339" spans="1:3" x14ac:dyDescent="0.25">
      <c r="A339" s="77"/>
      <c r="B339" s="77"/>
      <c r="C339" s="75"/>
    </row>
    <row r="340" spans="1:3" x14ac:dyDescent="0.25">
      <c r="A340" s="77"/>
      <c r="B340" s="77"/>
      <c r="C340" s="75"/>
    </row>
    <row r="341" spans="1:3" x14ac:dyDescent="0.25">
      <c r="A341" s="77"/>
      <c r="B341" s="77"/>
      <c r="C341" s="75"/>
    </row>
    <row r="342" spans="1:3" x14ac:dyDescent="0.25">
      <c r="A342" s="77"/>
      <c r="B342" s="77"/>
      <c r="C342" s="75"/>
    </row>
    <row r="343" spans="1:3" x14ac:dyDescent="0.25">
      <c r="A343" s="77"/>
      <c r="B343" s="77"/>
      <c r="C343" s="75"/>
    </row>
    <row r="344" spans="1:3" x14ac:dyDescent="0.25">
      <c r="A344" s="77"/>
      <c r="B344" s="77"/>
      <c r="C344" s="75"/>
    </row>
    <row r="345" spans="1:3" x14ac:dyDescent="0.25">
      <c r="A345" s="77"/>
      <c r="B345" s="77"/>
      <c r="C345" s="75"/>
    </row>
    <row r="346" spans="1:3" x14ac:dyDescent="0.25">
      <c r="A346" s="77"/>
      <c r="B346" s="77"/>
      <c r="C346" s="75"/>
    </row>
    <row r="347" spans="1:3" x14ac:dyDescent="0.25">
      <c r="A347" s="77"/>
      <c r="B347" s="77"/>
      <c r="C347" s="75"/>
    </row>
    <row r="348" spans="1:3" x14ac:dyDescent="0.25">
      <c r="A348" s="77"/>
      <c r="B348" s="77"/>
      <c r="C348" s="75"/>
    </row>
    <row r="349" spans="1:3" x14ac:dyDescent="0.25">
      <c r="A349" s="77"/>
      <c r="B349" s="77"/>
      <c r="C349" s="75"/>
    </row>
    <row r="350" spans="1:3" x14ac:dyDescent="0.25">
      <c r="A350" s="77"/>
      <c r="B350" s="77"/>
      <c r="C350" s="75"/>
    </row>
    <row r="351" spans="1:3" x14ac:dyDescent="0.25">
      <c r="A351" s="77"/>
      <c r="B351" s="77"/>
      <c r="C351" s="75"/>
    </row>
    <row r="352" spans="1:3" x14ac:dyDescent="0.25">
      <c r="A352" s="77"/>
      <c r="B352" s="77"/>
      <c r="C352" s="75"/>
    </row>
    <row r="353" spans="1:3" x14ac:dyDescent="0.25">
      <c r="A353" s="77"/>
      <c r="B353" s="77"/>
      <c r="C353" s="75"/>
    </row>
    <row r="354" spans="1:3" x14ac:dyDescent="0.25">
      <c r="A354" s="77"/>
      <c r="B354" s="77"/>
      <c r="C354" s="75"/>
    </row>
    <row r="355" spans="1:3" x14ac:dyDescent="0.25">
      <c r="A355" s="77"/>
      <c r="B355" s="77"/>
      <c r="C355" s="75"/>
    </row>
    <row r="356" spans="1:3" x14ac:dyDescent="0.25">
      <c r="A356" s="77"/>
      <c r="B356" s="77"/>
      <c r="C356" s="75"/>
    </row>
    <row r="357" spans="1:3" x14ac:dyDescent="0.25">
      <c r="A357" s="77"/>
      <c r="B357" s="77"/>
      <c r="C357" s="75"/>
    </row>
    <row r="358" spans="1:3" x14ac:dyDescent="0.25">
      <c r="A358" s="77"/>
      <c r="B358" s="77"/>
      <c r="C358" s="75"/>
    </row>
    <row r="359" spans="1:3" x14ac:dyDescent="0.25">
      <c r="A359" s="77"/>
      <c r="B359" s="77"/>
      <c r="C359" s="75"/>
    </row>
    <row r="360" spans="1:3" x14ac:dyDescent="0.25">
      <c r="A360" s="77"/>
      <c r="B360" s="77"/>
      <c r="C360" s="75"/>
    </row>
    <row r="361" spans="1:3" x14ac:dyDescent="0.25">
      <c r="A361" s="77"/>
      <c r="B361" s="77"/>
      <c r="C361" s="75"/>
    </row>
    <row r="362" spans="1:3" x14ac:dyDescent="0.25">
      <c r="A362" s="77"/>
      <c r="B362" s="77"/>
      <c r="C362" s="75"/>
    </row>
    <row r="363" spans="1:3" x14ac:dyDescent="0.25">
      <c r="A363" s="77"/>
      <c r="B363" s="77"/>
      <c r="C363" s="75"/>
    </row>
    <row r="364" spans="1:3" x14ac:dyDescent="0.25">
      <c r="A364" s="77"/>
      <c r="B364" s="77"/>
      <c r="C364" s="75"/>
    </row>
    <row r="365" spans="1:3" x14ac:dyDescent="0.25">
      <c r="A365" s="77"/>
      <c r="B365" s="77"/>
      <c r="C365" s="75"/>
    </row>
    <row r="366" spans="1:3" x14ac:dyDescent="0.25">
      <c r="A366" s="77"/>
      <c r="B366" s="77"/>
      <c r="C366" s="75"/>
    </row>
    <row r="367" spans="1:3" x14ac:dyDescent="0.25">
      <c r="A367" s="77"/>
      <c r="B367" s="77"/>
      <c r="C367" s="75"/>
    </row>
    <row r="368" spans="1:3" x14ac:dyDescent="0.25">
      <c r="A368" s="77"/>
      <c r="B368" s="77"/>
      <c r="C368" s="75"/>
    </row>
    <row r="369" spans="1:3" x14ac:dyDescent="0.25">
      <c r="A369" s="77"/>
      <c r="B369" s="77"/>
      <c r="C369" s="75"/>
    </row>
    <row r="370" spans="1:3" x14ac:dyDescent="0.25">
      <c r="A370" s="77"/>
      <c r="B370" s="77"/>
      <c r="C370" s="75"/>
    </row>
    <row r="371" spans="1:3" x14ac:dyDescent="0.25">
      <c r="A371" s="77"/>
      <c r="B371" s="77"/>
      <c r="C371" s="75"/>
    </row>
    <row r="372" spans="1:3" x14ac:dyDescent="0.25">
      <c r="A372" s="77"/>
      <c r="B372" s="77"/>
      <c r="C372" s="75"/>
    </row>
    <row r="373" spans="1:3" x14ac:dyDescent="0.25">
      <c r="A373" s="77"/>
      <c r="B373" s="77"/>
      <c r="C373" s="75"/>
    </row>
    <row r="374" spans="1:3" x14ac:dyDescent="0.25">
      <c r="A374" s="77"/>
      <c r="B374" s="77"/>
      <c r="C374" s="75"/>
    </row>
    <row r="375" spans="1:3" x14ac:dyDescent="0.25">
      <c r="A375" s="77"/>
      <c r="B375" s="77"/>
      <c r="C375" s="75"/>
    </row>
    <row r="376" spans="1:3" x14ac:dyDescent="0.25">
      <c r="A376" s="77"/>
      <c r="B376" s="77"/>
      <c r="C376" s="75"/>
    </row>
    <row r="377" spans="1:3" x14ac:dyDescent="0.25">
      <c r="A377" s="77"/>
      <c r="B377" s="77"/>
      <c r="C377" s="75"/>
    </row>
    <row r="378" spans="1:3" x14ac:dyDescent="0.25">
      <c r="A378" s="77"/>
      <c r="B378" s="77"/>
      <c r="C378" s="75"/>
    </row>
    <row r="379" spans="1:3" x14ac:dyDescent="0.25">
      <c r="A379" s="77"/>
      <c r="B379" s="77"/>
      <c r="C379" s="75"/>
    </row>
    <row r="380" spans="1:3" x14ac:dyDescent="0.25">
      <c r="A380" s="77"/>
      <c r="B380" s="77"/>
      <c r="C380" s="75"/>
    </row>
    <row r="381" spans="1:3" x14ac:dyDescent="0.25">
      <c r="A381" s="77"/>
      <c r="B381" s="77"/>
      <c r="C381" s="75"/>
    </row>
    <row r="382" spans="1:3" x14ac:dyDescent="0.25">
      <c r="A382" s="77"/>
      <c r="B382" s="77"/>
      <c r="C382" s="75"/>
    </row>
    <row r="383" spans="1:3" x14ac:dyDescent="0.25">
      <c r="A383" s="77"/>
      <c r="B383" s="77"/>
      <c r="C383" s="75"/>
    </row>
    <row r="384" spans="1:3" x14ac:dyDescent="0.25">
      <c r="A384" s="77"/>
      <c r="B384" s="77"/>
      <c r="C384" s="75"/>
    </row>
    <row r="385" spans="1:3" x14ac:dyDescent="0.25">
      <c r="A385" s="77"/>
      <c r="B385" s="77"/>
      <c r="C385" s="75"/>
    </row>
    <row r="386" spans="1:3" x14ac:dyDescent="0.25">
      <c r="A386" s="77"/>
      <c r="B386" s="77"/>
      <c r="C386" s="75"/>
    </row>
    <row r="387" spans="1:3" x14ac:dyDescent="0.25">
      <c r="A387" s="77"/>
      <c r="B387" s="77"/>
      <c r="C387" s="75"/>
    </row>
    <row r="388" spans="1:3" x14ac:dyDescent="0.25">
      <c r="A388" s="77"/>
      <c r="B388" s="77"/>
      <c r="C388" s="75"/>
    </row>
    <row r="389" spans="1:3" x14ac:dyDescent="0.25">
      <c r="A389" s="77"/>
      <c r="B389" s="77"/>
      <c r="C389" s="75"/>
    </row>
    <row r="390" spans="1:3" x14ac:dyDescent="0.25">
      <c r="A390" s="77"/>
      <c r="B390" s="77"/>
      <c r="C390" s="75"/>
    </row>
    <row r="391" spans="1:3" x14ac:dyDescent="0.25">
      <c r="A391" s="77"/>
      <c r="B391" s="77"/>
      <c r="C391" s="75"/>
    </row>
    <row r="392" spans="1:3" x14ac:dyDescent="0.25">
      <c r="A392" s="77"/>
      <c r="B392" s="77"/>
      <c r="C392" s="75"/>
    </row>
    <row r="393" spans="1:3" x14ac:dyDescent="0.25">
      <c r="A393" s="77"/>
      <c r="B393" s="77"/>
      <c r="C393" s="75"/>
    </row>
    <row r="394" spans="1:3" x14ac:dyDescent="0.25">
      <c r="A394" s="77"/>
      <c r="B394" s="77"/>
      <c r="C394" s="75"/>
    </row>
    <row r="395" spans="1:3" x14ac:dyDescent="0.25">
      <c r="A395" s="77"/>
      <c r="B395" s="77"/>
      <c r="C395" s="75"/>
    </row>
    <row r="396" spans="1:3" x14ac:dyDescent="0.25">
      <c r="A396" s="77"/>
      <c r="B396" s="77"/>
      <c r="C396" s="75"/>
    </row>
    <row r="397" spans="1:3" x14ac:dyDescent="0.25">
      <c r="A397" s="77"/>
      <c r="B397" s="77"/>
      <c r="C397" s="75"/>
    </row>
    <row r="398" spans="1:3" x14ac:dyDescent="0.25">
      <c r="A398" s="77"/>
      <c r="B398" s="77"/>
      <c r="C398" s="75"/>
    </row>
    <row r="399" spans="1:3" x14ac:dyDescent="0.25">
      <c r="A399" s="77"/>
      <c r="B399" s="77"/>
      <c r="C399" s="75"/>
    </row>
    <row r="400" spans="1:3" x14ac:dyDescent="0.25">
      <c r="A400" s="77"/>
      <c r="B400" s="77"/>
      <c r="C400" s="75"/>
    </row>
    <row r="401" spans="1:3" x14ac:dyDescent="0.25">
      <c r="A401" s="77"/>
      <c r="B401" s="77"/>
      <c r="C401" s="75"/>
    </row>
    <row r="402" spans="1:3" x14ac:dyDescent="0.25">
      <c r="A402" s="77"/>
      <c r="B402" s="77"/>
      <c r="C402" s="75"/>
    </row>
    <row r="403" spans="1:3" x14ac:dyDescent="0.25">
      <c r="A403" s="77"/>
      <c r="B403" s="77"/>
      <c r="C403" s="75"/>
    </row>
    <row r="404" spans="1:3" x14ac:dyDescent="0.25">
      <c r="A404" s="77"/>
      <c r="B404" s="77"/>
      <c r="C404" s="75"/>
    </row>
    <row r="405" spans="1:3" x14ac:dyDescent="0.25">
      <c r="A405" s="77"/>
      <c r="B405" s="77"/>
      <c r="C405" s="75"/>
    </row>
    <row r="406" spans="1:3" x14ac:dyDescent="0.25">
      <c r="A406" s="77"/>
      <c r="B406" s="77"/>
      <c r="C406" s="75"/>
    </row>
    <row r="407" spans="1:3" x14ac:dyDescent="0.25">
      <c r="A407" s="77"/>
      <c r="B407" s="77"/>
      <c r="C407" s="75"/>
    </row>
    <row r="408" spans="1:3" x14ac:dyDescent="0.25">
      <c r="A408" s="77"/>
      <c r="B408" s="77"/>
      <c r="C408" s="75"/>
    </row>
    <row r="409" spans="1:3" x14ac:dyDescent="0.25">
      <c r="A409" s="77"/>
      <c r="B409" s="77"/>
      <c r="C409" s="75"/>
    </row>
    <row r="410" spans="1:3" x14ac:dyDescent="0.25">
      <c r="A410" s="77"/>
      <c r="B410" s="77"/>
      <c r="C410" s="75"/>
    </row>
    <row r="411" spans="1:3" x14ac:dyDescent="0.25">
      <c r="A411" s="77"/>
      <c r="B411" s="77"/>
      <c r="C411" s="75"/>
    </row>
    <row r="412" spans="1:3" x14ac:dyDescent="0.25">
      <c r="A412" s="77"/>
      <c r="B412" s="77"/>
      <c r="C412" s="75"/>
    </row>
    <row r="413" spans="1:3" x14ac:dyDescent="0.25">
      <c r="A413" s="77"/>
      <c r="B413" s="77"/>
      <c r="C413" s="75"/>
    </row>
    <row r="414" spans="1:3" x14ac:dyDescent="0.25">
      <c r="A414" s="77"/>
      <c r="B414" s="77"/>
      <c r="C414" s="75"/>
    </row>
    <row r="415" spans="1:3" x14ac:dyDescent="0.25">
      <c r="A415" s="77"/>
      <c r="B415" s="77"/>
      <c r="C415" s="75"/>
    </row>
    <row r="416" spans="1:3" x14ac:dyDescent="0.25">
      <c r="A416" s="77"/>
      <c r="B416" s="77"/>
      <c r="C416" s="75"/>
    </row>
    <row r="417" spans="1:3" x14ac:dyDescent="0.25">
      <c r="A417" s="77"/>
      <c r="B417" s="77"/>
      <c r="C417" s="75"/>
    </row>
    <row r="418" spans="1:3" x14ac:dyDescent="0.25">
      <c r="A418" s="77"/>
      <c r="B418" s="77"/>
      <c r="C418" s="75"/>
    </row>
    <row r="419" spans="1:3" x14ac:dyDescent="0.25">
      <c r="A419" s="77"/>
      <c r="B419" s="77"/>
      <c r="C419" s="75"/>
    </row>
    <row r="420" spans="1:3" x14ac:dyDescent="0.25">
      <c r="A420" s="77"/>
      <c r="B420" s="77"/>
      <c r="C420" s="75"/>
    </row>
    <row r="421" spans="1:3" x14ac:dyDescent="0.25">
      <c r="A421" s="77"/>
      <c r="B421" s="77"/>
      <c r="C421" s="75"/>
    </row>
    <row r="422" spans="1:3" x14ac:dyDescent="0.25">
      <c r="A422" s="77"/>
      <c r="B422" s="77"/>
      <c r="C422" s="75"/>
    </row>
    <row r="423" spans="1:3" x14ac:dyDescent="0.25">
      <c r="A423" s="77"/>
      <c r="B423" s="77"/>
      <c r="C423" s="75"/>
    </row>
    <row r="424" spans="1:3" x14ac:dyDescent="0.25">
      <c r="A424" s="77"/>
      <c r="B424" s="77"/>
      <c r="C424" s="75"/>
    </row>
    <row r="425" spans="1:3" x14ac:dyDescent="0.25">
      <c r="A425" s="77"/>
      <c r="B425" s="77"/>
      <c r="C425" s="75"/>
    </row>
    <row r="426" spans="1:3" x14ac:dyDescent="0.25">
      <c r="A426" s="77"/>
      <c r="B426" s="77"/>
      <c r="C426" s="75"/>
    </row>
    <row r="427" spans="1:3" x14ac:dyDescent="0.25">
      <c r="A427" s="77"/>
      <c r="B427" s="77"/>
      <c r="C427" s="75"/>
    </row>
    <row r="428" spans="1:3" x14ac:dyDescent="0.25">
      <c r="A428" s="77"/>
      <c r="B428" s="77"/>
      <c r="C428" s="75"/>
    </row>
    <row r="429" spans="1:3" x14ac:dyDescent="0.25">
      <c r="A429" s="77"/>
      <c r="B429" s="77"/>
      <c r="C429" s="75"/>
    </row>
    <row r="430" spans="1:3" x14ac:dyDescent="0.25">
      <c r="A430" s="77"/>
      <c r="B430" s="77"/>
      <c r="C430" s="75"/>
    </row>
    <row r="431" spans="1:3" x14ac:dyDescent="0.25">
      <c r="A431" s="77"/>
      <c r="B431" s="77"/>
      <c r="C431" s="75"/>
    </row>
    <row r="432" spans="1:3" x14ac:dyDescent="0.25">
      <c r="A432" s="77"/>
      <c r="B432" s="77"/>
      <c r="C432" s="75"/>
    </row>
    <row r="433" spans="1:3" x14ac:dyDescent="0.25">
      <c r="A433" s="77"/>
      <c r="B433" s="77"/>
      <c r="C433" s="75"/>
    </row>
    <row r="434" spans="1:3" x14ac:dyDescent="0.25">
      <c r="A434" s="77"/>
      <c r="B434" s="77"/>
      <c r="C434" s="75"/>
    </row>
    <row r="435" spans="1:3" x14ac:dyDescent="0.25">
      <c r="A435" s="77"/>
      <c r="B435" s="77"/>
      <c r="C435" s="75"/>
    </row>
    <row r="436" spans="1:3" x14ac:dyDescent="0.25">
      <c r="A436" s="77"/>
      <c r="B436" s="77"/>
      <c r="C436" s="75"/>
    </row>
    <row r="437" spans="1:3" x14ac:dyDescent="0.25">
      <c r="A437" s="77"/>
      <c r="B437" s="77"/>
      <c r="C437" s="75"/>
    </row>
    <row r="438" spans="1:3" x14ac:dyDescent="0.25">
      <c r="A438" s="77"/>
      <c r="B438" s="77"/>
      <c r="C438" s="75"/>
    </row>
    <row r="439" spans="1:3" x14ac:dyDescent="0.25">
      <c r="A439" s="77"/>
      <c r="B439" s="77"/>
      <c r="C439" s="75"/>
    </row>
    <row r="440" spans="1:3" x14ac:dyDescent="0.25">
      <c r="A440" s="77"/>
      <c r="B440" s="77"/>
      <c r="C440" s="75"/>
    </row>
    <row r="441" spans="1:3" x14ac:dyDescent="0.25">
      <c r="A441" s="77"/>
      <c r="B441" s="77"/>
      <c r="C441" s="75"/>
    </row>
    <row r="442" spans="1:3" x14ac:dyDescent="0.25">
      <c r="A442" s="77"/>
      <c r="B442" s="77"/>
      <c r="C442" s="75"/>
    </row>
    <row r="443" spans="1:3" x14ac:dyDescent="0.25">
      <c r="A443" s="77"/>
      <c r="B443" s="77"/>
      <c r="C443" s="75"/>
    </row>
    <row r="444" spans="1:3" x14ac:dyDescent="0.25">
      <c r="A444" s="77"/>
      <c r="B444" s="77"/>
      <c r="C444" s="75"/>
    </row>
    <row r="445" spans="1:3" x14ac:dyDescent="0.25">
      <c r="A445" s="77"/>
      <c r="B445" s="77"/>
      <c r="C445" s="75"/>
    </row>
    <row r="446" spans="1:3" x14ac:dyDescent="0.25">
      <c r="A446" s="77"/>
      <c r="B446" s="77"/>
      <c r="C446" s="75"/>
    </row>
    <row r="447" spans="1:3" x14ac:dyDescent="0.25">
      <c r="A447" s="77"/>
      <c r="B447" s="77"/>
      <c r="C447" s="75"/>
    </row>
    <row r="448" spans="1:3" x14ac:dyDescent="0.25">
      <c r="A448" s="77"/>
      <c r="B448" s="77"/>
      <c r="C448" s="75"/>
    </row>
    <row r="449" spans="1:3" x14ac:dyDescent="0.25">
      <c r="A449" s="77"/>
      <c r="B449" s="77"/>
      <c r="C449" s="75"/>
    </row>
    <row r="450" spans="1:3" x14ac:dyDescent="0.25">
      <c r="A450" s="77"/>
      <c r="B450" s="77"/>
      <c r="C450" s="75"/>
    </row>
    <row r="451" spans="1:3" x14ac:dyDescent="0.25">
      <c r="A451" s="77"/>
      <c r="B451" s="77"/>
      <c r="C451" s="75"/>
    </row>
    <row r="452" spans="1:3" x14ac:dyDescent="0.25">
      <c r="A452" s="77"/>
      <c r="B452" s="77"/>
      <c r="C452" s="75"/>
    </row>
    <row r="453" spans="1:3" x14ac:dyDescent="0.25">
      <c r="A453" s="77"/>
      <c r="B453" s="77"/>
      <c r="C453" s="75"/>
    </row>
    <row r="454" spans="1:3" x14ac:dyDescent="0.25">
      <c r="A454" s="77"/>
      <c r="B454" s="77"/>
      <c r="C454" s="75"/>
    </row>
    <row r="455" spans="1:3" x14ac:dyDescent="0.25">
      <c r="A455" s="77"/>
      <c r="B455" s="77"/>
      <c r="C455" s="75"/>
    </row>
    <row r="456" spans="1:3" x14ac:dyDescent="0.25">
      <c r="A456" s="77"/>
      <c r="B456" s="77"/>
      <c r="C456" s="75"/>
    </row>
    <row r="457" spans="1:3" x14ac:dyDescent="0.25">
      <c r="A457" s="77"/>
      <c r="B457" s="77"/>
      <c r="C457" s="75"/>
    </row>
    <row r="458" spans="1:3" x14ac:dyDescent="0.25">
      <c r="A458" s="77"/>
      <c r="B458" s="77"/>
      <c r="C458" s="75"/>
    </row>
    <row r="459" spans="1:3" x14ac:dyDescent="0.25">
      <c r="A459" s="77"/>
      <c r="B459" s="77"/>
      <c r="C459" s="75"/>
    </row>
    <row r="460" spans="1:3" x14ac:dyDescent="0.25">
      <c r="A460" s="77"/>
      <c r="B460" s="77"/>
      <c r="C460" s="75"/>
    </row>
    <row r="461" spans="1:3" x14ac:dyDescent="0.25">
      <c r="A461" s="77"/>
      <c r="B461" s="77"/>
      <c r="C461" s="75"/>
    </row>
    <row r="462" spans="1:3" x14ac:dyDescent="0.25">
      <c r="A462" s="77"/>
      <c r="B462" s="77"/>
      <c r="C462" s="75"/>
    </row>
    <row r="463" spans="1:3" x14ac:dyDescent="0.25">
      <c r="A463" s="77"/>
      <c r="B463" s="77"/>
      <c r="C463" s="75"/>
    </row>
    <row r="464" spans="1:3" x14ac:dyDescent="0.25">
      <c r="A464" s="77"/>
      <c r="B464" s="77"/>
      <c r="C464" s="75"/>
    </row>
    <row r="465" spans="1:3" x14ac:dyDescent="0.25">
      <c r="A465" s="77"/>
      <c r="B465" s="77"/>
      <c r="C465" s="75"/>
    </row>
    <row r="466" spans="1:3" x14ac:dyDescent="0.25">
      <c r="A466" s="77"/>
      <c r="B466" s="77"/>
      <c r="C466" s="75"/>
    </row>
    <row r="467" spans="1:3" x14ac:dyDescent="0.25">
      <c r="A467" s="77"/>
      <c r="B467" s="77"/>
      <c r="C467" s="75"/>
    </row>
    <row r="468" spans="1:3" x14ac:dyDescent="0.25">
      <c r="A468" s="77"/>
      <c r="B468" s="77"/>
      <c r="C468" s="75"/>
    </row>
    <row r="469" spans="1:3" x14ac:dyDescent="0.25">
      <c r="A469" s="77"/>
      <c r="B469" s="77"/>
      <c r="C469" s="75"/>
    </row>
    <row r="470" spans="1:3" x14ac:dyDescent="0.25">
      <c r="A470" s="77"/>
      <c r="B470" s="77"/>
      <c r="C470" s="75"/>
    </row>
    <row r="471" spans="1:3" x14ac:dyDescent="0.25">
      <c r="A471" s="77"/>
      <c r="B471" s="77"/>
      <c r="C471" s="75"/>
    </row>
    <row r="472" spans="1:3" x14ac:dyDescent="0.25">
      <c r="A472" s="77"/>
      <c r="B472" s="77"/>
      <c r="C472" s="75"/>
    </row>
    <row r="473" spans="1:3" x14ac:dyDescent="0.25">
      <c r="A473" s="77"/>
      <c r="B473" s="77"/>
      <c r="C473" s="75"/>
    </row>
    <row r="474" spans="1:3" x14ac:dyDescent="0.25">
      <c r="A474" s="77"/>
      <c r="B474" s="77"/>
      <c r="C474" s="75"/>
    </row>
    <row r="475" spans="1:3" x14ac:dyDescent="0.25">
      <c r="A475" s="77"/>
      <c r="B475" s="77"/>
      <c r="C475" s="75"/>
    </row>
    <row r="476" spans="1:3" x14ac:dyDescent="0.25">
      <c r="A476" s="77"/>
      <c r="B476" s="77"/>
      <c r="C476" s="75"/>
    </row>
    <row r="477" spans="1:3" x14ac:dyDescent="0.25">
      <c r="A477" s="77"/>
      <c r="B477" s="77"/>
      <c r="C477" s="75"/>
    </row>
    <row r="478" spans="1:3" x14ac:dyDescent="0.25">
      <c r="A478" s="77"/>
      <c r="B478" s="77"/>
      <c r="C478" s="75"/>
    </row>
    <row r="479" spans="1:3" x14ac:dyDescent="0.25">
      <c r="A479" s="77"/>
      <c r="B479" s="77"/>
      <c r="C479" s="75"/>
    </row>
    <row r="480" spans="1:3" x14ac:dyDescent="0.25">
      <c r="A480" s="77"/>
      <c r="B480" s="77"/>
      <c r="C480" s="75"/>
    </row>
    <row r="481" spans="1:3" x14ac:dyDescent="0.25">
      <c r="A481" s="77"/>
      <c r="B481" s="77"/>
      <c r="C481" s="75"/>
    </row>
    <row r="482" spans="1:3" x14ac:dyDescent="0.25">
      <c r="A482" s="77"/>
      <c r="B482" s="77"/>
      <c r="C482" s="75"/>
    </row>
    <row r="483" spans="1:3" x14ac:dyDescent="0.25">
      <c r="A483" s="77"/>
      <c r="B483" s="77"/>
      <c r="C483" s="75"/>
    </row>
    <row r="484" spans="1:3" x14ac:dyDescent="0.25">
      <c r="A484" s="77"/>
      <c r="B484" s="77"/>
      <c r="C484" s="75"/>
    </row>
    <row r="485" spans="1:3" x14ac:dyDescent="0.25">
      <c r="A485" s="77"/>
      <c r="B485" s="77"/>
      <c r="C485" s="75"/>
    </row>
    <row r="486" spans="1:3" x14ac:dyDescent="0.25">
      <c r="A486" s="77"/>
      <c r="B486" s="77"/>
      <c r="C486" s="75"/>
    </row>
    <row r="487" spans="1:3" x14ac:dyDescent="0.25">
      <c r="A487" s="77"/>
      <c r="B487" s="77"/>
      <c r="C487" s="75"/>
    </row>
    <row r="488" spans="1:3" x14ac:dyDescent="0.25">
      <c r="A488" s="77"/>
      <c r="B488" s="77"/>
      <c r="C488" s="75"/>
    </row>
    <row r="489" spans="1:3" x14ac:dyDescent="0.25">
      <c r="A489" s="77"/>
      <c r="B489" s="77"/>
      <c r="C489" s="75"/>
    </row>
    <row r="490" spans="1:3" x14ac:dyDescent="0.25">
      <c r="A490" s="77"/>
      <c r="B490" s="77"/>
      <c r="C490" s="75"/>
    </row>
    <row r="491" spans="1:3" x14ac:dyDescent="0.25">
      <c r="A491" s="77"/>
      <c r="B491" s="77"/>
      <c r="C491" s="75"/>
    </row>
    <row r="492" spans="1:3" x14ac:dyDescent="0.25">
      <c r="A492" s="77"/>
      <c r="B492" s="77"/>
      <c r="C492" s="75"/>
    </row>
    <row r="493" spans="1:3" x14ac:dyDescent="0.25">
      <c r="A493" s="77"/>
      <c r="B493" s="77"/>
      <c r="C493" s="75"/>
    </row>
    <row r="494" spans="1:3" x14ac:dyDescent="0.25">
      <c r="A494" s="77"/>
      <c r="B494" s="77"/>
      <c r="C494" s="75"/>
    </row>
    <row r="495" spans="1:3" x14ac:dyDescent="0.25">
      <c r="A495" s="77"/>
      <c r="B495" s="77"/>
      <c r="C495" s="75"/>
    </row>
    <row r="496" spans="1:3" x14ac:dyDescent="0.25">
      <c r="A496" s="77"/>
      <c r="B496" s="77"/>
      <c r="C496" s="75"/>
    </row>
    <row r="497" spans="1:3" x14ac:dyDescent="0.25">
      <c r="A497" s="77"/>
      <c r="B497" s="77"/>
      <c r="C497" s="75"/>
    </row>
    <row r="498" spans="1:3" x14ac:dyDescent="0.25">
      <c r="A498" s="77"/>
      <c r="B498" s="77"/>
      <c r="C498" s="75"/>
    </row>
    <row r="499" spans="1:3" x14ac:dyDescent="0.25">
      <c r="A499" s="77"/>
      <c r="B499" s="77"/>
      <c r="C499" s="75"/>
    </row>
    <row r="500" spans="1:3" x14ac:dyDescent="0.25">
      <c r="A500" s="77"/>
      <c r="B500" s="77"/>
      <c r="C500" s="75"/>
    </row>
    <row r="501" spans="1:3" x14ac:dyDescent="0.25">
      <c r="A501" s="77"/>
      <c r="B501" s="77"/>
      <c r="C501" s="75"/>
    </row>
    <row r="502" spans="1:3" x14ac:dyDescent="0.25">
      <c r="A502" s="77"/>
      <c r="B502" s="77"/>
      <c r="C502" s="75"/>
    </row>
    <row r="503" spans="1:3" x14ac:dyDescent="0.25">
      <c r="A503" s="77"/>
      <c r="B503" s="77"/>
      <c r="C503" s="75"/>
    </row>
    <row r="504" spans="1:3" x14ac:dyDescent="0.25">
      <c r="A504" s="77"/>
      <c r="B504" s="77"/>
      <c r="C504" s="75"/>
    </row>
    <row r="505" spans="1:3" x14ac:dyDescent="0.25">
      <c r="A505" s="77"/>
      <c r="B505" s="77"/>
      <c r="C505" s="75"/>
    </row>
    <row r="506" spans="1:3" x14ac:dyDescent="0.25">
      <c r="A506" s="77"/>
      <c r="B506" s="77"/>
      <c r="C506" s="75"/>
    </row>
    <row r="507" spans="1:3" x14ac:dyDescent="0.25">
      <c r="A507" s="77"/>
      <c r="B507" s="77"/>
      <c r="C507" s="75"/>
    </row>
    <row r="508" spans="1:3" x14ac:dyDescent="0.25">
      <c r="A508" s="77"/>
      <c r="B508" s="77"/>
      <c r="C508" s="75"/>
    </row>
    <row r="509" spans="1:3" x14ac:dyDescent="0.25">
      <c r="A509" s="77"/>
      <c r="B509" s="77"/>
      <c r="C509" s="75"/>
    </row>
    <row r="510" spans="1:3" x14ac:dyDescent="0.25">
      <c r="A510" s="77"/>
      <c r="B510" s="77"/>
      <c r="C510" s="75"/>
    </row>
    <row r="511" spans="1:3" x14ac:dyDescent="0.25">
      <c r="A511" s="77"/>
      <c r="B511" s="77"/>
      <c r="C511" s="75"/>
    </row>
    <row r="512" spans="1:3" x14ac:dyDescent="0.25">
      <c r="A512" s="77"/>
      <c r="B512" s="77"/>
      <c r="C512" s="75"/>
    </row>
    <row r="513" spans="1:3" x14ac:dyDescent="0.25">
      <c r="A513" s="77"/>
      <c r="B513" s="77"/>
      <c r="C513" s="75"/>
    </row>
    <row r="514" spans="1:3" x14ac:dyDescent="0.25">
      <c r="A514" s="77"/>
      <c r="B514" s="77"/>
      <c r="C514" s="75"/>
    </row>
    <row r="515" spans="1:3" x14ac:dyDescent="0.25">
      <c r="A515" s="77"/>
      <c r="B515" s="77"/>
      <c r="C515" s="75"/>
    </row>
    <row r="516" spans="1:3" x14ac:dyDescent="0.25">
      <c r="A516" s="77"/>
      <c r="B516" s="77"/>
      <c r="C516" s="75"/>
    </row>
    <row r="517" spans="1:3" x14ac:dyDescent="0.25">
      <c r="A517" s="77"/>
      <c r="B517" s="77"/>
      <c r="C517" s="75"/>
    </row>
    <row r="518" spans="1:3" x14ac:dyDescent="0.25">
      <c r="A518" s="77"/>
      <c r="B518" s="77"/>
      <c r="C518" s="75"/>
    </row>
    <row r="519" spans="1:3" x14ac:dyDescent="0.25">
      <c r="A519" s="77"/>
      <c r="B519" s="77"/>
      <c r="C519" s="75"/>
    </row>
    <row r="520" spans="1:3" x14ac:dyDescent="0.25">
      <c r="A520" s="77"/>
      <c r="B520" s="77"/>
      <c r="C520" s="75"/>
    </row>
    <row r="521" spans="1:3" x14ac:dyDescent="0.25">
      <c r="A521" s="77"/>
      <c r="B521" s="77"/>
      <c r="C521" s="75"/>
    </row>
    <row r="522" spans="1:3" x14ac:dyDescent="0.25">
      <c r="A522" s="77"/>
      <c r="B522" s="77"/>
      <c r="C522" s="75"/>
    </row>
    <row r="523" spans="1:3" x14ac:dyDescent="0.25">
      <c r="A523" s="77"/>
      <c r="B523" s="77"/>
      <c r="C523" s="75"/>
    </row>
    <row r="524" spans="1:3" x14ac:dyDescent="0.25">
      <c r="A524" s="77"/>
      <c r="B524" s="77"/>
      <c r="C524" s="75"/>
    </row>
    <row r="525" spans="1:3" x14ac:dyDescent="0.25">
      <c r="A525" s="77"/>
      <c r="B525" s="77"/>
      <c r="C525" s="75"/>
    </row>
    <row r="526" spans="1:3" x14ac:dyDescent="0.25">
      <c r="A526" s="77"/>
      <c r="B526" s="77"/>
      <c r="C526" s="75"/>
    </row>
    <row r="527" spans="1:3" x14ac:dyDescent="0.25">
      <c r="A527" s="77"/>
      <c r="B527" s="77"/>
      <c r="C527" s="75"/>
    </row>
    <row r="528" spans="1:3" x14ac:dyDescent="0.25">
      <c r="A528" s="77"/>
      <c r="B528" s="77"/>
      <c r="C528" s="75"/>
    </row>
    <row r="529" spans="1:3" x14ac:dyDescent="0.25">
      <c r="A529" s="77"/>
      <c r="B529" s="77"/>
      <c r="C529" s="75"/>
    </row>
    <row r="530" spans="1:3" x14ac:dyDescent="0.25">
      <c r="A530" s="77"/>
      <c r="B530" s="77"/>
      <c r="C530" s="75"/>
    </row>
    <row r="531" spans="1:3" x14ac:dyDescent="0.25">
      <c r="A531" s="77"/>
      <c r="B531" s="77"/>
      <c r="C531" s="75"/>
    </row>
    <row r="532" spans="1:3" x14ac:dyDescent="0.25">
      <c r="A532" s="77"/>
      <c r="B532" s="77"/>
      <c r="C532" s="75"/>
    </row>
    <row r="533" spans="1:3" x14ac:dyDescent="0.25">
      <c r="A533" s="77"/>
      <c r="B533" s="77"/>
      <c r="C533" s="75"/>
    </row>
    <row r="534" spans="1:3" x14ac:dyDescent="0.25">
      <c r="A534" s="77"/>
      <c r="B534" s="77"/>
      <c r="C534" s="75"/>
    </row>
    <row r="535" spans="1:3" x14ac:dyDescent="0.25">
      <c r="A535" s="77"/>
      <c r="B535" s="77"/>
      <c r="C535" s="75"/>
    </row>
    <row r="536" spans="1:3" x14ac:dyDescent="0.25">
      <c r="A536" s="77"/>
      <c r="B536" s="77"/>
      <c r="C536" s="75"/>
    </row>
    <row r="537" spans="1:3" x14ac:dyDescent="0.25">
      <c r="A537" s="77"/>
      <c r="B537" s="77"/>
      <c r="C537" s="75"/>
    </row>
    <row r="538" spans="1:3" x14ac:dyDescent="0.25">
      <c r="A538" s="77"/>
      <c r="B538" s="77"/>
      <c r="C538" s="75"/>
    </row>
    <row r="539" spans="1:3" x14ac:dyDescent="0.25">
      <c r="A539" s="77"/>
      <c r="B539" s="77"/>
      <c r="C539" s="75"/>
    </row>
    <row r="540" spans="1:3" x14ac:dyDescent="0.25">
      <c r="A540" s="77"/>
      <c r="B540" s="77"/>
      <c r="C540" s="75"/>
    </row>
    <row r="541" spans="1:3" x14ac:dyDescent="0.25">
      <c r="A541" s="77"/>
      <c r="B541" s="77"/>
      <c r="C541" s="75"/>
    </row>
    <row r="542" spans="1:3" x14ac:dyDescent="0.25">
      <c r="A542" s="77"/>
      <c r="B542" s="77"/>
      <c r="C542" s="75"/>
    </row>
    <row r="543" spans="1:3" x14ac:dyDescent="0.25">
      <c r="A543" s="77"/>
      <c r="B543" s="77"/>
      <c r="C543" s="75"/>
    </row>
    <row r="544" spans="1:3" x14ac:dyDescent="0.25">
      <c r="A544" s="77"/>
      <c r="B544" s="77"/>
      <c r="C544" s="75"/>
    </row>
    <row r="545" spans="1:3" x14ac:dyDescent="0.25">
      <c r="A545" s="77"/>
      <c r="B545" s="77"/>
      <c r="C545" s="75"/>
    </row>
    <row r="546" spans="1:3" x14ac:dyDescent="0.25">
      <c r="A546" s="77"/>
      <c r="B546" s="77"/>
      <c r="C546" s="75"/>
    </row>
    <row r="547" spans="1:3" x14ac:dyDescent="0.25">
      <c r="A547" s="77"/>
      <c r="B547" s="77"/>
      <c r="C547" s="75"/>
    </row>
    <row r="548" spans="1:3" x14ac:dyDescent="0.25">
      <c r="A548" s="77"/>
      <c r="B548" s="77"/>
      <c r="C548" s="75"/>
    </row>
    <row r="549" spans="1:3" x14ac:dyDescent="0.25">
      <c r="A549" s="77"/>
      <c r="B549" s="77"/>
      <c r="C549" s="75"/>
    </row>
    <row r="550" spans="1:3" x14ac:dyDescent="0.25">
      <c r="A550" s="77"/>
      <c r="B550" s="77"/>
      <c r="C550" s="75"/>
    </row>
    <row r="551" spans="1:3" x14ac:dyDescent="0.25">
      <c r="A551" s="77"/>
      <c r="B551" s="77"/>
      <c r="C551" s="75"/>
    </row>
    <row r="552" spans="1:3" x14ac:dyDescent="0.25">
      <c r="A552" s="77"/>
      <c r="B552" s="77"/>
      <c r="C552" s="75"/>
    </row>
    <row r="553" spans="1:3" x14ac:dyDescent="0.25">
      <c r="A553" s="77"/>
      <c r="B553" s="77"/>
      <c r="C553" s="75"/>
    </row>
    <row r="554" spans="1:3" x14ac:dyDescent="0.25">
      <c r="A554" s="77"/>
      <c r="B554" s="77"/>
      <c r="C554" s="75"/>
    </row>
    <row r="555" spans="1:3" x14ac:dyDescent="0.25">
      <c r="A555" s="77"/>
      <c r="B555" s="77"/>
      <c r="C555" s="75"/>
    </row>
    <row r="556" spans="1:3" x14ac:dyDescent="0.25">
      <c r="A556" s="77"/>
      <c r="B556" s="77"/>
      <c r="C556" s="75"/>
    </row>
    <row r="557" spans="1:3" x14ac:dyDescent="0.25">
      <c r="A557" s="77"/>
      <c r="B557" s="77"/>
      <c r="C557" s="75"/>
    </row>
    <row r="558" spans="1:3" x14ac:dyDescent="0.25">
      <c r="A558" s="77"/>
      <c r="B558" s="77"/>
      <c r="C558" s="75"/>
    </row>
    <row r="559" spans="1:3" x14ac:dyDescent="0.25">
      <c r="A559" s="77"/>
      <c r="B559" s="77"/>
      <c r="C559" s="75"/>
    </row>
    <row r="560" spans="1:3" x14ac:dyDescent="0.25">
      <c r="A560" s="77"/>
      <c r="B560" s="77"/>
      <c r="C560" s="75"/>
    </row>
    <row r="561" spans="1:3" x14ac:dyDescent="0.25">
      <c r="A561" s="77"/>
      <c r="B561" s="77"/>
      <c r="C561" s="75"/>
    </row>
    <row r="562" spans="1:3" x14ac:dyDescent="0.25">
      <c r="A562" s="77"/>
      <c r="B562" s="77"/>
      <c r="C562" s="75"/>
    </row>
    <row r="563" spans="1:3" x14ac:dyDescent="0.25">
      <c r="A563" s="77"/>
      <c r="B563" s="77"/>
      <c r="C563" s="75"/>
    </row>
    <row r="564" spans="1:3" x14ac:dyDescent="0.25">
      <c r="A564" s="77"/>
      <c r="B564" s="77"/>
      <c r="C564" s="75"/>
    </row>
    <row r="565" spans="1:3" x14ac:dyDescent="0.25">
      <c r="A565" s="77"/>
      <c r="B565" s="77"/>
      <c r="C565" s="75"/>
    </row>
    <row r="566" spans="1:3" x14ac:dyDescent="0.25">
      <c r="A566" s="77"/>
      <c r="B566" s="77"/>
      <c r="C566" s="75"/>
    </row>
    <row r="567" spans="1:3" x14ac:dyDescent="0.25">
      <c r="A567" s="77"/>
      <c r="B567" s="77"/>
      <c r="C567" s="75"/>
    </row>
    <row r="568" spans="1:3" x14ac:dyDescent="0.25">
      <c r="A568" s="77"/>
      <c r="B568" s="77"/>
      <c r="C568" s="75"/>
    </row>
    <row r="569" spans="1:3" x14ac:dyDescent="0.25">
      <c r="A569" s="77"/>
      <c r="B569" s="77"/>
      <c r="C569" s="75"/>
    </row>
    <row r="570" spans="1:3" x14ac:dyDescent="0.25">
      <c r="A570" s="77"/>
      <c r="B570" s="77"/>
      <c r="C570" s="75"/>
    </row>
    <row r="571" spans="1:3" x14ac:dyDescent="0.25">
      <c r="A571" s="77"/>
      <c r="B571" s="77"/>
      <c r="C571" s="75"/>
    </row>
    <row r="572" spans="1:3" x14ac:dyDescent="0.25">
      <c r="A572" s="77"/>
      <c r="B572" s="77"/>
      <c r="C572" s="75"/>
    </row>
    <row r="573" spans="1:3" x14ac:dyDescent="0.25">
      <c r="A573" s="77"/>
      <c r="B573" s="77"/>
      <c r="C573" s="75"/>
    </row>
    <row r="574" spans="1:3" x14ac:dyDescent="0.25">
      <c r="A574" s="77"/>
      <c r="B574" s="77"/>
      <c r="C574" s="75"/>
    </row>
    <row r="575" spans="1:3" x14ac:dyDescent="0.25">
      <c r="A575" s="77"/>
      <c r="B575" s="77"/>
      <c r="C575" s="75"/>
    </row>
    <row r="576" spans="1:3" x14ac:dyDescent="0.25">
      <c r="A576" s="77"/>
      <c r="B576" s="77"/>
      <c r="C576" s="75"/>
    </row>
    <row r="577" spans="1:3" x14ac:dyDescent="0.25">
      <c r="A577" s="77"/>
      <c r="B577" s="77"/>
      <c r="C577" s="75"/>
    </row>
    <row r="578" spans="1:3" x14ac:dyDescent="0.25">
      <c r="A578" s="77"/>
      <c r="B578" s="77"/>
      <c r="C578" s="75"/>
    </row>
    <row r="579" spans="1:3" x14ac:dyDescent="0.25">
      <c r="A579" s="77"/>
      <c r="B579" s="77"/>
      <c r="C579" s="75"/>
    </row>
    <row r="580" spans="1:3" x14ac:dyDescent="0.25">
      <c r="A580" s="77"/>
      <c r="B580" s="77"/>
      <c r="C580" s="75"/>
    </row>
    <row r="581" spans="1:3" x14ac:dyDescent="0.25">
      <c r="A581" s="77"/>
      <c r="B581" s="77"/>
      <c r="C581" s="75"/>
    </row>
    <row r="582" spans="1:3" x14ac:dyDescent="0.25">
      <c r="A582" s="77"/>
      <c r="B582" s="77"/>
      <c r="C582" s="75"/>
    </row>
    <row r="583" spans="1:3" x14ac:dyDescent="0.25">
      <c r="A583" s="77"/>
      <c r="B583" s="77"/>
      <c r="C583" s="75"/>
    </row>
    <row r="584" spans="1:3" x14ac:dyDescent="0.25">
      <c r="A584" s="77"/>
      <c r="B584" s="77"/>
      <c r="C584" s="75"/>
    </row>
    <row r="585" spans="1:3" x14ac:dyDescent="0.25">
      <c r="A585" s="77"/>
      <c r="B585" s="77"/>
      <c r="C585" s="75"/>
    </row>
    <row r="586" spans="1:3" x14ac:dyDescent="0.25">
      <c r="A586" s="77"/>
      <c r="B586" s="77"/>
      <c r="C586" s="75"/>
    </row>
    <row r="587" spans="1:3" x14ac:dyDescent="0.25">
      <c r="A587" s="77"/>
      <c r="B587" s="77"/>
      <c r="C587" s="75"/>
    </row>
    <row r="588" spans="1:3" x14ac:dyDescent="0.25">
      <c r="A588" s="77"/>
      <c r="B588" s="77"/>
      <c r="C588" s="75"/>
    </row>
    <row r="589" spans="1:3" x14ac:dyDescent="0.25">
      <c r="A589" s="77"/>
      <c r="B589" s="77"/>
      <c r="C589" s="75"/>
    </row>
    <row r="590" spans="1:3" x14ac:dyDescent="0.25">
      <c r="A590" s="77"/>
      <c r="B590" s="77"/>
      <c r="C590" s="75"/>
    </row>
    <row r="591" spans="1:3" x14ac:dyDescent="0.25">
      <c r="A591" s="77"/>
      <c r="B591" s="77"/>
      <c r="C591" s="75"/>
    </row>
    <row r="592" spans="1:3" x14ac:dyDescent="0.25">
      <c r="A592" s="77"/>
      <c r="B592" s="77"/>
      <c r="C592" s="75"/>
    </row>
    <row r="593" spans="1:3" x14ac:dyDescent="0.25">
      <c r="A593" s="77"/>
      <c r="B593" s="77"/>
      <c r="C593" s="75"/>
    </row>
    <row r="594" spans="1:3" x14ac:dyDescent="0.25">
      <c r="A594" s="77"/>
      <c r="B594" s="77"/>
      <c r="C594" s="75"/>
    </row>
    <row r="595" spans="1:3" x14ac:dyDescent="0.25">
      <c r="A595" s="77"/>
      <c r="B595" s="77"/>
      <c r="C595" s="75"/>
    </row>
    <row r="596" spans="1:3" x14ac:dyDescent="0.25">
      <c r="A596" s="77"/>
      <c r="B596" s="77"/>
      <c r="C596" s="75"/>
    </row>
    <row r="597" spans="1:3" x14ac:dyDescent="0.25">
      <c r="A597" s="77"/>
      <c r="B597" s="77"/>
      <c r="C597" s="75"/>
    </row>
    <row r="598" spans="1:3" x14ac:dyDescent="0.25">
      <c r="A598" s="77"/>
      <c r="B598" s="77"/>
      <c r="C598" s="75"/>
    </row>
    <row r="599" spans="1:3" x14ac:dyDescent="0.25">
      <c r="A599" s="77"/>
      <c r="B599" s="77"/>
      <c r="C599" s="75"/>
    </row>
    <row r="600" spans="1:3" x14ac:dyDescent="0.25">
      <c r="A600" s="77"/>
      <c r="B600" s="77"/>
      <c r="C600" s="75"/>
    </row>
    <row r="601" spans="1:3" x14ac:dyDescent="0.25">
      <c r="A601" s="77"/>
      <c r="B601" s="77"/>
      <c r="C601" s="75"/>
    </row>
    <row r="602" spans="1:3" x14ac:dyDescent="0.25">
      <c r="A602" s="77"/>
      <c r="B602" s="77"/>
      <c r="C602" s="75"/>
    </row>
    <row r="603" spans="1:3" x14ac:dyDescent="0.25">
      <c r="A603" s="77"/>
      <c r="B603" s="77"/>
      <c r="C603" s="75"/>
    </row>
    <row r="604" spans="1:3" x14ac:dyDescent="0.25">
      <c r="A604" s="77"/>
      <c r="B604" s="77"/>
      <c r="C604" s="75"/>
    </row>
    <row r="605" spans="1:3" x14ac:dyDescent="0.25">
      <c r="A605" s="77"/>
      <c r="B605" s="77"/>
      <c r="C605" s="75"/>
    </row>
    <row r="606" spans="1:3" x14ac:dyDescent="0.25">
      <c r="A606" s="77"/>
      <c r="B606" s="77"/>
      <c r="C606" s="75"/>
    </row>
    <row r="607" spans="1:3" x14ac:dyDescent="0.25">
      <c r="A607" s="77"/>
      <c r="B607" s="77"/>
      <c r="C607" s="75"/>
    </row>
    <row r="608" spans="1:3" x14ac:dyDescent="0.25">
      <c r="A608" s="77"/>
      <c r="B608" s="77"/>
      <c r="C608" s="75"/>
    </row>
    <row r="609" spans="1:3" x14ac:dyDescent="0.25">
      <c r="A609" s="77"/>
      <c r="B609" s="77"/>
      <c r="C609" s="75"/>
    </row>
    <row r="610" spans="1:3" x14ac:dyDescent="0.25">
      <c r="A610" s="77"/>
      <c r="B610" s="77"/>
      <c r="C610" s="75"/>
    </row>
    <row r="611" spans="1:3" x14ac:dyDescent="0.25">
      <c r="A611" s="77"/>
      <c r="B611" s="77"/>
      <c r="C611" s="75"/>
    </row>
    <row r="612" spans="1:3" x14ac:dyDescent="0.25">
      <c r="A612" s="77"/>
      <c r="B612" s="77"/>
      <c r="C612" s="75"/>
    </row>
    <row r="613" spans="1:3" x14ac:dyDescent="0.25">
      <c r="A613" s="77"/>
      <c r="B613" s="77"/>
      <c r="C613" s="75"/>
    </row>
    <row r="614" spans="1:3" x14ac:dyDescent="0.25">
      <c r="A614" s="77"/>
      <c r="B614" s="77"/>
      <c r="C614" s="75"/>
    </row>
    <row r="615" spans="1:3" x14ac:dyDescent="0.25">
      <c r="A615" s="77"/>
      <c r="B615" s="77"/>
      <c r="C615" s="75"/>
    </row>
    <row r="616" spans="1:3" x14ac:dyDescent="0.25">
      <c r="A616" s="77"/>
      <c r="B616" s="77"/>
      <c r="C616" s="75"/>
    </row>
    <row r="617" spans="1:3" x14ac:dyDescent="0.25">
      <c r="A617" s="77"/>
      <c r="B617" s="77"/>
      <c r="C617" s="75"/>
    </row>
    <row r="618" spans="1:3" x14ac:dyDescent="0.25">
      <c r="A618" s="77"/>
      <c r="B618" s="77"/>
      <c r="C618" s="75"/>
    </row>
    <row r="619" spans="1:3" x14ac:dyDescent="0.25">
      <c r="A619" s="77"/>
      <c r="B619" s="77"/>
      <c r="C619" s="75"/>
    </row>
    <row r="620" spans="1:3" x14ac:dyDescent="0.25">
      <c r="A620" s="77"/>
      <c r="B620" s="77"/>
      <c r="C620" s="75"/>
    </row>
    <row r="621" spans="1:3" x14ac:dyDescent="0.25">
      <c r="A621" s="77"/>
      <c r="B621" s="77"/>
      <c r="C621" s="75"/>
    </row>
    <row r="622" spans="1:3" x14ac:dyDescent="0.25">
      <c r="A622" s="77"/>
      <c r="B622" s="77"/>
      <c r="C622" s="75"/>
    </row>
    <row r="623" spans="1:3" x14ac:dyDescent="0.25">
      <c r="A623" s="77"/>
      <c r="B623" s="77"/>
      <c r="C623" s="75"/>
    </row>
    <row r="624" spans="1:3" x14ac:dyDescent="0.25">
      <c r="A624" s="77"/>
      <c r="B624" s="77"/>
      <c r="C624" s="75"/>
    </row>
    <row r="625" spans="1:3" x14ac:dyDescent="0.25">
      <c r="A625" s="77"/>
      <c r="B625" s="77"/>
      <c r="C625" s="75"/>
    </row>
    <row r="626" spans="1:3" x14ac:dyDescent="0.25">
      <c r="A626" s="77"/>
      <c r="B626" s="77"/>
      <c r="C626" s="75"/>
    </row>
    <row r="627" spans="1:3" x14ac:dyDescent="0.25">
      <c r="A627" s="77"/>
      <c r="B627" s="77"/>
      <c r="C627" s="75"/>
    </row>
    <row r="628" spans="1:3" x14ac:dyDescent="0.25">
      <c r="A628" s="77"/>
      <c r="B628" s="77"/>
      <c r="C628" s="75"/>
    </row>
    <row r="629" spans="1:3" x14ac:dyDescent="0.25">
      <c r="A629" s="77"/>
      <c r="B629" s="77"/>
      <c r="C629" s="75"/>
    </row>
    <row r="630" spans="1:3" x14ac:dyDescent="0.25">
      <c r="A630" s="77"/>
      <c r="B630" s="77"/>
      <c r="C630" s="75"/>
    </row>
    <row r="631" spans="1:3" x14ac:dyDescent="0.25">
      <c r="A631" s="77"/>
      <c r="B631" s="77"/>
      <c r="C631" s="75"/>
    </row>
    <row r="632" spans="1:3" x14ac:dyDescent="0.25">
      <c r="A632" s="77"/>
      <c r="B632" s="77"/>
      <c r="C632" s="75"/>
    </row>
    <row r="633" spans="1:3" x14ac:dyDescent="0.25">
      <c r="A633" s="77"/>
      <c r="B633" s="77"/>
      <c r="C633" s="75"/>
    </row>
    <row r="634" spans="1:3" x14ac:dyDescent="0.25">
      <c r="A634" s="77"/>
      <c r="B634" s="77"/>
      <c r="C634" s="75"/>
    </row>
    <row r="635" spans="1:3" x14ac:dyDescent="0.25">
      <c r="A635" s="77"/>
      <c r="B635" s="77"/>
      <c r="C635" s="75"/>
    </row>
    <row r="636" spans="1:3" x14ac:dyDescent="0.25">
      <c r="A636" s="77"/>
      <c r="B636" s="77"/>
      <c r="C636" s="75"/>
    </row>
    <row r="637" spans="1:3" x14ac:dyDescent="0.25">
      <c r="A637" s="77"/>
      <c r="B637" s="77"/>
      <c r="C637" s="75"/>
    </row>
    <row r="638" spans="1:3" x14ac:dyDescent="0.25">
      <c r="A638" s="77"/>
      <c r="B638" s="77"/>
      <c r="C638" s="75"/>
    </row>
    <row r="639" spans="1:3" x14ac:dyDescent="0.25">
      <c r="A639" s="77"/>
      <c r="B639" s="77"/>
      <c r="C639" s="75"/>
    </row>
    <row r="640" spans="1:3" x14ac:dyDescent="0.25">
      <c r="A640" s="77"/>
      <c r="B640" s="77"/>
      <c r="C640" s="75"/>
    </row>
    <row r="641" spans="1:3" x14ac:dyDescent="0.25">
      <c r="A641" s="77"/>
      <c r="B641" s="77"/>
      <c r="C641" s="75"/>
    </row>
    <row r="642" spans="1:3" x14ac:dyDescent="0.25">
      <c r="A642" s="77"/>
      <c r="B642" s="77"/>
      <c r="C642" s="75"/>
    </row>
    <row r="643" spans="1:3" x14ac:dyDescent="0.25">
      <c r="A643" s="77"/>
      <c r="B643" s="77"/>
      <c r="C643" s="75"/>
    </row>
    <row r="644" spans="1:3" x14ac:dyDescent="0.25">
      <c r="A644" s="77"/>
      <c r="B644" s="77"/>
      <c r="C644" s="75"/>
    </row>
    <row r="645" spans="1:3" x14ac:dyDescent="0.25">
      <c r="A645" s="77"/>
      <c r="B645" s="77"/>
      <c r="C645" s="75"/>
    </row>
    <row r="646" spans="1:3" x14ac:dyDescent="0.25">
      <c r="A646" s="77"/>
      <c r="B646" s="77"/>
      <c r="C646" s="75"/>
    </row>
    <row r="647" spans="1:3" x14ac:dyDescent="0.25">
      <c r="A647" s="77"/>
      <c r="B647" s="77"/>
      <c r="C647" s="75"/>
    </row>
    <row r="648" spans="1:3" x14ac:dyDescent="0.25">
      <c r="A648" s="77"/>
      <c r="B648" s="77"/>
      <c r="C648" s="75"/>
    </row>
    <row r="649" spans="1:3" x14ac:dyDescent="0.25">
      <c r="A649" s="77"/>
      <c r="B649" s="77"/>
      <c r="C649" s="75"/>
    </row>
    <row r="650" spans="1:3" x14ac:dyDescent="0.25">
      <c r="A650" s="77"/>
      <c r="B650" s="77"/>
      <c r="C650" s="75"/>
    </row>
    <row r="651" spans="1:3" x14ac:dyDescent="0.25">
      <c r="A651" s="77"/>
      <c r="B651" s="77"/>
      <c r="C651" s="75"/>
    </row>
    <row r="652" spans="1:3" x14ac:dyDescent="0.25">
      <c r="A652" s="77"/>
      <c r="B652" s="77"/>
      <c r="C652" s="75"/>
    </row>
    <row r="653" spans="1:3" x14ac:dyDescent="0.25">
      <c r="A653" s="77"/>
      <c r="B653" s="77"/>
      <c r="C653" s="75"/>
    </row>
    <row r="654" spans="1:3" x14ac:dyDescent="0.25">
      <c r="A654" s="77"/>
      <c r="B654" s="77"/>
      <c r="C654" s="75"/>
    </row>
    <row r="655" spans="1:3" x14ac:dyDescent="0.25">
      <c r="A655" s="77"/>
      <c r="B655" s="77"/>
      <c r="C655" s="75"/>
    </row>
    <row r="656" spans="1:3" x14ac:dyDescent="0.25">
      <c r="A656" s="77"/>
      <c r="B656" s="77"/>
      <c r="C656" s="75"/>
    </row>
    <row r="657" spans="1:3" x14ac:dyDescent="0.25">
      <c r="A657" s="77"/>
      <c r="B657" s="77"/>
      <c r="C657" s="75"/>
    </row>
    <row r="658" spans="1:3" x14ac:dyDescent="0.25">
      <c r="A658" s="77"/>
      <c r="B658" s="77"/>
      <c r="C658" s="75"/>
    </row>
    <row r="659" spans="1:3" x14ac:dyDescent="0.25">
      <c r="A659" s="77"/>
      <c r="B659" s="77"/>
      <c r="C659" s="75"/>
    </row>
    <row r="660" spans="1:3" x14ac:dyDescent="0.25">
      <c r="A660" s="77"/>
      <c r="B660" s="77"/>
      <c r="C660" s="75"/>
    </row>
    <row r="661" spans="1:3" x14ac:dyDescent="0.25">
      <c r="A661" s="77"/>
      <c r="B661" s="77"/>
      <c r="C661" s="75"/>
    </row>
    <row r="662" spans="1:3" x14ac:dyDescent="0.25">
      <c r="A662" s="77"/>
      <c r="B662" s="77"/>
      <c r="C662" s="75"/>
    </row>
    <row r="663" spans="1:3" x14ac:dyDescent="0.25">
      <c r="A663" s="77"/>
      <c r="B663" s="77"/>
      <c r="C663" s="75"/>
    </row>
    <row r="664" spans="1:3" x14ac:dyDescent="0.25">
      <c r="A664" s="77"/>
      <c r="B664" s="77"/>
      <c r="C664" s="75"/>
    </row>
    <row r="665" spans="1:3" x14ac:dyDescent="0.25">
      <c r="A665" s="77"/>
      <c r="B665" s="77"/>
      <c r="C665" s="75"/>
    </row>
    <row r="666" spans="1:3" x14ac:dyDescent="0.25">
      <c r="A666" s="77"/>
      <c r="B666" s="77"/>
      <c r="C666" s="75"/>
    </row>
    <row r="667" spans="1:3" x14ac:dyDescent="0.25">
      <c r="A667" s="77"/>
      <c r="B667" s="77"/>
      <c r="C667" s="75"/>
    </row>
    <row r="668" spans="1:3" x14ac:dyDescent="0.25">
      <c r="A668" s="77"/>
      <c r="B668" s="77"/>
      <c r="C668" s="75"/>
    </row>
    <row r="669" spans="1:3" x14ac:dyDescent="0.25">
      <c r="A669" s="77"/>
      <c r="B669" s="77"/>
      <c r="C669" s="75"/>
    </row>
    <row r="670" spans="1:3" x14ac:dyDescent="0.25">
      <c r="A670" s="77"/>
      <c r="B670" s="77"/>
      <c r="C670" s="75"/>
    </row>
    <row r="671" spans="1:3" x14ac:dyDescent="0.25">
      <c r="A671" s="77"/>
      <c r="B671" s="77"/>
      <c r="C671" s="75"/>
    </row>
    <row r="672" spans="1:3" x14ac:dyDescent="0.25">
      <c r="A672" s="77"/>
      <c r="B672" s="77"/>
      <c r="C672" s="75"/>
    </row>
    <row r="673" spans="1:3" x14ac:dyDescent="0.25">
      <c r="A673" s="77"/>
      <c r="B673" s="77"/>
      <c r="C673" s="75"/>
    </row>
    <row r="674" spans="1:3" x14ac:dyDescent="0.25">
      <c r="A674" s="77"/>
      <c r="B674" s="77"/>
      <c r="C674" s="75"/>
    </row>
    <row r="675" spans="1:3" x14ac:dyDescent="0.25">
      <c r="A675" s="77"/>
      <c r="B675" s="77"/>
      <c r="C675" s="75"/>
    </row>
    <row r="676" spans="1:3" x14ac:dyDescent="0.25">
      <c r="A676" s="77"/>
      <c r="B676" s="77"/>
      <c r="C676" s="75"/>
    </row>
    <row r="677" spans="1:3" x14ac:dyDescent="0.25">
      <c r="A677" s="77"/>
      <c r="B677" s="77"/>
      <c r="C677" s="75"/>
    </row>
    <row r="678" spans="1:3" x14ac:dyDescent="0.25">
      <c r="A678" s="77"/>
      <c r="B678" s="77"/>
      <c r="C678" s="75"/>
    </row>
    <row r="679" spans="1:3" x14ac:dyDescent="0.25">
      <c r="A679" s="77"/>
      <c r="B679" s="77"/>
      <c r="C679" s="75"/>
    </row>
    <row r="680" spans="1:3" x14ac:dyDescent="0.25">
      <c r="A680" s="77"/>
      <c r="B680" s="77"/>
      <c r="C680" s="75"/>
    </row>
    <row r="681" spans="1:3" x14ac:dyDescent="0.25">
      <c r="A681" s="77"/>
      <c r="B681" s="77"/>
      <c r="C681" s="75"/>
    </row>
    <row r="682" spans="1:3" x14ac:dyDescent="0.25">
      <c r="A682" s="77"/>
      <c r="B682" s="77"/>
      <c r="C682" s="75"/>
    </row>
    <row r="683" spans="1:3" x14ac:dyDescent="0.25">
      <c r="A683" s="77"/>
      <c r="B683" s="77"/>
      <c r="C683" s="75"/>
    </row>
    <row r="684" spans="1:3" x14ac:dyDescent="0.25">
      <c r="A684" s="77"/>
      <c r="B684" s="77"/>
      <c r="C684" s="75"/>
    </row>
    <row r="685" spans="1:3" x14ac:dyDescent="0.25">
      <c r="A685" s="77"/>
      <c r="B685" s="77"/>
      <c r="C685" s="75"/>
    </row>
    <row r="686" spans="1:3" x14ac:dyDescent="0.25">
      <c r="A686" s="77"/>
      <c r="B686" s="77"/>
      <c r="C686" s="75"/>
    </row>
    <row r="687" spans="1:3" x14ac:dyDescent="0.25">
      <c r="A687" s="77"/>
      <c r="B687" s="77"/>
      <c r="C687" s="75"/>
    </row>
    <row r="688" spans="1:3" x14ac:dyDescent="0.25">
      <c r="A688" s="77"/>
      <c r="B688" s="77"/>
      <c r="C688" s="75"/>
    </row>
    <row r="689" spans="1:3" x14ac:dyDescent="0.25">
      <c r="A689" s="77"/>
      <c r="B689" s="77"/>
      <c r="C689" s="75"/>
    </row>
    <row r="690" spans="1:3" x14ac:dyDescent="0.25">
      <c r="A690" s="77"/>
      <c r="B690" s="77"/>
      <c r="C690" s="75"/>
    </row>
    <row r="691" spans="1:3" x14ac:dyDescent="0.25">
      <c r="A691" s="77"/>
      <c r="B691" s="77"/>
      <c r="C691" s="75"/>
    </row>
    <row r="692" spans="1:3" x14ac:dyDescent="0.25">
      <c r="A692" s="77"/>
      <c r="B692" s="77"/>
      <c r="C692" s="75"/>
    </row>
    <row r="693" spans="1:3" x14ac:dyDescent="0.25">
      <c r="A693" s="77"/>
      <c r="B693" s="77"/>
      <c r="C693" s="75"/>
    </row>
    <row r="694" spans="1:3" x14ac:dyDescent="0.25">
      <c r="A694" s="77"/>
      <c r="B694" s="77"/>
      <c r="C694" s="75"/>
    </row>
    <row r="695" spans="1:3" x14ac:dyDescent="0.25">
      <c r="A695" s="77"/>
      <c r="B695" s="77"/>
      <c r="C695" s="75"/>
    </row>
    <row r="696" spans="1:3" x14ac:dyDescent="0.25">
      <c r="A696" s="77"/>
      <c r="B696" s="77"/>
      <c r="C696" s="75"/>
    </row>
    <row r="697" spans="1:3" x14ac:dyDescent="0.25">
      <c r="A697" s="77"/>
      <c r="B697" s="77"/>
      <c r="C697" s="75"/>
    </row>
    <row r="698" spans="1:3" x14ac:dyDescent="0.25">
      <c r="A698" s="77"/>
      <c r="B698" s="77"/>
      <c r="C698" s="75"/>
    </row>
    <row r="699" spans="1:3" x14ac:dyDescent="0.25">
      <c r="A699" s="77"/>
      <c r="B699" s="77"/>
      <c r="C699" s="75"/>
    </row>
    <row r="700" spans="1:3" x14ac:dyDescent="0.25">
      <c r="A700" s="77"/>
      <c r="B700" s="77"/>
      <c r="C700" s="75"/>
    </row>
    <row r="701" spans="1:3" x14ac:dyDescent="0.25">
      <c r="A701" s="77"/>
      <c r="B701" s="77"/>
      <c r="C701" s="75"/>
    </row>
    <row r="702" spans="1:3" x14ac:dyDescent="0.25">
      <c r="A702" s="77"/>
      <c r="B702" s="77"/>
      <c r="C702" s="75"/>
    </row>
    <row r="703" spans="1:3" x14ac:dyDescent="0.25">
      <c r="A703" s="77"/>
      <c r="B703" s="77"/>
      <c r="C703" s="75"/>
    </row>
    <row r="704" spans="1:3" x14ac:dyDescent="0.25">
      <c r="A704" s="77"/>
      <c r="B704" s="77"/>
      <c r="C704" s="75"/>
    </row>
    <row r="705" spans="1:3" x14ac:dyDescent="0.25">
      <c r="A705" s="77"/>
      <c r="B705" s="77"/>
      <c r="C705" s="75"/>
    </row>
    <row r="706" spans="1:3" x14ac:dyDescent="0.25">
      <c r="A706" s="77"/>
      <c r="B706" s="77"/>
      <c r="C706" s="75"/>
    </row>
    <row r="707" spans="1:3" x14ac:dyDescent="0.25">
      <c r="A707" s="77"/>
      <c r="B707" s="77"/>
      <c r="C707" s="75"/>
    </row>
    <row r="708" spans="1:3" x14ac:dyDescent="0.25">
      <c r="A708" s="77"/>
      <c r="B708" s="77"/>
      <c r="C708" s="75"/>
    </row>
    <row r="709" spans="1:3" x14ac:dyDescent="0.25">
      <c r="A709" s="77"/>
      <c r="B709" s="77"/>
      <c r="C709" s="75"/>
    </row>
    <row r="710" spans="1:3" x14ac:dyDescent="0.25">
      <c r="A710" s="77"/>
      <c r="B710" s="77"/>
      <c r="C710" s="75"/>
    </row>
    <row r="711" spans="1:3" x14ac:dyDescent="0.25">
      <c r="A711" s="77"/>
      <c r="B711" s="77"/>
      <c r="C711" s="75"/>
    </row>
    <row r="712" spans="1:3" x14ac:dyDescent="0.25">
      <c r="A712" s="77"/>
      <c r="B712" s="77"/>
      <c r="C712" s="75"/>
    </row>
    <row r="713" spans="1:3" x14ac:dyDescent="0.25">
      <c r="A713" s="77"/>
      <c r="B713" s="77"/>
      <c r="C713" s="75"/>
    </row>
    <row r="714" spans="1:3" x14ac:dyDescent="0.25">
      <c r="A714" s="77"/>
      <c r="B714" s="77"/>
      <c r="C714" s="75"/>
    </row>
    <row r="715" spans="1:3" x14ac:dyDescent="0.25">
      <c r="A715" s="77"/>
      <c r="B715" s="77"/>
      <c r="C715" s="75"/>
    </row>
    <row r="716" spans="1:3" x14ac:dyDescent="0.25">
      <c r="A716" s="77"/>
      <c r="B716" s="77"/>
      <c r="C716" s="75"/>
    </row>
    <row r="717" spans="1:3" x14ac:dyDescent="0.25">
      <c r="A717" s="77"/>
      <c r="B717" s="77"/>
      <c r="C717" s="75"/>
    </row>
    <row r="718" spans="1:3" x14ac:dyDescent="0.25">
      <c r="A718" s="77"/>
      <c r="B718" s="77"/>
      <c r="C718" s="75"/>
    </row>
    <row r="719" spans="1:3" x14ac:dyDescent="0.25">
      <c r="A719" s="77"/>
      <c r="B719" s="77"/>
      <c r="C719" s="75"/>
    </row>
    <row r="720" spans="1:3" x14ac:dyDescent="0.25">
      <c r="A720" s="77"/>
      <c r="B720" s="77"/>
      <c r="C720" s="75"/>
    </row>
    <row r="721" spans="1:3" x14ac:dyDescent="0.25">
      <c r="A721" s="77"/>
      <c r="B721" s="77"/>
      <c r="C721" s="75"/>
    </row>
    <row r="722" spans="1:3" x14ac:dyDescent="0.25">
      <c r="A722" s="77"/>
      <c r="B722" s="77"/>
      <c r="C722" s="75"/>
    </row>
    <row r="723" spans="1:3" x14ac:dyDescent="0.25">
      <c r="A723" s="77"/>
      <c r="B723" s="77"/>
      <c r="C723" s="75"/>
    </row>
    <row r="724" spans="1:3" x14ac:dyDescent="0.25">
      <c r="A724" s="77"/>
      <c r="B724" s="77"/>
      <c r="C724" s="75"/>
    </row>
    <row r="725" spans="1:3" x14ac:dyDescent="0.25">
      <c r="A725" s="77"/>
      <c r="B725" s="77"/>
      <c r="C725" s="75"/>
    </row>
    <row r="726" spans="1:3" x14ac:dyDescent="0.25">
      <c r="A726" s="77"/>
      <c r="B726" s="77"/>
      <c r="C726" s="75"/>
    </row>
    <row r="727" spans="1:3" x14ac:dyDescent="0.25">
      <c r="A727" s="77"/>
      <c r="B727" s="77"/>
      <c r="C727" s="75"/>
    </row>
    <row r="728" spans="1:3" x14ac:dyDescent="0.25">
      <c r="A728" s="77"/>
      <c r="B728" s="77"/>
      <c r="C728" s="75"/>
    </row>
    <row r="729" spans="1:3" x14ac:dyDescent="0.25">
      <c r="A729" s="77"/>
      <c r="B729" s="77"/>
      <c r="C729" s="75"/>
    </row>
    <row r="730" spans="1:3" x14ac:dyDescent="0.25">
      <c r="A730" s="77"/>
      <c r="B730" s="77"/>
      <c r="C730" s="75"/>
    </row>
    <row r="731" spans="1:3" x14ac:dyDescent="0.25">
      <c r="A731" s="77"/>
      <c r="B731" s="77"/>
      <c r="C731" s="75"/>
    </row>
    <row r="732" spans="1:3" x14ac:dyDescent="0.25">
      <c r="A732" s="77"/>
      <c r="B732" s="77"/>
      <c r="C732" s="75"/>
    </row>
    <row r="733" spans="1:3" x14ac:dyDescent="0.25">
      <c r="A733" s="77"/>
      <c r="B733" s="77"/>
      <c r="C733" s="75"/>
    </row>
    <row r="734" spans="1:3" x14ac:dyDescent="0.25">
      <c r="A734" s="77"/>
      <c r="B734" s="77"/>
      <c r="C734" s="75"/>
    </row>
    <row r="735" spans="1:3" x14ac:dyDescent="0.25">
      <c r="A735" s="77"/>
      <c r="B735" s="77"/>
      <c r="C735" s="75"/>
    </row>
    <row r="736" spans="1:3" x14ac:dyDescent="0.25">
      <c r="A736" s="77"/>
      <c r="B736" s="77"/>
      <c r="C736" s="75"/>
    </row>
    <row r="737" spans="1:3" x14ac:dyDescent="0.25">
      <c r="A737" s="77"/>
      <c r="B737" s="77"/>
      <c r="C737" s="75"/>
    </row>
    <row r="738" spans="1:3" x14ac:dyDescent="0.25">
      <c r="A738" s="77"/>
      <c r="B738" s="77"/>
      <c r="C738" s="75"/>
    </row>
    <row r="739" spans="1:3" x14ac:dyDescent="0.25">
      <c r="A739" s="77"/>
      <c r="B739" s="77"/>
      <c r="C739" s="75"/>
    </row>
    <row r="740" spans="1:3" x14ac:dyDescent="0.25">
      <c r="A740" s="77"/>
      <c r="B740" s="77"/>
      <c r="C740" s="75"/>
    </row>
    <row r="741" spans="1:3" x14ac:dyDescent="0.25">
      <c r="A741" s="77"/>
      <c r="B741" s="77"/>
      <c r="C741" s="75"/>
    </row>
    <row r="742" spans="1:3" x14ac:dyDescent="0.25">
      <c r="A742" s="77"/>
      <c r="B742" s="77"/>
      <c r="C742" s="75"/>
    </row>
    <row r="743" spans="1:3" x14ac:dyDescent="0.25">
      <c r="A743" s="77"/>
      <c r="B743" s="77"/>
      <c r="C743" s="75"/>
    </row>
    <row r="744" spans="1:3" x14ac:dyDescent="0.25">
      <c r="A744" s="77"/>
      <c r="B744" s="77"/>
      <c r="C744" s="75"/>
    </row>
    <row r="745" spans="1:3" x14ac:dyDescent="0.25">
      <c r="A745" s="77"/>
      <c r="B745" s="77"/>
      <c r="C745" s="75"/>
    </row>
    <row r="746" spans="1:3" x14ac:dyDescent="0.25">
      <c r="A746" s="77"/>
      <c r="B746" s="77"/>
      <c r="C746" s="75"/>
    </row>
    <row r="747" spans="1:3" x14ac:dyDescent="0.25">
      <c r="A747" s="77"/>
      <c r="B747" s="77"/>
      <c r="C747" s="75"/>
    </row>
    <row r="748" spans="1:3" x14ac:dyDescent="0.25">
      <c r="A748" s="77"/>
      <c r="B748" s="77"/>
      <c r="C748" s="75"/>
    </row>
    <row r="749" spans="1:3" x14ac:dyDescent="0.25">
      <c r="A749" s="77"/>
      <c r="B749" s="77"/>
      <c r="C749" s="75"/>
    </row>
    <row r="750" spans="1:3" x14ac:dyDescent="0.25">
      <c r="A750" s="77"/>
      <c r="B750" s="77"/>
      <c r="C750" s="75"/>
    </row>
    <row r="751" spans="1:3" x14ac:dyDescent="0.25">
      <c r="A751" s="77"/>
      <c r="B751" s="77"/>
      <c r="C751" s="75"/>
    </row>
    <row r="752" spans="1:3" x14ac:dyDescent="0.25">
      <c r="A752" s="77"/>
      <c r="B752" s="77"/>
      <c r="C752" s="75"/>
    </row>
    <row r="753" spans="1:3" x14ac:dyDescent="0.25">
      <c r="A753" s="77"/>
      <c r="B753" s="77"/>
      <c r="C753" s="75"/>
    </row>
    <row r="754" spans="1:3" x14ac:dyDescent="0.25">
      <c r="A754" s="77"/>
      <c r="B754" s="77"/>
      <c r="C754" s="75"/>
    </row>
    <row r="755" spans="1:3" x14ac:dyDescent="0.25">
      <c r="A755" s="77"/>
      <c r="B755" s="77"/>
      <c r="C755" s="75"/>
    </row>
    <row r="756" spans="1:3" x14ac:dyDescent="0.25">
      <c r="A756" s="77"/>
      <c r="B756" s="77"/>
      <c r="C756" s="75"/>
    </row>
    <row r="757" spans="1:3" x14ac:dyDescent="0.25">
      <c r="A757" s="77"/>
      <c r="B757" s="77"/>
      <c r="C757" s="75"/>
    </row>
    <row r="758" spans="1:3" x14ac:dyDescent="0.25">
      <c r="A758" s="77"/>
      <c r="B758" s="77"/>
      <c r="C758" s="75"/>
    </row>
    <row r="759" spans="1:3" x14ac:dyDescent="0.25">
      <c r="A759" s="77"/>
      <c r="B759" s="77"/>
      <c r="C759" s="75"/>
    </row>
    <row r="760" spans="1:3" x14ac:dyDescent="0.25">
      <c r="A760" s="77"/>
      <c r="B760" s="77"/>
      <c r="C760" s="75"/>
    </row>
    <row r="761" spans="1:3" x14ac:dyDescent="0.25">
      <c r="A761" s="77"/>
      <c r="B761" s="77"/>
      <c r="C761" s="75"/>
    </row>
    <row r="762" spans="1:3" x14ac:dyDescent="0.25">
      <c r="A762" s="77"/>
      <c r="B762" s="77"/>
      <c r="C762" s="75"/>
    </row>
    <row r="763" spans="1:3" x14ac:dyDescent="0.25">
      <c r="A763" s="77"/>
      <c r="B763" s="77"/>
      <c r="C763" s="75"/>
    </row>
    <row r="764" spans="1:3" x14ac:dyDescent="0.25">
      <c r="A764" s="77"/>
      <c r="B764" s="77"/>
      <c r="C764" s="75"/>
    </row>
    <row r="765" spans="1:3" x14ac:dyDescent="0.25">
      <c r="A765" s="77"/>
      <c r="B765" s="77"/>
      <c r="C765" s="75"/>
    </row>
    <row r="766" spans="1:3" x14ac:dyDescent="0.25">
      <c r="A766" s="77"/>
      <c r="B766" s="77"/>
      <c r="C766" s="75"/>
    </row>
    <row r="767" spans="1:3" x14ac:dyDescent="0.25">
      <c r="A767" s="77"/>
      <c r="B767" s="77"/>
      <c r="C767" s="75"/>
    </row>
    <row r="768" spans="1:3" x14ac:dyDescent="0.25">
      <c r="A768" s="77"/>
      <c r="B768" s="77"/>
      <c r="C768" s="75"/>
    </row>
    <row r="769" spans="1:3" x14ac:dyDescent="0.25">
      <c r="A769" s="77"/>
      <c r="B769" s="77"/>
      <c r="C769" s="75"/>
    </row>
    <row r="770" spans="1:3" x14ac:dyDescent="0.25">
      <c r="A770" s="77"/>
      <c r="B770" s="77"/>
      <c r="C770" s="75"/>
    </row>
    <row r="771" spans="1:3" x14ac:dyDescent="0.25">
      <c r="A771" s="77"/>
      <c r="B771" s="77"/>
      <c r="C771" s="75"/>
    </row>
    <row r="772" spans="1:3" x14ac:dyDescent="0.25">
      <c r="A772" s="77"/>
      <c r="B772" s="77"/>
      <c r="C772" s="75"/>
    </row>
    <row r="773" spans="1:3" x14ac:dyDescent="0.25">
      <c r="A773" s="77"/>
      <c r="B773" s="77"/>
      <c r="C773" s="75"/>
    </row>
    <row r="774" spans="1:3" x14ac:dyDescent="0.25">
      <c r="A774" s="77"/>
      <c r="B774" s="77"/>
      <c r="C774" s="75"/>
    </row>
    <row r="775" spans="1:3" x14ac:dyDescent="0.25">
      <c r="A775" s="77"/>
      <c r="B775" s="77"/>
      <c r="C775" s="75"/>
    </row>
    <row r="776" spans="1:3" x14ac:dyDescent="0.25">
      <c r="A776" s="77"/>
      <c r="B776" s="77"/>
      <c r="C776" s="75"/>
    </row>
    <row r="777" spans="1:3" x14ac:dyDescent="0.25">
      <c r="A777" s="77"/>
      <c r="B777" s="77"/>
      <c r="C777" s="75"/>
    </row>
    <row r="778" spans="1:3" x14ac:dyDescent="0.25">
      <c r="A778" s="77"/>
      <c r="B778" s="77"/>
      <c r="C778" s="75"/>
    </row>
    <row r="779" spans="1:3" x14ac:dyDescent="0.25">
      <c r="A779" s="77"/>
      <c r="B779" s="77"/>
      <c r="C779" s="75"/>
    </row>
    <row r="780" spans="1:3" x14ac:dyDescent="0.25">
      <c r="A780" s="77"/>
      <c r="B780" s="77"/>
      <c r="C780" s="75"/>
    </row>
    <row r="781" spans="1:3" x14ac:dyDescent="0.25">
      <c r="A781" s="77"/>
      <c r="B781" s="77"/>
      <c r="C781" s="75"/>
    </row>
    <row r="782" spans="1:3" x14ac:dyDescent="0.25">
      <c r="A782" s="77"/>
      <c r="B782" s="77"/>
      <c r="C782" s="75"/>
    </row>
    <row r="783" spans="1:3" x14ac:dyDescent="0.25">
      <c r="A783" s="77"/>
      <c r="B783" s="77"/>
      <c r="C783" s="75"/>
    </row>
    <row r="784" spans="1:3" x14ac:dyDescent="0.25">
      <c r="A784" s="77"/>
      <c r="B784" s="77"/>
      <c r="C784" s="75"/>
    </row>
    <row r="785" spans="1:3" x14ac:dyDescent="0.25">
      <c r="A785" s="77"/>
      <c r="B785" s="77"/>
      <c r="C785" s="75"/>
    </row>
    <row r="786" spans="1:3" x14ac:dyDescent="0.25">
      <c r="A786" s="77"/>
      <c r="B786" s="77"/>
      <c r="C786" s="75"/>
    </row>
    <row r="787" spans="1:3" x14ac:dyDescent="0.25">
      <c r="A787" s="77"/>
      <c r="B787" s="77"/>
      <c r="C787" s="75"/>
    </row>
    <row r="788" spans="1:3" x14ac:dyDescent="0.25">
      <c r="A788" s="77"/>
      <c r="B788" s="77"/>
      <c r="C788" s="75"/>
    </row>
    <row r="789" spans="1:3" x14ac:dyDescent="0.25">
      <c r="A789" s="77"/>
      <c r="B789" s="77"/>
      <c r="C789" s="75"/>
    </row>
    <row r="790" spans="1:3" x14ac:dyDescent="0.25">
      <c r="A790" s="77"/>
      <c r="B790" s="77"/>
      <c r="C790" s="75"/>
    </row>
    <row r="791" spans="1:3" x14ac:dyDescent="0.25">
      <c r="A791" s="77"/>
      <c r="B791" s="77"/>
      <c r="C791" s="75"/>
    </row>
    <row r="792" spans="1:3" x14ac:dyDescent="0.25">
      <c r="A792" s="77"/>
      <c r="B792" s="77"/>
      <c r="C792" s="75"/>
    </row>
    <row r="793" spans="1:3" x14ac:dyDescent="0.25">
      <c r="A793" s="77"/>
      <c r="B793" s="77"/>
      <c r="C793" s="75"/>
    </row>
    <row r="794" spans="1:3" x14ac:dyDescent="0.25">
      <c r="A794" s="77"/>
      <c r="B794" s="77"/>
      <c r="C794" s="75"/>
    </row>
    <row r="795" spans="1:3" x14ac:dyDescent="0.25">
      <c r="A795" s="77"/>
      <c r="B795" s="77"/>
      <c r="C795" s="75"/>
    </row>
    <row r="796" spans="1:3" x14ac:dyDescent="0.25">
      <c r="A796" s="77"/>
      <c r="B796" s="77"/>
      <c r="C796" s="75"/>
    </row>
    <row r="797" spans="1:3" x14ac:dyDescent="0.25">
      <c r="A797" s="77"/>
      <c r="B797" s="77"/>
      <c r="C797" s="75"/>
    </row>
    <row r="798" spans="1:3" x14ac:dyDescent="0.25">
      <c r="A798" s="77"/>
      <c r="B798" s="77"/>
      <c r="C798" s="75"/>
    </row>
    <row r="799" spans="1:3" x14ac:dyDescent="0.25">
      <c r="A799" s="77"/>
      <c r="B799" s="77"/>
      <c r="C799" s="75"/>
    </row>
    <row r="800" spans="1:3" x14ac:dyDescent="0.25">
      <c r="A800" s="77"/>
      <c r="B800" s="77"/>
      <c r="C800" s="75"/>
    </row>
    <row r="801" spans="1:3" x14ac:dyDescent="0.25">
      <c r="A801" s="77"/>
      <c r="B801" s="77"/>
      <c r="C801" s="75"/>
    </row>
    <row r="802" spans="1:3" x14ac:dyDescent="0.25">
      <c r="A802" s="77"/>
      <c r="B802" s="77"/>
      <c r="C802" s="75"/>
    </row>
    <row r="803" spans="1:3" x14ac:dyDescent="0.25">
      <c r="A803" s="77"/>
      <c r="B803" s="77"/>
      <c r="C803" s="75"/>
    </row>
    <row r="804" spans="1:3" x14ac:dyDescent="0.25">
      <c r="A804" s="77"/>
      <c r="B804" s="77"/>
      <c r="C804" s="75"/>
    </row>
    <row r="805" spans="1:3" x14ac:dyDescent="0.25">
      <c r="A805" s="77"/>
      <c r="B805" s="77"/>
      <c r="C805" s="75"/>
    </row>
    <row r="806" spans="1:3" x14ac:dyDescent="0.25">
      <c r="A806" s="77"/>
      <c r="B806" s="77"/>
      <c r="C806" s="75"/>
    </row>
    <row r="807" spans="1:3" x14ac:dyDescent="0.25">
      <c r="A807" s="77"/>
      <c r="B807" s="77"/>
      <c r="C807" s="75"/>
    </row>
    <row r="808" spans="1:3" x14ac:dyDescent="0.25">
      <c r="A808" s="77"/>
      <c r="B808" s="77"/>
      <c r="C808" s="75"/>
    </row>
    <row r="809" spans="1:3" x14ac:dyDescent="0.25">
      <c r="A809" s="77"/>
      <c r="B809" s="77"/>
      <c r="C809" s="75"/>
    </row>
    <row r="810" spans="1:3" x14ac:dyDescent="0.25">
      <c r="A810" s="77"/>
      <c r="B810" s="77"/>
      <c r="C810" s="75"/>
    </row>
    <row r="811" spans="1:3" x14ac:dyDescent="0.25">
      <c r="A811" s="77"/>
      <c r="B811" s="77"/>
      <c r="C811" s="75"/>
    </row>
    <row r="812" spans="1:3" x14ac:dyDescent="0.25">
      <c r="A812" s="77"/>
      <c r="B812" s="77"/>
      <c r="C812" s="75"/>
    </row>
    <row r="813" spans="1:3" x14ac:dyDescent="0.25">
      <c r="A813" s="77"/>
      <c r="B813" s="77"/>
      <c r="C813" s="75"/>
    </row>
    <row r="814" spans="1:3" x14ac:dyDescent="0.25">
      <c r="A814" s="77"/>
      <c r="B814" s="77"/>
      <c r="C814" s="75"/>
    </row>
    <row r="815" spans="1:3" x14ac:dyDescent="0.25">
      <c r="A815" s="77"/>
      <c r="B815" s="77"/>
      <c r="C815" s="75"/>
    </row>
    <row r="816" spans="1:3" x14ac:dyDescent="0.25">
      <c r="A816" s="77"/>
      <c r="B816" s="77"/>
      <c r="C816" s="75"/>
    </row>
    <row r="817" spans="1:3" x14ac:dyDescent="0.25">
      <c r="A817" s="77"/>
      <c r="B817" s="77"/>
      <c r="C817" s="75"/>
    </row>
    <row r="818" spans="1:3" x14ac:dyDescent="0.25">
      <c r="A818" s="77"/>
      <c r="B818" s="77"/>
      <c r="C818" s="75"/>
    </row>
    <row r="819" spans="1:3" x14ac:dyDescent="0.25">
      <c r="A819" s="77"/>
      <c r="B819" s="77"/>
      <c r="C819" s="75"/>
    </row>
    <row r="820" spans="1:3" x14ac:dyDescent="0.25">
      <c r="A820" s="77"/>
      <c r="B820" s="77"/>
      <c r="C820" s="75"/>
    </row>
    <row r="821" spans="1:3" x14ac:dyDescent="0.25">
      <c r="A821" s="77"/>
      <c r="B821" s="77"/>
      <c r="C821" s="75"/>
    </row>
    <row r="822" spans="1:3" x14ac:dyDescent="0.25">
      <c r="A822" s="77"/>
      <c r="B822" s="77"/>
      <c r="C822" s="75"/>
    </row>
    <row r="823" spans="1:3" x14ac:dyDescent="0.25">
      <c r="A823" s="77"/>
      <c r="B823" s="77"/>
      <c r="C823" s="75"/>
    </row>
    <row r="824" spans="1:3" x14ac:dyDescent="0.25">
      <c r="A824" s="77"/>
      <c r="B824" s="77"/>
      <c r="C824" s="75"/>
    </row>
    <row r="825" spans="1:3" x14ac:dyDescent="0.25">
      <c r="A825" s="77"/>
      <c r="B825" s="77"/>
      <c r="C825" s="75"/>
    </row>
    <row r="826" spans="1:3" x14ac:dyDescent="0.25">
      <c r="A826" s="77"/>
      <c r="B826" s="77"/>
      <c r="C826" s="75"/>
    </row>
    <row r="827" spans="1:3" x14ac:dyDescent="0.25">
      <c r="A827" s="77"/>
      <c r="B827" s="77"/>
      <c r="C827" s="75"/>
    </row>
    <row r="828" spans="1:3" x14ac:dyDescent="0.25">
      <c r="A828" s="77"/>
      <c r="B828" s="77"/>
      <c r="C828" s="75"/>
    </row>
    <row r="829" spans="1:3" x14ac:dyDescent="0.25">
      <c r="A829" s="77"/>
      <c r="B829" s="77"/>
      <c r="C829" s="75"/>
    </row>
    <row r="830" spans="1:3" x14ac:dyDescent="0.25">
      <c r="A830" s="77"/>
      <c r="B830" s="77"/>
      <c r="C830" s="75"/>
    </row>
    <row r="831" spans="1:3" x14ac:dyDescent="0.25">
      <c r="A831" s="77"/>
      <c r="B831" s="77"/>
      <c r="C831" s="75"/>
    </row>
    <row r="832" spans="1:3" x14ac:dyDescent="0.25">
      <c r="A832" s="77"/>
      <c r="B832" s="77"/>
      <c r="C832" s="75"/>
    </row>
    <row r="833" spans="1:3" x14ac:dyDescent="0.25">
      <c r="A833" s="77"/>
      <c r="B833" s="77"/>
      <c r="C833" s="75"/>
    </row>
    <row r="834" spans="1:3" x14ac:dyDescent="0.25">
      <c r="A834" s="77"/>
      <c r="B834" s="77"/>
      <c r="C834" s="75"/>
    </row>
    <row r="835" spans="1:3" x14ac:dyDescent="0.25">
      <c r="A835" s="77"/>
      <c r="B835" s="77"/>
      <c r="C835" s="75"/>
    </row>
    <row r="836" spans="1:3" x14ac:dyDescent="0.25">
      <c r="A836" s="77"/>
      <c r="B836" s="77"/>
      <c r="C836" s="75"/>
    </row>
    <row r="837" spans="1:3" x14ac:dyDescent="0.25">
      <c r="A837" s="77"/>
      <c r="B837" s="77"/>
      <c r="C837" s="75"/>
    </row>
    <row r="838" spans="1:3" x14ac:dyDescent="0.25">
      <c r="A838" s="77"/>
      <c r="B838" s="77"/>
      <c r="C838" s="75"/>
    </row>
    <row r="839" spans="1:3" x14ac:dyDescent="0.25">
      <c r="A839" s="77"/>
      <c r="B839" s="77"/>
      <c r="C839" s="75"/>
    </row>
    <row r="840" spans="1:3" x14ac:dyDescent="0.25">
      <c r="A840" s="77"/>
      <c r="B840" s="77"/>
      <c r="C840" s="75"/>
    </row>
    <row r="841" spans="1:3" x14ac:dyDescent="0.25">
      <c r="A841" s="77"/>
      <c r="B841" s="77"/>
      <c r="C841" s="75"/>
    </row>
    <row r="842" spans="1:3" x14ac:dyDescent="0.25">
      <c r="A842" s="77"/>
      <c r="B842" s="77"/>
      <c r="C842" s="75"/>
    </row>
    <row r="843" spans="1:3" x14ac:dyDescent="0.25">
      <c r="A843" s="77"/>
      <c r="B843" s="77"/>
      <c r="C843" s="75"/>
    </row>
    <row r="844" spans="1:3" x14ac:dyDescent="0.25">
      <c r="A844" s="77"/>
      <c r="B844" s="77"/>
      <c r="C844" s="75"/>
    </row>
    <row r="845" spans="1:3" x14ac:dyDescent="0.25">
      <c r="A845" s="77"/>
      <c r="B845" s="77"/>
      <c r="C845" s="75"/>
    </row>
    <row r="846" spans="1:3" x14ac:dyDescent="0.25">
      <c r="A846" s="77"/>
      <c r="B846" s="77"/>
      <c r="C846" s="75"/>
    </row>
    <row r="847" spans="1:3" x14ac:dyDescent="0.25">
      <c r="A847" s="77"/>
      <c r="B847" s="77"/>
      <c r="C847" s="75"/>
    </row>
    <row r="848" spans="1:3" x14ac:dyDescent="0.25">
      <c r="A848" s="77"/>
      <c r="B848" s="77"/>
      <c r="C848" s="75"/>
    </row>
    <row r="849" spans="1:3" x14ac:dyDescent="0.25">
      <c r="A849" s="77"/>
      <c r="B849" s="77"/>
      <c r="C849" s="75"/>
    </row>
    <row r="850" spans="1:3" x14ac:dyDescent="0.25">
      <c r="A850" s="77"/>
      <c r="B850" s="77"/>
      <c r="C850" s="75"/>
    </row>
    <row r="851" spans="1:3" x14ac:dyDescent="0.25">
      <c r="A851" s="77"/>
      <c r="B851" s="77"/>
      <c r="C851" s="75"/>
    </row>
    <row r="852" spans="1:3" x14ac:dyDescent="0.25">
      <c r="A852" s="77"/>
      <c r="B852" s="77"/>
      <c r="C852" s="75"/>
    </row>
    <row r="853" spans="1:3" x14ac:dyDescent="0.25">
      <c r="A853" s="77"/>
      <c r="B853" s="77"/>
      <c r="C853" s="75"/>
    </row>
    <row r="854" spans="1:3" x14ac:dyDescent="0.25">
      <c r="A854" s="77"/>
      <c r="B854" s="77"/>
      <c r="C854" s="75"/>
    </row>
    <row r="855" spans="1:3" x14ac:dyDescent="0.25">
      <c r="A855" s="77"/>
      <c r="B855" s="77"/>
      <c r="C855" s="75"/>
    </row>
    <row r="856" spans="1:3" x14ac:dyDescent="0.25">
      <c r="A856" s="77"/>
      <c r="B856" s="77"/>
      <c r="C856" s="75"/>
    </row>
    <row r="857" spans="1:3" x14ac:dyDescent="0.25">
      <c r="A857" s="77"/>
      <c r="B857" s="77"/>
      <c r="C857" s="75"/>
    </row>
    <row r="858" spans="1:3" x14ac:dyDescent="0.25">
      <c r="A858" s="77"/>
      <c r="B858" s="77"/>
      <c r="C858" s="75"/>
    </row>
    <row r="859" spans="1:3" x14ac:dyDescent="0.25">
      <c r="A859" s="77"/>
      <c r="B859" s="77"/>
      <c r="C859" s="75"/>
    </row>
    <row r="860" spans="1:3" x14ac:dyDescent="0.25">
      <c r="A860" s="77"/>
      <c r="B860" s="77"/>
      <c r="C860" s="75"/>
    </row>
    <row r="861" spans="1:3" x14ac:dyDescent="0.25">
      <c r="A861" s="77"/>
      <c r="B861" s="77"/>
      <c r="C861" s="75"/>
    </row>
    <row r="862" spans="1:3" x14ac:dyDescent="0.25">
      <c r="A862" s="77"/>
      <c r="B862" s="77"/>
      <c r="C862" s="75"/>
    </row>
    <row r="863" spans="1:3" x14ac:dyDescent="0.25">
      <c r="A863" s="77"/>
      <c r="B863" s="77"/>
      <c r="C863" s="75"/>
    </row>
    <row r="864" spans="1:3" x14ac:dyDescent="0.25">
      <c r="A864" s="77"/>
      <c r="B864" s="77"/>
      <c r="C864" s="75"/>
    </row>
    <row r="865" spans="1:3" x14ac:dyDescent="0.25">
      <c r="A865" s="77"/>
      <c r="B865" s="77"/>
      <c r="C865" s="75"/>
    </row>
    <row r="866" spans="1:3" x14ac:dyDescent="0.25">
      <c r="A866" s="77"/>
      <c r="B866" s="77"/>
      <c r="C866" s="75"/>
    </row>
    <row r="867" spans="1:3" x14ac:dyDescent="0.25">
      <c r="A867" s="77"/>
      <c r="B867" s="77"/>
      <c r="C867" s="75"/>
    </row>
    <row r="868" spans="1:3" x14ac:dyDescent="0.25">
      <c r="A868" s="77"/>
      <c r="B868" s="77"/>
      <c r="C868" s="75"/>
    </row>
    <row r="869" spans="1:3" x14ac:dyDescent="0.25">
      <c r="A869" s="77"/>
      <c r="B869" s="77"/>
      <c r="C869" s="75"/>
    </row>
    <row r="870" spans="1:3" x14ac:dyDescent="0.25">
      <c r="A870" s="77"/>
      <c r="B870" s="77"/>
      <c r="C870" s="75"/>
    </row>
    <row r="871" spans="1:3" x14ac:dyDescent="0.25">
      <c r="A871" s="77"/>
      <c r="B871" s="77"/>
      <c r="C871" s="75"/>
    </row>
    <row r="872" spans="1:3" x14ac:dyDescent="0.25">
      <c r="A872" s="77"/>
      <c r="B872" s="77"/>
      <c r="C872" s="75"/>
    </row>
    <row r="873" spans="1:3" x14ac:dyDescent="0.25">
      <c r="A873" s="77"/>
      <c r="B873" s="77"/>
      <c r="C873" s="75"/>
    </row>
    <row r="874" spans="1:3" x14ac:dyDescent="0.25">
      <c r="A874" s="77"/>
      <c r="B874" s="77"/>
      <c r="C874" s="75"/>
    </row>
    <row r="875" spans="1:3" x14ac:dyDescent="0.25">
      <c r="A875" s="77"/>
      <c r="B875" s="77"/>
      <c r="C875" s="75"/>
    </row>
    <row r="876" spans="1:3" x14ac:dyDescent="0.25">
      <c r="A876" s="77"/>
      <c r="B876" s="77"/>
      <c r="C876" s="75"/>
    </row>
    <row r="877" spans="1:3" x14ac:dyDescent="0.25">
      <c r="A877" s="77"/>
      <c r="B877" s="77"/>
      <c r="C877" s="75"/>
    </row>
    <row r="878" spans="1:3" x14ac:dyDescent="0.25">
      <c r="A878" s="77"/>
      <c r="B878" s="77"/>
      <c r="C878" s="75"/>
    </row>
    <row r="879" spans="1:3" x14ac:dyDescent="0.25">
      <c r="A879" s="77"/>
      <c r="B879" s="77"/>
      <c r="C879" s="75"/>
    </row>
    <row r="880" spans="1:3" x14ac:dyDescent="0.25">
      <c r="A880" s="77"/>
      <c r="B880" s="77"/>
      <c r="C880" s="75"/>
    </row>
    <row r="881" spans="1:3" x14ac:dyDescent="0.25">
      <c r="A881" s="77"/>
      <c r="B881" s="77"/>
      <c r="C881" s="75"/>
    </row>
    <row r="882" spans="1:3" x14ac:dyDescent="0.25">
      <c r="A882" s="77"/>
      <c r="B882" s="77"/>
      <c r="C882" s="75"/>
    </row>
    <row r="883" spans="1:3" x14ac:dyDescent="0.25">
      <c r="A883" s="77"/>
      <c r="B883" s="77"/>
      <c r="C883" s="75"/>
    </row>
    <row r="884" spans="1:3" x14ac:dyDescent="0.25">
      <c r="A884" s="77"/>
      <c r="B884" s="77"/>
      <c r="C884" s="75"/>
    </row>
    <row r="885" spans="1:3" x14ac:dyDescent="0.25">
      <c r="A885" s="77"/>
      <c r="B885" s="77"/>
      <c r="C885" s="75"/>
    </row>
    <row r="886" spans="1:3" x14ac:dyDescent="0.25">
      <c r="A886" s="77"/>
      <c r="B886" s="77"/>
      <c r="C886" s="75"/>
    </row>
    <row r="887" spans="1:3" x14ac:dyDescent="0.25">
      <c r="A887" s="77"/>
      <c r="B887" s="77"/>
      <c r="C887" s="75"/>
    </row>
    <row r="888" spans="1:3" x14ac:dyDescent="0.25">
      <c r="A888" s="77"/>
      <c r="B888" s="77"/>
      <c r="C888" s="75"/>
    </row>
    <row r="889" spans="1:3" x14ac:dyDescent="0.25">
      <c r="A889" s="77"/>
      <c r="B889" s="77"/>
      <c r="C889" s="75"/>
    </row>
    <row r="890" spans="1:3" x14ac:dyDescent="0.25">
      <c r="A890" s="77"/>
      <c r="B890" s="77"/>
      <c r="C890" s="75"/>
    </row>
    <row r="891" spans="1:3" x14ac:dyDescent="0.25">
      <c r="A891" s="77"/>
      <c r="B891" s="77"/>
      <c r="C891" s="75"/>
    </row>
    <row r="892" spans="1:3" x14ac:dyDescent="0.25">
      <c r="A892" s="77"/>
      <c r="B892" s="77"/>
      <c r="C892" s="75"/>
    </row>
    <row r="893" spans="1:3" x14ac:dyDescent="0.25">
      <c r="A893" s="77"/>
      <c r="B893" s="77"/>
      <c r="C893" s="75"/>
    </row>
    <row r="894" spans="1:3" x14ac:dyDescent="0.25">
      <c r="A894" s="77"/>
      <c r="B894" s="77"/>
      <c r="C894" s="75"/>
    </row>
    <row r="895" spans="1:3" x14ac:dyDescent="0.25">
      <c r="A895" s="77"/>
      <c r="B895" s="77"/>
      <c r="C895" s="75"/>
    </row>
    <row r="896" spans="1:3" x14ac:dyDescent="0.25">
      <c r="A896" s="77"/>
      <c r="B896" s="77"/>
      <c r="C896" s="75"/>
    </row>
    <row r="897" spans="1:3" x14ac:dyDescent="0.25">
      <c r="A897" s="77"/>
      <c r="B897" s="77"/>
      <c r="C897" s="75"/>
    </row>
    <row r="898" spans="1:3" x14ac:dyDescent="0.25">
      <c r="A898" s="77"/>
      <c r="B898" s="77"/>
      <c r="C898" s="75"/>
    </row>
    <row r="899" spans="1:3" x14ac:dyDescent="0.25">
      <c r="A899" s="77"/>
      <c r="B899" s="77"/>
      <c r="C899" s="75"/>
    </row>
    <row r="900" spans="1:3" x14ac:dyDescent="0.25">
      <c r="A900" s="77"/>
      <c r="B900" s="77"/>
      <c r="C900" s="75"/>
    </row>
    <row r="901" spans="1:3" x14ac:dyDescent="0.25">
      <c r="A901" s="77"/>
      <c r="B901" s="77"/>
      <c r="C901" s="75"/>
    </row>
    <row r="902" spans="1:3" x14ac:dyDescent="0.25">
      <c r="A902" s="77"/>
      <c r="B902" s="77"/>
      <c r="C902" s="75"/>
    </row>
    <row r="903" spans="1:3" x14ac:dyDescent="0.25">
      <c r="A903" s="77"/>
      <c r="B903" s="77"/>
      <c r="C903" s="75"/>
    </row>
    <row r="904" spans="1:3" x14ac:dyDescent="0.25">
      <c r="A904" s="77"/>
      <c r="B904" s="77"/>
      <c r="C904" s="75"/>
    </row>
    <row r="905" spans="1:3" x14ac:dyDescent="0.25">
      <c r="A905" s="77"/>
      <c r="B905" s="77"/>
      <c r="C905" s="75"/>
    </row>
    <row r="906" spans="1:3" x14ac:dyDescent="0.25">
      <c r="A906" s="77"/>
      <c r="B906" s="77"/>
      <c r="C906" s="75"/>
    </row>
    <row r="907" spans="1:3" x14ac:dyDescent="0.25">
      <c r="A907" s="77"/>
      <c r="B907" s="77"/>
      <c r="C907" s="75"/>
    </row>
    <row r="908" spans="1:3" x14ac:dyDescent="0.25">
      <c r="A908" s="77"/>
      <c r="B908" s="77"/>
      <c r="C908" s="75"/>
    </row>
    <row r="909" spans="1:3" x14ac:dyDescent="0.25">
      <c r="A909" s="77"/>
      <c r="B909" s="77"/>
      <c r="C909" s="75"/>
    </row>
    <row r="910" spans="1:3" x14ac:dyDescent="0.25">
      <c r="A910" s="77"/>
      <c r="B910" s="77"/>
      <c r="C910" s="75"/>
    </row>
    <row r="911" spans="1:3" x14ac:dyDescent="0.25">
      <c r="A911" s="77"/>
      <c r="B911" s="77"/>
      <c r="C911" s="75"/>
    </row>
    <row r="912" spans="1:3" x14ac:dyDescent="0.25">
      <c r="A912" s="77"/>
      <c r="B912" s="77"/>
      <c r="C912" s="75"/>
    </row>
    <row r="913" spans="1:3" x14ac:dyDescent="0.25">
      <c r="A913" s="77"/>
      <c r="B913" s="77"/>
      <c r="C913" s="75"/>
    </row>
    <row r="914" spans="1:3" x14ac:dyDescent="0.25">
      <c r="A914" s="77"/>
      <c r="B914" s="77"/>
      <c r="C914" s="75"/>
    </row>
    <row r="915" spans="1:3" x14ac:dyDescent="0.25">
      <c r="A915" s="77"/>
      <c r="B915" s="77"/>
      <c r="C915" s="75"/>
    </row>
    <row r="916" spans="1:3" x14ac:dyDescent="0.25">
      <c r="A916" s="77"/>
      <c r="B916" s="77"/>
      <c r="C916" s="75"/>
    </row>
    <row r="917" spans="1:3" x14ac:dyDescent="0.25">
      <c r="A917" s="77"/>
      <c r="B917" s="77"/>
      <c r="C917" s="75"/>
    </row>
    <row r="918" spans="1:3" x14ac:dyDescent="0.25">
      <c r="A918" s="77"/>
      <c r="B918" s="77"/>
      <c r="C918" s="75"/>
    </row>
    <row r="919" spans="1:3" x14ac:dyDescent="0.25">
      <c r="A919" s="77"/>
      <c r="B919" s="77"/>
      <c r="C919" s="75"/>
    </row>
    <row r="920" spans="1:3" x14ac:dyDescent="0.25">
      <c r="A920" s="77"/>
      <c r="B920" s="77"/>
      <c r="C920" s="75"/>
    </row>
    <row r="921" spans="1:3" x14ac:dyDescent="0.25">
      <c r="A921" s="77"/>
      <c r="B921" s="77"/>
      <c r="C921" s="75"/>
    </row>
    <row r="922" spans="1:3" x14ac:dyDescent="0.25">
      <c r="A922" s="77"/>
      <c r="B922" s="77"/>
      <c r="C922" s="75"/>
    </row>
    <row r="923" spans="1:3" x14ac:dyDescent="0.25">
      <c r="A923" s="77"/>
      <c r="B923" s="77"/>
      <c r="C923" s="75"/>
    </row>
    <row r="924" spans="1:3" x14ac:dyDescent="0.25">
      <c r="A924" s="77"/>
      <c r="B924" s="77"/>
      <c r="C924" s="75"/>
    </row>
    <row r="925" spans="1:3" x14ac:dyDescent="0.25">
      <c r="A925" s="77"/>
      <c r="B925" s="77"/>
      <c r="C925" s="75"/>
    </row>
    <row r="926" spans="1:3" x14ac:dyDescent="0.25">
      <c r="A926" s="77"/>
      <c r="B926" s="77"/>
      <c r="C926" s="75"/>
    </row>
    <row r="927" spans="1:3" x14ac:dyDescent="0.25">
      <c r="A927" s="77"/>
      <c r="B927" s="77"/>
      <c r="C927" s="75"/>
    </row>
    <row r="928" spans="1:3" x14ac:dyDescent="0.25">
      <c r="A928" s="77"/>
      <c r="B928" s="77"/>
      <c r="C928" s="75"/>
    </row>
    <row r="929" spans="1:3" x14ac:dyDescent="0.25">
      <c r="A929" s="77"/>
      <c r="B929" s="77"/>
      <c r="C929" s="75"/>
    </row>
    <row r="930" spans="1:3" x14ac:dyDescent="0.25">
      <c r="A930" s="77"/>
      <c r="B930" s="77"/>
      <c r="C930" s="75"/>
    </row>
    <row r="931" spans="1:3" x14ac:dyDescent="0.25">
      <c r="A931" s="77"/>
      <c r="B931" s="77"/>
      <c r="C931" s="75"/>
    </row>
    <row r="932" spans="1:3" x14ac:dyDescent="0.25">
      <c r="A932" s="77"/>
      <c r="B932" s="77"/>
      <c r="C932" s="75"/>
    </row>
    <row r="933" spans="1:3" x14ac:dyDescent="0.25">
      <c r="A933" s="77"/>
      <c r="B933" s="77"/>
      <c r="C933" s="75"/>
    </row>
    <row r="934" spans="1:3" x14ac:dyDescent="0.25">
      <c r="A934" s="77"/>
      <c r="B934" s="77"/>
      <c r="C934" s="75"/>
    </row>
    <row r="935" spans="1:3" x14ac:dyDescent="0.25">
      <c r="A935" s="77"/>
      <c r="B935" s="77"/>
      <c r="C935" s="75"/>
    </row>
    <row r="936" spans="1:3" x14ac:dyDescent="0.25">
      <c r="A936" s="77"/>
      <c r="B936" s="77"/>
      <c r="C936" s="75"/>
    </row>
    <row r="937" spans="1:3" x14ac:dyDescent="0.25">
      <c r="A937" s="77"/>
      <c r="B937" s="77"/>
      <c r="C937" s="75"/>
    </row>
    <row r="938" spans="1:3" x14ac:dyDescent="0.25">
      <c r="A938" s="77"/>
      <c r="B938" s="77"/>
      <c r="C938" s="75"/>
    </row>
    <row r="939" spans="1:3" x14ac:dyDescent="0.25">
      <c r="A939" s="77"/>
      <c r="B939" s="77"/>
      <c r="C939" s="75"/>
    </row>
    <row r="940" spans="1:3" x14ac:dyDescent="0.25">
      <c r="A940" s="77"/>
      <c r="B940" s="77"/>
      <c r="C940" s="75"/>
    </row>
    <row r="941" spans="1:3" x14ac:dyDescent="0.25">
      <c r="A941" s="77"/>
      <c r="B941" s="77"/>
      <c r="C941" s="75"/>
    </row>
    <row r="942" spans="1:3" x14ac:dyDescent="0.25">
      <c r="A942" s="77"/>
      <c r="B942" s="77"/>
      <c r="C942" s="75"/>
    </row>
    <row r="943" spans="1:3" x14ac:dyDescent="0.25">
      <c r="A943" s="77"/>
      <c r="B943" s="77"/>
      <c r="C943" s="75"/>
    </row>
    <row r="944" spans="1:3" x14ac:dyDescent="0.25">
      <c r="A944" s="77"/>
      <c r="B944" s="77"/>
      <c r="C944" s="75"/>
    </row>
    <row r="945" spans="1:3" x14ac:dyDescent="0.25">
      <c r="A945" s="77"/>
      <c r="B945" s="77"/>
      <c r="C945" s="75"/>
    </row>
    <row r="946" spans="1:3" x14ac:dyDescent="0.25">
      <c r="A946" s="77"/>
      <c r="B946" s="77"/>
      <c r="C946" s="75"/>
    </row>
    <row r="947" spans="1:3" x14ac:dyDescent="0.25">
      <c r="A947" s="77"/>
      <c r="B947" s="77"/>
      <c r="C947" s="75"/>
    </row>
    <row r="948" spans="1:3" x14ac:dyDescent="0.25">
      <c r="A948" s="77"/>
      <c r="B948" s="77"/>
      <c r="C948" s="75"/>
    </row>
    <row r="949" spans="1:3" x14ac:dyDescent="0.25">
      <c r="A949" s="77"/>
      <c r="B949" s="77"/>
      <c r="C949" s="75"/>
    </row>
    <row r="950" spans="1:3" x14ac:dyDescent="0.25">
      <c r="A950" s="77"/>
      <c r="B950" s="77"/>
      <c r="C950" s="75"/>
    </row>
    <row r="951" spans="1:3" x14ac:dyDescent="0.25">
      <c r="A951" s="77"/>
      <c r="B951" s="77"/>
      <c r="C951" s="75"/>
    </row>
    <row r="952" spans="1:3" x14ac:dyDescent="0.25">
      <c r="A952" s="77"/>
      <c r="B952" s="77"/>
      <c r="C952" s="75"/>
    </row>
    <row r="953" spans="1:3" x14ac:dyDescent="0.25">
      <c r="A953" s="77"/>
      <c r="B953" s="77"/>
      <c r="C953" s="75"/>
    </row>
    <row r="954" spans="1:3" x14ac:dyDescent="0.25">
      <c r="A954" s="77"/>
      <c r="B954" s="77"/>
      <c r="C954" s="75"/>
    </row>
    <row r="955" spans="1:3" x14ac:dyDescent="0.25">
      <c r="A955" s="77"/>
      <c r="B955" s="77"/>
      <c r="C955" s="75"/>
    </row>
    <row r="956" spans="1:3" x14ac:dyDescent="0.25">
      <c r="A956" s="77"/>
      <c r="B956" s="77"/>
      <c r="C956" s="75"/>
    </row>
    <row r="957" spans="1:3" x14ac:dyDescent="0.25">
      <c r="A957" s="77"/>
      <c r="B957" s="77"/>
      <c r="C957" s="75"/>
    </row>
    <row r="958" spans="1:3" x14ac:dyDescent="0.25">
      <c r="A958" s="77"/>
      <c r="B958" s="77"/>
      <c r="C958" s="75"/>
    </row>
    <row r="959" spans="1:3" x14ac:dyDescent="0.25">
      <c r="A959" s="77"/>
      <c r="B959" s="77"/>
      <c r="C959" s="75"/>
    </row>
    <row r="960" spans="1:3" x14ac:dyDescent="0.25">
      <c r="A960" s="77"/>
      <c r="B960" s="77"/>
      <c r="C960" s="75"/>
    </row>
    <row r="961" spans="1:3" x14ac:dyDescent="0.25">
      <c r="A961" s="77"/>
      <c r="B961" s="77"/>
      <c r="C961" s="75"/>
    </row>
    <row r="962" spans="1:3" x14ac:dyDescent="0.25">
      <c r="A962" s="77"/>
      <c r="B962" s="77"/>
      <c r="C962" s="75"/>
    </row>
    <row r="963" spans="1:3" x14ac:dyDescent="0.25">
      <c r="A963" s="77"/>
      <c r="B963" s="77"/>
      <c r="C963" s="75"/>
    </row>
    <row r="964" spans="1:3" x14ac:dyDescent="0.25">
      <c r="A964" s="77"/>
      <c r="B964" s="77"/>
      <c r="C964" s="75"/>
    </row>
    <row r="965" spans="1:3" x14ac:dyDescent="0.25">
      <c r="A965" s="77"/>
      <c r="B965" s="77"/>
      <c r="C965" s="75"/>
    </row>
    <row r="966" spans="1:3" x14ac:dyDescent="0.25">
      <c r="A966" s="77"/>
      <c r="B966" s="77"/>
      <c r="C966" s="75"/>
    </row>
    <row r="967" spans="1:3" x14ac:dyDescent="0.25">
      <c r="A967" s="77"/>
      <c r="B967" s="77"/>
      <c r="C967" s="75"/>
    </row>
    <row r="968" spans="1:3" x14ac:dyDescent="0.25">
      <c r="A968" s="77"/>
      <c r="B968" s="77"/>
      <c r="C968" s="75"/>
    </row>
    <row r="969" spans="1:3" x14ac:dyDescent="0.25">
      <c r="A969" s="77"/>
      <c r="B969" s="77"/>
      <c r="C969" s="75"/>
    </row>
    <row r="970" spans="1:3" x14ac:dyDescent="0.25">
      <c r="A970" s="77"/>
      <c r="B970" s="77"/>
      <c r="C970" s="75"/>
    </row>
    <row r="971" spans="1:3" x14ac:dyDescent="0.25">
      <c r="A971" s="77"/>
      <c r="B971" s="77"/>
      <c r="C971" s="75"/>
    </row>
    <row r="972" spans="1:3" x14ac:dyDescent="0.25">
      <c r="A972" s="77"/>
      <c r="B972" s="77"/>
      <c r="C972" s="75"/>
    </row>
    <row r="973" spans="1:3" x14ac:dyDescent="0.25">
      <c r="A973" s="77"/>
      <c r="B973" s="77"/>
      <c r="C973" s="75"/>
    </row>
    <row r="974" spans="1:3" x14ac:dyDescent="0.25">
      <c r="A974" s="77"/>
      <c r="B974" s="77"/>
      <c r="C974" s="75"/>
    </row>
    <row r="975" spans="1:3" x14ac:dyDescent="0.25">
      <c r="A975" s="77"/>
      <c r="B975" s="77"/>
      <c r="C975" s="75"/>
    </row>
    <row r="976" spans="1:3" x14ac:dyDescent="0.25">
      <c r="A976" s="77"/>
      <c r="B976" s="77"/>
      <c r="C976" s="75"/>
    </row>
    <row r="977" spans="1:3" x14ac:dyDescent="0.25">
      <c r="A977" s="77"/>
      <c r="B977" s="77"/>
      <c r="C977" s="75"/>
    </row>
    <row r="978" spans="1:3" x14ac:dyDescent="0.25">
      <c r="A978" s="77"/>
      <c r="B978" s="77"/>
      <c r="C978" s="75"/>
    </row>
    <row r="979" spans="1:3" x14ac:dyDescent="0.25">
      <c r="A979" s="77"/>
      <c r="B979" s="77"/>
      <c r="C979" s="75"/>
    </row>
    <row r="980" spans="1:3" x14ac:dyDescent="0.25">
      <c r="A980" s="77"/>
      <c r="B980" s="77"/>
      <c r="C980" s="75"/>
    </row>
    <row r="981" spans="1:3" x14ac:dyDescent="0.25">
      <c r="A981" s="77"/>
      <c r="B981" s="77"/>
      <c r="C981" s="75"/>
    </row>
    <row r="982" spans="1:3" x14ac:dyDescent="0.25">
      <c r="A982" s="77"/>
      <c r="B982" s="77"/>
      <c r="C982" s="75"/>
    </row>
    <row r="983" spans="1:3" x14ac:dyDescent="0.25">
      <c r="A983" s="77"/>
      <c r="B983" s="77"/>
      <c r="C983" s="75"/>
    </row>
    <row r="984" spans="1:3" x14ac:dyDescent="0.25">
      <c r="A984" s="77"/>
      <c r="B984" s="77"/>
      <c r="C984" s="75"/>
    </row>
    <row r="985" spans="1:3" x14ac:dyDescent="0.25">
      <c r="A985" s="77"/>
      <c r="B985" s="77"/>
      <c r="C985" s="75"/>
    </row>
    <row r="986" spans="1:3" x14ac:dyDescent="0.25">
      <c r="A986" s="77"/>
      <c r="B986" s="77"/>
      <c r="C986" s="75"/>
    </row>
    <row r="987" spans="1:3" x14ac:dyDescent="0.25">
      <c r="A987" s="77"/>
      <c r="B987" s="77"/>
      <c r="C987" s="75"/>
    </row>
    <row r="988" spans="1:3" x14ac:dyDescent="0.25">
      <c r="A988" s="77"/>
      <c r="B988" s="77"/>
      <c r="C988" s="75"/>
    </row>
    <row r="989" spans="1:3" x14ac:dyDescent="0.25">
      <c r="A989" s="77"/>
      <c r="B989" s="77"/>
      <c r="C989" s="75"/>
    </row>
    <row r="990" spans="1:3" x14ac:dyDescent="0.25">
      <c r="A990" s="77"/>
      <c r="B990" s="77"/>
      <c r="C990" s="75"/>
    </row>
    <row r="991" spans="1:3" x14ac:dyDescent="0.25">
      <c r="A991" s="77"/>
      <c r="B991" s="77"/>
      <c r="C991" s="75"/>
    </row>
    <row r="992" spans="1:3" x14ac:dyDescent="0.25">
      <c r="A992" s="77"/>
      <c r="B992" s="77"/>
      <c r="C992" s="75"/>
    </row>
    <row r="993" spans="1:3" x14ac:dyDescent="0.25">
      <c r="A993" s="77"/>
      <c r="B993" s="77"/>
      <c r="C993" s="75"/>
    </row>
    <row r="994" spans="1:3" x14ac:dyDescent="0.25">
      <c r="A994" s="77"/>
      <c r="B994" s="77"/>
      <c r="C994" s="75"/>
    </row>
    <row r="995" spans="1:3" x14ac:dyDescent="0.25">
      <c r="A995" s="77"/>
      <c r="B995" s="77"/>
      <c r="C995" s="75"/>
    </row>
    <row r="996" spans="1:3" x14ac:dyDescent="0.25">
      <c r="A996" s="77"/>
      <c r="B996" s="77"/>
      <c r="C996" s="75"/>
    </row>
    <row r="997" spans="1:3" x14ac:dyDescent="0.25">
      <c r="A997" s="77"/>
      <c r="B997" s="77"/>
      <c r="C997" s="75"/>
    </row>
    <row r="998" spans="1:3" x14ac:dyDescent="0.25">
      <c r="A998" s="77"/>
      <c r="B998" s="77"/>
      <c r="C998" s="75"/>
    </row>
    <row r="999" spans="1:3" x14ac:dyDescent="0.25">
      <c r="A999" s="77"/>
      <c r="B999" s="77"/>
      <c r="C999" s="75"/>
    </row>
    <row r="1000" spans="1:3" x14ac:dyDescent="0.25">
      <c r="A1000" s="77"/>
      <c r="B1000" s="77"/>
      <c r="C1000" s="75"/>
    </row>
    <row r="1001" spans="1:3" x14ac:dyDescent="0.25">
      <c r="A1001" s="77"/>
      <c r="B1001" s="77"/>
      <c r="C1001" s="75"/>
    </row>
    <row r="1002" spans="1:3" x14ac:dyDescent="0.25">
      <c r="A1002" s="77"/>
      <c r="B1002" s="77"/>
      <c r="C1002" s="75"/>
    </row>
    <row r="1003" spans="1:3" x14ac:dyDescent="0.25">
      <c r="A1003" s="77"/>
      <c r="B1003" s="77"/>
      <c r="C1003" s="75"/>
    </row>
    <row r="1004" spans="1:3" x14ac:dyDescent="0.25">
      <c r="A1004" s="77"/>
      <c r="B1004" s="77"/>
      <c r="C1004" s="75"/>
    </row>
    <row r="1005" spans="1:3" x14ac:dyDescent="0.25">
      <c r="A1005" s="77"/>
      <c r="B1005" s="77"/>
      <c r="C1005" s="75"/>
    </row>
    <row r="1006" spans="1:3" x14ac:dyDescent="0.25">
      <c r="A1006" s="77"/>
      <c r="B1006" s="77"/>
      <c r="C1006" s="75"/>
    </row>
    <row r="1007" spans="1:3" x14ac:dyDescent="0.25">
      <c r="A1007" s="77"/>
      <c r="B1007" s="77"/>
      <c r="C1007" s="75"/>
    </row>
    <row r="1008" spans="1:3" x14ac:dyDescent="0.25">
      <c r="A1008" s="77"/>
      <c r="B1008" s="77"/>
      <c r="C1008" s="75"/>
    </row>
    <row r="1009" spans="1:3" x14ac:dyDescent="0.25">
      <c r="A1009" s="77"/>
      <c r="B1009" s="77"/>
      <c r="C1009" s="75"/>
    </row>
    <row r="1010" spans="1:3" x14ac:dyDescent="0.25">
      <c r="A1010" s="77"/>
      <c r="B1010" s="77"/>
      <c r="C1010" s="75"/>
    </row>
    <row r="1011" spans="1:3" x14ac:dyDescent="0.25">
      <c r="A1011" s="77"/>
      <c r="B1011" s="77"/>
      <c r="C1011" s="75"/>
    </row>
    <row r="1012" spans="1:3" x14ac:dyDescent="0.25">
      <c r="A1012" s="77"/>
      <c r="B1012" s="77"/>
      <c r="C1012" s="75"/>
    </row>
    <row r="1013" spans="1:3" x14ac:dyDescent="0.25">
      <c r="A1013" s="77"/>
      <c r="B1013" s="77"/>
      <c r="C1013" s="75"/>
    </row>
    <row r="1014" spans="1:3" x14ac:dyDescent="0.25">
      <c r="A1014" s="77"/>
      <c r="B1014" s="77"/>
      <c r="C1014" s="75"/>
    </row>
    <row r="1015" spans="1:3" x14ac:dyDescent="0.25">
      <c r="A1015" s="77"/>
      <c r="B1015" s="77"/>
      <c r="C1015" s="75"/>
    </row>
    <row r="1016" spans="1:3" x14ac:dyDescent="0.25">
      <c r="A1016" s="77"/>
      <c r="B1016" s="77"/>
      <c r="C1016" s="75"/>
    </row>
    <row r="1017" spans="1:3" x14ac:dyDescent="0.25">
      <c r="A1017" s="77"/>
      <c r="B1017" s="77"/>
      <c r="C1017" s="75"/>
    </row>
    <row r="1018" spans="1:3" x14ac:dyDescent="0.25">
      <c r="A1018" s="77"/>
      <c r="B1018" s="77"/>
      <c r="C1018" s="75"/>
    </row>
    <row r="1019" spans="1:3" x14ac:dyDescent="0.25">
      <c r="A1019" s="77"/>
      <c r="B1019" s="77"/>
      <c r="C1019" s="75"/>
    </row>
    <row r="1020" spans="1:3" x14ac:dyDescent="0.25">
      <c r="A1020" s="77"/>
      <c r="B1020" s="77"/>
      <c r="C1020" s="75"/>
    </row>
    <row r="1021" spans="1:3" x14ac:dyDescent="0.25">
      <c r="A1021" s="77"/>
      <c r="B1021" s="77"/>
      <c r="C1021" s="75"/>
    </row>
    <row r="1022" spans="1:3" x14ac:dyDescent="0.25">
      <c r="A1022" s="77"/>
      <c r="B1022" s="77"/>
      <c r="C1022" s="75"/>
    </row>
    <row r="1023" spans="1:3" x14ac:dyDescent="0.25">
      <c r="A1023" s="77"/>
      <c r="B1023" s="77"/>
      <c r="C1023" s="75"/>
    </row>
    <row r="1024" spans="1:3" x14ac:dyDescent="0.25">
      <c r="A1024" s="77"/>
      <c r="B1024" s="77"/>
      <c r="C1024" s="75"/>
    </row>
    <row r="1025" spans="1:3" x14ac:dyDescent="0.25">
      <c r="A1025" s="77"/>
      <c r="B1025" s="77"/>
      <c r="C1025" s="75"/>
    </row>
    <row r="1026" spans="1:3" x14ac:dyDescent="0.25">
      <c r="A1026" s="77"/>
      <c r="B1026" s="77"/>
      <c r="C1026" s="75"/>
    </row>
    <row r="1027" spans="1:3" x14ac:dyDescent="0.25">
      <c r="A1027" s="77"/>
      <c r="B1027" s="77"/>
      <c r="C1027" s="75"/>
    </row>
    <row r="1028" spans="1:3" x14ac:dyDescent="0.25">
      <c r="A1028" s="77"/>
      <c r="B1028" s="77"/>
      <c r="C1028" s="75"/>
    </row>
    <row r="1029" spans="1:3" x14ac:dyDescent="0.25">
      <c r="A1029" s="77"/>
      <c r="B1029" s="77"/>
      <c r="C1029" s="75"/>
    </row>
    <row r="1030" spans="1:3" x14ac:dyDescent="0.25">
      <c r="A1030" s="77"/>
      <c r="B1030" s="77"/>
      <c r="C1030" s="75"/>
    </row>
    <row r="1031" spans="1:3" x14ac:dyDescent="0.25">
      <c r="A1031" s="77"/>
      <c r="B1031" s="77"/>
      <c r="C1031" s="75"/>
    </row>
    <row r="1032" spans="1:3" x14ac:dyDescent="0.25">
      <c r="A1032" s="77"/>
      <c r="B1032" s="77"/>
      <c r="C1032" s="75"/>
    </row>
    <row r="1033" spans="1:3" x14ac:dyDescent="0.25">
      <c r="A1033" s="77"/>
      <c r="B1033" s="77"/>
      <c r="C1033" s="75"/>
    </row>
    <row r="1034" spans="1:3" x14ac:dyDescent="0.25">
      <c r="A1034" s="77"/>
      <c r="B1034" s="77"/>
      <c r="C1034" s="75"/>
    </row>
    <row r="1035" spans="1:3" x14ac:dyDescent="0.25">
      <c r="A1035" s="77"/>
      <c r="B1035" s="77"/>
      <c r="C1035" s="75"/>
    </row>
    <row r="1036" spans="1:3" x14ac:dyDescent="0.25">
      <c r="A1036" s="77"/>
      <c r="B1036" s="77"/>
      <c r="C1036" s="75"/>
    </row>
    <row r="1037" spans="1:3" x14ac:dyDescent="0.25">
      <c r="A1037" s="77"/>
      <c r="B1037" s="77"/>
      <c r="C1037" s="75"/>
    </row>
    <row r="1038" spans="1:3" x14ac:dyDescent="0.25">
      <c r="A1038" s="77"/>
      <c r="B1038" s="77"/>
      <c r="C1038" s="75"/>
    </row>
    <row r="1039" spans="1:3" x14ac:dyDescent="0.25">
      <c r="A1039" s="77"/>
      <c r="B1039" s="77"/>
      <c r="C1039" s="75"/>
    </row>
    <row r="1040" spans="1:3" x14ac:dyDescent="0.25">
      <c r="A1040" s="77"/>
      <c r="B1040" s="77"/>
      <c r="C1040" s="75"/>
    </row>
    <row r="1041" spans="1:3" x14ac:dyDescent="0.25">
      <c r="A1041" s="77"/>
      <c r="B1041" s="77"/>
      <c r="C1041" s="75"/>
    </row>
    <row r="1042" spans="1:3" x14ac:dyDescent="0.25">
      <c r="A1042" s="77"/>
      <c r="B1042" s="77"/>
      <c r="C1042" s="75"/>
    </row>
    <row r="1043" spans="1:3" x14ac:dyDescent="0.25">
      <c r="A1043" s="77"/>
      <c r="B1043" s="77"/>
      <c r="C1043" s="75"/>
    </row>
    <row r="1044" spans="1:3" x14ac:dyDescent="0.25">
      <c r="A1044" s="77"/>
      <c r="B1044" s="77"/>
      <c r="C1044" s="75"/>
    </row>
    <row r="1045" spans="1:3" x14ac:dyDescent="0.25">
      <c r="A1045" s="77"/>
      <c r="B1045" s="77"/>
      <c r="C1045" s="75"/>
    </row>
    <row r="1046" spans="1:3" x14ac:dyDescent="0.25">
      <c r="A1046" s="77"/>
      <c r="B1046" s="77"/>
      <c r="C1046" s="75"/>
    </row>
    <row r="1047" spans="1:3" x14ac:dyDescent="0.25">
      <c r="A1047" s="77"/>
      <c r="B1047" s="77"/>
      <c r="C1047" s="75"/>
    </row>
    <row r="1048" spans="1:3" x14ac:dyDescent="0.25">
      <c r="A1048" s="77"/>
      <c r="B1048" s="77"/>
      <c r="C1048" s="75"/>
    </row>
    <row r="1049" spans="1:3" x14ac:dyDescent="0.25">
      <c r="A1049" s="77"/>
      <c r="B1049" s="77"/>
      <c r="C1049" s="75"/>
    </row>
    <row r="1050" spans="1:3" x14ac:dyDescent="0.25">
      <c r="A1050" s="77"/>
      <c r="B1050" s="77"/>
      <c r="C1050" s="75"/>
    </row>
    <row r="1051" spans="1:3" x14ac:dyDescent="0.25">
      <c r="A1051" s="77"/>
      <c r="B1051" s="77"/>
      <c r="C1051" s="75"/>
    </row>
    <row r="1052" spans="1:3" x14ac:dyDescent="0.25">
      <c r="A1052" s="77"/>
      <c r="B1052" s="77"/>
      <c r="C1052" s="75"/>
    </row>
    <row r="1053" spans="1:3" x14ac:dyDescent="0.25">
      <c r="A1053" s="77"/>
      <c r="B1053" s="77"/>
      <c r="C1053" s="75"/>
    </row>
    <row r="1054" spans="1:3" x14ac:dyDescent="0.25">
      <c r="A1054" s="77"/>
      <c r="B1054" s="77"/>
      <c r="C1054" s="75"/>
    </row>
    <row r="1055" spans="1:3" x14ac:dyDescent="0.25">
      <c r="A1055" s="77"/>
      <c r="B1055" s="77"/>
      <c r="C1055" s="75"/>
    </row>
    <row r="1056" spans="1:3" x14ac:dyDescent="0.25">
      <c r="A1056" s="77"/>
      <c r="B1056" s="77"/>
      <c r="C1056" s="75"/>
    </row>
    <row r="1057" spans="1:3" x14ac:dyDescent="0.25">
      <c r="A1057" s="77"/>
      <c r="B1057" s="77"/>
      <c r="C1057" s="75"/>
    </row>
    <row r="1058" spans="1:3" x14ac:dyDescent="0.25">
      <c r="A1058" s="77"/>
      <c r="B1058" s="77"/>
      <c r="C1058" s="75"/>
    </row>
    <row r="1059" spans="1:3" x14ac:dyDescent="0.25">
      <c r="A1059" s="77"/>
      <c r="B1059" s="77"/>
      <c r="C1059" s="75"/>
    </row>
    <row r="1060" spans="1:3" x14ac:dyDescent="0.25">
      <c r="A1060" s="77"/>
      <c r="B1060" s="77"/>
      <c r="C1060" s="75"/>
    </row>
    <row r="1061" spans="1:3" x14ac:dyDescent="0.25">
      <c r="A1061" s="77"/>
      <c r="B1061" s="77"/>
      <c r="C1061" s="75"/>
    </row>
    <row r="1062" spans="1:3" x14ac:dyDescent="0.25">
      <c r="A1062" s="77"/>
      <c r="B1062" s="77"/>
      <c r="C1062" s="75"/>
    </row>
    <row r="1063" spans="1:3" x14ac:dyDescent="0.25">
      <c r="A1063" s="77"/>
      <c r="B1063" s="77"/>
      <c r="C1063" s="75"/>
    </row>
    <row r="1064" spans="1:3" x14ac:dyDescent="0.25">
      <c r="A1064" s="77"/>
      <c r="B1064" s="77"/>
      <c r="C1064" s="75"/>
    </row>
    <row r="1065" spans="1:3" x14ac:dyDescent="0.25">
      <c r="A1065" s="77"/>
      <c r="B1065" s="77"/>
      <c r="C1065" s="75"/>
    </row>
    <row r="1066" spans="1:3" x14ac:dyDescent="0.25">
      <c r="A1066" s="77"/>
      <c r="B1066" s="77"/>
      <c r="C1066" s="75"/>
    </row>
    <row r="1067" spans="1:3" x14ac:dyDescent="0.25">
      <c r="A1067" s="77"/>
      <c r="B1067" s="77"/>
      <c r="C1067" s="75"/>
    </row>
    <row r="1068" spans="1:3" x14ac:dyDescent="0.25">
      <c r="A1068" s="77"/>
      <c r="B1068" s="77"/>
      <c r="C1068" s="75"/>
    </row>
    <row r="1069" spans="1:3" x14ac:dyDescent="0.25">
      <c r="A1069" s="77"/>
      <c r="B1069" s="77"/>
      <c r="C1069" s="75"/>
    </row>
    <row r="1070" spans="1:3" x14ac:dyDescent="0.25">
      <c r="A1070" s="77"/>
      <c r="B1070" s="77"/>
      <c r="C1070" s="75"/>
    </row>
    <row r="1071" spans="1:3" x14ac:dyDescent="0.25">
      <c r="A1071" s="77"/>
      <c r="B1071" s="77"/>
      <c r="C1071" s="75"/>
    </row>
    <row r="1072" spans="1:3" x14ac:dyDescent="0.25">
      <c r="A1072" s="77"/>
      <c r="B1072" s="77"/>
      <c r="C1072" s="75"/>
    </row>
    <row r="1073" spans="1:3" x14ac:dyDescent="0.25">
      <c r="A1073" s="77"/>
      <c r="B1073" s="77"/>
      <c r="C1073" s="75"/>
    </row>
    <row r="1074" spans="1:3" x14ac:dyDescent="0.25">
      <c r="A1074" s="77"/>
      <c r="B1074" s="77"/>
      <c r="C1074" s="75"/>
    </row>
    <row r="1075" spans="1:3" x14ac:dyDescent="0.25">
      <c r="A1075" s="77"/>
      <c r="B1075" s="77"/>
      <c r="C1075" s="75"/>
    </row>
    <row r="1076" spans="1:3" x14ac:dyDescent="0.25">
      <c r="A1076" s="77"/>
      <c r="B1076" s="77"/>
      <c r="C1076" s="75"/>
    </row>
    <row r="1077" spans="1:3" x14ac:dyDescent="0.25">
      <c r="A1077" s="77"/>
      <c r="B1077" s="77"/>
      <c r="C1077" s="75"/>
    </row>
    <row r="1078" spans="1:3" x14ac:dyDescent="0.25">
      <c r="A1078" s="77"/>
      <c r="B1078" s="77"/>
      <c r="C1078" s="75"/>
    </row>
    <row r="1079" spans="1:3" x14ac:dyDescent="0.25">
      <c r="A1079" s="77"/>
      <c r="B1079" s="77"/>
      <c r="C1079" s="75"/>
    </row>
    <row r="1080" spans="1:3" x14ac:dyDescent="0.25">
      <c r="A1080" s="77"/>
      <c r="B1080" s="77"/>
      <c r="C1080" s="75"/>
    </row>
    <row r="1081" spans="1:3" x14ac:dyDescent="0.25">
      <c r="A1081" s="77"/>
      <c r="B1081" s="77"/>
      <c r="C1081" s="75"/>
    </row>
    <row r="1082" spans="1:3" x14ac:dyDescent="0.25">
      <c r="A1082" s="77"/>
      <c r="B1082" s="77"/>
      <c r="C1082" s="75"/>
    </row>
    <row r="1083" spans="1:3" x14ac:dyDescent="0.25">
      <c r="A1083" s="77"/>
      <c r="B1083" s="77"/>
      <c r="C1083" s="75"/>
    </row>
    <row r="1084" spans="1:3" x14ac:dyDescent="0.25">
      <c r="A1084" s="77"/>
      <c r="B1084" s="77"/>
      <c r="C1084" s="75"/>
    </row>
    <row r="1085" spans="1:3" x14ac:dyDescent="0.25">
      <c r="A1085" s="77"/>
      <c r="B1085" s="77"/>
      <c r="C1085" s="75"/>
    </row>
    <row r="1086" spans="1:3" x14ac:dyDescent="0.25">
      <c r="A1086" s="77"/>
      <c r="B1086" s="77"/>
      <c r="C1086" s="75"/>
    </row>
    <row r="1087" spans="1:3" x14ac:dyDescent="0.25">
      <c r="A1087" s="77"/>
      <c r="B1087" s="77"/>
      <c r="C1087" s="75"/>
    </row>
    <row r="1088" spans="1:3" x14ac:dyDescent="0.25">
      <c r="A1088" s="77"/>
      <c r="B1088" s="77"/>
      <c r="C1088" s="75"/>
    </row>
    <row r="1089" spans="1:3" x14ac:dyDescent="0.25">
      <c r="A1089" s="77"/>
      <c r="B1089" s="77"/>
      <c r="C1089" s="75"/>
    </row>
    <row r="1090" spans="1:3" x14ac:dyDescent="0.25">
      <c r="A1090" s="77"/>
      <c r="B1090" s="77"/>
      <c r="C1090" s="75"/>
    </row>
    <row r="1091" spans="1:3" x14ac:dyDescent="0.25">
      <c r="A1091" s="77"/>
      <c r="B1091" s="77"/>
      <c r="C1091" s="75"/>
    </row>
    <row r="1092" spans="1:3" x14ac:dyDescent="0.25">
      <c r="A1092" s="77"/>
      <c r="B1092" s="77"/>
      <c r="C1092" s="75"/>
    </row>
    <row r="1093" spans="1:3" x14ac:dyDescent="0.25">
      <c r="A1093" s="77"/>
      <c r="B1093" s="77"/>
      <c r="C1093" s="75"/>
    </row>
    <row r="1094" spans="1:3" x14ac:dyDescent="0.25">
      <c r="A1094" s="77"/>
      <c r="B1094" s="77"/>
      <c r="C1094" s="75"/>
    </row>
    <row r="1095" spans="1:3" x14ac:dyDescent="0.25">
      <c r="A1095" s="77"/>
      <c r="B1095" s="77"/>
      <c r="C1095" s="75"/>
    </row>
    <row r="1096" spans="1:3" x14ac:dyDescent="0.25">
      <c r="A1096" s="77"/>
      <c r="B1096" s="77"/>
      <c r="C1096" s="75"/>
    </row>
    <row r="1097" spans="1:3" x14ac:dyDescent="0.25">
      <c r="A1097" s="77"/>
      <c r="B1097" s="77"/>
      <c r="C1097" s="75"/>
    </row>
    <row r="1098" spans="1:3" x14ac:dyDescent="0.25">
      <c r="A1098" s="77"/>
      <c r="B1098" s="77"/>
      <c r="C1098" s="75"/>
    </row>
    <row r="1099" spans="1:3" x14ac:dyDescent="0.25">
      <c r="A1099" s="77"/>
      <c r="B1099" s="77"/>
      <c r="C1099" s="75"/>
    </row>
    <row r="1100" spans="1:3" x14ac:dyDescent="0.25">
      <c r="A1100" s="77"/>
      <c r="B1100" s="77"/>
      <c r="C1100" s="75"/>
    </row>
    <row r="1101" spans="1:3" x14ac:dyDescent="0.25">
      <c r="A1101" s="77"/>
      <c r="B1101" s="77"/>
      <c r="C1101" s="75"/>
    </row>
    <row r="1102" spans="1:3" x14ac:dyDescent="0.25">
      <c r="A1102" s="77"/>
      <c r="B1102" s="77"/>
      <c r="C1102" s="75"/>
    </row>
    <row r="1103" spans="1:3" x14ac:dyDescent="0.25">
      <c r="A1103" s="77"/>
      <c r="B1103" s="77"/>
      <c r="C1103" s="75"/>
    </row>
    <row r="1104" spans="1:3" x14ac:dyDescent="0.25">
      <c r="A1104" s="77"/>
      <c r="B1104" s="77"/>
      <c r="C1104" s="75"/>
    </row>
    <row r="1105" spans="1:3" x14ac:dyDescent="0.25">
      <c r="A1105" s="77"/>
      <c r="B1105" s="77"/>
      <c r="C1105" s="75"/>
    </row>
    <row r="1106" spans="1:3" x14ac:dyDescent="0.25">
      <c r="A1106" s="77"/>
      <c r="B1106" s="77"/>
      <c r="C1106" s="75"/>
    </row>
    <row r="1107" spans="1:3" x14ac:dyDescent="0.25">
      <c r="A1107" s="77"/>
      <c r="B1107" s="77"/>
      <c r="C1107" s="75"/>
    </row>
    <row r="1108" spans="1:3" x14ac:dyDescent="0.25">
      <c r="A1108" s="77"/>
      <c r="B1108" s="77"/>
      <c r="C1108" s="75"/>
    </row>
    <row r="1109" spans="1:3" x14ac:dyDescent="0.25">
      <c r="A1109" s="77"/>
      <c r="B1109" s="77"/>
      <c r="C1109" s="75"/>
    </row>
    <row r="1110" spans="1:3" x14ac:dyDescent="0.25">
      <c r="A1110" s="77"/>
      <c r="B1110" s="77"/>
      <c r="C1110" s="75"/>
    </row>
    <row r="1111" spans="1:3" x14ac:dyDescent="0.25">
      <c r="A1111" s="77"/>
      <c r="B1111" s="77"/>
      <c r="C1111" s="75"/>
    </row>
    <row r="1112" spans="1:3" x14ac:dyDescent="0.25">
      <c r="A1112" s="77"/>
      <c r="B1112" s="77"/>
      <c r="C1112" s="75"/>
    </row>
    <row r="1113" spans="1:3" x14ac:dyDescent="0.25">
      <c r="A1113" s="77"/>
      <c r="B1113" s="77"/>
      <c r="C1113" s="75"/>
    </row>
    <row r="1114" spans="1:3" x14ac:dyDescent="0.25">
      <c r="A1114" s="77"/>
      <c r="B1114" s="77"/>
      <c r="C1114" s="75"/>
    </row>
    <row r="1115" spans="1:3" x14ac:dyDescent="0.25">
      <c r="A1115" s="77"/>
      <c r="B1115" s="77"/>
      <c r="C1115" s="75"/>
    </row>
    <row r="1116" spans="1:3" x14ac:dyDescent="0.25">
      <c r="A1116" s="77"/>
      <c r="B1116" s="77"/>
      <c r="C1116" s="75"/>
    </row>
    <row r="1117" spans="1:3" x14ac:dyDescent="0.25">
      <c r="A1117" s="77"/>
      <c r="B1117" s="77"/>
      <c r="C1117" s="75"/>
    </row>
    <row r="1118" spans="1:3" x14ac:dyDescent="0.25">
      <c r="A1118" s="77"/>
      <c r="B1118" s="77"/>
      <c r="C1118" s="75"/>
    </row>
    <row r="1119" spans="1:3" x14ac:dyDescent="0.25">
      <c r="A1119" s="77"/>
      <c r="B1119" s="77"/>
      <c r="C1119" s="75"/>
    </row>
    <row r="1120" spans="1:3" x14ac:dyDescent="0.25">
      <c r="A1120" s="77"/>
      <c r="B1120" s="77"/>
      <c r="C1120" s="75"/>
    </row>
    <row r="1121" spans="1:3" x14ac:dyDescent="0.25">
      <c r="A1121" s="77"/>
      <c r="B1121" s="77"/>
      <c r="C1121" s="75"/>
    </row>
    <row r="1122" spans="1:3" x14ac:dyDescent="0.25">
      <c r="A1122" s="77"/>
      <c r="B1122" s="77"/>
      <c r="C1122" s="75"/>
    </row>
    <row r="1123" spans="1:3" x14ac:dyDescent="0.25">
      <c r="A1123" s="77"/>
      <c r="B1123" s="77"/>
      <c r="C1123" s="75"/>
    </row>
    <row r="1124" spans="1:3" x14ac:dyDescent="0.25">
      <c r="A1124" s="77"/>
      <c r="B1124" s="77"/>
      <c r="C1124" s="75"/>
    </row>
    <row r="1125" spans="1:3" x14ac:dyDescent="0.25">
      <c r="A1125" s="77"/>
      <c r="B1125" s="77"/>
      <c r="C1125" s="75"/>
    </row>
    <row r="1126" spans="1:3" x14ac:dyDescent="0.25">
      <c r="A1126" s="77"/>
      <c r="B1126" s="77"/>
      <c r="C1126" s="75"/>
    </row>
    <row r="1127" spans="1:3" x14ac:dyDescent="0.25">
      <c r="A1127" s="77"/>
      <c r="B1127" s="77"/>
      <c r="C1127" s="75"/>
    </row>
    <row r="1128" spans="1:3" x14ac:dyDescent="0.25">
      <c r="A1128" s="77"/>
      <c r="B1128" s="77"/>
      <c r="C1128" s="75"/>
    </row>
    <row r="1129" spans="1:3" x14ac:dyDescent="0.25">
      <c r="A1129" s="77"/>
      <c r="B1129" s="77"/>
      <c r="C1129" s="75"/>
    </row>
    <row r="1130" spans="1:3" x14ac:dyDescent="0.25">
      <c r="A1130" s="77"/>
      <c r="B1130" s="77"/>
      <c r="C1130" s="75"/>
    </row>
    <row r="1131" spans="1:3" x14ac:dyDescent="0.25">
      <c r="A1131" s="77"/>
      <c r="B1131" s="77"/>
      <c r="C1131" s="75"/>
    </row>
    <row r="1132" spans="1:3" x14ac:dyDescent="0.25">
      <c r="A1132" s="77"/>
      <c r="B1132" s="77"/>
      <c r="C1132" s="75"/>
    </row>
    <row r="1133" spans="1:3" x14ac:dyDescent="0.25">
      <c r="A1133" s="77"/>
      <c r="B1133" s="77"/>
      <c r="C1133" s="75"/>
    </row>
    <row r="1134" spans="1:3" x14ac:dyDescent="0.25">
      <c r="A1134" s="77"/>
      <c r="B1134" s="77"/>
      <c r="C1134" s="75"/>
    </row>
    <row r="1135" spans="1:3" x14ac:dyDescent="0.25">
      <c r="A1135" s="77"/>
      <c r="B1135" s="77"/>
      <c r="C1135" s="75"/>
    </row>
    <row r="1136" spans="1:3" x14ac:dyDescent="0.25">
      <c r="A1136" s="77"/>
      <c r="B1136" s="77"/>
      <c r="C1136" s="75"/>
    </row>
    <row r="1137" spans="1:3" x14ac:dyDescent="0.25">
      <c r="A1137" s="77"/>
      <c r="B1137" s="77"/>
      <c r="C1137" s="75"/>
    </row>
    <row r="1138" spans="1:3" x14ac:dyDescent="0.25">
      <c r="A1138" s="77"/>
      <c r="B1138" s="77"/>
      <c r="C1138" s="75"/>
    </row>
    <row r="1139" spans="1:3" x14ac:dyDescent="0.25">
      <c r="A1139" s="77"/>
      <c r="B1139" s="77"/>
      <c r="C1139" s="75"/>
    </row>
    <row r="1140" spans="1:3" x14ac:dyDescent="0.25">
      <c r="A1140" s="77"/>
      <c r="B1140" s="77"/>
      <c r="C1140" s="75"/>
    </row>
    <row r="1141" spans="1:3" x14ac:dyDescent="0.25">
      <c r="A1141" s="77"/>
      <c r="B1141" s="77"/>
      <c r="C1141" s="75"/>
    </row>
    <row r="1142" spans="1:3" x14ac:dyDescent="0.25">
      <c r="A1142" s="77"/>
      <c r="B1142" s="77"/>
      <c r="C1142" s="75"/>
    </row>
    <row r="1143" spans="1:3" x14ac:dyDescent="0.25">
      <c r="A1143" s="77"/>
      <c r="B1143" s="77"/>
      <c r="C1143" s="75"/>
    </row>
    <row r="1144" spans="1:3" x14ac:dyDescent="0.25">
      <c r="A1144" s="77"/>
      <c r="B1144" s="77"/>
      <c r="C1144" s="75"/>
    </row>
    <row r="1145" spans="1:3" x14ac:dyDescent="0.25">
      <c r="A1145" s="77"/>
      <c r="B1145" s="77"/>
      <c r="C1145" s="75"/>
    </row>
    <row r="1146" spans="1:3" x14ac:dyDescent="0.25">
      <c r="A1146" s="77"/>
      <c r="B1146" s="77"/>
      <c r="C1146" s="75"/>
    </row>
    <row r="1147" spans="1:3" x14ac:dyDescent="0.25">
      <c r="A1147" s="77"/>
      <c r="B1147" s="77"/>
      <c r="C1147" s="75"/>
    </row>
    <row r="1148" spans="1:3" x14ac:dyDescent="0.25">
      <c r="A1148" s="77"/>
      <c r="B1148" s="77"/>
      <c r="C1148" s="75"/>
    </row>
    <row r="1149" spans="1:3" x14ac:dyDescent="0.25">
      <c r="A1149" s="77"/>
      <c r="B1149" s="77"/>
      <c r="C1149" s="75"/>
    </row>
    <row r="1150" spans="1:3" x14ac:dyDescent="0.25">
      <c r="A1150" s="77"/>
      <c r="B1150" s="77"/>
      <c r="C1150" s="75"/>
    </row>
    <row r="1151" spans="1:3" x14ac:dyDescent="0.25">
      <c r="A1151" s="77"/>
      <c r="B1151" s="77"/>
      <c r="C1151" s="75"/>
    </row>
    <row r="1152" spans="1:3" x14ac:dyDescent="0.25">
      <c r="A1152" s="77"/>
      <c r="B1152" s="77"/>
      <c r="C1152" s="75"/>
    </row>
    <row r="1153" spans="1:3" x14ac:dyDescent="0.25">
      <c r="A1153" s="77"/>
      <c r="B1153" s="77"/>
      <c r="C1153" s="75"/>
    </row>
    <row r="1154" spans="1:3" x14ac:dyDescent="0.25">
      <c r="A1154" s="77"/>
      <c r="B1154" s="77"/>
      <c r="C1154" s="75"/>
    </row>
    <row r="1155" spans="1:3" x14ac:dyDescent="0.25">
      <c r="A1155" s="77"/>
      <c r="B1155" s="77"/>
      <c r="C1155" s="75"/>
    </row>
    <row r="1156" spans="1:3" x14ac:dyDescent="0.25">
      <c r="A1156" s="77"/>
      <c r="B1156" s="77"/>
      <c r="C1156" s="75"/>
    </row>
    <row r="1157" spans="1:3" x14ac:dyDescent="0.25">
      <c r="A1157" s="77"/>
      <c r="B1157" s="77"/>
      <c r="C1157" s="75"/>
    </row>
    <row r="1158" spans="1:3" x14ac:dyDescent="0.25">
      <c r="A1158" s="77"/>
      <c r="B1158" s="77"/>
      <c r="C1158" s="75"/>
    </row>
    <row r="1159" spans="1:3" x14ac:dyDescent="0.25">
      <c r="A1159" s="77"/>
      <c r="B1159" s="77"/>
      <c r="C1159" s="75"/>
    </row>
    <row r="1160" spans="1:3" x14ac:dyDescent="0.25">
      <c r="A1160" s="77"/>
      <c r="B1160" s="77"/>
      <c r="C1160" s="75"/>
    </row>
    <row r="1161" spans="1:3" x14ac:dyDescent="0.25">
      <c r="A1161" s="77"/>
      <c r="B1161" s="77"/>
      <c r="C1161" s="75"/>
    </row>
    <row r="1162" spans="1:3" x14ac:dyDescent="0.25">
      <c r="A1162" s="77"/>
      <c r="B1162" s="77"/>
      <c r="C1162" s="75"/>
    </row>
    <row r="1163" spans="1:3" x14ac:dyDescent="0.25">
      <c r="A1163" s="77"/>
      <c r="B1163" s="77"/>
      <c r="C1163" s="75"/>
    </row>
    <row r="1164" spans="1:3" x14ac:dyDescent="0.25">
      <c r="A1164" s="77"/>
      <c r="B1164" s="77"/>
      <c r="C1164" s="75"/>
    </row>
    <row r="1165" spans="1:3" x14ac:dyDescent="0.25">
      <c r="A1165" s="77"/>
      <c r="B1165" s="77"/>
      <c r="C1165" s="75"/>
    </row>
    <row r="1166" spans="1:3" x14ac:dyDescent="0.25">
      <c r="A1166" s="77"/>
      <c r="B1166" s="77"/>
      <c r="C1166" s="75"/>
    </row>
    <row r="1167" spans="1:3" x14ac:dyDescent="0.25">
      <c r="A1167" s="77"/>
      <c r="B1167" s="77"/>
      <c r="C1167" s="75"/>
    </row>
    <row r="1168" spans="1:3" x14ac:dyDescent="0.25">
      <c r="A1168" s="77"/>
      <c r="B1168" s="77"/>
      <c r="C1168" s="75"/>
    </row>
    <row r="1169" spans="1:3" x14ac:dyDescent="0.25">
      <c r="A1169" s="77"/>
      <c r="B1169" s="77"/>
      <c r="C1169" s="75"/>
    </row>
    <row r="1170" spans="1:3" x14ac:dyDescent="0.25">
      <c r="A1170" s="77"/>
      <c r="B1170" s="77"/>
      <c r="C1170" s="75"/>
    </row>
    <row r="1171" spans="1:3" x14ac:dyDescent="0.25">
      <c r="A1171" s="77"/>
      <c r="B1171" s="77"/>
      <c r="C1171" s="75"/>
    </row>
    <row r="1172" spans="1:3" x14ac:dyDescent="0.25">
      <c r="A1172" s="77"/>
      <c r="B1172" s="77"/>
      <c r="C1172" s="75"/>
    </row>
    <row r="1173" spans="1:3" x14ac:dyDescent="0.25">
      <c r="A1173" s="77"/>
      <c r="B1173" s="77"/>
      <c r="C1173" s="75"/>
    </row>
    <row r="1174" spans="1:3" x14ac:dyDescent="0.25">
      <c r="A1174" s="77"/>
      <c r="B1174" s="77"/>
      <c r="C1174" s="75"/>
    </row>
    <row r="1175" spans="1:3" x14ac:dyDescent="0.25">
      <c r="A1175" s="77"/>
      <c r="B1175" s="77"/>
      <c r="C1175" s="75"/>
    </row>
    <row r="1176" spans="1:3" x14ac:dyDescent="0.25">
      <c r="A1176" s="77"/>
      <c r="B1176" s="77"/>
      <c r="C1176" s="75"/>
    </row>
    <row r="1177" spans="1:3" x14ac:dyDescent="0.25">
      <c r="A1177" s="77"/>
      <c r="B1177" s="77"/>
      <c r="C1177" s="75"/>
    </row>
    <row r="1178" spans="1:3" x14ac:dyDescent="0.25">
      <c r="A1178" s="77"/>
      <c r="B1178" s="77"/>
      <c r="C1178" s="75"/>
    </row>
    <row r="1179" spans="1:3" x14ac:dyDescent="0.25">
      <c r="A1179" s="77"/>
      <c r="B1179" s="77"/>
      <c r="C1179" s="75"/>
    </row>
    <row r="1180" spans="1:3" x14ac:dyDescent="0.25">
      <c r="A1180" s="77"/>
      <c r="B1180" s="77"/>
      <c r="C1180" s="75"/>
    </row>
    <row r="1181" spans="1:3" x14ac:dyDescent="0.25">
      <c r="A1181" s="77"/>
      <c r="B1181" s="77"/>
      <c r="C1181" s="75"/>
    </row>
    <row r="1182" spans="1:3" x14ac:dyDescent="0.25">
      <c r="A1182" s="77"/>
      <c r="B1182" s="77"/>
      <c r="C1182" s="75"/>
    </row>
    <row r="1183" spans="1:3" x14ac:dyDescent="0.25">
      <c r="A1183" s="77"/>
      <c r="B1183" s="77"/>
      <c r="C1183" s="75"/>
    </row>
    <row r="1184" spans="1:3" x14ac:dyDescent="0.25">
      <c r="A1184" s="77"/>
      <c r="B1184" s="77"/>
      <c r="C1184" s="75"/>
    </row>
    <row r="1185" spans="1:3" x14ac:dyDescent="0.25">
      <c r="A1185" s="77"/>
      <c r="B1185" s="77"/>
      <c r="C1185" s="75"/>
    </row>
    <row r="1186" spans="1:3" x14ac:dyDescent="0.25">
      <c r="A1186" s="77"/>
      <c r="B1186" s="77"/>
      <c r="C1186" s="75"/>
    </row>
    <row r="1187" spans="1:3" x14ac:dyDescent="0.25">
      <c r="A1187" s="77"/>
      <c r="B1187" s="77"/>
      <c r="C1187" s="75"/>
    </row>
    <row r="1188" spans="1:3" x14ac:dyDescent="0.25">
      <c r="A1188" s="77"/>
      <c r="B1188" s="77"/>
      <c r="C1188" s="75"/>
    </row>
    <row r="1189" spans="1:3" x14ac:dyDescent="0.25">
      <c r="A1189" s="77"/>
      <c r="B1189" s="77"/>
      <c r="C1189" s="75"/>
    </row>
    <row r="1190" spans="1:3" x14ac:dyDescent="0.25">
      <c r="A1190" s="77"/>
      <c r="B1190" s="77"/>
      <c r="C1190" s="75"/>
    </row>
    <row r="1191" spans="1:3" x14ac:dyDescent="0.25">
      <c r="A1191" s="77"/>
      <c r="B1191" s="77"/>
      <c r="C1191" s="75"/>
    </row>
    <row r="1192" spans="1:3" x14ac:dyDescent="0.25">
      <c r="A1192" s="77"/>
      <c r="B1192" s="77"/>
      <c r="C1192" s="75"/>
    </row>
    <row r="1193" spans="1:3" x14ac:dyDescent="0.25">
      <c r="A1193" s="77"/>
      <c r="B1193" s="77"/>
      <c r="C1193" s="75"/>
    </row>
    <row r="1194" spans="1:3" x14ac:dyDescent="0.25">
      <c r="A1194" s="77"/>
      <c r="B1194" s="77"/>
      <c r="C1194" s="75"/>
    </row>
    <row r="1195" spans="1:3" x14ac:dyDescent="0.25">
      <c r="A1195" s="77"/>
      <c r="B1195" s="77"/>
      <c r="C1195" s="75"/>
    </row>
    <row r="1196" spans="1:3" x14ac:dyDescent="0.25">
      <c r="A1196" s="77"/>
      <c r="B1196" s="77"/>
      <c r="C1196" s="75"/>
    </row>
    <row r="1197" spans="1:3" x14ac:dyDescent="0.25">
      <c r="A1197" s="77"/>
      <c r="B1197" s="77"/>
      <c r="C1197" s="75"/>
    </row>
    <row r="1198" spans="1:3" x14ac:dyDescent="0.25">
      <c r="A1198" s="77"/>
      <c r="B1198" s="77"/>
      <c r="C1198" s="75"/>
    </row>
    <row r="1199" spans="1:3" x14ac:dyDescent="0.25">
      <c r="A1199" s="77"/>
      <c r="B1199" s="77"/>
      <c r="C1199" s="75"/>
    </row>
    <row r="1200" spans="1:3" x14ac:dyDescent="0.25">
      <c r="C1200"/>
    </row>
    <row r="1201" spans="1:2" customFormat="1" x14ac:dyDescent="0.25">
      <c r="A1201" s="79"/>
      <c r="B1201" s="79"/>
    </row>
    <row r="1202" spans="1:2" customFormat="1" x14ac:dyDescent="0.25">
      <c r="A1202" s="79"/>
      <c r="B1202" s="79"/>
    </row>
    <row r="1203" spans="1:2" customFormat="1" x14ac:dyDescent="0.25">
      <c r="A1203" s="79"/>
      <c r="B1203" s="79"/>
    </row>
    <row r="1204" spans="1:2" customFormat="1" x14ac:dyDescent="0.25">
      <c r="A1204" s="79"/>
      <c r="B1204" s="79"/>
    </row>
    <row r="1205" spans="1:2" customFormat="1" x14ac:dyDescent="0.25">
      <c r="A1205" s="79"/>
      <c r="B1205" s="79"/>
    </row>
    <row r="1206" spans="1:2" customFormat="1" x14ac:dyDescent="0.25">
      <c r="A1206" s="79"/>
      <c r="B1206" s="79"/>
    </row>
    <row r="1207" spans="1:2" customFormat="1" x14ac:dyDescent="0.25">
      <c r="A1207" s="79"/>
      <c r="B1207" s="79"/>
    </row>
    <row r="1208" spans="1:2" customFormat="1" x14ac:dyDescent="0.25">
      <c r="A1208" s="79"/>
      <c r="B1208" s="79"/>
    </row>
    <row r="1209" spans="1:2" customFormat="1" x14ac:dyDescent="0.25">
      <c r="A1209" s="79"/>
      <c r="B1209" s="79"/>
    </row>
    <row r="1210" spans="1:2" customFormat="1" x14ac:dyDescent="0.25">
      <c r="A1210" s="79"/>
      <c r="B1210" s="79"/>
    </row>
    <row r="1211" spans="1:2" customFormat="1" x14ac:dyDescent="0.25">
      <c r="A1211" s="79"/>
      <c r="B1211" s="79"/>
    </row>
    <row r="1212" spans="1:2" customFormat="1" x14ac:dyDescent="0.25">
      <c r="A1212" s="79"/>
      <c r="B1212" s="79"/>
    </row>
    <row r="1213" spans="1:2" customFormat="1" x14ac:dyDescent="0.25">
      <c r="A1213" s="79"/>
      <c r="B1213" s="79"/>
    </row>
    <row r="1214" spans="1:2" customFormat="1" x14ac:dyDescent="0.25">
      <c r="A1214" s="79"/>
      <c r="B1214" s="79"/>
    </row>
    <row r="1215" spans="1:2" customFormat="1" x14ac:dyDescent="0.25">
      <c r="A1215" s="79"/>
      <c r="B1215" s="79"/>
    </row>
    <row r="1216" spans="1:2" customFormat="1" x14ac:dyDescent="0.25">
      <c r="A1216" s="79"/>
      <c r="B1216" s="79"/>
    </row>
    <row r="1217" spans="1:2" customFormat="1" x14ac:dyDescent="0.25">
      <c r="A1217" s="79"/>
      <c r="B1217" s="79"/>
    </row>
    <row r="1218" spans="1:2" customFormat="1" x14ac:dyDescent="0.25">
      <c r="A1218" s="79"/>
      <c r="B1218" s="79"/>
    </row>
    <row r="1219" spans="1:2" customFormat="1" x14ac:dyDescent="0.25">
      <c r="A1219" s="79"/>
      <c r="B1219" s="79"/>
    </row>
    <row r="1220" spans="1:2" customFormat="1" x14ac:dyDescent="0.25">
      <c r="A1220" s="79"/>
      <c r="B1220" s="79"/>
    </row>
    <row r="1221" spans="1:2" customFormat="1" x14ac:dyDescent="0.25">
      <c r="A1221" s="79"/>
      <c r="B1221" s="79"/>
    </row>
    <row r="1222" spans="1:2" customFormat="1" x14ac:dyDescent="0.25">
      <c r="A1222" s="79"/>
      <c r="B1222" s="79"/>
    </row>
    <row r="1223" spans="1:2" customFormat="1" x14ac:dyDescent="0.25">
      <c r="A1223" s="79"/>
      <c r="B1223" s="79"/>
    </row>
    <row r="1224" spans="1:2" customFormat="1" x14ac:dyDescent="0.25">
      <c r="A1224" s="79"/>
      <c r="B1224" s="79"/>
    </row>
    <row r="1225" spans="1:2" customFormat="1" x14ac:dyDescent="0.25">
      <c r="A1225" s="79"/>
      <c r="B1225" s="79"/>
    </row>
    <row r="1226" spans="1:2" customFormat="1" x14ac:dyDescent="0.25">
      <c r="A1226" s="79"/>
      <c r="B1226" s="79"/>
    </row>
    <row r="1227" spans="1:2" customFormat="1" x14ac:dyDescent="0.25">
      <c r="A1227" s="79"/>
      <c r="B1227" s="79"/>
    </row>
    <row r="1228" spans="1:2" customFormat="1" x14ac:dyDescent="0.25">
      <c r="A1228" s="79"/>
      <c r="B1228" s="79"/>
    </row>
    <row r="1229" spans="1:2" customFormat="1" x14ac:dyDescent="0.25">
      <c r="A1229" s="79"/>
      <c r="B1229" s="79"/>
    </row>
    <row r="1230" spans="1:2" customFormat="1" x14ac:dyDescent="0.25">
      <c r="A1230" s="79"/>
      <c r="B1230" s="79"/>
    </row>
    <row r="1231" spans="1:2" customFormat="1" x14ac:dyDescent="0.25">
      <c r="A1231" s="79"/>
      <c r="B1231" s="79"/>
    </row>
    <row r="1232" spans="1:2" customFormat="1" x14ac:dyDescent="0.25">
      <c r="A1232" s="79"/>
      <c r="B1232" s="79"/>
    </row>
    <row r="1233" spans="1:2" customFormat="1" x14ac:dyDescent="0.25">
      <c r="A1233" s="79"/>
      <c r="B1233" s="79"/>
    </row>
    <row r="1234" spans="1:2" customFormat="1" x14ac:dyDescent="0.25">
      <c r="A1234" s="79"/>
      <c r="B1234" s="79"/>
    </row>
    <row r="1235" spans="1:2" customFormat="1" x14ac:dyDescent="0.25">
      <c r="A1235" s="79"/>
      <c r="B1235" s="79"/>
    </row>
    <row r="1236" spans="1:2" customFormat="1" x14ac:dyDescent="0.25">
      <c r="A1236" s="79"/>
      <c r="B1236" s="79"/>
    </row>
    <row r="1237" spans="1:2" customFormat="1" x14ac:dyDescent="0.25">
      <c r="A1237" s="79"/>
      <c r="B1237" s="79"/>
    </row>
    <row r="1238" spans="1:2" customFormat="1" x14ac:dyDescent="0.25">
      <c r="A1238" s="79"/>
      <c r="B1238" s="79"/>
    </row>
    <row r="1239" spans="1:2" customFormat="1" x14ac:dyDescent="0.25">
      <c r="A1239" s="79"/>
      <c r="B1239" s="79"/>
    </row>
    <row r="1240" spans="1:2" customFormat="1" x14ac:dyDescent="0.25">
      <c r="A1240" s="79"/>
      <c r="B1240" s="79"/>
    </row>
    <row r="1241" spans="1:2" customFormat="1" x14ac:dyDescent="0.25">
      <c r="A1241" s="79"/>
      <c r="B1241" s="79"/>
    </row>
    <row r="1242" spans="1:2" customFormat="1" x14ac:dyDescent="0.25">
      <c r="A1242" s="79"/>
      <c r="B1242" s="79"/>
    </row>
    <row r="1243" spans="1:2" customFormat="1" x14ac:dyDescent="0.25">
      <c r="A1243" s="79"/>
      <c r="B1243" s="79"/>
    </row>
    <row r="1244" spans="1:2" customFormat="1" x14ac:dyDescent="0.25">
      <c r="A1244" s="79"/>
      <c r="B1244" s="79"/>
    </row>
    <row r="1245" spans="1:2" customFormat="1" x14ac:dyDescent="0.25">
      <c r="A1245" s="79"/>
      <c r="B1245" s="79"/>
    </row>
    <row r="1246" spans="1:2" customFormat="1" x14ac:dyDescent="0.25">
      <c r="A1246" s="79"/>
      <c r="B1246" s="79"/>
    </row>
    <row r="1247" spans="1:2" customFormat="1" x14ac:dyDescent="0.25">
      <c r="A1247" s="79"/>
      <c r="B1247" s="79"/>
    </row>
    <row r="1248" spans="1:2" customFormat="1" x14ac:dyDescent="0.25">
      <c r="A1248" s="79"/>
      <c r="B1248" s="79"/>
    </row>
    <row r="1249" spans="1:2" customFormat="1" x14ac:dyDescent="0.25">
      <c r="A1249" s="79"/>
      <c r="B1249" s="79"/>
    </row>
    <row r="1250" spans="1:2" customFormat="1" x14ac:dyDescent="0.25">
      <c r="A1250" s="79"/>
      <c r="B1250" s="79"/>
    </row>
    <row r="1251" spans="1:2" customFormat="1" x14ac:dyDescent="0.25">
      <c r="A1251" s="79"/>
      <c r="B1251" s="79"/>
    </row>
    <row r="1252" spans="1:2" customFormat="1" x14ac:dyDescent="0.25">
      <c r="A1252" s="79"/>
      <c r="B1252" s="79"/>
    </row>
    <row r="1253" spans="1:2" customFormat="1" x14ac:dyDescent="0.25">
      <c r="A1253" s="79"/>
      <c r="B1253" s="79"/>
    </row>
    <row r="1254" spans="1:2" customFormat="1" x14ac:dyDescent="0.25">
      <c r="A1254" s="79"/>
      <c r="B1254" s="79"/>
    </row>
    <row r="1255" spans="1:2" customFormat="1" x14ac:dyDescent="0.25">
      <c r="A1255" s="79"/>
      <c r="B1255" s="79"/>
    </row>
    <row r="1256" spans="1:2" customFormat="1" x14ac:dyDescent="0.25">
      <c r="A1256" s="79"/>
      <c r="B1256" s="79"/>
    </row>
    <row r="1257" spans="1:2" customFormat="1" x14ac:dyDescent="0.25">
      <c r="A1257" s="79"/>
      <c r="B1257" s="79"/>
    </row>
    <row r="1258" spans="1:2" customFormat="1" x14ac:dyDescent="0.25">
      <c r="A1258" s="79"/>
      <c r="B1258" s="79"/>
    </row>
    <row r="1259" spans="1:2" customFormat="1" x14ac:dyDescent="0.25">
      <c r="A1259" s="79"/>
      <c r="B1259" s="79"/>
    </row>
    <row r="1260" spans="1:2" customFormat="1" x14ac:dyDescent="0.25">
      <c r="A1260" s="79"/>
      <c r="B1260" s="79"/>
    </row>
    <row r="1261" spans="1:2" customFormat="1" x14ac:dyDescent="0.25">
      <c r="A1261" s="79"/>
      <c r="B1261" s="79"/>
    </row>
    <row r="1262" spans="1:2" customFormat="1" x14ac:dyDescent="0.25">
      <c r="A1262" s="79"/>
      <c r="B1262" s="79"/>
    </row>
    <row r="1263" spans="1:2" customFormat="1" x14ac:dyDescent="0.25">
      <c r="A1263" s="79"/>
      <c r="B1263" s="79"/>
    </row>
    <row r="1264" spans="1:2" customFormat="1" x14ac:dyDescent="0.25">
      <c r="A1264" s="79"/>
      <c r="B1264" s="79"/>
    </row>
    <row r="1265" spans="1:2" customFormat="1" x14ac:dyDescent="0.25">
      <c r="A1265" s="79"/>
      <c r="B1265" s="79"/>
    </row>
    <row r="1266" spans="1:2" customFormat="1" x14ac:dyDescent="0.25">
      <c r="A1266" s="79"/>
      <c r="B1266" s="79"/>
    </row>
    <row r="1267" spans="1:2" customFormat="1" x14ac:dyDescent="0.25">
      <c r="A1267" s="79"/>
      <c r="B1267" s="79"/>
    </row>
    <row r="1268" spans="1:2" customFormat="1" x14ac:dyDescent="0.25">
      <c r="A1268" s="79"/>
      <c r="B1268" s="79"/>
    </row>
    <row r="1269" spans="1:2" customFormat="1" x14ac:dyDescent="0.25">
      <c r="A1269" s="79"/>
      <c r="B1269" s="79"/>
    </row>
    <row r="1270" spans="1:2" customFormat="1" x14ac:dyDescent="0.25">
      <c r="A1270" s="79"/>
      <c r="B1270" s="79"/>
    </row>
    <row r="1271" spans="1:2" customFormat="1" x14ac:dyDescent="0.25">
      <c r="A1271" s="79"/>
      <c r="B1271" s="79"/>
    </row>
    <row r="1272" spans="1:2" customFormat="1" x14ac:dyDescent="0.25">
      <c r="A1272" s="79"/>
      <c r="B1272" s="79"/>
    </row>
    <row r="1273" spans="1:2" customFormat="1" x14ac:dyDescent="0.25">
      <c r="A1273" s="79"/>
      <c r="B1273" s="79"/>
    </row>
    <row r="1274" spans="1:2" customFormat="1" x14ac:dyDescent="0.25">
      <c r="A1274" s="79"/>
      <c r="B1274" s="79"/>
    </row>
    <row r="1275" spans="1:2" customFormat="1" x14ac:dyDescent="0.25">
      <c r="A1275" s="79"/>
      <c r="B1275" s="79"/>
    </row>
    <row r="1276" spans="1:2" customFormat="1" x14ac:dyDescent="0.25">
      <c r="A1276" s="79"/>
      <c r="B1276" s="79"/>
    </row>
    <row r="1277" spans="1:2" customFormat="1" x14ac:dyDescent="0.25">
      <c r="A1277" s="79"/>
      <c r="B1277" s="79"/>
    </row>
    <row r="1278" spans="1:2" customFormat="1" x14ac:dyDescent="0.25">
      <c r="A1278" s="79"/>
      <c r="B1278" s="79"/>
    </row>
    <row r="1279" spans="1:2" customFormat="1" x14ac:dyDescent="0.25">
      <c r="A1279" s="79"/>
      <c r="B1279" s="79"/>
    </row>
    <row r="1280" spans="1:2" customFormat="1" x14ac:dyDescent="0.25">
      <c r="A1280" s="79"/>
      <c r="B1280" s="79"/>
    </row>
    <row r="1281" spans="1:2" customFormat="1" x14ac:dyDescent="0.25">
      <c r="A1281" s="79"/>
      <c r="B1281" s="79"/>
    </row>
    <row r="1282" spans="1:2" customFormat="1" x14ac:dyDescent="0.25">
      <c r="A1282" s="79"/>
      <c r="B1282" s="79"/>
    </row>
    <row r="1283" spans="1:2" customFormat="1" x14ac:dyDescent="0.25">
      <c r="A1283" s="79"/>
      <c r="B1283" s="79"/>
    </row>
    <row r="1284" spans="1:2" customFormat="1" x14ac:dyDescent="0.25">
      <c r="A1284" s="79"/>
      <c r="B1284" s="79"/>
    </row>
    <row r="1285" spans="1:2" customFormat="1" x14ac:dyDescent="0.25">
      <c r="A1285" s="79"/>
      <c r="B1285" s="79"/>
    </row>
    <row r="1286" spans="1:2" customFormat="1" x14ac:dyDescent="0.25">
      <c r="A1286" s="79"/>
      <c r="B1286" s="79"/>
    </row>
    <row r="1287" spans="1:2" customFormat="1" x14ac:dyDescent="0.25">
      <c r="A1287" s="79"/>
      <c r="B1287" s="79"/>
    </row>
    <row r="1288" spans="1:2" customFormat="1" x14ac:dyDescent="0.25">
      <c r="A1288" s="79"/>
      <c r="B1288" s="79"/>
    </row>
    <row r="1289" spans="1:2" customFormat="1" x14ac:dyDescent="0.25">
      <c r="A1289" s="79"/>
      <c r="B1289" s="79"/>
    </row>
    <row r="1290" spans="1:2" customFormat="1" x14ac:dyDescent="0.25">
      <c r="A1290" s="79"/>
      <c r="B1290" s="79"/>
    </row>
    <row r="1291" spans="1:2" customFormat="1" x14ac:dyDescent="0.25">
      <c r="A1291" s="79"/>
      <c r="B1291" s="79"/>
    </row>
    <row r="1292" spans="1:2" customFormat="1" x14ac:dyDescent="0.25">
      <c r="A1292" s="79"/>
      <c r="B1292" s="79"/>
    </row>
    <row r="1293" spans="1:2" customFormat="1" x14ac:dyDescent="0.25">
      <c r="A1293" s="79"/>
      <c r="B1293" s="79"/>
    </row>
    <row r="1294" spans="1:2" customFormat="1" x14ac:dyDescent="0.25">
      <c r="A1294" s="79"/>
      <c r="B1294" s="79"/>
    </row>
    <row r="1295" spans="1:2" customFormat="1" x14ac:dyDescent="0.25">
      <c r="A1295" s="79"/>
      <c r="B1295" s="79"/>
    </row>
    <row r="1296" spans="1:2" customFormat="1" x14ac:dyDescent="0.25">
      <c r="A1296" s="79"/>
      <c r="B1296" s="79"/>
    </row>
    <row r="1297" spans="1:2" customFormat="1" x14ac:dyDescent="0.25">
      <c r="A1297" s="79"/>
      <c r="B1297" s="79"/>
    </row>
    <row r="1298" spans="1:2" customFormat="1" x14ac:dyDescent="0.25">
      <c r="A1298" s="79"/>
      <c r="B1298" s="79"/>
    </row>
    <row r="1299" spans="1:2" customFormat="1" x14ac:dyDescent="0.25">
      <c r="A1299" s="79"/>
      <c r="B1299" s="79"/>
    </row>
    <row r="1300" spans="1:2" customFormat="1" x14ac:dyDescent="0.25">
      <c r="A1300" s="79"/>
      <c r="B1300" s="79"/>
    </row>
    <row r="1301" spans="1:2" customFormat="1" x14ac:dyDescent="0.25">
      <c r="A1301" s="79"/>
      <c r="B1301" s="79"/>
    </row>
    <row r="1302" spans="1:2" customFormat="1" x14ac:dyDescent="0.25">
      <c r="A1302" s="79"/>
      <c r="B1302" s="79"/>
    </row>
    <row r="1303" spans="1:2" customFormat="1" x14ac:dyDescent="0.25">
      <c r="A1303" s="79"/>
      <c r="B1303" s="79"/>
    </row>
    <row r="1304" spans="1:2" customFormat="1" x14ac:dyDescent="0.25">
      <c r="A1304" s="79"/>
      <c r="B1304" s="79"/>
    </row>
    <row r="1305" spans="1:2" customFormat="1" x14ac:dyDescent="0.25">
      <c r="A1305" s="79"/>
      <c r="B1305" s="79"/>
    </row>
    <row r="1306" spans="1:2" customFormat="1" x14ac:dyDescent="0.25">
      <c r="A1306" s="79"/>
      <c r="B1306" s="79"/>
    </row>
    <row r="1307" spans="1:2" customFormat="1" x14ac:dyDescent="0.25">
      <c r="A1307" s="79"/>
      <c r="B1307" s="79"/>
    </row>
    <row r="1308" spans="1:2" customFormat="1" x14ac:dyDescent="0.25">
      <c r="A1308" s="79"/>
      <c r="B1308" s="79"/>
    </row>
    <row r="1309" spans="1:2" customFormat="1" x14ac:dyDescent="0.25">
      <c r="A1309" s="79"/>
      <c r="B1309" s="79"/>
    </row>
    <row r="1310" spans="1:2" customFormat="1" x14ac:dyDescent="0.25">
      <c r="A1310" s="79"/>
      <c r="B1310" s="79"/>
    </row>
    <row r="1311" spans="1:2" customFormat="1" x14ac:dyDescent="0.25">
      <c r="A1311" s="79"/>
      <c r="B1311" s="79"/>
    </row>
    <row r="1312" spans="1:2" customFormat="1" x14ac:dyDescent="0.25">
      <c r="A1312" s="79"/>
      <c r="B1312" s="79"/>
    </row>
    <row r="1313" spans="1:2" customFormat="1" x14ac:dyDescent="0.25">
      <c r="A1313" s="79"/>
      <c r="B1313" s="79"/>
    </row>
    <row r="1314" spans="1:2" customFormat="1" x14ac:dyDescent="0.25">
      <c r="A1314" s="79"/>
      <c r="B1314" s="79"/>
    </row>
    <row r="1315" spans="1:2" customFormat="1" x14ac:dyDescent="0.25">
      <c r="A1315" s="79"/>
      <c r="B1315" s="79"/>
    </row>
    <row r="1316" spans="1:2" customFormat="1" x14ac:dyDescent="0.25">
      <c r="A1316" s="79"/>
      <c r="B1316" s="79"/>
    </row>
    <row r="1317" spans="1:2" customFormat="1" x14ac:dyDescent="0.25">
      <c r="A1317" s="79"/>
      <c r="B1317" s="79"/>
    </row>
    <row r="1318" spans="1:2" customFormat="1" x14ac:dyDescent="0.25">
      <c r="A1318" s="79"/>
      <c r="B1318" s="79"/>
    </row>
    <row r="1319" spans="1:2" customFormat="1" x14ac:dyDescent="0.25">
      <c r="A1319" s="79"/>
      <c r="B1319" s="79"/>
    </row>
    <row r="2001" spans="1:2" s="24" customFormat="1" x14ac:dyDescent="0.25">
      <c r="A2001" s="78"/>
      <c r="B2001" s="78"/>
    </row>
    <row r="2002" spans="1:2" s="24" customFormat="1" x14ac:dyDescent="0.25">
      <c r="A2002" s="78"/>
      <c r="B2002" s="78"/>
    </row>
    <row r="2003" spans="1:2" s="24" customFormat="1" x14ac:dyDescent="0.25">
      <c r="A2003" s="78"/>
      <c r="B2003" s="78"/>
    </row>
    <row r="2004" spans="1:2" s="24" customFormat="1" x14ac:dyDescent="0.25">
      <c r="A2004" s="78"/>
      <c r="B2004" s="78"/>
    </row>
    <row r="2005" spans="1:2" s="24" customFormat="1" x14ac:dyDescent="0.25">
      <c r="A2005" s="78"/>
      <c r="B2005" s="78"/>
    </row>
    <row r="2006" spans="1:2" s="24" customFormat="1" x14ac:dyDescent="0.25">
      <c r="A2006" s="78"/>
      <c r="B2006" s="78"/>
    </row>
    <row r="2007" spans="1:2" s="24" customFormat="1" x14ac:dyDescent="0.25">
      <c r="A2007" s="78"/>
      <c r="B2007" s="78"/>
    </row>
    <row r="2008" spans="1:2" s="24" customFormat="1" x14ac:dyDescent="0.25">
      <c r="A2008" s="78"/>
      <c r="B2008" s="78"/>
    </row>
    <row r="2009" spans="1:2" s="24" customFormat="1" x14ac:dyDescent="0.25">
      <c r="A2009" s="78"/>
      <c r="B2009" s="78"/>
    </row>
    <row r="2010" spans="1:2" s="24" customFormat="1" x14ac:dyDescent="0.25">
      <c r="A2010" s="78"/>
      <c r="B2010" s="78"/>
    </row>
    <row r="2011" spans="1:2" s="24" customFormat="1" x14ac:dyDescent="0.25">
      <c r="A2011" s="78"/>
      <c r="B2011" s="78"/>
    </row>
    <row r="2012" spans="1:2" s="24" customFormat="1" x14ac:dyDescent="0.25">
      <c r="A2012" s="78"/>
      <c r="B2012" s="78"/>
    </row>
    <row r="2013" spans="1:2" s="24" customFormat="1" x14ac:dyDescent="0.25">
      <c r="A2013" s="78"/>
      <c r="B2013" s="78"/>
    </row>
    <row r="2014" spans="1:2" s="24" customFormat="1" x14ac:dyDescent="0.25">
      <c r="A2014" s="78"/>
      <c r="B2014" s="78"/>
    </row>
    <row r="2015" spans="1:2" s="24" customFormat="1" x14ac:dyDescent="0.25">
      <c r="A2015" s="78"/>
      <c r="B2015" s="78"/>
    </row>
    <row r="2016" spans="1:2" s="24" customFormat="1" x14ac:dyDescent="0.25">
      <c r="A2016" s="78"/>
      <c r="B2016" s="78"/>
    </row>
    <row r="2017" spans="1:2" s="24" customFormat="1" x14ac:dyDescent="0.25">
      <c r="A2017" s="78"/>
      <c r="B2017" s="78"/>
    </row>
    <row r="2018" spans="1:2" s="24" customFormat="1" x14ac:dyDescent="0.25">
      <c r="A2018" s="78"/>
      <c r="B2018" s="78"/>
    </row>
    <row r="2019" spans="1:2" s="24" customFormat="1" x14ac:dyDescent="0.25">
      <c r="A2019" s="78"/>
      <c r="B2019" s="78"/>
    </row>
    <row r="2020" spans="1:2" s="24" customFormat="1" x14ac:dyDescent="0.25">
      <c r="A2020" s="78"/>
      <c r="B2020" s="78"/>
    </row>
    <row r="2021" spans="1:2" s="24" customFormat="1" x14ac:dyDescent="0.25">
      <c r="A2021" s="78"/>
      <c r="B2021" s="78"/>
    </row>
    <row r="2022" spans="1:2" s="24" customFormat="1" x14ac:dyDescent="0.25">
      <c r="A2022" s="78"/>
      <c r="B2022" s="78"/>
    </row>
    <row r="2023" spans="1:2" s="24" customFormat="1" x14ac:dyDescent="0.25">
      <c r="A2023" s="78"/>
      <c r="B2023" s="78"/>
    </row>
    <row r="2024" spans="1:2" s="24" customFormat="1" x14ac:dyDescent="0.25">
      <c r="A2024" s="78"/>
      <c r="B2024" s="78"/>
    </row>
    <row r="2025" spans="1:2" s="24" customFormat="1" x14ac:dyDescent="0.25">
      <c r="A2025" s="78"/>
      <c r="B2025" s="78"/>
    </row>
    <row r="2026" spans="1:2" s="24" customFormat="1" x14ac:dyDescent="0.25">
      <c r="A2026" s="78"/>
      <c r="B2026" s="78"/>
    </row>
    <row r="2027" spans="1:2" s="24" customFormat="1" x14ac:dyDescent="0.25">
      <c r="A2027" s="78"/>
      <c r="B2027" s="78"/>
    </row>
    <row r="2028" spans="1:2" s="24" customFormat="1" x14ac:dyDescent="0.25">
      <c r="A2028" s="78"/>
      <c r="B2028" s="78"/>
    </row>
    <row r="2029" spans="1:2" s="24" customFormat="1" x14ac:dyDescent="0.25">
      <c r="A2029" s="78"/>
      <c r="B2029" s="78"/>
    </row>
    <row r="2030" spans="1:2" s="24" customFormat="1" x14ac:dyDescent="0.25">
      <c r="A2030" s="78"/>
      <c r="B2030" s="78"/>
    </row>
    <row r="2031" spans="1:2" s="24" customFormat="1" x14ac:dyDescent="0.25">
      <c r="A2031" s="78"/>
      <c r="B2031" s="78"/>
    </row>
    <row r="2032" spans="1:2" s="24" customFormat="1" x14ac:dyDescent="0.25">
      <c r="A2032" s="78"/>
      <c r="B2032" s="78"/>
    </row>
    <row r="2033" spans="1:2" s="24" customFormat="1" x14ac:dyDescent="0.25">
      <c r="A2033" s="78"/>
      <c r="B2033" s="78"/>
    </row>
    <row r="2034" spans="1:2" s="24" customFormat="1" x14ac:dyDescent="0.25">
      <c r="A2034" s="78"/>
      <c r="B2034" s="78"/>
    </row>
    <row r="2035" spans="1:2" s="24" customFormat="1" x14ac:dyDescent="0.25">
      <c r="A2035" s="78"/>
      <c r="B2035" s="78"/>
    </row>
    <row r="2036" spans="1:2" s="24" customFormat="1" x14ac:dyDescent="0.25">
      <c r="A2036" s="78"/>
      <c r="B2036" s="78"/>
    </row>
    <row r="2037" spans="1:2" s="24" customFormat="1" x14ac:dyDescent="0.25">
      <c r="A2037" s="78"/>
      <c r="B2037" s="78"/>
    </row>
    <row r="2038" spans="1:2" s="24" customFormat="1" x14ac:dyDescent="0.25">
      <c r="A2038" s="78"/>
      <c r="B2038" s="78"/>
    </row>
    <row r="2039" spans="1:2" s="24" customFormat="1" x14ac:dyDescent="0.25">
      <c r="A2039" s="78"/>
      <c r="B2039" s="78"/>
    </row>
    <row r="2040" spans="1:2" s="24" customFormat="1" x14ac:dyDescent="0.25">
      <c r="A2040" s="78"/>
      <c r="B2040" s="78"/>
    </row>
    <row r="2041" spans="1:2" s="24" customFormat="1" x14ac:dyDescent="0.25">
      <c r="A2041" s="78"/>
      <c r="B2041" s="78"/>
    </row>
    <row r="2042" spans="1:2" s="24" customFormat="1" x14ac:dyDescent="0.25">
      <c r="A2042" s="78"/>
      <c r="B2042" s="78"/>
    </row>
    <row r="2043" spans="1:2" s="24" customFormat="1" x14ac:dyDescent="0.25">
      <c r="A2043" s="78"/>
      <c r="B2043" s="78"/>
    </row>
    <row r="2044" spans="1:2" s="24" customFormat="1" x14ac:dyDescent="0.25">
      <c r="A2044" s="78"/>
      <c r="B2044" s="78"/>
    </row>
    <row r="2045" spans="1:2" s="24" customFormat="1" x14ac:dyDescent="0.25">
      <c r="A2045" s="78"/>
      <c r="B2045" s="78"/>
    </row>
    <row r="2046" spans="1:2" s="24" customFormat="1" x14ac:dyDescent="0.25">
      <c r="A2046" s="78"/>
      <c r="B2046" s="78"/>
    </row>
    <row r="2047" spans="1:2" s="24" customFormat="1" x14ac:dyDescent="0.25">
      <c r="A2047" s="78"/>
      <c r="B2047" s="78"/>
    </row>
    <row r="2048" spans="1:2" s="24" customFormat="1" x14ac:dyDescent="0.25">
      <c r="A2048" s="78"/>
      <c r="B2048" s="78"/>
    </row>
    <row r="2049" spans="1:2" s="24" customFormat="1" x14ac:dyDescent="0.25">
      <c r="A2049" s="78"/>
      <c r="B2049" s="78"/>
    </row>
    <row r="2050" spans="1:2" s="24" customFormat="1" x14ac:dyDescent="0.25">
      <c r="A2050" s="78"/>
      <c r="B2050" s="78"/>
    </row>
    <row r="2051" spans="1:2" s="24" customFormat="1" x14ac:dyDescent="0.25">
      <c r="A2051" s="78"/>
      <c r="B2051" s="78"/>
    </row>
    <row r="2052" spans="1:2" s="24" customFormat="1" x14ac:dyDescent="0.25">
      <c r="A2052" s="78"/>
      <c r="B2052" s="78"/>
    </row>
    <row r="2053" spans="1:2" s="24" customFormat="1" x14ac:dyDescent="0.25">
      <c r="A2053" s="78"/>
      <c r="B2053" s="78"/>
    </row>
    <row r="2054" spans="1:2" s="24" customFormat="1" x14ac:dyDescent="0.25">
      <c r="A2054" s="78"/>
      <c r="B2054" s="78"/>
    </row>
    <row r="2055" spans="1:2" s="24" customFormat="1" x14ac:dyDescent="0.25">
      <c r="A2055" s="78"/>
      <c r="B2055" s="78"/>
    </row>
    <row r="2056" spans="1:2" s="24" customFormat="1" x14ac:dyDescent="0.25">
      <c r="A2056" s="78"/>
      <c r="B2056" s="78"/>
    </row>
    <row r="2057" spans="1:2" s="24" customFormat="1" x14ac:dyDescent="0.25">
      <c r="A2057" s="78"/>
      <c r="B2057" s="78"/>
    </row>
    <row r="2058" spans="1:2" s="24" customFormat="1" x14ac:dyDescent="0.25">
      <c r="A2058" s="78"/>
      <c r="B2058" s="78"/>
    </row>
    <row r="2059" spans="1:2" s="24" customFormat="1" x14ac:dyDescent="0.25">
      <c r="A2059" s="78"/>
      <c r="B2059" s="78"/>
    </row>
    <row r="2060" spans="1:2" s="24" customFormat="1" x14ac:dyDescent="0.25">
      <c r="A2060" s="78"/>
      <c r="B2060" s="78"/>
    </row>
    <row r="2061" spans="1:2" s="24" customFormat="1" x14ac:dyDescent="0.25">
      <c r="A2061" s="78"/>
      <c r="B2061" s="78"/>
    </row>
    <row r="2062" spans="1:2" s="24" customFormat="1" x14ac:dyDescent="0.25">
      <c r="A2062" s="78"/>
      <c r="B2062" s="78"/>
    </row>
    <row r="2063" spans="1:2" s="24" customFormat="1" x14ac:dyDescent="0.25">
      <c r="A2063" s="78"/>
      <c r="B2063" s="78"/>
    </row>
    <row r="2064" spans="1:2" s="24" customFormat="1" x14ac:dyDescent="0.25">
      <c r="A2064" s="78"/>
      <c r="B2064" s="78"/>
    </row>
    <row r="2065" spans="1:2" s="24" customFormat="1" x14ac:dyDescent="0.25">
      <c r="A2065" s="78"/>
      <c r="B2065" s="78"/>
    </row>
    <row r="2066" spans="1:2" s="24" customFormat="1" x14ac:dyDescent="0.25">
      <c r="A2066" s="78"/>
      <c r="B2066" s="78"/>
    </row>
    <row r="2067" spans="1:2" s="24" customFormat="1" x14ac:dyDescent="0.25">
      <c r="A2067" s="78"/>
      <c r="B2067" s="78"/>
    </row>
    <row r="2068" spans="1:2" s="24" customFormat="1" x14ac:dyDescent="0.25">
      <c r="A2068" s="78"/>
      <c r="B2068" s="78"/>
    </row>
    <row r="2069" spans="1:2" s="24" customFormat="1" x14ac:dyDescent="0.25">
      <c r="A2069" s="78"/>
      <c r="B2069" s="78"/>
    </row>
    <row r="2070" spans="1:2" s="24" customFormat="1" x14ac:dyDescent="0.25">
      <c r="A2070" s="78"/>
      <c r="B2070" s="78"/>
    </row>
    <row r="2071" spans="1:2" s="24" customFormat="1" x14ac:dyDescent="0.25">
      <c r="A2071" s="78"/>
      <c r="B2071" s="78"/>
    </row>
    <row r="2072" spans="1:2" s="24" customFormat="1" x14ac:dyDescent="0.25">
      <c r="A2072" s="78"/>
      <c r="B2072" s="78"/>
    </row>
    <row r="2073" spans="1:2" s="24" customFormat="1" x14ac:dyDescent="0.25">
      <c r="A2073" s="78"/>
      <c r="B2073" s="78"/>
    </row>
    <row r="2074" spans="1:2" s="24" customFormat="1" x14ac:dyDescent="0.25">
      <c r="A2074" s="78"/>
      <c r="B2074" s="78"/>
    </row>
    <row r="2075" spans="1:2" s="24" customFormat="1" x14ac:dyDescent="0.25">
      <c r="A2075" s="78"/>
      <c r="B2075" s="78"/>
    </row>
    <row r="2076" spans="1:2" s="24" customFormat="1" x14ac:dyDescent="0.25">
      <c r="A2076" s="78"/>
      <c r="B2076" s="78"/>
    </row>
    <row r="2077" spans="1:2" s="24" customFormat="1" x14ac:dyDescent="0.25">
      <c r="A2077" s="78"/>
      <c r="B2077" s="78"/>
    </row>
    <row r="2078" spans="1:2" s="24" customFormat="1" x14ac:dyDescent="0.25">
      <c r="A2078" s="78"/>
      <c r="B2078" s="78"/>
    </row>
    <row r="2079" spans="1:2" s="24" customFormat="1" x14ac:dyDescent="0.25">
      <c r="A2079" s="78"/>
      <c r="B2079" s="78"/>
    </row>
    <row r="2080" spans="1:2" s="24" customFormat="1" x14ac:dyDescent="0.25">
      <c r="A2080" s="78"/>
      <c r="B2080" s="78"/>
    </row>
    <row r="2081" spans="1:2" s="24" customFormat="1" x14ac:dyDescent="0.25">
      <c r="A2081" s="78"/>
      <c r="B2081" s="78"/>
    </row>
    <row r="2082" spans="1:2" s="24" customFormat="1" x14ac:dyDescent="0.25">
      <c r="A2082" s="78"/>
      <c r="B2082" s="78"/>
    </row>
    <row r="2083" spans="1:2" s="24" customFormat="1" x14ac:dyDescent="0.25">
      <c r="A2083" s="78"/>
      <c r="B2083" s="78"/>
    </row>
    <row r="2084" spans="1:2" s="24" customFormat="1" x14ac:dyDescent="0.25">
      <c r="A2084" s="78"/>
      <c r="B2084" s="78"/>
    </row>
    <row r="2085" spans="1:2" s="24" customFormat="1" x14ac:dyDescent="0.25">
      <c r="A2085" s="78"/>
      <c r="B2085" s="78"/>
    </row>
    <row r="2086" spans="1:2" s="24" customFormat="1" x14ac:dyDescent="0.25">
      <c r="A2086" s="78"/>
      <c r="B2086" s="78"/>
    </row>
    <row r="2087" spans="1:2" s="24" customFormat="1" x14ac:dyDescent="0.25">
      <c r="A2087" s="78"/>
      <c r="B2087" s="78"/>
    </row>
    <row r="2088" spans="1:2" s="24" customFormat="1" x14ac:dyDescent="0.25">
      <c r="A2088" s="78"/>
      <c r="B2088" s="78"/>
    </row>
    <row r="2089" spans="1:2" s="24" customFormat="1" x14ac:dyDescent="0.25">
      <c r="A2089" s="78"/>
      <c r="B2089" s="78"/>
    </row>
    <row r="2090" spans="1:2" s="24" customFormat="1" x14ac:dyDescent="0.25">
      <c r="A2090" s="78"/>
      <c r="B2090" s="78"/>
    </row>
    <row r="2091" spans="1:2" s="24" customFormat="1" x14ac:dyDescent="0.25">
      <c r="A2091" s="78"/>
      <c r="B2091" s="78"/>
    </row>
    <row r="2092" spans="1:2" s="24" customFormat="1" x14ac:dyDescent="0.25">
      <c r="A2092" s="78"/>
      <c r="B2092" s="78"/>
    </row>
    <row r="2093" spans="1:2" s="24" customFormat="1" x14ac:dyDescent="0.25">
      <c r="A2093" s="78"/>
      <c r="B2093" s="78"/>
    </row>
    <row r="2094" spans="1:2" s="24" customFormat="1" x14ac:dyDescent="0.25">
      <c r="A2094" s="78"/>
      <c r="B2094" s="78"/>
    </row>
    <row r="2095" spans="1:2" s="24" customFormat="1" x14ac:dyDescent="0.25">
      <c r="A2095" s="78"/>
      <c r="B2095" s="78"/>
    </row>
    <row r="2096" spans="1:2" s="24" customFormat="1" x14ac:dyDescent="0.25">
      <c r="A2096" s="78"/>
      <c r="B2096" s="78"/>
    </row>
    <row r="2097" spans="1:2" s="24" customFormat="1" x14ac:dyDescent="0.25">
      <c r="A2097" s="78"/>
      <c r="B2097" s="78"/>
    </row>
    <row r="2098" spans="1:2" s="24" customFormat="1" x14ac:dyDescent="0.25">
      <c r="A2098" s="78"/>
      <c r="B2098" s="78"/>
    </row>
    <row r="2099" spans="1:2" s="24" customFormat="1" x14ac:dyDescent="0.25">
      <c r="A2099" s="78"/>
      <c r="B2099" s="78"/>
    </row>
    <row r="2100" spans="1:2" s="24" customFormat="1" x14ac:dyDescent="0.25">
      <c r="A2100" s="78"/>
      <c r="B2100" s="78"/>
    </row>
    <row r="2101" spans="1:2" s="24" customFormat="1" x14ac:dyDescent="0.25">
      <c r="A2101" s="78"/>
      <c r="B2101" s="78"/>
    </row>
    <row r="2102" spans="1:2" s="24" customFormat="1" x14ac:dyDescent="0.25">
      <c r="A2102" s="78"/>
      <c r="B2102" s="78"/>
    </row>
    <row r="2103" spans="1:2" s="24" customFormat="1" x14ac:dyDescent="0.25">
      <c r="A2103" s="78"/>
      <c r="B2103" s="78"/>
    </row>
    <row r="2104" spans="1:2" s="24" customFormat="1" x14ac:dyDescent="0.25">
      <c r="A2104" s="78"/>
      <c r="B2104" s="78"/>
    </row>
    <row r="2105" spans="1:2" s="24" customFormat="1" x14ac:dyDescent="0.25">
      <c r="A2105" s="78"/>
      <c r="B2105" s="78"/>
    </row>
    <row r="2106" spans="1:2" s="24" customFormat="1" x14ac:dyDescent="0.25">
      <c r="A2106" s="78"/>
      <c r="B2106" s="78"/>
    </row>
    <row r="2107" spans="1:2" s="24" customFormat="1" x14ac:dyDescent="0.25">
      <c r="A2107" s="78"/>
      <c r="B2107" s="78"/>
    </row>
    <row r="2108" spans="1:2" s="24" customFormat="1" x14ac:dyDescent="0.25">
      <c r="A2108" s="78"/>
      <c r="B2108" s="78"/>
    </row>
    <row r="2109" spans="1:2" s="24" customFormat="1" x14ac:dyDescent="0.25">
      <c r="A2109" s="78"/>
      <c r="B2109" s="78"/>
    </row>
    <row r="2110" spans="1:2" s="24" customFormat="1" x14ac:dyDescent="0.25">
      <c r="A2110" s="78"/>
      <c r="B2110" s="78"/>
    </row>
    <row r="2111" spans="1:2" s="24" customFormat="1" x14ac:dyDescent="0.25">
      <c r="A2111" s="78"/>
      <c r="B2111" s="78"/>
    </row>
    <row r="2112" spans="1:2" s="24" customFormat="1" x14ac:dyDescent="0.25">
      <c r="A2112" s="78"/>
      <c r="B2112" s="78"/>
    </row>
    <row r="2113" spans="1:2" s="24" customFormat="1" x14ac:dyDescent="0.25">
      <c r="A2113" s="78"/>
      <c r="B2113" s="78"/>
    </row>
    <row r="2114" spans="1:2" s="24" customFormat="1" x14ac:dyDescent="0.25">
      <c r="A2114" s="78"/>
      <c r="B2114" s="78"/>
    </row>
    <row r="2115" spans="1:2" s="24" customFormat="1" x14ac:dyDescent="0.25">
      <c r="A2115" s="78"/>
      <c r="B2115" s="78"/>
    </row>
    <row r="2116" spans="1:2" s="24" customFormat="1" x14ac:dyDescent="0.25">
      <c r="A2116" s="78"/>
      <c r="B2116" s="78"/>
    </row>
    <row r="2117" spans="1:2" s="24" customFormat="1" x14ac:dyDescent="0.25">
      <c r="A2117" s="78"/>
      <c r="B2117" s="78"/>
    </row>
    <row r="2118" spans="1:2" s="24" customFormat="1" x14ac:dyDescent="0.25">
      <c r="A2118" s="78"/>
      <c r="B2118" s="78"/>
    </row>
    <row r="2119" spans="1:2" s="24" customFormat="1" x14ac:dyDescent="0.25">
      <c r="A2119" s="78"/>
      <c r="B2119" s="78"/>
    </row>
    <row r="2120" spans="1:2" s="24" customFormat="1" x14ac:dyDescent="0.25">
      <c r="A2120" s="78"/>
      <c r="B2120" s="78"/>
    </row>
    <row r="2121" spans="1:2" s="24" customFormat="1" x14ac:dyDescent="0.25">
      <c r="A2121" s="78"/>
      <c r="B2121" s="78"/>
    </row>
    <row r="2122" spans="1:2" s="24" customFormat="1" x14ac:dyDescent="0.25">
      <c r="A2122" s="78"/>
      <c r="B2122" s="78"/>
    </row>
    <row r="2123" spans="1:2" s="24" customFormat="1" x14ac:dyDescent="0.25">
      <c r="A2123" s="78"/>
      <c r="B2123" s="78"/>
    </row>
    <row r="2124" spans="1:2" s="24" customFormat="1" x14ac:dyDescent="0.25">
      <c r="A2124" s="78"/>
      <c r="B2124" s="78"/>
    </row>
    <row r="2125" spans="1:2" s="24" customFormat="1" x14ac:dyDescent="0.25">
      <c r="A2125" s="78"/>
      <c r="B2125" s="78"/>
    </row>
    <row r="2126" spans="1:2" s="24" customFormat="1" x14ac:dyDescent="0.25">
      <c r="A2126" s="78"/>
      <c r="B2126" s="78"/>
    </row>
    <row r="2127" spans="1:2" s="24" customFormat="1" x14ac:dyDescent="0.25">
      <c r="A2127" s="78"/>
      <c r="B2127" s="78"/>
    </row>
    <row r="2128" spans="1:2" s="24" customFormat="1" x14ac:dyDescent="0.25">
      <c r="A2128" s="78"/>
      <c r="B2128" s="78"/>
    </row>
    <row r="2129" spans="1:2" s="24" customFormat="1" x14ac:dyDescent="0.25">
      <c r="A2129" s="78"/>
      <c r="B2129" s="78"/>
    </row>
    <row r="2130" spans="1:2" s="24" customFormat="1" x14ac:dyDescent="0.25">
      <c r="A2130" s="78"/>
      <c r="B2130" s="78"/>
    </row>
    <row r="2131" spans="1:2" s="24" customFormat="1" x14ac:dyDescent="0.25">
      <c r="A2131" s="78"/>
      <c r="B2131" s="78"/>
    </row>
    <row r="2132" spans="1:2" s="24" customFormat="1" x14ac:dyDescent="0.25">
      <c r="A2132" s="78"/>
      <c r="B2132" s="78"/>
    </row>
    <row r="2133" spans="1:2" s="24" customFormat="1" x14ac:dyDescent="0.25">
      <c r="A2133" s="78"/>
      <c r="B2133" s="78"/>
    </row>
    <row r="2134" spans="1:2" s="24" customFormat="1" x14ac:dyDescent="0.25">
      <c r="A2134" s="78"/>
      <c r="B2134" s="78"/>
    </row>
    <row r="2135" spans="1:2" s="24" customFormat="1" x14ac:dyDescent="0.25">
      <c r="A2135" s="78"/>
      <c r="B2135" s="78"/>
    </row>
    <row r="2136" spans="1:2" s="24" customFormat="1" x14ac:dyDescent="0.25">
      <c r="A2136" s="78"/>
      <c r="B2136" s="78"/>
    </row>
    <row r="2137" spans="1:2" s="24" customFormat="1" x14ac:dyDescent="0.25">
      <c r="A2137" s="78"/>
      <c r="B2137" s="78"/>
    </row>
    <row r="2138" spans="1:2" s="24" customFormat="1" x14ac:dyDescent="0.25">
      <c r="A2138" s="78"/>
      <c r="B2138" s="78"/>
    </row>
    <row r="2139" spans="1:2" s="24" customFormat="1" x14ac:dyDescent="0.25">
      <c r="A2139" s="78"/>
      <c r="B2139" s="78"/>
    </row>
    <row r="2140" spans="1:2" s="24" customFormat="1" x14ac:dyDescent="0.25">
      <c r="A2140" s="78"/>
      <c r="B2140" s="78"/>
    </row>
    <row r="2141" spans="1:2" s="24" customFormat="1" x14ac:dyDescent="0.25">
      <c r="A2141" s="78"/>
      <c r="B2141" s="78"/>
    </row>
    <row r="2142" spans="1:2" s="24" customFormat="1" x14ac:dyDescent="0.25">
      <c r="A2142" s="78"/>
      <c r="B2142" s="78"/>
    </row>
    <row r="2143" spans="1:2" s="24" customFormat="1" x14ac:dyDescent="0.25">
      <c r="A2143" s="78"/>
      <c r="B2143" s="78"/>
    </row>
    <row r="2144" spans="1:2" s="24" customFormat="1" x14ac:dyDescent="0.25">
      <c r="A2144" s="78"/>
      <c r="B2144" s="78"/>
    </row>
    <row r="2145" spans="1:2" s="24" customFormat="1" x14ac:dyDescent="0.25">
      <c r="A2145" s="78"/>
      <c r="B2145" s="78"/>
    </row>
    <row r="2146" spans="1:2" s="24" customFormat="1" x14ac:dyDescent="0.25">
      <c r="A2146" s="78"/>
      <c r="B2146" s="78"/>
    </row>
    <row r="2147" spans="1:2" s="24" customFormat="1" x14ac:dyDescent="0.25">
      <c r="A2147" s="78"/>
      <c r="B2147" s="78"/>
    </row>
    <row r="2148" spans="1:2" s="24" customFormat="1" x14ac:dyDescent="0.25">
      <c r="A2148" s="78"/>
      <c r="B2148" s="78"/>
    </row>
    <row r="2149" spans="1:2" s="24" customFormat="1" x14ac:dyDescent="0.25">
      <c r="A2149" s="78"/>
      <c r="B2149" s="78"/>
    </row>
    <row r="2150" spans="1:2" s="24" customFormat="1" x14ac:dyDescent="0.25">
      <c r="A2150" s="78"/>
      <c r="B2150" s="78"/>
    </row>
    <row r="2151" spans="1:2" s="24" customFormat="1" x14ac:dyDescent="0.25">
      <c r="A2151" s="78"/>
      <c r="B2151" s="78"/>
    </row>
    <row r="2152" spans="1:2" s="24" customFormat="1" x14ac:dyDescent="0.25">
      <c r="A2152" s="78"/>
      <c r="B2152" s="78"/>
    </row>
    <row r="2153" spans="1:2" s="24" customFormat="1" x14ac:dyDescent="0.25">
      <c r="A2153" s="78"/>
      <c r="B2153" s="78"/>
    </row>
    <row r="2154" spans="1:2" s="24" customFormat="1" x14ac:dyDescent="0.25">
      <c r="A2154" s="78"/>
      <c r="B2154" s="78"/>
    </row>
    <row r="2155" spans="1:2" s="24" customFormat="1" x14ac:dyDescent="0.25">
      <c r="A2155" s="78"/>
      <c r="B2155" s="78"/>
    </row>
    <row r="2156" spans="1:2" s="24" customFormat="1" x14ac:dyDescent="0.25">
      <c r="A2156" s="78"/>
      <c r="B2156" s="78"/>
    </row>
    <row r="2157" spans="1:2" s="24" customFormat="1" x14ac:dyDescent="0.25">
      <c r="A2157" s="78"/>
      <c r="B2157" s="78"/>
    </row>
    <row r="2158" spans="1:2" s="24" customFormat="1" x14ac:dyDescent="0.25">
      <c r="A2158" s="78"/>
      <c r="B2158" s="78"/>
    </row>
    <row r="2159" spans="1:2" s="24" customFormat="1" x14ac:dyDescent="0.25">
      <c r="A2159" s="78"/>
      <c r="B2159" s="78"/>
    </row>
    <row r="2160" spans="1:2" s="24" customFormat="1" x14ac:dyDescent="0.25">
      <c r="A2160" s="78"/>
      <c r="B2160" s="78"/>
    </row>
    <row r="2161" spans="1:2" s="24" customFormat="1" x14ac:dyDescent="0.25">
      <c r="A2161" s="78"/>
      <c r="B2161" s="78"/>
    </row>
    <row r="2162" spans="1:2" s="24" customFormat="1" x14ac:dyDescent="0.25">
      <c r="A2162" s="78"/>
      <c r="B2162" s="78"/>
    </row>
    <row r="2163" spans="1:2" s="24" customFormat="1" x14ac:dyDescent="0.25">
      <c r="A2163" s="78"/>
      <c r="B2163" s="78"/>
    </row>
    <row r="2164" spans="1:2" s="24" customFormat="1" x14ac:dyDescent="0.25">
      <c r="A2164" s="78"/>
      <c r="B2164" s="78"/>
    </row>
    <row r="2165" spans="1:2" s="24" customFormat="1" x14ac:dyDescent="0.25">
      <c r="A2165" s="78"/>
      <c r="B2165" s="78"/>
    </row>
    <row r="2166" spans="1:2" s="24" customFormat="1" x14ac:dyDescent="0.25">
      <c r="A2166" s="78"/>
      <c r="B2166" s="78"/>
    </row>
    <row r="2167" spans="1:2" s="24" customFormat="1" x14ac:dyDescent="0.25">
      <c r="A2167" s="78"/>
      <c r="B2167" s="78"/>
    </row>
    <row r="2168" spans="1:2" s="24" customFormat="1" x14ac:dyDescent="0.25">
      <c r="A2168" s="78"/>
      <c r="B2168" s="78"/>
    </row>
    <row r="2169" spans="1:2" s="24" customFormat="1" x14ac:dyDescent="0.25">
      <c r="A2169" s="78"/>
      <c r="B2169" s="78"/>
    </row>
    <row r="2170" spans="1:2" s="24" customFormat="1" x14ac:dyDescent="0.25">
      <c r="A2170" s="78"/>
      <c r="B2170" s="78"/>
    </row>
    <row r="2171" spans="1:2" s="24" customFormat="1" x14ac:dyDescent="0.25">
      <c r="A2171" s="78"/>
      <c r="B2171" s="78"/>
    </row>
    <row r="2172" spans="1:2" s="24" customFormat="1" x14ac:dyDescent="0.25">
      <c r="A2172" s="78"/>
      <c r="B2172" s="78"/>
    </row>
    <row r="2173" spans="1:2" s="24" customFormat="1" x14ac:dyDescent="0.25">
      <c r="A2173" s="78"/>
      <c r="B2173" s="78"/>
    </row>
    <row r="2174" spans="1:2" s="24" customFormat="1" x14ac:dyDescent="0.25">
      <c r="A2174" s="78"/>
      <c r="B2174" s="78"/>
    </row>
    <row r="2175" spans="1:2" s="24" customFormat="1" x14ac:dyDescent="0.25">
      <c r="A2175" s="78"/>
      <c r="B2175" s="78"/>
    </row>
    <row r="2176" spans="1:2" s="24" customFormat="1" x14ac:dyDescent="0.25">
      <c r="A2176" s="78"/>
      <c r="B2176" s="78"/>
    </row>
    <row r="2177" spans="1:2" s="24" customFormat="1" x14ac:dyDescent="0.25">
      <c r="A2177" s="78"/>
      <c r="B2177" s="78"/>
    </row>
    <row r="2178" spans="1:2" s="24" customFormat="1" x14ac:dyDescent="0.25">
      <c r="A2178" s="78"/>
      <c r="B2178" s="78"/>
    </row>
    <row r="2179" spans="1:2" s="24" customFormat="1" x14ac:dyDescent="0.25">
      <c r="A2179" s="78"/>
      <c r="B2179" s="78"/>
    </row>
    <row r="2180" spans="1:2" s="24" customFormat="1" x14ac:dyDescent="0.25">
      <c r="A2180" s="78"/>
      <c r="B2180" s="78"/>
    </row>
    <row r="2181" spans="1:2" s="24" customFormat="1" x14ac:dyDescent="0.25">
      <c r="A2181" s="78"/>
      <c r="B2181" s="78"/>
    </row>
    <row r="2182" spans="1:2" s="24" customFormat="1" x14ac:dyDescent="0.25">
      <c r="A2182" s="78"/>
      <c r="B2182" s="78"/>
    </row>
    <row r="2183" spans="1:2" s="24" customFormat="1" x14ac:dyDescent="0.25">
      <c r="A2183" s="78"/>
      <c r="B2183" s="78"/>
    </row>
    <row r="2184" spans="1:2" s="24" customFormat="1" x14ac:dyDescent="0.25">
      <c r="A2184" s="78"/>
      <c r="B2184" s="78"/>
    </row>
    <row r="2185" spans="1:2" s="24" customFormat="1" x14ac:dyDescent="0.25">
      <c r="A2185" s="78"/>
      <c r="B2185" s="78"/>
    </row>
    <row r="2186" spans="1:2" s="24" customFormat="1" x14ac:dyDescent="0.25">
      <c r="A2186" s="78"/>
      <c r="B2186" s="78"/>
    </row>
    <row r="2187" spans="1:2" s="24" customFormat="1" x14ac:dyDescent="0.25">
      <c r="A2187" s="78"/>
      <c r="B2187" s="78"/>
    </row>
    <row r="2188" spans="1:2" s="24" customFormat="1" x14ac:dyDescent="0.25">
      <c r="A2188" s="78"/>
      <c r="B2188" s="78"/>
    </row>
    <row r="2189" spans="1:2" s="24" customFormat="1" x14ac:dyDescent="0.25">
      <c r="A2189" s="78"/>
      <c r="B2189" s="78"/>
    </row>
    <row r="2190" spans="1:2" s="24" customFormat="1" x14ac:dyDescent="0.25">
      <c r="A2190" s="78"/>
      <c r="B2190" s="78"/>
    </row>
    <row r="2191" spans="1:2" s="24" customFormat="1" x14ac:dyDescent="0.25">
      <c r="A2191" s="78"/>
      <c r="B2191" s="78"/>
    </row>
    <row r="2192" spans="1:2" s="24" customFormat="1" x14ac:dyDescent="0.25">
      <c r="A2192" s="78"/>
      <c r="B2192" s="78"/>
    </row>
    <row r="2193" spans="1:2" s="24" customFormat="1" x14ac:dyDescent="0.25">
      <c r="A2193" s="78"/>
      <c r="B2193" s="78"/>
    </row>
    <row r="2194" spans="1:2" s="24" customFormat="1" x14ac:dyDescent="0.25">
      <c r="A2194" s="78"/>
      <c r="B2194" s="78"/>
    </row>
    <row r="2195" spans="1:2" s="24" customFormat="1" x14ac:dyDescent="0.25">
      <c r="A2195" s="78"/>
      <c r="B2195" s="78"/>
    </row>
    <row r="2196" spans="1:2" s="24" customFormat="1" x14ac:dyDescent="0.25">
      <c r="A2196" s="78"/>
      <c r="B2196" s="78"/>
    </row>
    <row r="2197" spans="1:2" s="24" customFormat="1" x14ac:dyDescent="0.25">
      <c r="A2197" s="78"/>
      <c r="B2197" s="78"/>
    </row>
    <row r="2198" spans="1:2" s="24" customFormat="1" x14ac:dyDescent="0.25">
      <c r="A2198" s="78"/>
      <c r="B2198" s="78"/>
    </row>
    <row r="2199" spans="1:2" s="24" customFormat="1" x14ac:dyDescent="0.25">
      <c r="A2199" s="78"/>
      <c r="B2199" s="78"/>
    </row>
    <row r="2200" spans="1:2" s="24" customFormat="1" x14ac:dyDescent="0.25">
      <c r="A2200" s="78"/>
      <c r="B2200" s="78"/>
    </row>
  </sheetData>
  <sortState xmlns:xlrd2="http://schemas.microsoft.com/office/spreadsheetml/2017/richdata2" ref="L2:L1301">
    <sortCondition ref="L2:L1301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5D9"/>
  </sheetPr>
  <dimension ref="A1:G2200"/>
  <sheetViews>
    <sheetView workbookViewId="0">
      <selection activeCell="A2" sqref="A2:B2"/>
    </sheetView>
  </sheetViews>
  <sheetFormatPr defaultColWidth="9.140625" defaultRowHeight="15" x14ac:dyDescent="0.25"/>
  <cols>
    <col min="1" max="1" width="13.140625" style="79" customWidth="1"/>
    <col min="2" max="2" width="9.140625" style="79"/>
    <col min="3" max="3" width="9.140625" style="76"/>
    <col min="5" max="5" width="11.140625" customWidth="1"/>
    <col min="6" max="6" width="10" customWidth="1"/>
  </cols>
  <sheetData>
    <row r="1" spans="1:7" x14ac:dyDescent="0.25">
      <c r="A1" s="4" t="s">
        <v>13</v>
      </c>
      <c r="B1" s="4" t="s">
        <v>14</v>
      </c>
      <c r="C1" s="74"/>
      <c r="D1" s="102" t="s">
        <v>15</v>
      </c>
      <c r="E1" s="102" t="s">
        <v>18</v>
      </c>
      <c r="F1" s="102" t="s">
        <v>17</v>
      </c>
      <c r="G1" s="102" t="s">
        <v>19</v>
      </c>
    </row>
    <row r="2" spans="1:7" x14ac:dyDescent="0.25">
      <c r="A2" s="77">
        <v>10995374</v>
      </c>
      <c r="B2" s="77" t="s">
        <v>26</v>
      </c>
      <c r="C2" s="75"/>
      <c r="D2" s="103" t="s">
        <v>23</v>
      </c>
      <c r="E2" s="103">
        <v>3</v>
      </c>
      <c r="F2" s="103">
        <v>5</v>
      </c>
      <c r="G2" s="103">
        <v>5</v>
      </c>
    </row>
    <row r="3" spans="1:7" x14ac:dyDescent="0.25">
      <c r="A3" s="77"/>
      <c r="B3" s="77"/>
      <c r="C3" s="75"/>
    </row>
    <row r="4" spans="1:7" x14ac:dyDescent="0.25">
      <c r="A4" s="77"/>
      <c r="B4" s="77"/>
      <c r="C4" s="75"/>
    </row>
    <row r="5" spans="1:7" x14ac:dyDescent="0.25">
      <c r="A5" s="77"/>
      <c r="B5" s="77"/>
      <c r="C5" s="75"/>
    </row>
    <row r="6" spans="1:7" x14ac:dyDescent="0.25">
      <c r="A6" s="77"/>
      <c r="B6" s="77"/>
      <c r="C6" s="75"/>
    </row>
    <row r="7" spans="1:7" x14ac:dyDescent="0.25">
      <c r="A7" s="77"/>
      <c r="B7" s="77"/>
      <c r="C7" s="75"/>
    </row>
    <row r="8" spans="1:7" x14ac:dyDescent="0.25">
      <c r="A8" s="77"/>
      <c r="B8" s="77"/>
      <c r="C8" s="75"/>
    </row>
    <row r="9" spans="1:7" x14ac:dyDescent="0.25">
      <c r="A9" s="77"/>
      <c r="B9" s="77"/>
      <c r="C9" s="75"/>
    </row>
    <row r="10" spans="1:7" x14ac:dyDescent="0.25">
      <c r="A10" s="77"/>
      <c r="B10" s="77"/>
      <c r="C10" s="75"/>
    </row>
    <row r="11" spans="1:7" x14ac:dyDescent="0.25">
      <c r="A11" s="77"/>
      <c r="B11" s="77"/>
      <c r="C11" s="75"/>
    </row>
    <row r="12" spans="1:7" x14ac:dyDescent="0.25">
      <c r="A12" s="77"/>
      <c r="B12" s="77"/>
      <c r="C12" s="75"/>
    </row>
    <row r="13" spans="1:7" x14ac:dyDescent="0.25">
      <c r="A13" s="77"/>
      <c r="B13" s="77"/>
      <c r="C13" s="75"/>
    </row>
    <row r="14" spans="1:7" x14ac:dyDescent="0.25">
      <c r="A14" s="77"/>
      <c r="B14" s="77"/>
      <c r="C14" s="75"/>
    </row>
    <row r="15" spans="1:7" x14ac:dyDescent="0.25">
      <c r="A15" s="77"/>
      <c r="B15" s="77"/>
      <c r="C15" s="75"/>
    </row>
    <row r="16" spans="1:7" x14ac:dyDescent="0.25">
      <c r="A16" s="77"/>
      <c r="B16" s="77"/>
      <c r="C16" s="75"/>
    </row>
    <row r="17" spans="1:3" x14ac:dyDescent="0.25">
      <c r="A17" s="77"/>
      <c r="B17" s="77"/>
      <c r="C17" s="75"/>
    </row>
    <row r="18" spans="1:3" x14ac:dyDescent="0.25">
      <c r="A18" s="77"/>
      <c r="B18" s="77"/>
      <c r="C18" s="75"/>
    </row>
    <row r="19" spans="1:3" x14ac:dyDescent="0.25">
      <c r="A19" s="77"/>
      <c r="B19" s="77"/>
      <c r="C19" s="75"/>
    </row>
    <row r="20" spans="1:3" x14ac:dyDescent="0.25">
      <c r="A20" s="77"/>
      <c r="B20" s="77"/>
      <c r="C20" s="75"/>
    </row>
    <row r="21" spans="1:3" x14ac:dyDescent="0.25">
      <c r="A21" s="77"/>
      <c r="B21" s="77"/>
      <c r="C21" s="75"/>
    </row>
    <row r="22" spans="1:3" x14ac:dyDescent="0.25">
      <c r="A22" s="77"/>
      <c r="B22" s="77"/>
      <c r="C22" s="75"/>
    </row>
    <row r="23" spans="1:3" x14ac:dyDescent="0.25">
      <c r="A23" s="77"/>
      <c r="B23" s="77"/>
      <c r="C23" s="75"/>
    </row>
    <row r="24" spans="1:3" x14ac:dyDescent="0.25">
      <c r="A24" s="77"/>
      <c r="B24" s="77"/>
      <c r="C24" s="75"/>
    </row>
    <row r="25" spans="1:3" x14ac:dyDescent="0.25">
      <c r="A25" s="77"/>
      <c r="B25" s="77"/>
      <c r="C25" s="75"/>
    </row>
    <row r="26" spans="1:3" x14ac:dyDescent="0.25">
      <c r="A26" s="77"/>
      <c r="B26" s="77"/>
      <c r="C26" s="75"/>
    </row>
    <row r="27" spans="1:3" x14ac:dyDescent="0.25">
      <c r="A27" s="77"/>
      <c r="B27" s="77"/>
      <c r="C27" s="75"/>
    </row>
    <row r="28" spans="1:3" x14ac:dyDescent="0.25">
      <c r="A28" s="77"/>
      <c r="B28" s="77"/>
      <c r="C28" s="75"/>
    </row>
    <row r="29" spans="1:3" x14ac:dyDescent="0.25">
      <c r="A29" s="77"/>
      <c r="B29" s="77"/>
      <c r="C29" s="75"/>
    </row>
    <row r="30" spans="1:3" x14ac:dyDescent="0.25">
      <c r="A30" s="77"/>
      <c r="B30" s="77"/>
      <c r="C30" s="75"/>
    </row>
    <row r="31" spans="1:3" x14ac:dyDescent="0.25">
      <c r="A31" s="77"/>
      <c r="B31" s="77"/>
      <c r="C31" s="75"/>
    </row>
    <row r="32" spans="1:3" x14ac:dyDescent="0.25">
      <c r="A32" s="77"/>
      <c r="B32" s="77"/>
      <c r="C32" s="75"/>
    </row>
    <row r="33" spans="1:3" x14ac:dyDescent="0.25">
      <c r="A33" s="77"/>
      <c r="B33" s="77"/>
      <c r="C33" s="75"/>
    </row>
    <row r="34" spans="1:3" x14ac:dyDescent="0.25">
      <c r="A34" s="77"/>
      <c r="B34" s="77"/>
      <c r="C34" s="75"/>
    </row>
    <row r="35" spans="1:3" x14ac:dyDescent="0.25">
      <c r="A35" s="77"/>
      <c r="B35" s="77"/>
      <c r="C35" s="75"/>
    </row>
    <row r="36" spans="1:3" x14ac:dyDescent="0.25">
      <c r="A36" s="77"/>
      <c r="B36" s="77"/>
      <c r="C36" s="75"/>
    </row>
    <row r="37" spans="1:3" x14ac:dyDescent="0.25">
      <c r="A37" s="77"/>
      <c r="B37" s="77"/>
      <c r="C37" s="75"/>
    </row>
    <row r="38" spans="1:3" x14ac:dyDescent="0.25">
      <c r="A38" s="77"/>
      <c r="B38" s="77"/>
      <c r="C38" s="75"/>
    </row>
    <row r="39" spans="1:3" x14ac:dyDescent="0.25">
      <c r="A39" s="77"/>
      <c r="B39" s="77"/>
      <c r="C39" s="75"/>
    </row>
    <row r="40" spans="1:3" x14ac:dyDescent="0.25">
      <c r="A40" s="77"/>
      <c r="B40" s="77"/>
      <c r="C40" s="75"/>
    </row>
    <row r="41" spans="1:3" x14ac:dyDescent="0.25">
      <c r="A41" s="77"/>
      <c r="B41" s="77"/>
      <c r="C41" s="75"/>
    </row>
    <row r="42" spans="1:3" x14ac:dyDescent="0.25">
      <c r="A42" s="77"/>
      <c r="B42" s="77"/>
      <c r="C42" s="75"/>
    </row>
    <row r="43" spans="1:3" x14ac:dyDescent="0.25">
      <c r="A43" s="77"/>
      <c r="B43" s="77"/>
      <c r="C43" s="75"/>
    </row>
    <row r="44" spans="1:3" x14ac:dyDescent="0.25">
      <c r="A44" s="77"/>
      <c r="B44" s="77"/>
      <c r="C44" s="75"/>
    </row>
    <row r="45" spans="1:3" x14ac:dyDescent="0.25">
      <c r="A45" s="77"/>
      <c r="B45" s="77"/>
      <c r="C45" s="75"/>
    </row>
    <row r="46" spans="1:3" x14ac:dyDescent="0.25">
      <c r="A46" s="77"/>
      <c r="B46" s="77"/>
      <c r="C46" s="75"/>
    </row>
    <row r="47" spans="1:3" x14ac:dyDescent="0.25">
      <c r="A47" s="77"/>
      <c r="B47" s="77"/>
      <c r="C47" s="75"/>
    </row>
    <row r="48" spans="1:3" x14ac:dyDescent="0.25">
      <c r="A48" s="77"/>
      <c r="B48" s="77"/>
      <c r="C48" s="75"/>
    </row>
    <row r="49" spans="1:3" x14ac:dyDescent="0.25">
      <c r="A49" s="77"/>
      <c r="B49" s="77"/>
      <c r="C49" s="75"/>
    </row>
    <row r="50" spans="1:3" x14ac:dyDescent="0.25">
      <c r="A50" s="77"/>
      <c r="B50" s="77"/>
      <c r="C50" s="75"/>
    </row>
    <row r="51" spans="1:3" x14ac:dyDescent="0.25">
      <c r="A51" s="77"/>
      <c r="B51" s="77"/>
      <c r="C51" s="75"/>
    </row>
    <row r="52" spans="1:3" x14ac:dyDescent="0.25">
      <c r="A52" s="77"/>
      <c r="B52" s="77"/>
      <c r="C52" s="75"/>
    </row>
    <row r="53" spans="1:3" x14ac:dyDescent="0.25">
      <c r="A53" s="77"/>
      <c r="B53" s="77"/>
      <c r="C53" s="75"/>
    </row>
    <row r="54" spans="1:3" x14ac:dyDescent="0.25">
      <c r="A54" s="77"/>
      <c r="B54" s="77"/>
      <c r="C54" s="75"/>
    </row>
    <row r="55" spans="1:3" x14ac:dyDescent="0.25">
      <c r="A55" s="77"/>
      <c r="B55" s="77"/>
      <c r="C55" s="75"/>
    </row>
    <row r="56" spans="1:3" x14ac:dyDescent="0.25">
      <c r="A56" s="77"/>
      <c r="B56" s="77"/>
      <c r="C56" s="75"/>
    </row>
    <row r="57" spans="1:3" x14ac:dyDescent="0.25">
      <c r="A57" s="77"/>
      <c r="B57" s="77"/>
      <c r="C57" s="75"/>
    </row>
    <row r="58" spans="1:3" x14ac:dyDescent="0.25">
      <c r="A58" s="77"/>
      <c r="B58" s="77"/>
      <c r="C58" s="75"/>
    </row>
    <row r="59" spans="1:3" x14ac:dyDescent="0.25">
      <c r="A59" s="77"/>
      <c r="B59" s="77"/>
      <c r="C59" s="75"/>
    </row>
    <row r="60" spans="1:3" x14ac:dyDescent="0.25">
      <c r="A60" s="77"/>
      <c r="B60" s="77"/>
      <c r="C60" s="75"/>
    </row>
    <row r="61" spans="1:3" x14ac:dyDescent="0.25">
      <c r="A61" s="77"/>
      <c r="B61" s="77"/>
      <c r="C61" s="75"/>
    </row>
    <row r="62" spans="1:3" x14ac:dyDescent="0.25">
      <c r="A62" s="77"/>
      <c r="B62" s="77"/>
      <c r="C62" s="75"/>
    </row>
    <row r="63" spans="1:3" x14ac:dyDescent="0.25">
      <c r="A63" s="77"/>
      <c r="B63" s="77"/>
      <c r="C63" s="75"/>
    </row>
    <row r="64" spans="1:3" x14ac:dyDescent="0.25">
      <c r="A64" s="77"/>
      <c r="B64" s="77"/>
      <c r="C64" s="75"/>
    </row>
    <row r="65" spans="1:3" x14ac:dyDescent="0.25">
      <c r="A65" s="77"/>
      <c r="B65" s="77"/>
      <c r="C65" s="75"/>
    </row>
    <row r="66" spans="1:3" x14ac:dyDescent="0.25">
      <c r="A66" s="77"/>
      <c r="B66" s="77"/>
      <c r="C66" s="75"/>
    </row>
    <row r="67" spans="1:3" x14ac:dyDescent="0.25">
      <c r="A67" s="77"/>
      <c r="B67" s="77"/>
      <c r="C67" s="75"/>
    </row>
    <row r="68" spans="1:3" x14ac:dyDescent="0.25">
      <c r="A68" s="77"/>
      <c r="B68" s="77"/>
      <c r="C68" s="75"/>
    </row>
    <row r="69" spans="1:3" x14ac:dyDescent="0.25">
      <c r="A69" s="77"/>
      <c r="B69" s="77"/>
      <c r="C69" s="75"/>
    </row>
    <row r="70" spans="1:3" x14ac:dyDescent="0.25">
      <c r="A70" s="77"/>
      <c r="B70" s="77"/>
      <c r="C70" s="75"/>
    </row>
    <row r="71" spans="1:3" x14ac:dyDescent="0.25">
      <c r="A71" s="77"/>
      <c r="B71" s="77"/>
      <c r="C71" s="75"/>
    </row>
    <row r="72" spans="1:3" x14ac:dyDescent="0.25">
      <c r="A72" s="77"/>
      <c r="B72" s="77"/>
      <c r="C72" s="75"/>
    </row>
    <row r="73" spans="1:3" x14ac:dyDescent="0.25">
      <c r="A73" s="77"/>
      <c r="B73" s="77"/>
      <c r="C73" s="75"/>
    </row>
    <row r="74" spans="1:3" x14ac:dyDescent="0.25">
      <c r="A74" s="77"/>
      <c r="B74" s="77"/>
      <c r="C74" s="75"/>
    </row>
    <row r="75" spans="1:3" x14ac:dyDescent="0.25">
      <c r="A75" s="77"/>
      <c r="B75" s="77"/>
      <c r="C75" s="75"/>
    </row>
    <row r="76" spans="1:3" x14ac:dyDescent="0.25">
      <c r="A76" s="77"/>
      <c r="B76" s="77"/>
      <c r="C76" s="75"/>
    </row>
    <row r="77" spans="1:3" x14ac:dyDescent="0.25">
      <c r="A77" s="77"/>
      <c r="B77" s="77"/>
      <c r="C77" s="75"/>
    </row>
    <row r="78" spans="1:3" x14ac:dyDescent="0.25">
      <c r="A78" s="77"/>
      <c r="B78" s="77"/>
      <c r="C78" s="75"/>
    </row>
    <row r="79" spans="1:3" x14ac:dyDescent="0.25">
      <c r="A79" s="77"/>
      <c r="B79" s="77"/>
      <c r="C79" s="75"/>
    </row>
    <row r="80" spans="1:3" x14ac:dyDescent="0.25">
      <c r="A80" s="77"/>
      <c r="B80" s="77"/>
      <c r="C80" s="75"/>
    </row>
    <row r="81" spans="1:3" x14ac:dyDescent="0.25">
      <c r="A81" s="77"/>
      <c r="B81" s="77"/>
      <c r="C81" s="75"/>
    </row>
    <row r="82" spans="1:3" x14ac:dyDescent="0.25">
      <c r="A82" s="77"/>
      <c r="B82" s="77"/>
      <c r="C82" s="75"/>
    </row>
    <row r="83" spans="1:3" x14ac:dyDescent="0.25">
      <c r="A83" s="77"/>
      <c r="B83" s="77"/>
      <c r="C83" s="75"/>
    </row>
    <row r="84" spans="1:3" x14ac:dyDescent="0.25">
      <c r="A84" s="77"/>
      <c r="B84" s="77"/>
      <c r="C84" s="75"/>
    </row>
    <row r="85" spans="1:3" x14ac:dyDescent="0.25">
      <c r="A85" s="77"/>
      <c r="B85" s="77"/>
      <c r="C85" s="75"/>
    </row>
    <row r="86" spans="1:3" x14ac:dyDescent="0.25">
      <c r="A86" s="77"/>
      <c r="B86" s="77"/>
      <c r="C86" s="75"/>
    </row>
    <row r="87" spans="1:3" x14ac:dyDescent="0.25">
      <c r="A87" s="77"/>
      <c r="B87" s="77"/>
      <c r="C87" s="75"/>
    </row>
    <row r="88" spans="1:3" x14ac:dyDescent="0.25">
      <c r="A88" s="77"/>
      <c r="B88" s="77"/>
      <c r="C88" s="75"/>
    </row>
    <row r="89" spans="1:3" x14ac:dyDescent="0.25">
      <c r="A89" s="77"/>
      <c r="B89" s="77"/>
      <c r="C89" s="75"/>
    </row>
    <row r="90" spans="1:3" x14ac:dyDescent="0.25">
      <c r="A90" s="77"/>
      <c r="B90" s="77"/>
      <c r="C90" s="75"/>
    </row>
    <row r="91" spans="1:3" x14ac:dyDescent="0.25">
      <c r="A91" s="77"/>
      <c r="B91" s="77"/>
      <c r="C91" s="75"/>
    </row>
    <row r="92" spans="1:3" x14ac:dyDescent="0.25">
      <c r="A92" s="77"/>
      <c r="B92" s="77"/>
      <c r="C92" s="75"/>
    </row>
    <row r="93" spans="1:3" x14ac:dyDescent="0.25">
      <c r="A93" s="77"/>
      <c r="B93" s="77"/>
      <c r="C93" s="75"/>
    </row>
    <row r="94" spans="1:3" x14ac:dyDescent="0.25">
      <c r="A94" s="77"/>
      <c r="B94" s="77"/>
      <c r="C94" s="75"/>
    </row>
    <row r="95" spans="1:3" x14ac:dyDescent="0.25">
      <c r="A95" s="77"/>
      <c r="B95" s="77"/>
      <c r="C95" s="75"/>
    </row>
    <row r="96" spans="1:3" x14ac:dyDescent="0.25">
      <c r="A96" s="77"/>
      <c r="B96" s="77"/>
      <c r="C96" s="75"/>
    </row>
    <row r="97" spans="1:3" x14ac:dyDescent="0.25">
      <c r="A97" s="77"/>
      <c r="B97" s="77"/>
      <c r="C97" s="75"/>
    </row>
    <row r="98" spans="1:3" x14ac:dyDescent="0.25">
      <c r="A98" s="77"/>
      <c r="B98" s="77"/>
      <c r="C98" s="75"/>
    </row>
    <row r="99" spans="1:3" x14ac:dyDescent="0.25">
      <c r="A99" s="77"/>
      <c r="B99" s="77"/>
      <c r="C99" s="75"/>
    </row>
    <row r="100" spans="1:3" x14ac:dyDescent="0.25">
      <c r="A100" s="77"/>
      <c r="B100" s="77"/>
      <c r="C100" s="75"/>
    </row>
    <row r="101" spans="1:3" x14ac:dyDescent="0.25">
      <c r="A101" s="77"/>
      <c r="B101" s="77"/>
      <c r="C101" s="75"/>
    </row>
    <row r="102" spans="1:3" x14ac:dyDescent="0.25">
      <c r="A102" s="77"/>
      <c r="B102" s="77"/>
      <c r="C102" s="75"/>
    </row>
    <row r="103" spans="1:3" x14ac:dyDescent="0.25">
      <c r="A103" s="77"/>
      <c r="B103" s="77"/>
      <c r="C103" s="75"/>
    </row>
    <row r="104" spans="1:3" x14ac:dyDescent="0.25">
      <c r="A104" s="77"/>
      <c r="B104" s="77"/>
      <c r="C104" s="75"/>
    </row>
    <row r="105" spans="1:3" x14ac:dyDescent="0.25">
      <c r="A105" s="77"/>
      <c r="B105" s="77"/>
      <c r="C105" s="75"/>
    </row>
    <row r="106" spans="1:3" x14ac:dyDescent="0.25">
      <c r="A106" s="77"/>
      <c r="B106" s="77"/>
      <c r="C106" s="75"/>
    </row>
    <row r="107" spans="1:3" x14ac:dyDescent="0.25">
      <c r="A107" s="77"/>
      <c r="B107" s="77"/>
      <c r="C107" s="75"/>
    </row>
    <row r="108" spans="1:3" x14ac:dyDescent="0.25">
      <c r="A108" s="77"/>
      <c r="B108" s="77"/>
      <c r="C108" s="75"/>
    </row>
    <row r="109" spans="1:3" x14ac:dyDescent="0.25">
      <c r="A109" s="77"/>
      <c r="B109" s="77"/>
      <c r="C109" s="75"/>
    </row>
    <row r="110" spans="1:3" x14ac:dyDescent="0.25">
      <c r="A110" s="77"/>
      <c r="B110" s="77"/>
      <c r="C110" s="75"/>
    </row>
    <row r="111" spans="1:3" x14ac:dyDescent="0.25">
      <c r="A111" s="77"/>
      <c r="B111" s="77"/>
      <c r="C111" s="75"/>
    </row>
    <row r="112" spans="1:3" x14ac:dyDescent="0.25">
      <c r="A112" s="77"/>
      <c r="B112" s="77"/>
      <c r="C112" s="75"/>
    </row>
    <row r="113" spans="1:3" x14ac:dyDescent="0.25">
      <c r="A113" s="77"/>
      <c r="B113" s="77"/>
      <c r="C113" s="75"/>
    </row>
    <row r="114" spans="1:3" x14ac:dyDescent="0.25">
      <c r="A114" s="77"/>
      <c r="B114" s="77"/>
      <c r="C114" s="75"/>
    </row>
    <row r="115" spans="1:3" x14ac:dyDescent="0.25">
      <c r="A115" s="77"/>
      <c r="B115" s="77"/>
      <c r="C115" s="75"/>
    </row>
    <row r="116" spans="1:3" x14ac:dyDescent="0.25">
      <c r="A116" s="77"/>
      <c r="B116" s="77"/>
      <c r="C116" s="75"/>
    </row>
    <row r="117" spans="1:3" x14ac:dyDescent="0.25">
      <c r="A117" s="77"/>
      <c r="B117" s="77"/>
      <c r="C117" s="75"/>
    </row>
    <row r="118" spans="1:3" x14ac:dyDescent="0.25">
      <c r="A118" s="77"/>
      <c r="B118" s="77"/>
      <c r="C118" s="75"/>
    </row>
    <row r="119" spans="1:3" x14ac:dyDescent="0.25">
      <c r="A119" s="77"/>
      <c r="B119" s="77"/>
      <c r="C119" s="75"/>
    </row>
    <row r="120" spans="1:3" x14ac:dyDescent="0.25">
      <c r="A120" s="77"/>
      <c r="B120" s="77"/>
      <c r="C120" s="75"/>
    </row>
    <row r="121" spans="1:3" x14ac:dyDescent="0.25">
      <c r="A121" s="77"/>
      <c r="B121" s="77"/>
      <c r="C121" s="75"/>
    </row>
    <row r="122" spans="1:3" x14ac:dyDescent="0.25">
      <c r="A122" s="77"/>
      <c r="B122" s="77"/>
      <c r="C122" s="75"/>
    </row>
    <row r="123" spans="1:3" x14ac:dyDescent="0.25">
      <c r="A123" s="77"/>
      <c r="B123" s="77"/>
      <c r="C123" s="75"/>
    </row>
    <row r="124" spans="1:3" x14ac:dyDescent="0.25">
      <c r="A124" s="77"/>
      <c r="B124" s="77"/>
      <c r="C124" s="75"/>
    </row>
    <row r="125" spans="1:3" x14ac:dyDescent="0.25">
      <c r="A125" s="77"/>
      <c r="B125" s="77"/>
      <c r="C125" s="75"/>
    </row>
    <row r="126" spans="1:3" x14ac:dyDescent="0.25">
      <c r="A126" s="77"/>
      <c r="B126" s="77"/>
      <c r="C126" s="75"/>
    </row>
    <row r="127" spans="1:3" x14ac:dyDescent="0.25">
      <c r="A127" s="77"/>
      <c r="B127" s="77"/>
      <c r="C127" s="75"/>
    </row>
    <row r="128" spans="1:3" x14ac:dyDescent="0.25">
      <c r="A128" s="77"/>
      <c r="B128" s="77"/>
      <c r="C128" s="75"/>
    </row>
    <row r="129" spans="1:3" x14ac:dyDescent="0.25">
      <c r="A129" s="77"/>
      <c r="B129" s="77"/>
      <c r="C129" s="75"/>
    </row>
    <row r="130" spans="1:3" x14ac:dyDescent="0.25">
      <c r="A130" s="77"/>
      <c r="B130" s="77"/>
      <c r="C130" s="75"/>
    </row>
    <row r="131" spans="1:3" x14ac:dyDescent="0.25">
      <c r="A131" s="77"/>
      <c r="B131" s="77"/>
      <c r="C131" s="75"/>
    </row>
    <row r="132" spans="1:3" x14ac:dyDescent="0.25">
      <c r="A132" s="77"/>
      <c r="B132" s="77"/>
      <c r="C132" s="75"/>
    </row>
    <row r="133" spans="1:3" x14ac:dyDescent="0.25">
      <c r="A133" s="77"/>
      <c r="B133" s="77"/>
      <c r="C133" s="75"/>
    </row>
    <row r="134" spans="1:3" x14ac:dyDescent="0.25">
      <c r="A134" s="77"/>
      <c r="B134" s="77"/>
      <c r="C134" s="75"/>
    </row>
    <row r="135" spans="1:3" x14ac:dyDescent="0.25">
      <c r="A135" s="77"/>
      <c r="B135" s="77"/>
      <c r="C135" s="75"/>
    </row>
    <row r="136" spans="1:3" x14ac:dyDescent="0.25">
      <c r="A136" s="77"/>
      <c r="B136" s="77"/>
      <c r="C136" s="75"/>
    </row>
    <row r="137" spans="1:3" x14ac:dyDescent="0.25">
      <c r="A137" s="77"/>
      <c r="B137" s="77"/>
      <c r="C137" s="75"/>
    </row>
    <row r="138" spans="1:3" x14ac:dyDescent="0.25">
      <c r="A138" s="77"/>
      <c r="B138" s="77"/>
      <c r="C138" s="75"/>
    </row>
    <row r="139" spans="1:3" x14ac:dyDescent="0.25">
      <c r="A139" s="77"/>
      <c r="B139" s="77"/>
      <c r="C139" s="75"/>
    </row>
    <row r="140" spans="1:3" x14ac:dyDescent="0.25">
      <c r="A140" s="77"/>
      <c r="B140" s="77"/>
      <c r="C140" s="75"/>
    </row>
    <row r="141" spans="1:3" x14ac:dyDescent="0.25">
      <c r="A141" s="77"/>
      <c r="B141" s="77"/>
      <c r="C141" s="75"/>
    </row>
    <row r="142" spans="1:3" x14ac:dyDescent="0.25">
      <c r="A142" s="77"/>
      <c r="B142" s="77"/>
      <c r="C142" s="75"/>
    </row>
    <row r="143" spans="1:3" x14ac:dyDescent="0.25">
      <c r="A143" s="77"/>
      <c r="B143" s="77"/>
      <c r="C143" s="75"/>
    </row>
    <row r="144" spans="1:3" x14ac:dyDescent="0.25">
      <c r="A144" s="77"/>
      <c r="B144" s="77"/>
      <c r="C144" s="75"/>
    </row>
    <row r="145" spans="1:3" x14ac:dyDescent="0.25">
      <c r="A145" s="77"/>
      <c r="B145" s="77"/>
      <c r="C145" s="75"/>
    </row>
    <row r="146" spans="1:3" x14ac:dyDescent="0.25">
      <c r="A146" s="77"/>
      <c r="B146" s="77"/>
      <c r="C146" s="75"/>
    </row>
    <row r="147" spans="1:3" x14ac:dyDescent="0.25">
      <c r="A147" s="77"/>
      <c r="B147" s="77"/>
      <c r="C147" s="75"/>
    </row>
    <row r="148" spans="1:3" x14ac:dyDescent="0.25">
      <c r="A148" s="77"/>
      <c r="B148" s="77"/>
      <c r="C148" s="75"/>
    </row>
    <row r="149" spans="1:3" x14ac:dyDescent="0.25">
      <c r="A149" s="77"/>
      <c r="B149" s="77"/>
      <c r="C149" s="75"/>
    </row>
    <row r="150" spans="1:3" x14ac:dyDescent="0.25">
      <c r="A150" s="77"/>
      <c r="B150" s="77"/>
      <c r="C150" s="75"/>
    </row>
    <row r="151" spans="1:3" x14ac:dyDescent="0.25">
      <c r="A151" s="77"/>
      <c r="B151" s="77"/>
      <c r="C151" s="75"/>
    </row>
    <row r="152" spans="1:3" x14ac:dyDescent="0.25">
      <c r="A152" s="77"/>
      <c r="B152" s="77"/>
      <c r="C152" s="75"/>
    </row>
    <row r="153" spans="1:3" x14ac:dyDescent="0.25">
      <c r="A153" s="77"/>
      <c r="B153" s="77"/>
      <c r="C153" s="75"/>
    </row>
    <row r="154" spans="1:3" x14ac:dyDescent="0.25">
      <c r="A154" s="77"/>
      <c r="B154" s="77"/>
      <c r="C154" s="75"/>
    </row>
    <row r="155" spans="1:3" x14ac:dyDescent="0.25">
      <c r="A155" s="77"/>
      <c r="B155" s="77"/>
      <c r="C155" s="75"/>
    </row>
    <row r="156" spans="1:3" x14ac:dyDescent="0.25">
      <c r="A156" s="77"/>
      <c r="B156" s="77"/>
      <c r="C156" s="75"/>
    </row>
    <row r="157" spans="1:3" x14ac:dyDescent="0.25">
      <c r="A157" s="77"/>
      <c r="B157" s="77"/>
      <c r="C157" s="75"/>
    </row>
    <row r="158" spans="1:3" x14ac:dyDescent="0.25">
      <c r="A158" s="77"/>
      <c r="B158" s="77"/>
      <c r="C158" s="75"/>
    </row>
    <row r="159" spans="1:3" x14ac:dyDescent="0.25">
      <c r="A159" s="77"/>
      <c r="B159" s="77"/>
      <c r="C159" s="75"/>
    </row>
    <row r="160" spans="1:3" x14ac:dyDescent="0.25">
      <c r="A160" s="77"/>
      <c r="B160" s="77"/>
      <c r="C160" s="75"/>
    </row>
    <row r="161" spans="1:3" x14ac:dyDescent="0.25">
      <c r="A161" s="77"/>
      <c r="B161" s="77"/>
      <c r="C161" s="75"/>
    </row>
    <row r="162" spans="1:3" x14ac:dyDescent="0.25">
      <c r="A162" s="77"/>
      <c r="B162" s="77"/>
      <c r="C162" s="75"/>
    </row>
    <row r="163" spans="1:3" x14ac:dyDescent="0.25">
      <c r="A163" s="77"/>
      <c r="B163" s="77"/>
      <c r="C163" s="75"/>
    </row>
    <row r="164" spans="1:3" x14ac:dyDescent="0.25">
      <c r="A164" s="77"/>
      <c r="B164" s="77"/>
      <c r="C164" s="75"/>
    </row>
    <row r="165" spans="1:3" x14ac:dyDescent="0.25">
      <c r="A165" s="77"/>
      <c r="B165" s="77"/>
      <c r="C165" s="75"/>
    </row>
    <row r="166" spans="1:3" x14ac:dyDescent="0.25">
      <c r="A166" s="77"/>
      <c r="B166" s="77"/>
      <c r="C166" s="75"/>
    </row>
    <row r="167" spans="1:3" x14ac:dyDescent="0.25">
      <c r="A167" s="77"/>
      <c r="B167" s="77"/>
      <c r="C167" s="75"/>
    </row>
    <row r="168" spans="1:3" x14ac:dyDescent="0.25">
      <c r="A168" s="77"/>
      <c r="B168" s="77"/>
      <c r="C168" s="75"/>
    </row>
    <row r="169" spans="1:3" x14ac:dyDescent="0.25">
      <c r="A169" s="77"/>
      <c r="B169" s="77"/>
      <c r="C169" s="75"/>
    </row>
    <row r="170" spans="1:3" x14ac:dyDescent="0.25">
      <c r="A170" s="77"/>
      <c r="B170" s="77"/>
      <c r="C170" s="75"/>
    </row>
    <row r="171" spans="1:3" x14ac:dyDescent="0.25">
      <c r="A171" s="77"/>
      <c r="B171" s="77"/>
      <c r="C171" s="75"/>
    </row>
    <row r="172" spans="1:3" x14ac:dyDescent="0.25">
      <c r="A172" s="77"/>
      <c r="B172" s="77"/>
      <c r="C172" s="75"/>
    </row>
    <row r="173" spans="1:3" x14ac:dyDescent="0.25">
      <c r="A173" s="77"/>
      <c r="B173" s="77"/>
      <c r="C173" s="75"/>
    </row>
    <row r="174" spans="1:3" x14ac:dyDescent="0.25">
      <c r="A174" s="77"/>
      <c r="B174" s="77"/>
      <c r="C174" s="75"/>
    </row>
    <row r="175" spans="1:3" x14ac:dyDescent="0.25">
      <c r="A175" s="77"/>
      <c r="B175" s="77"/>
      <c r="C175" s="75"/>
    </row>
    <row r="176" spans="1:3" x14ac:dyDescent="0.25">
      <c r="A176" s="77"/>
      <c r="B176" s="77"/>
      <c r="C176" s="75"/>
    </row>
    <row r="177" spans="1:3" x14ac:dyDescent="0.25">
      <c r="A177" s="77"/>
      <c r="B177" s="77"/>
      <c r="C177" s="75"/>
    </row>
    <row r="178" spans="1:3" x14ac:dyDescent="0.25">
      <c r="A178" s="77"/>
      <c r="B178" s="77"/>
      <c r="C178" s="75"/>
    </row>
    <row r="179" spans="1:3" x14ac:dyDescent="0.25">
      <c r="A179" s="77"/>
      <c r="B179" s="77"/>
      <c r="C179" s="75"/>
    </row>
    <row r="180" spans="1:3" x14ac:dyDescent="0.25">
      <c r="A180" s="77"/>
      <c r="B180" s="77"/>
      <c r="C180" s="75"/>
    </row>
    <row r="181" spans="1:3" x14ac:dyDescent="0.25">
      <c r="A181" s="77"/>
      <c r="B181" s="77"/>
      <c r="C181" s="75"/>
    </row>
    <row r="182" spans="1:3" x14ac:dyDescent="0.25">
      <c r="A182" s="77"/>
      <c r="B182" s="77"/>
      <c r="C182" s="75"/>
    </row>
    <row r="183" spans="1:3" x14ac:dyDescent="0.25">
      <c r="A183" s="77"/>
      <c r="B183" s="77"/>
      <c r="C183" s="75"/>
    </row>
    <row r="184" spans="1:3" x14ac:dyDescent="0.25">
      <c r="A184" s="77"/>
      <c r="B184" s="77"/>
      <c r="C184" s="75"/>
    </row>
    <row r="185" spans="1:3" x14ac:dyDescent="0.25">
      <c r="A185" s="77"/>
      <c r="B185" s="77"/>
      <c r="C185" s="75"/>
    </row>
    <row r="186" spans="1:3" x14ac:dyDescent="0.25">
      <c r="A186" s="77"/>
      <c r="B186" s="77"/>
      <c r="C186" s="75"/>
    </row>
    <row r="187" spans="1:3" x14ac:dyDescent="0.25">
      <c r="A187" s="77"/>
      <c r="B187" s="77"/>
      <c r="C187" s="75"/>
    </row>
    <row r="188" spans="1:3" x14ac:dyDescent="0.25">
      <c r="A188" s="77"/>
      <c r="B188" s="77"/>
      <c r="C188" s="75"/>
    </row>
    <row r="189" spans="1:3" x14ac:dyDescent="0.25">
      <c r="A189" s="77"/>
      <c r="B189" s="77"/>
      <c r="C189" s="75"/>
    </row>
    <row r="190" spans="1:3" x14ac:dyDescent="0.25">
      <c r="A190" s="77"/>
      <c r="B190" s="77"/>
      <c r="C190" s="75"/>
    </row>
    <row r="191" spans="1:3" x14ac:dyDescent="0.25">
      <c r="A191" s="77"/>
      <c r="B191" s="77"/>
      <c r="C191" s="75"/>
    </row>
    <row r="192" spans="1:3" x14ac:dyDescent="0.25">
      <c r="A192" s="77"/>
      <c r="B192" s="77"/>
      <c r="C192" s="75"/>
    </row>
    <row r="193" spans="1:3" x14ac:dyDescent="0.25">
      <c r="A193" s="77"/>
      <c r="B193" s="77"/>
      <c r="C193" s="75"/>
    </row>
    <row r="194" spans="1:3" x14ac:dyDescent="0.25">
      <c r="A194" s="77"/>
      <c r="B194" s="77"/>
      <c r="C194" s="75"/>
    </row>
    <row r="195" spans="1:3" x14ac:dyDescent="0.25">
      <c r="A195" s="77"/>
      <c r="B195" s="77"/>
      <c r="C195" s="75"/>
    </row>
    <row r="196" spans="1:3" x14ac:dyDescent="0.25">
      <c r="A196" s="77"/>
      <c r="B196" s="77"/>
      <c r="C196" s="75"/>
    </row>
    <row r="197" spans="1:3" x14ac:dyDescent="0.25">
      <c r="A197" s="77"/>
      <c r="B197" s="77"/>
      <c r="C197" s="75"/>
    </row>
    <row r="198" spans="1:3" x14ac:dyDescent="0.25">
      <c r="A198" s="77"/>
      <c r="B198" s="77"/>
      <c r="C198" s="75"/>
    </row>
    <row r="199" spans="1:3" x14ac:dyDescent="0.25">
      <c r="A199" s="77"/>
      <c r="B199" s="77"/>
      <c r="C199" s="75"/>
    </row>
    <row r="200" spans="1:3" x14ac:dyDescent="0.25">
      <c r="A200" s="77"/>
      <c r="B200" s="77"/>
      <c r="C200" s="75"/>
    </row>
    <row r="201" spans="1:3" x14ac:dyDescent="0.25">
      <c r="A201" s="77"/>
      <c r="B201" s="77"/>
      <c r="C201" s="75"/>
    </row>
    <row r="202" spans="1:3" x14ac:dyDescent="0.25">
      <c r="A202" s="77"/>
      <c r="B202" s="77"/>
      <c r="C202" s="75"/>
    </row>
    <row r="203" spans="1:3" x14ac:dyDescent="0.25">
      <c r="A203" s="77"/>
      <c r="B203" s="77"/>
      <c r="C203" s="75"/>
    </row>
    <row r="204" spans="1:3" x14ac:dyDescent="0.25">
      <c r="A204" s="77"/>
      <c r="B204" s="77"/>
      <c r="C204" s="75"/>
    </row>
    <row r="205" spans="1:3" x14ac:dyDescent="0.25">
      <c r="A205" s="77"/>
      <c r="B205" s="77"/>
      <c r="C205" s="75"/>
    </row>
    <row r="206" spans="1:3" x14ac:dyDescent="0.25">
      <c r="A206" s="77"/>
      <c r="B206" s="77"/>
      <c r="C206" s="75"/>
    </row>
    <row r="207" spans="1:3" x14ac:dyDescent="0.25">
      <c r="A207" s="77"/>
      <c r="B207" s="77"/>
      <c r="C207" s="75"/>
    </row>
    <row r="208" spans="1:3" x14ac:dyDescent="0.25">
      <c r="A208" s="77"/>
      <c r="B208" s="77"/>
      <c r="C208" s="75"/>
    </row>
    <row r="209" spans="1:3" x14ac:dyDescent="0.25">
      <c r="A209" s="77"/>
      <c r="B209" s="77"/>
      <c r="C209" s="75"/>
    </row>
    <row r="210" spans="1:3" x14ac:dyDescent="0.25">
      <c r="A210" s="77"/>
      <c r="B210" s="77"/>
      <c r="C210" s="75"/>
    </row>
    <row r="211" spans="1:3" x14ac:dyDescent="0.25">
      <c r="A211" s="77"/>
      <c r="B211" s="77"/>
      <c r="C211" s="75"/>
    </row>
    <row r="212" spans="1:3" x14ac:dyDescent="0.25">
      <c r="A212" s="77"/>
      <c r="B212" s="77"/>
      <c r="C212" s="75"/>
    </row>
    <row r="213" spans="1:3" x14ac:dyDescent="0.25">
      <c r="A213" s="77"/>
      <c r="B213" s="77"/>
      <c r="C213" s="75"/>
    </row>
    <row r="214" spans="1:3" x14ac:dyDescent="0.25">
      <c r="A214" s="77"/>
      <c r="B214" s="77"/>
      <c r="C214" s="75"/>
    </row>
    <row r="215" spans="1:3" x14ac:dyDescent="0.25">
      <c r="A215" s="77"/>
      <c r="B215" s="77"/>
      <c r="C215" s="75"/>
    </row>
    <row r="216" spans="1:3" x14ac:dyDescent="0.25">
      <c r="A216" s="77"/>
      <c r="B216" s="77"/>
      <c r="C216" s="75"/>
    </row>
    <row r="217" spans="1:3" x14ac:dyDescent="0.25">
      <c r="A217" s="77"/>
      <c r="B217" s="77"/>
      <c r="C217" s="75"/>
    </row>
    <row r="218" spans="1:3" x14ac:dyDescent="0.25">
      <c r="A218" s="77"/>
      <c r="B218" s="77"/>
      <c r="C218" s="75"/>
    </row>
    <row r="219" spans="1:3" x14ac:dyDescent="0.25">
      <c r="A219" s="77"/>
      <c r="B219" s="77"/>
      <c r="C219" s="75"/>
    </row>
    <row r="220" spans="1:3" x14ac:dyDescent="0.25">
      <c r="A220" s="77"/>
      <c r="B220" s="77"/>
      <c r="C220" s="75"/>
    </row>
    <row r="221" spans="1:3" x14ac:dyDescent="0.25">
      <c r="A221" s="77"/>
      <c r="B221" s="77"/>
      <c r="C221" s="75"/>
    </row>
    <row r="222" spans="1:3" x14ac:dyDescent="0.25">
      <c r="A222" s="77"/>
      <c r="B222" s="77"/>
      <c r="C222" s="75"/>
    </row>
    <row r="223" spans="1:3" x14ac:dyDescent="0.25">
      <c r="A223" s="77"/>
      <c r="B223" s="77"/>
      <c r="C223" s="75"/>
    </row>
    <row r="224" spans="1:3" x14ac:dyDescent="0.25">
      <c r="A224" s="77"/>
      <c r="B224" s="77"/>
      <c r="C224" s="75"/>
    </row>
    <row r="225" spans="1:3" x14ac:dyDescent="0.25">
      <c r="A225" s="77"/>
      <c r="B225" s="77"/>
      <c r="C225" s="75"/>
    </row>
    <row r="226" spans="1:3" x14ac:dyDescent="0.25">
      <c r="A226" s="77"/>
      <c r="B226" s="77"/>
      <c r="C226" s="75"/>
    </row>
    <row r="227" spans="1:3" x14ac:dyDescent="0.25">
      <c r="A227" s="77"/>
      <c r="B227" s="77"/>
      <c r="C227" s="75"/>
    </row>
    <row r="228" spans="1:3" x14ac:dyDescent="0.25">
      <c r="A228" s="77"/>
      <c r="B228" s="77"/>
      <c r="C228" s="75"/>
    </row>
    <row r="229" spans="1:3" x14ac:dyDescent="0.25">
      <c r="A229" s="77"/>
      <c r="B229" s="77"/>
      <c r="C229" s="75"/>
    </row>
    <row r="230" spans="1:3" x14ac:dyDescent="0.25">
      <c r="A230" s="77"/>
      <c r="B230" s="77"/>
      <c r="C230" s="75"/>
    </row>
    <row r="231" spans="1:3" x14ac:dyDescent="0.25">
      <c r="A231" s="77"/>
      <c r="B231" s="77"/>
      <c r="C231" s="75"/>
    </row>
    <row r="232" spans="1:3" x14ac:dyDescent="0.25">
      <c r="A232" s="77"/>
      <c r="B232" s="77"/>
      <c r="C232" s="75"/>
    </row>
    <row r="233" spans="1:3" x14ac:dyDescent="0.25">
      <c r="A233" s="77"/>
      <c r="B233" s="77"/>
      <c r="C233" s="75"/>
    </row>
    <row r="234" spans="1:3" x14ac:dyDescent="0.25">
      <c r="A234" s="77"/>
      <c r="B234" s="77"/>
      <c r="C234" s="75"/>
    </row>
    <row r="235" spans="1:3" x14ac:dyDescent="0.25">
      <c r="A235" s="77"/>
      <c r="B235" s="77"/>
      <c r="C235" s="75"/>
    </row>
    <row r="236" spans="1:3" x14ac:dyDescent="0.25">
      <c r="A236" s="77"/>
      <c r="B236" s="77"/>
      <c r="C236" s="75"/>
    </row>
    <row r="237" spans="1:3" x14ac:dyDescent="0.25">
      <c r="A237" s="77"/>
      <c r="B237" s="77"/>
      <c r="C237" s="75"/>
    </row>
    <row r="238" spans="1:3" x14ac:dyDescent="0.25">
      <c r="A238" s="77"/>
      <c r="B238" s="77"/>
      <c r="C238" s="75"/>
    </row>
    <row r="239" spans="1:3" x14ac:dyDescent="0.25">
      <c r="A239" s="77"/>
      <c r="B239" s="77"/>
      <c r="C239" s="75"/>
    </row>
    <row r="240" spans="1:3" x14ac:dyDescent="0.25">
      <c r="A240" s="77"/>
      <c r="B240" s="77"/>
      <c r="C240" s="75"/>
    </row>
    <row r="241" spans="1:3" x14ac:dyDescent="0.25">
      <c r="A241" s="77"/>
      <c r="B241" s="77"/>
      <c r="C241" s="75"/>
    </row>
    <row r="242" spans="1:3" x14ac:dyDescent="0.25">
      <c r="A242" s="77"/>
      <c r="B242" s="77"/>
      <c r="C242" s="75"/>
    </row>
    <row r="243" spans="1:3" x14ac:dyDescent="0.25">
      <c r="A243" s="77"/>
      <c r="B243" s="77"/>
      <c r="C243" s="75"/>
    </row>
    <row r="244" spans="1:3" x14ac:dyDescent="0.25">
      <c r="A244" s="77"/>
      <c r="B244" s="77"/>
      <c r="C244" s="75"/>
    </row>
    <row r="245" spans="1:3" x14ac:dyDescent="0.25">
      <c r="A245" s="77"/>
      <c r="B245" s="77"/>
      <c r="C245" s="75"/>
    </row>
    <row r="246" spans="1:3" x14ac:dyDescent="0.25">
      <c r="A246" s="77"/>
      <c r="B246" s="77"/>
      <c r="C246" s="75"/>
    </row>
    <row r="247" spans="1:3" x14ac:dyDescent="0.25">
      <c r="A247" s="77"/>
      <c r="B247" s="77"/>
      <c r="C247" s="75"/>
    </row>
    <row r="248" spans="1:3" x14ac:dyDescent="0.25">
      <c r="A248" s="77"/>
      <c r="B248" s="77"/>
      <c r="C248" s="75"/>
    </row>
    <row r="249" spans="1:3" x14ac:dyDescent="0.25">
      <c r="A249" s="77"/>
      <c r="B249" s="77"/>
      <c r="C249" s="75"/>
    </row>
    <row r="250" spans="1:3" x14ac:dyDescent="0.25">
      <c r="A250" s="77"/>
      <c r="B250" s="77"/>
      <c r="C250" s="75"/>
    </row>
    <row r="251" spans="1:3" x14ac:dyDescent="0.25">
      <c r="A251" s="77"/>
      <c r="B251" s="77"/>
      <c r="C251" s="75"/>
    </row>
    <row r="252" spans="1:3" x14ac:dyDescent="0.25">
      <c r="A252" s="77"/>
      <c r="B252" s="77"/>
      <c r="C252" s="75"/>
    </row>
    <row r="253" spans="1:3" x14ac:dyDescent="0.25">
      <c r="A253" s="77"/>
      <c r="B253" s="77"/>
      <c r="C253" s="75"/>
    </row>
    <row r="254" spans="1:3" x14ac:dyDescent="0.25">
      <c r="A254" s="77"/>
      <c r="B254" s="77"/>
      <c r="C254" s="75"/>
    </row>
    <row r="255" spans="1:3" x14ac:dyDescent="0.25">
      <c r="A255" s="77"/>
      <c r="B255" s="77"/>
      <c r="C255" s="75"/>
    </row>
    <row r="256" spans="1:3" x14ac:dyDescent="0.25">
      <c r="A256" s="77"/>
      <c r="B256" s="77"/>
      <c r="C256" s="75"/>
    </row>
    <row r="257" spans="1:3" x14ac:dyDescent="0.25">
      <c r="A257" s="77"/>
      <c r="B257" s="77"/>
      <c r="C257" s="75"/>
    </row>
    <row r="258" spans="1:3" x14ac:dyDescent="0.25">
      <c r="A258" s="77"/>
      <c r="B258" s="77"/>
      <c r="C258" s="75"/>
    </row>
    <row r="259" spans="1:3" x14ac:dyDescent="0.25">
      <c r="A259" s="77"/>
      <c r="B259" s="77"/>
      <c r="C259" s="75"/>
    </row>
    <row r="260" spans="1:3" x14ac:dyDescent="0.25">
      <c r="A260" s="77"/>
      <c r="B260" s="77"/>
      <c r="C260" s="75"/>
    </row>
    <row r="261" spans="1:3" x14ac:dyDescent="0.25">
      <c r="A261" s="77"/>
      <c r="B261" s="77"/>
      <c r="C261" s="75"/>
    </row>
    <row r="262" spans="1:3" x14ac:dyDescent="0.25">
      <c r="A262" s="77"/>
      <c r="B262" s="77"/>
      <c r="C262" s="75"/>
    </row>
    <row r="263" spans="1:3" x14ac:dyDescent="0.25">
      <c r="A263" s="77"/>
      <c r="B263" s="77"/>
      <c r="C263" s="75"/>
    </row>
    <row r="264" spans="1:3" x14ac:dyDescent="0.25">
      <c r="A264" s="77"/>
      <c r="B264" s="77"/>
      <c r="C264" s="75"/>
    </row>
    <row r="265" spans="1:3" x14ac:dyDescent="0.25">
      <c r="A265" s="77"/>
      <c r="B265" s="77"/>
      <c r="C265" s="75"/>
    </row>
    <row r="266" spans="1:3" x14ac:dyDescent="0.25">
      <c r="A266" s="77"/>
      <c r="B266" s="77"/>
      <c r="C266" s="75"/>
    </row>
    <row r="267" spans="1:3" x14ac:dyDescent="0.25">
      <c r="A267" s="77"/>
      <c r="B267" s="77"/>
      <c r="C267" s="75"/>
    </row>
    <row r="268" spans="1:3" x14ac:dyDescent="0.25">
      <c r="A268" s="77"/>
      <c r="B268" s="77"/>
      <c r="C268" s="75"/>
    </row>
    <row r="269" spans="1:3" x14ac:dyDescent="0.25">
      <c r="A269" s="77"/>
      <c r="B269" s="77"/>
      <c r="C269" s="75"/>
    </row>
    <row r="270" spans="1:3" x14ac:dyDescent="0.25">
      <c r="A270" s="77"/>
      <c r="B270" s="77"/>
      <c r="C270" s="75"/>
    </row>
    <row r="271" spans="1:3" x14ac:dyDescent="0.25">
      <c r="A271" s="77"/>
      <c r="B271" s="77"/>
      <c r="C271" s="75"/>
    </row>
    <row r="272" spans="1:3" x14ac:dyDescent="0.25">
      <c r="A272" s="77"/>
      <c r="B272" s="77"/>
      <c r="C272" s="75"/>
    </row>
    <row r="273" spans="1:3" x14ac:dyDescent="0.25">
      <c r="A273" s="77"/>
      <c r="B273" s="77"/>
      <c r="C273" s="75"/>
    </row>
    <row r="274" spans="1:3" x14ac:dyDescent="0.25">
      <c r="A274" s="77"/>
      <c r="B274" s="77"/>
      <c r="C274" s="75"/>
    </row>
    <row r="275" spans="1:3" x14ac:dyDescent="0.25">
      <c r="A275" s="77"/>
      <c r="B275" s="77"/>
      <c r="C275" s="75"/>
    </row>
    <row r="276" spans="1:3" x14ac:dyDescent="0.25">
      <c r="A276" s="77"/>
      <c r="B276" s="77"/>
      <c r="C276" s="75"/>
    </row>
    <row r="277" spans="1:3" x14ac:dyDescent="0.25">
      <c r="A277" s="77"/>
      <c r="B277" s="77"/>
      <c r="C277" s="75"/>
    </row>
    <row r="278" spans="1:3" x14ac:dyDescent="0.25">
      <c r="A278" s="77"/>
      <c r="B278" s="77"/>
      <c r="C278" s="75"/>
    </row>
    <row r="279" spans="1:3" x14ac:dyDescent="0.25">
      <c r="A279" s="77"/>
      <c r="B279" s="77"/>
      <c r="C279" s="75"/>
    </row>
    <row r="280" spans="1:3" x14ac:dyDescent="0.25">
      <c r="A280" s="77"/>
      <c r="B280" s="77"/>
      <c r="C280" s="75"/>
    </row>
    <row r="281" spans="1:3" x14ac:dyDescent="0.25">
      <c r="A281" s="77"/>
      <c r="B281" s="77"/>
      <c r="C281" s="75"/>
    </row>
    <row r="282" spans="1:3" x14ac:dyDescent="0.25">
      <c r="A282" s="77"/>
      <c r="B282" s="77"/>
      <c r="C282" s="75"/>
    </row>
    <row r="283" spans="1:3" x14ac:dyDescent="0.25">
      <c r="A283" s="77"/>
      <c r="B283" s="77"/>
      <c r="C283" s="75"/>
    </row>
    <row r="284" spans="1:3" x14ac:dyDescent="0.25">
      <c r="A284" s="77"/>
      <c r="B284" s="77"/>
      <c r="C284" s="75"/>
    </row>
    <row r="285" spans="1:3" x14ac:dyDescent="0.25">
      <c r="A285" s="77"/>
      <c r="B285" s="77"/>
      <c r="C285" s="75"/>
    </row>
    <row r="286" spans="1:3" x14ac:dyDescent="0.25">
      <c r="A286" s="77"/>
      <c r="B286" s="77"/>
      <c r="C286" s="75"/>
    </row>
    <row r="287" spans="1:3" x14ac:dyDescent="0.25">
      <c r="A287" s="77"/>
      <c r="B287" s="77"/>
      <c r="C287" s="75"/>
    </row>
    <row r="288" spans="1:3" x14ac:dyDescent="0.25">
      <c r="A288" s="77"/>
      <c r="B288" s="77"/>
      <c r="C288" s="75"/>
    </row>
    <row r="289" spans="1:3" x14ac:dyDescent="0.25">
      <c r="A289" s="77"/>
      <c r="B289" s="77"/>
      <c r="C289" s="75"/>
    </row>
    <row r="290" spans="1:3" x14ac:dyDescent="0.25">
      <c r="A290" s="77"/>
      <c r="B290" s="77"/>
      <c r="C290" s="75"/>
    </row>
    <row r="291" spans="1:3" x14ac:dyDescent="0.25">
      <c r="A291" s="77"/>
      <c r="B291" s="77"/>
      <c r="C291" s="75"/>
    </row>
    <row r="292" spans="1:3" x14ac:dyDescent="0.25">
      <c r="A292" s="77"/>
      <c r="B292" s="77"/>
      <c r="C292" s="75"/>
    </row>
    <row r="293" spans="1:3" x14ac:dyDescent="0.25">
      <c r="A293" s="77"/>
      <c r="B293" s="77"/>
      <c r="C293" s="75"/>
    </row>
    <row r="294" spans="1:3" x14ac:dyDescent="0.25">
      <c r="A294" s="77"/>
      <c r="B294" s="77"/>
      <c r="C294" s="75"/>
    </row>
    <row r="295" spans="1:3" x14ac:dyDescent="0.25">
      <c r="A295" s="77"/>
      <c r="B295" s="77"/>
      <c r="C295" s="75"/>
    </row>
    <row r="296" spans="1:3" x14ac:dyDescent="0.25">
      <c r="A296" s="77"/>
      <c r="B296" s="77"/>
      <c r="C296" s="75"/>
    </row>
    <row r="297" spans="1:3" x14ac:dyDescent="0.25">
      <c r="A297" s="77"/>
      <c r="B297" s="77"/>
      <c r="C297" s="75"/>
    </row>
    <row r="298" spans="1:3" x14ac:dyDescent="0.25">
      <c r="A298" s="77"/>
      <c r="B298" s="77"/>
      <c r="C298" s="75"/>
    </row>
    <row r="299" spans="1:3" x14ac:dyDescent="0.25">
      <c r="A299" s="77"/>
      <c r="B299" s="77"/>
      <c r="C299" s="75"/>
    </row>
    <row r="300" spans="1:3" x14ac:dyDescent="0.25">
      <c r="A300" s="77"/>
      <c r="B300" s="77"/>
      <c r="C300" s="75"/>
    </row>
    <row r="301" spans="1:3" x14ac:dyDescent="0.25">
      <c r="A301" s="77"/>
      <c r="B301" s="77"/>
      <c r="C301" s="75"/>
    </row>
    <row r="302" spans="1:3" x14ac:dyDescent="0.25">
      <c r="A302" s="77"/>
      <c r="B302" s="77"/>
      <c r="C302" s="75"/>
    </row>
    <row r="303" spans="1:3" x14ac:dyDescent="0.25">
      <c r="A303" s="77"/>
      <c r="B303" s="77"/>
      <c r="C303" s="75"/>
    </row>
    <row r="304" spans="1:3" x14ac:dyDescent="0.25">
      <c r="A304" s="77"/>
      <c r="B304" s="77"/>
      <c r="C304" s="75"/>
    </row>
    <row r="305" spans="1:3" x14ac:dyDescent="0.25">
      <c r="A305" s="77"/>
      <c r="B305" s="77"/>
      <c r="C305" s="75"/>
    </row>
    <row r="306" spans="1:3" x14ac:dyDescent="0.25">
      <c r="A306" s="77"/>
      <c r="B306" s="77"/>
      <c r="C306" s="75"/>
    </row>
    <row r="307" spans="1:3" x14ac:dyDescent="0.25">
      <c r="A307" s="77"/>
      <c r="B307" s="77"/>
      <c r="C307" s="75"/>
    </row>
    <row r="308" spans="1:3" x14ac:dyDescent="0.25">
      <c r="A308" s="77"/>
      <c r="B308" s="77"/>
      <c r="C308" s="75"/>
    </row>
    <row r="309" spans="1:3" x14ac:dyDescent="0.25">
      <c r="A309" s="77"/>
      <c r="B309" s="77"/>
      <c r="C309" s="75"/>
    </row>
    <row r="310" spans="1:3" x14ac:dyDescent="0.25">
      <c r="A310" s="77"/>
      <c r="B310" s="77"/>
      <c r="C310" s="75"/>
    </row>
    <row r="311" spans="1:3" x14ac:dyDescent="0.25">
      <c r="A311" s="77"/>
      <c r="B311" s="77"/>
      <c r="C311" s="75"/>
    </row>
    <row r="312" spans="1:3" x14ac:dyDescent="0.25">
      <c r="A312" s="77"/>
      <c r="B312" s="77"/>
      <c r="C312" s="75"/>
    </row>
    <row r="313" spans="1:3" x14ac:dyDescent="0.25">
      <c r="A313" s="77"/>
      <c r="B313" s="77"/>
      <c r="C313" s="75"/>
    </row>
    <row r="314" spans="1:3" x14ac:dyDescent="0.25">
      <c r="A314" s="77"/>
      <c r="B314" s="77"/>
      <c r="C314" s="75"/>
    </row>
    <row r="315" spans="1:3" x14ac:dyDescent="0.25">
      <c r="A315" s="77"/>
      <c r="B315" s="77"/>
      <c r="C315" s="75"/>
    </row>
    <row r="316" spans="1:3" x14ac:dyDescent="0.25">
      <c r="A316" s="77"/>
      <c r="B316" s="77"/>
      <c r="C316" s="75"/>
    </row>
    <row r="317" spans="1:3" x14ac:dyDescent="0.25">
      <c r="A317" s="77"/>
      <c r="B317" s="77"/>
      <c r="C317" s="75"/>
    </row>
    <row r="318" spans="1:3" x14ac:dyDescent="0.25">
      <c r="A318" s="77"/>
      <c r="B318" s="77"/>
      <c r="C318" s="75"/>
    </row>
    <row r="319" spans="1:3" x14ac:dyDescent="0.25">
      <c r="A319" s="77"/>
      <c r="B319" s="77"/>
      <c r="C319" s="75"/>
    </row>
    <row r="320" spans="1:3" x14ac:dyDescent="0.25">
      <c r="A320" s="77"/>
      <c r="B320" s="77"/>
      <c r="C320" s="75"/>
    </row>
    <row r="321" spans="1:3" x14ac:dyDescent="0.25">
      <c r="A321" s="77"/>
      <c r="B321" s="77"/>
      <c r="C321" s="75"/>
    </row>
    <row r="322" spans="1:3" x14ac:dyDescent="0.25">
      <c r="A322" s="77"/>
      <c r="B322" s="77"/>
      <c r="C322" s="75"/>
    </row>
    <row r="323" spans="1:3" x14ac:dyDescent="0.25">
      <c r="A323" s="77"/>
      <c r="B323" s="77"/>
      <c r="C323" s="75"/>
    </row>
    <row r="324" spans="1:3" x14ac:dyDescent="0.25">
      <c r="A324" s="77"/>
      <c r="B324" s="77"/>
      <c r="C324" s="75"/>
    </row>
    <row r="325" spans="1:3" x14ac:dyDescent="0.25">
      <c r="A325" s="77"/>
      <c r="B325" s="77"/>
      <c r="C325" s="75"/>
    </row>
    <row r="326" spans="1:3" x14ac:dyDescent="0.25">
      <c r="A326" s="77"/>
      <c r="B326" s="77"/>
      <c r="C326" s="75"/>
    </row>
    <row r="327" spans="1:3" x14ac:dyDescent="0.25">
      <c r="A327" s="77"/>
      <c r="B327" s="77"/>
      <c r="C327" s="75"/>
    </row>
    <row r="328" spans="1:3" x14ac:dyDescent="0.25">
      <c r="A328" s="77"/>
      <c r="B328" s="77"/>
      <c r="C328" s="75"/>
    </row>
    <row r="329" spans="1:3" x14ac:dyDescent="0.25">
      <c r="A329" s="77"/>
      <c r="B329" s="77"/>
      <c r="C329" s="75"/>
    </row>
    <row r="330" spans="1:3" x14ac:dyDescent="0.25">
      <c r="A330" s="77"/>
      <c r="B330" s="77"/>
      <c r="C330" s="75"/>
    </row>
    <row r="331" spans="1:3" x14ac:dyDescent="0.25">
      <c r="A331" s="77"/>
      <c r="B331" s="77"/>
      <c r="C331" s="75"/>
    </row>
    <row r="332" spans="1:3" x14ac:dyDescent="0.25">
      <c r="A332" s="77"/>
      <c r="B332" s="77"/>
      <c r="C332" s="75"/>
    </row>
    <row r="333" spans="1:3" x14ac:dyDescent="0.25">
      <c r="A333" s="77"/>
      <c r="B333" s="77"/>
      <c r="C333" s="75"/>
    </row>
    <row r="334" spans="1:3" x14ac:dyDescent="0.25">
      <c r="A334" s="77"/>
      <c r="B334" s="77"/>
      <c r="C334" s="75"/>
    </row>
    <row r="335" spans="1:3" x14ac:dyDescent="0.25">
      <c r="A335" s="77"/>
      <c r="B335" s="77"/>
      <c r="C335" s="75"/>
    </row>
    <row r="336" spans="1:3" x14ac:dyDescent="0.25">
      <c r="A336" s="77"/>
      <c r="B336" s="77"/>
      <c r="C336" s="75"/>
    </row>
    <row r="337" spans="1:3" x14ac:dyDescent="0.25">
      <c r="A337" s="77"/>
      <c r="B337" s="77"/>
      <c r="C337" s="75"/>
    </row>
    <row r="338" spans="1:3" x14ac:dyDescent="0.25">
      <c r="A338" s="77"/>
      <c r="B338" s="77"/>
      <c r="C338" s="75"/>
    </row>
    <row r="339" spans="1:3" x14ac:dyDescent="0.25">
      <c r="A339" s="77"/>
      <c r="B339" s="77"/>
      <c r="C339" s="75"/>
    </row>
    <row r="340" spans="1:3" x14ac:dyDescent="0.25">
      <c r="A340" s="77"/>
      <c r="B340" s="77"/>
      <c r="C340" s="75"/>
    </row>
    <row r="341" spans="1:3" x14ac:dyDescent="0.25">
      <c r="A341" s="77"/>
      <c r="B341" s="77"/>
      <c r="C341" s="75"/>
    </row>
    <row r="342" spans="1:3" x14ac:dyDescent="0.25">
      <c r="A342" s="77"/>
      <c r="B342" s="77"/>
      <c r="C342" s="75"/>
    </row>
    <row r="343" spans="1:3" x14ac:dyDescent="0.25">
      <c r="A343" s="77"/>
      <c r="B343" s="77"/>
      <c r="C343" s="75"/>
    </row>
    <row r="344" spans="1:3" x14ac:dyDescent="0.25">
      <c r="A344" s="77"/>
      <c r="B344" s="77"/>
      <c r="C344" s="75"/>
    </row>
    <row r="345" spans="1:3" x14ac:dyDescent="0.25">
      <c r="A345" s="77"/>
      <c r="B345" s="77"/>
      <c r="C345" s="75"/>
    </row>
    <row r="346" spans="1:3" x14ac:dyDescent="0.25">
      <c r="A346" s="77"/>
      <c r="B346" s="77"/>
      <c r="C346" s="75"/>
    </row>
    <row r="347" spans="1:3" x14ac:dyDescent="0.25">
      <c r="A347" s="77"/>
      <c r="B347" s="77"/>
      <c r="C347" s="75"/>
    </row>
    <row r="348" spans="1:3" x14ac:dyDescent="0.25">
      <c r="A348" s="77"/>
      <c r="B348" s="77"/>
      <c r="C348" s="75"/>
    </row>
    <row r="349" spans="1:3" x14ac:dyDescent="0.25">
      <c r="A349" s="77"/>
      <c r="B349" s="77"/>
      <c r="C349" s="75"/>
    </row>
    <row r="350" spans="1:3" x14ac:dyDescent="0.25">
      <c r="A350" s="77"/>
      <c r="B350" s="77"/>
      <c r="C350" s="75"/>
    </row>
    <row r="351" spans="1:3" x14ac:dyDescent="0.25">
      <c r="A351" s="77"/>
      <c r="B351" s="77"/>
      <c r="C351" s="75"/>
    </row>
    <row r="352" spans="1:3" x14ac:dyDescent="0.25">
      <c r="A352" s="77"/>
      <c r="B352" s="77"/>
      <c r="C352" s="75"/>
    </row>
    <row r="353" spans="1:3" x14ac:dyDescent="0.25">
      <c r="A353" s="77"/>
      <c r="B353" s="77"/>
      <c r="C353" s="75"/>
    </row>
    <row r="354" spans="1:3" x14ac:dyDescent="0.25">
      <c r="A354" s="77"/>
      <c r="B354" s="77"/>
      <c r="C354" s="75"/>
    </row>
    <row r="355" spans="1:3" x14ac:dyDescent="0.25">
      <c r="A355" s="77"/>
      <c r="B355" s="77"/>
      <c r="C355" s="75"/>
    </row>
    <row r="356" spans="1:3" x14ac:dyDescent="0.25">
      <c r="A356" s="77"/>
      <c r="B356" s="77"/>
      <c r="C356" s="75"/>
    </row>
    <row r="357" spans="1:3" x14ac:dyDescent="0.25">
      <c r="A357" s="77"/>
      <c r="B357" s="77"/>
      <c r="C357" s="75"/>
    </row>
    <row r="358" spans="1:3" x14ac:dyDescent="0.25">
      <c r="A358" s="77"/>
      <c r="B358" s="77"/>
      <c r="C358" s="75"/>
    </row>
    <row r="359" spans="1:3" x14ac:dyDescent="0.25">
      <c r="A359" s="77"/>
      <c r="B359" s="77"/>
      <c r="C359" s="75"/>
    </row>
    <row r="360" spans="1:3" x14ac:dyDescent="0.25">
      <c r="A360" s="77"/>
      <c r="B360" s="77"/>
      <c r="C360" s="75"/>
    </row>
    <row r="361" spans="1:3" x14ac:dyDescent="0.25">
      <c r="A361" s="77"/>
      <c r="B361" s="77"/>
      <c r="C361" s="75"/>
    </row>
    <row r="362" spans="1:3" x14ac:dyDescent="0.25">
      <c r="A362" s="77"/>
      <c r="B362" s="77"/>
      <c r="C362" s="75"/>
    </row>
    <row r="363" spans="1:3" x14ac:dyDescent="0.25">
      <c r="A363" s="77"/>
      <c r="B363" s="77"/>
      <c r="C363" s="75"/>
    </row>
    <row r="364" spans="1:3" x14ac:dyDescent="0.25">
      <c r="A364" s="77"/>
      <c r="B364" s="77"/>
      <c r="C364" s="75"/>
    </row>
    <row r="365" spans="1:3" x14ac:dyDescent="0.25">
      <c r="A365" s="77"/>
      <c r="B365" s="77"/>
      <c r="C365" s="75"/>
    </row>
    <row r="366" spans="1:3" x14ac:dyDescent="0.25">
      <c r="A366" s="77"/>
      <c r="B366" s="77"/>
      <c r="C366" s="75"/>
    </row>
    <row r="367" spans="1:3" x14ac:dyDescent="0.25">
      <c r="A367" s="77"/>
      <c r="B367" s="77"/>
      <c r="C367" s="75"/>
    </row>
    <row r="368" spans="1:3" x14ac:dyDescent="0.25">
      <c r="A368" s="77"/>
      <c r="B368" s="77"/>
      <c r="C368" s="75"/>
    </row>
    <row r="369" spans="1:3" x14ac:dyDescent="0.25">
      <c r="A369" s="77"/>
      <c r="B369" s="77"/>
      <c r="C369" s="75"/>
    </row>
    <row r="370" spans="1:3" x14ac:dyDescent="0.25">
      <c r="A370" s="77"/>
      <c r="B370" s="77"/>
      <c r="C370" s="75"/>
    </row>
    <row r="371" spans="1:3" x14ac:dyDescent="0.25">
      <c r="A371" s="77"/>
      <c r="B371" s="77"/>
      <c r="C371" s="75"/>
    </row>
    <row r="372" spans="1:3" x14ac:dyDescent="0.25">
      <c r="A372" s="77"/>
      <c r="B372" s="77"/>
      <c r="C372" s="75"/>
    </row>
    <row r="373" spans="1:3" x14ac:dyDescent="0.25">
      <c r="A373" s="77"/>
      <c r="B373" s="77"/>
      <c r="C373" s="75"/>
    </row>
    <row r="374" spans="1:3" x14ac:dyDescent="0.25">
      <c r="A374" s="77"/>
      <c r="B374" s="77"/>
      <c r="C374" s="75"/>
    </row>
    <row r="375" spans="1:3" x14ac:dyDescent="0.25">
      <c r="A375" s="77"/>
      <c r="B375" s="77"/>
      <c r="C375" s="75"/>
    </row>
    <row r="376" spans="1:3" x14ac:dyDescent="0.25">
      <c r="A376" s="77"/>
      <c r="B376" s="77"/>
      <c r="C376" s="75"/>
    </row>
    <row r="377" spans="1:3" x14ac:dyDescent="0.25">
      <c r="A377" s="77"/>
      <c r="B377" s="77"/>
      <c r="C377" s="75"/>
    </row>
    <row r="378" spans="1:3" x14ac:dyDescent="0.25">
      <c r="A378" s="77"/>
      <c r="B378" s="77"/>
      <c r="C378" s="75"/>
    </row>
    <row r="379" spans="1:3" x14ac:dyDescent="0.25">
      <c r="A379" s="77"/>
      <c r="B379" s="77"/>
      <c r="C379" s="75"/>
    </row>
    <row r="380" spans="1:3" x14ac:dyDescent="0.25">
      <c r="A380" s="77"/>
      <c r="B380" s="77"/>
      <c r="C380" s="75"/>
    </row>
    <row r="381" spans="1:3" x14ac:dyDescent="0.25">
      <c r="A381" s="77"/>
      <c r="B381" s="77"/>
      <c r="C381" s="75"/>
    </row>
    <row r="382" spans="1:3" x14ac:dyDescent="0.25">
      <c r="A382" s="77"/>
      <c r="B382" s="77"/>
      <c r="C382" s="75"/>
    </row>
    <row r="383" spans="1:3" x14ac:dyDescent="0.25">
      <c r="A383" s="77"/>
      <c r="B383" s="77"/>
      <c r="C383" s="75"/>
    </row>
    <row r="384" spans="1:3" x14ac:dyDescent="0.25">
      <c r="A384" s="77"/>
      <c r="B384" s="77"/>
      <c r="C384" s="75"/>
    </row>
    <row r="385" spans="1:3" x14ac:dyDescent="0.25">
      <c r="A385" s="77"/>
      <c r="B385" s="77"/>
      <c r="C385" s="75"/>
    </row>
    <row r="386" spans="1:3" x14ac:dyDescent="0.25">
      <c r="A386" s="77"/>
      <c r="B386" s="77"/>
      <c r="C386" s="75"/>
    </row>
    <row r="387" spans="1:3" x14ac:dyDescent="0.25">
      <c r="A387" s="77"/>
      <c r="B387" s="77"/>
      <c r="C387" s="75"/>
    </row>
    <row r="388" spans="1:3" x14ac:dyDescent="0.25">
      <c r="A388" s="77"/>
      <c r="B388" s="77"/>
      <c r="C388" s="75"/>
    </row>
    <row r="389" spans="1:3" x14ac:dyDescent="0.25">
      <c r="A389" s="77"/>
      <c r="B389" s="77"/>
      <c r="C389" s="75"/>
    </row>
    <row r="390" spans="1:3" x14ac:dyDescent="0.25">
      <c r="A390" s="77"/>
      <c r="B390" s="77"/>
      <c r="C390" s="75"/>
    </row>
    <row r="391" spans="1:3" x14ac:dyDescent="0.25">
      <c r="A391" s="77"/>
      <c r="B391" s="77"/>
      <c r="C391" s="75"/>
    </row>
    <row r="392" spans="1:3" x14ac:dyDescent="0.25">
      <c r="A392" s="77"/>
      <c r="B392" s="77"/>
      <c r="C392" s="75"/>
    </row>
    <row r="393" spans="1:3" x14ac:dyDescent="0.25">
      <c r="A393" s="77"/>
      <c r="B393" s="77"/>
      <c r="C393" s="75"/>
    </row>
    <row r="394" spans="1:3" x14ac:dyDescent="0.25">
      <c r="A394" s="77"/>
      <c r="B394" s="77"/>
      <c r="C394" s="75"/>
    </row>
    <row r="395" spans="1:3" x14ac:dyDescent="0.25">
      <c r="A395" s="77"/>
      <c r="B395" s="77"/>
      <c r="C395" s="75"/>
    </row>
    <row r="396" spans="1:3" x14ac:dyDescent="0.25">
      <c r="A396" s="77"/>
      <c r="B396" s="77"/>
      <c r="C396" s="75"/>
    </row>
    <row r="397" spans="1:3" x14ac:dyDescent="0.25">
      <c r="A397" s="77"/>
      <c r="B397" s="77"/>
      <c r="C397" s="75"/>
    </row>
    <row r="398" spans="1:3" x14ac:dyDescent="0.25">
      <c r="A398" s="77"/>
      <c r="B398" s="77"/>
      <c r="C398" s="75"/>
    </row>
    <row r="399" spans="1:3" x14ac:dyDescent="0.25">
      <c r="A399" s="77"/>
      <c r="B399" s="77"/>
      <c r="C399" s="75"/>
    </row>
    <row r="400" spans="1:3" x14ac:dyDescent="0.25">
      <c r="A400" s="77"/>
      <c r="B400" s="77"/>
      <c r="C400" s="75"/>
    </row>
    <row r="401" spans="1:3" x14ac:dyDescent="0.25">
      <c r="A401" s="77"/>
      <c r="B401" s="77"/>
      <c r="C401" s="75"/>
    </row>
    <row r="402" spans="1:3" x14ac:dyDescent="0.25">
      <c r="A402" s="77"/>
      <c r="B402" s="77"/>
      <c r="C402" s="75"/>
    </row>
    <row r="403" spans="1:3" x14ac:dyDescent="0.25">
      <c r="A403" s="77"/>
      <c r="B403" s="77"/>
      <c r="C403" s="75"/>
    </row>
    <row r="404" spans="1:3" x14ac:dyDescent="0.25">
      <c r="A404" s="77"/>
      <c r="B404" s="77"/>
      <c r="C404" s="75"/>
    </row>
    <row r="405" spans="1:3" x14ac:dyDescent="0.25">
      <c r="A405" s="77"/>
      <c r="B405" s="77"/>
      <c r="C405" s="75"/>
    </row>
    <row r="406" spans="1:3" x14ac:dyDescent="0.25">
      <c r="A406" s="77"/>
      <c r="B406" s="77"/>
      <c r="C406" s="75"/>
    </row>
    <row r="407" spans="1:3" x14ac:dyDescent="0.25">
      <c r="A407" s="77"/>
      <c r="B407" s="77"/>
      <c r="C407" s="75"/>
    </row>
    <row r="408" spans="1:3" x14ac:dyDescent="0.25">
      <c r="A408" s="77"/>
      <c r="B408" s="77"/>
      <c r="C408" s="75"/>
    </row>
    <row r="409" spans="1:3" x14ac:dyDescent="0.25">
      <c r="A409" s="77"/>
      <c r="B409" s="77"/>
      <c r="C409" s="75"/>
    </row>
    <row r="410" spans="1:3" x14ac:dyDescent="0.25">
      <c r="A410" s="77"/>
      <c r="B410" s="77"/>
      <c r="C410" s="75"/>
    </row>
    <row r="411" spans="1:3" x14ac:dyDescent="0.25">
      <c r="A411" s="77"/>
      <c r="B411" s="77"/>
      <c r="C411" s="75"/>
    </row>
    <row r="412" spans="1:3" x14ac:dyDescent="0.25">
      <c r="A412" s="77"/>
      <c r="B412" s="77"/>
      <c r="C412" s="75"/>
    </row>
    <row r="413" spans="1:3" x14ac:dyDescent="0.25">
      <c r="A413" s="77"/>
      <c r="B413" s="77"/>
      <c r="C413" s="75"/>
    </row>
    <row r="414" spans="1:3" x14ac:dyDescent="0.25">
      <c r="A414" s="77"/>
      <c r="B414" s="77"/>
      <c r="C414" s="75"/>
    </row>
    <row r="415" spans="1:3" x14ac:dyDescent="0.25">
      <c r="A415" s="77"/>
      <c r="B415" s="77"/>
      <c r="C415" s="75"/>
    </row>
    <row r="416" spans="1:3" x14ac:dyDescent="0.25">
      <c r="A416" s="77"/>
      <c r="B416" s="77"/>
      <c r="C416" s="75"/>
    </row>
    <row r="417" spans="1:3" x14ac:dyDescent="0.25">
      <c r="A417" s="77"/>
      <c r="B417" s="77"/>
      <c r="C417" s="75"/>
    </row>
    <row r="418" spans="1:3" x14ac:dyDescent="0.25">
      <c r="A418" s="77"/>
      <c r="B418" s="77"/>
      <c r="C418" s="75"/>
    </row>
    <row r="419" spans="1:3" x14ac:dyDescent="0.25">
      <c r="A419" s="77"/>
      <c r="B419" s="77"/>
      <c r="C419" s="75"/>
    </row>
    <row r="420" spans="1:3" x14ac:dyDescent="0.25">
      <c r="A420" s="77"/>
      <c r="B420" s="77"/>
      <c r="C420" s="75"/>
    </row>
    <row r="421" spans="1:3" x14ac:dyDescent="0.25">
      <c r="A421" s="77"/>
      <c r="B421" s="77"/>
      <c r="C421" s="75"/>
    </row>
    <row r="422" spans="1:3" x14ac:dyDescent="0.25">
      <c r="A422" s="77"/>
      <c r="B422" s="77"/>
      <c r="C422" s="75"/>
    </row>
    <row r="423" spans="1:3" x14ac:dyDescent="0.25">
      <c r="A423" s="77"/>
      <c r="B423" s="77"/>
      <c r="C423" s="75"/>
    </row>
    <row r="424" spans="1:3" x14ac:dyDescent="0.25">
      <c r="A424" s="77"/>
      <c r="B424" s="77"/>
      <c r="C424" s="75"/>
    </row>
    <row r="425" spans="1:3" x14ac:dyDescent="0.25">
      <c r="A425" s="77"/>
      <c r="B425" s="77"/>
      <c r="C425" s="75"/>
    </row>
    <row r="426" spans="1:3" x14ac:dyDescent="0.25">
      <c r="A426" s="77"/>
      <c r="B426" s="77"/>
      <c r="C426" s="75"/>
    </row>
    <row r="427" spans="1:3" x14ac:dyDescent="0.25">
      <c r="A427" s="77"/>
      <c r="B427" s="77"/>
      <c r="C427" s="75"/>
    </row>
    <row r="428" spans="1:3" x14ac:dyDescent="0.25">
      <c r="A428" s="77"/>
      <c r="B428" s="77"/>
      <c r="C428" s="75"/>
    </row>
    <row r="429" spans="1:3" x14ac:dyDescent="0.25">
      <c r="A429" s="77"/>
      <c r="B429" s="77"/>
      <c r="C429" s="75"/>
    </row>
    <row r="430" spans="1:3" x14ac:dyDescent="0.25">
      <c r="A430" s="77"/>
      <c r="B430" s="77"/>
      <c r="C430" s="75"/>
    </row>
    <row r="431" spans="1:3" x14ac:dyDescent="0.25">
      <c r="A431" s="77"/>
      <c r="B431" s="77"/>
      <c r="C431" s="75"/>
    </row>
    <row r="432" spans="1:3" x14ac:dyDescent="0.25">
      <c r="A432" s="77"/>
      <c r="B432" s="77"/>
      <c r="C432" s="75"/>
    </row>
    <row r="433" spans="1:3" x14ac:dyDescent="0.25">
      <c r="A433" s="77"/>
      <c r="B433" s="77"/>
      <c r="C433" s="75"/>
    </row>
    <row r="434" spans="1:3" x14ac:dyDescent="0.25">
      <c r="A434" s="77"/>
      <c r="B434" s="77"/>
      <c r="C434" s="75"/>
    </row>
    <row r="435" spans="1:3" x14ac:dyDescent="0.25">
      <c r="A435" s="77"/>
      <c r="B435" s="77"/>
      <c r="C435" s="75"/>
    </row>
    <row r="436" spans="1:3" x14ac:dyDescent="0.25">
      <c r="A436" s="77"/>
      <c r="B436" s="77"/>
      <c r="C436" s="75"/>
    </row>
    <row r="437" spans="1:3" x14ac:dyDescent="0.25">
      <c r="A437" s="77"/>
      <c r="B437" s="77"/>
      <c r="C437" s="75"/>
    </row>
    <row r="438" spans="1:3" x14ac:dyDescent="0.25">
      <c r="A438" s="77"/>
      <c r="B438" s="77"/>
      <c r="C438" s="75"/>
    </row>
    <row r="439" spans="1:3" x14ac:dyDescent="0.25">
      <c r="A439" s="77"/>
      <c r="B439" s="77"/>
      <c r="C439" s="75"/>
    </row>
    <row r="440" spans="1:3" x14ac:dyDescent="0.25">
      <c r="A440" s="77"/>
      <c r="B440" s="77"/>
      <c r="C440" s="75"/>
    </row>
    <row r="441" spans="1:3" x14ac:dyDescent="0.25">
      <c r="A441" s="77"/>
      <c r="B441" s="77"/>
      <c r="C441" s="75"/>
    </row>
    <row r="442" spans="1:3" x14ac:dyDescent="0.25">
      <c r="A442" s="77"/>
      <c r="B442" s="77"/>
      <c r="C442" s="75"/>
    </row>
    <row r="443" spans="1:3" x14ac:dyDescent="0.25">
      <c r="A443" s="77"/>
      <c r="B443" s="77"/>
      <c r="C443" s="75"/>
    </row>
    <row r="444" spans="1:3" x14ac:dyDescent="0.25">
      <c r="A444" s="77"/>
      <c r="B444" s="77"/>
      <c r="C444" s="75"/>
    </row>
    <row r="445" spans="1:3" x14ac:dyDescent="0.25">
      <c r="A445" s="77"/>
      <c r="B445" s="77"/>
      <c r="C445" s="75"/>
    </row>
    <row r="446" spans="1:3" x14ac:dyDescent="0.25">
      <c r="A446" s="77"/>
      <c r="B446" s="77"/>
      <c r="C446" s="75"/>
    </row>
    <row r="447" spans="1:3" x14ac:dyDescent="0.25">
      <c r="A447" s="77"/>
      <c r="B447" s="77"/>
      <c r="C447" s="75"/>
    </row>
    <row r="448" spans="1:3" x14ac:dyDescent="0.25">
      <c r="A448" s="77"/>
      <c r="B448" s="77"/>
      <c r="C448" s="75"/>
    </row>
    <row r="449" spans="1:3" x14ac:dyDescent="0.25">
      <c r="A449" s="77"/>
      <c r="B449" s="77"/>
      <c r="C449" s="75"/>
    </row>
    <row r="450" spans="1:3" x14ac:dyDescent="0.25">
      <c r="A450" s="77"/>
      <c r="B450" s="77"/>
      <c r="C450" s="75"/>
    </row>
    <row r="451" spans="1:3" x14ac:dyDescent="0.25">
      <c r="A451" s="77"/>
      <c r="B451" s="77"/>
      <c r="C451" s="75"/>
    </row>
    <row r="452" spans="1:3" x14ac:dyDescent="0.25">
      <c r="A452" s="77"/>
      <c r="B452" s="77"/>
      <c r="C452" s="75"/>
    </row>
    <row r="453" spans="1:3" x14ac:dyDescent="0.25">
      <c r="A453" s="77"/>
      <c r="B453" s="77"/>
      <c r="C453" s="75"/>
    </row>
    <row r="454" spans="1:3" x14ac:dyDescent="0.25">
      <c r="A454" s="77"/>
      <c r="B454" s="77"/>
      <c r="C454" s="75"/>
    </row>
    <row r="455" spans="1:3" x14ac:dyDescent="0.25">
      <c r="A455" s="77"/>
      <c r="B455" s="77"/>
      <c r="C455" s="75"/>
    </row>
    <row r="456" spans="1:3" x14ac:dyDescent="0.25">
      <c r="A456" s="77"/>
      <c r="B456" s="77"/>
      <c r="C456" s="75"/>
    </row>
    <row r="457" spans="1:3" x14ac:dyDescent="0.25">
      <c r="A457" s="77"/>
      <c r="B457" s="77"/>
      <c r="C457" s="75"/>
    </row>
    <row r="458" spans="1:3" x14ac:dyDescent="0.25">
      <c r="A458" s="77"/>
      <c r="B458" s="77"/>
      <c r="C458" s="75"/>
    </row>
    <row r="459" spans="1:3" x14ac:dyDescent="0.25">
      <c r="A459" s="77"/>
      <c r="B459" s="77"/>
      <c r="C459" s="75"/>
    </row>
    <row r="460" spans="1:3" x14ac:dyDescent="0.25">
      <c r="A460" s="77"/>
      <c r="B460" s="77"/>
      <c r="C460" s="75"/>
    </row>
    <row r="461" spans="1:3" x14ac:dyDescent="0.25">
      <c r="A461" s="77"/>
      <c r="B461" s="77"/>
      <c r="C461" s="75"/>
    </row>
    <row r="462" spans="1:3" x14ac:dyDescent="0.25">
      <c r="A462" s="77"/>
      <c r="B462" s="77"/>
      <c r="C462" s="75"/>
    </row>
    <row r="463" spans="1:3" x14ac:dyDescent="0.25">
      <c r="A463" s="77"/>
      <c r="B463" s="77"/>
      <c r="C463" s="75"/>
    </row>
    <row r="464" spans="1:3" x14ac:dyDescent="0.25">
      <c r="A464" s="77"/>
      <c r="B464" s="77"/>
      <c r="C464" s="75"/>
    </row>
    <row r="465" spans="1:3" x14ac:dyDescent="0.25">
      <c r="A465" s="77"/>
      <c r="B465" s="77"/>
      <c r="C465" s="75"/>
    </row>
    <row r="466" spans="1:3" x14ac:dyDescent="0.25">
      <c r="A466" s="77"/>
      <c r="B466" s="77"/>
      <c r="C466" s="75"/>
    </row>
    <row r="467" spans="1:3" x14ac:dyDescent="0.25">
      <c r="A467" s="77"/>
      <c r="B467" s="77"/>
      <c r="C467" s="75"/>
    </row>
    <row r="468" spans="1:3" x14ac:dyDescent="0.25">
      <c r="A468" s="77"/>
      <c r="B468" s="77"/>
      <c r="C468" s="75"/>
    </row>
    <row r="469" spans="1:3" x14ac:dyDescent="0.25">
      <c r="A469" s="77"/>
      <c r="B469" s="77"/>
      <c r="C469" s="75"/>
    </row>
    <row r="470" spans="1:3" x14ac:dyDescent="0.25">
      <c r="A470" s="77"/>
      <c r="B470" s="77"/>
      <c r="C470" s="75"/>
    </row>
    <row r="471" spans="1:3" x14ac:dyDescent="0.25">
      <c r="A471" s="77"/>
      <c r="B471" s="77"/>
      <c r="C471" s="75"/>
    </row>
    <row r="472" spans="1:3" x14ac:dyDescent="0.25">
      <c r="A472" s="77"/>
      <c r="B472" s="77"/>
      <c r="C472" s="75"/>
    </row>
    <row r="473" spans="1:3" x14ac:dyDescent="0.25">
      <c r="A473" s="77"/>
      <c r="B473" s="77"/>
      <c r="C473" s="75"/>
    </row>
    <row r="474" spans="1:3" x14ac:dyDescent="0.25">
      <c r="A474" s="77"/>
      <c r="B474" s="77"/>
      <c r="C474" s="75"/>
    </row>
    <row r="475" spans="1:3" x14ac:dyDescent="0.25">
      <c r="A475" s="77"/>
      <c r="B475" s="77"/>
      <c r="C475" s="75"/>
    </row>
    <row r="476" spans="1:3" x14ac:dyDescent="0.25">
      <c r="A476" s="77"/>
      <c r="B476" s="77"/>
      <c r="C476" s="75"/>
    </row>
    <row r="477" spans="1:3" x14ac:dyDescent="0.25">
      <c r="A477" s="77"/>
      <c r="B477" s="77"/>
      <c r="C477" s="75"/>
    </row>
    <row r="478" spans="1:3" x14ac:dyDescent="0.25">
      <c r="A478" s="77"/>
      <c r="B478" s="77"/>
      <c r="C478" s="75"/>
    </row>
    <row r="479" spans="1:3" x14ac:dyDescent="0.25">
      <c r="A479" s="77"/>
      <c r="B479" s="77"/>
      <c r="C479" s="75"/>
    </row>
    <row r="480" spans="1:3" x14ac:dyDescent="0.25">
      <c r="A480" s="77"/>
      <c r="B480" s="77"/>
      <c r="C480" s="75"/>
    </row>
    <row r="481" spans="1:3" x14ac:dyDescent="0.25">
      <c r="A481" s="77"/>
      <c r="B481" s="77"/>
      <c r="C481" s="75"/>
    </row>
    <row r="482" spans="1:3" x14ac:dyDescent="0.25">
      <c r="A482" s="77"/>
      <c r="B482" s="77"/>
      <c r="C482" s="75"/>
    </row>
    <row r="483" spans="1:3" x14ac:dyDescent="0.25">
      <c r="A483" s="77"/>
      <c r="B483" s="77"/>
      <c r="C483" s="75"/>
    </row>
    <row r="484" spans="1:3" x14ac:dyDescent="0.25">
      <c r="A484" s="77"/>
      <c r="B484" s="77"/>
      <c r="C484" s="75"/>
    </row>
    <row r="485" spans="1:3" x14ac:dyDescent="0.25">
      <c r="A485" s="77"/>
      <c r="B485" s="77"/>
      <c r="C485" s="75"/>
    </row>
    <row r="486" spans="1:3" x14ac:dyDescent="0.25">
      <c r="A486" s="77"/>
      <c r="B486" s="77"/>
      <c r="C486" s="75"/>
    </row>
    <row r="487" spans="1:3" x14ac:dyDescent="0.25">
      <c r="A487" s="77"/>
      <c r="B487" s="77"/>
      <c r="C487" s="75"/>
    </row>
    <row r="488" spans="1:3" x14ac:dyDescent="0.25">
      <c r="A488" s="77"/>
      <c r="B488" s="77"/>
      <c r="C488" s="75"/>
    </row>
    <row r="489" spans="1:3" x14ac:dyDescent="0.25">
      <c r="A489" s="77"/>
      <c r="B489" s="77"/>
      <c r="C489" s="75"/>
    </row>
    <row r="490" spans="1:3" x14ac:dyDescent="0.25">
      <c r="A490" s="77"/>
      <c r="B490" s="77"/>
      <c r="C490" s="75"/>
    </row>
    <row r="491" spans="1:3" x14ac:dyDescent="0.25">
      <c r="A491" s="77"/>
      <c r="B491" s="77"/>
      <c r="C491" s="75"/>
    </row>
    <row r="492" spans="1:3" x14ac:dyDescent="0.25">
      <c r="A492" s="77"/>
      <c r="B492" s="77"/>
      <c r="C492" s="75"/>
    </row>
    <row r="493" spans="1:3" x14ac:dyDescent="0.25">
      <c r="A493" s="77"/>
      <c r="B493" s="77"/>
      <c r="C493" s="75"/>
    </row>
    <row r="494" spans="1:3" x14ac:dyDescent="0.25">
      <c r="A494" s="77"/>
      <c r="B494" s="77"/>
      <c r="C494" s="75"/>
    </row>
    <row r="495" spans="1:3" x14ac:dyDescent="0.25">
      <c r="A495" s="77"/>
      <c r="B495" s="77"/>
      <c r="C495" s="75"/>
    </row>
    <row r="496" spans="1:3" x14ac:dyDescent="0.25">
      <c r="A496" s="77"/>
      <c r="B496" s="77"/>
      <c r="C496" s="75"/>
    </row>
    <row r="497" spans="1:3" x14ac:dyDescent="0.25">
      <c r="A497" s="77"/>
      <c r="B497" s="77"/>
      <c r="C497" s="75"/>
    </row>
    <row r="498" spans="1:3" x14ac:dyDescent="0.25">
      <c r="A498" s="77"/>
      <c r="B498" s="77"/>
      <c r="C498" s="75"/>
    </row>
    <row r="499" spans="1:3" x14ac:dyDescent="0.25">
      <c r="A499" s="77"/>
      <c r="B499" s="77"/>
      <c r="C499" s="75"/>
    </row>
    <row r="500" spans="1:3" x14ac:dyDescent="0.25">
      <c r="A500" s="77"/>
      <c r="B500" s="77"/>
      <c r="C500" s="75"/>
    </row>
    <row r="501" spans="1:3" x14ac:dyDescent="0.25">
      <c r="A501" s="77"/>
      <c r="B501" s="77"/>
      <c r="C501" s="75"/>
    </row>
    <row r="502" spans="1:3" x14ac:dyDescent="0.25">
      <c r="A502" s="77"/>
      <c r="B502" s="77"/>
      <c r="C502" s="75"/>
    </row>
    <row r="503" spans="1:3" x14ac:dyDescent="0.25">
      <c r="A503" s="77"/>
      <c r="B503" s="77"/>
      <c r="C503" s="75"/>
    </row>
    <row r="504" spans="1:3" x14ac:dyDescent="0.25">
      <c r="A504" s="77"/>
      <c r="B504" s="77"/>
      <c r="C504" s="75"/>
    </row>
    <row r="505" spans="1:3" x14ac:dyDescent="0.25">
      <c r="A505" s="77"/>
      <c r="B505" s="77"/>
      <c r="C505" s="75"/>
    </row>
    <row r="506" spans="1:3" x14ac:dyDescent="0.25">
      <c r="A506" s="77"/>
      <c r="B506" s="77"/>
      <c r="C506" s="75"/>
    </row>
    <row r="507" spans="1:3" x14ac:dyDescent="0.25">
      <c r="A507" s="77"/>
      <c r="B507" s="77"/>
      <c r="C507" s="75"/>
    </row>
    <row r="508" spans="1:3" x14ac:dyDescent="0.25">
      <c r="A508" s="77"/>
      <c r="B508" s="77"/>
      <c r="C508" s="75"/>
    </row>
    <row r="509" spans="1:3" x14ac:dyDescent="0.25">
      <c r="A509" s="77"/>
      <c r="B509" s="77"/>
      <c r="C509" s="75"/>
    </row>
    <row r="510" spans="1:3" x14ac:dyDescent="0.25">
      <c r="A510" s="77"/>
      <c r="B510" s="77"/>
      <c r="C510" s="75"/>
    </row>
    <row r="511" spans="1:3" x14ac:dyDescent="0.25">
      <c r="A511" s="77"/>
      <c r="B511" s="77"/>
      <c r="C511" s="75"/>
    </row>
    <row r="512" spans="1:3" x14ac:dyDescent="0.25">
      <c r="A512" s="77"/>
      <c r="B512" s="77"/>
      <c r="C512" s="75"/>
    </row>
    <row r="513" spans="1:3" x14ac:dyDescent="0.25">
      <c r="A513" s="77"/>
      <c r="B513" s="77"/>
      <c r="C513" s="75"/>
    </row>
    <row r="514" spans="1:3" x14ac:dyDescent="0.25">
      <c r="A514" s="77"/>
      <c r="B514" s="77"/>
      <c r="C514" s="75"/>
    </row>
    <row r="515" spans="1:3" x14ac:dyDescent="0.25">
      <c r="A515" s="77"/>
      <c r="B515" s="77"/>
      <c r="C515" s="75"/>
    </row>
    <row r="516" spans="1:3" x14ac:dyDescent="0.25">
      <c r="A516" s="77"/>
      <c r="B516" s="77"/>
      <c r="C516" s="75"/>
    </row>
    <row r="517" spans="1:3" x14ac:dyDescent="0.25">
      <c r="A517" s="77"/>
      <c r="B517" s="77"/>
      <c r="C517" s="75"/>
    </row>
    <row r="518" spans="1:3" x14ac:dyDescent="0.25">
      <c r="A518" s="77"/>
      <c r="B518" s="77"/>
      <c r="C518" s="75"/>
    </row>
    <row r="519" spans="1:3" x14ac:dyDescent="0.25">
      <c r="A519" s="77"/>
      <c r="B519" s="77"/>
      <c r="C519" s="75"/>
    </row>
    <row r="520" spans="1:3" x14ac:dyDescent="0.25">
      <c r="A520" s="77"/>
      <c r="B520" s="77"/>
      <c r="C520" s="75"/>
    </row>
    <row r="521" spans="1:3" x14ac:dyDescent="0.25">
      <c r="A521" s="77"/>
      <c r="B521" s="77"/>
      <c r="C521" s="75"/>
    </row>
    <row r="522" spans="1:3" x14ac:dyDescent="0.25">
      <c r="A522" s="77"/>
      <c r="B522" s="77"/>
      <c r="C522" s="75"/>
    </row>
    <row r="523" spans="1:3" x14ac:dyDescent="0.25">
      <c r="A523" s="77"/>
      <c r="B523" s="77"/>
      <c r="C523" s="75"/>
    </row>
    <row r="524" spans="1:3" x14ac:dyDescent="0.25">
      <c r="A524" s="77"/>
      <c r="B524" s="77"/>
      <c r="C524" s="75"/>
    </row>
    <row r="525" spans="1:3" x14ac:dyDescent="0.25">
      <c r="A525" s="77"/>
      <c r="B525" s="77"/>
      <c r="C525" s="75"/>
    </row>
    <row r="526" spans="1:3" x14ac:dyDescent="0.25">
      <c r="A526" s="77"/>
      <c r="B526" s="77"/>
      <c r="C526" s="75"/>
    </row>
    <row r="527" spans="1:3" x14ac:dyDescent="0.25">
      <c r="A527" s="77"/>
      <c r="B527" s="77"/>
      <c r="C527" s="75"/>
    </row>
    <row r="528" spans="1:3" x14ac:dyDescent="0.25">
      <c r="A528" s="77"/>
      <c r="B528" s="77"/>
      <c r="C528" s="75"/>
    </row>
    <row r="529" spans="1:3" x14ac:dyDescent="0.25">
      <c r="A529" s="77"/>
      <c r="B529" s="77"/>
      <c r="C529" s="75"/>
    </row>
    <row r="530" spans="1:3" x14ac:dyDescent="0.25">
      <c r="A530" s="77"/>
      <c r="B530" s="77"/>
      <c r="C530" s="75"/>
    </row>
    <row r="531" spans="1:3" x14ac:dyDescent="0.25">
      <c r="A531" s="77"/>
      <c r="B531" s="77"/>
      <c r="C531" s="75"/>
    </row>
    <row r="532" spans="1:3" x14ac:dyDescent="0.25">
      <c r="A532" s="77"/>
      <c r="B532" s="77"/>
      <c r="C532" s="75"/>
    </row>
    <row r="533" spans="1:3" x14ac:dyDescent="0.25">
      <c r="A533" s="77"/>
      <c r="B533" s="77"/>
      <c r="C533" s="75"/>
    </row>
    <row r="534" spans="1:3" x14ac:dyDescent="0.25">
      <c r="A534" s="77"/>
      <c r="B534" s="77"/>
      <c r="C534" s="75"/>
    </row>
    <row r="535" spans="1:3" x14ac:dyDescent="0.25">
      <c r="A535" s="77"/>
      <c r="B535" s="77"/>
      <c r="C535" s="75"/>
    </row>
    <row r="536" spans="1:3" x14ac:dyDescent="0.25">
      <c r="A536" s="77"/>
      <c r="B536" s="77"/>
      <c r="C536" s="75"/>
    </row>
    <row r="537" spans="1:3" x14ac:dyDescent="0.25">
      <c r="A537" s="77"/>
      <c r="B537" s="77"/>
      <c r="C537" s="75"/>
    </row>
    <row r="538" spans="1:3" x14ac:dyDescent="0.25">
      <c r="A538" s="77"/>
      <c r="B538" s="77"/>
      <c r="C538" s="75"/>
    </row>
    <row r="539" spans="1:3" x14ac:dyDescent="0.25">
      <c r="A539" s="77"/>
      <c r="B539" s="77"/>
      <c r="C539" s="75"/>
    </row>
    <row r="540" spans="1:3" x14ac:dyDescent="0.25">
      <c r="A540" s="77"/>
      <c r="B540" s="77"/>
      <c r="C540" s="75"/>
    </row>
    <row r="541" spans="1:3" x14ac:dyDescent="0.25">
      <c r="A541" s="77"/>
      <c r="B541" s="77"/>
      <c r="C541" s="75"/>
    </row>
    <row r="542" spans="1:3" x14ac:dyDescent="0.25">
      <c r="A542" s="77"/>
      <c r="B542" s="77"/>
      <c r="C542" s="75"/>
    </row>
    <row r="543" spans="1:3" x14ac:dyDescent="0.25">
      <c r="A543" s="77"/>
      <c r="B543" s="77"/>
      <c r="C543" s="75"/>
    </row>
    <row r="544" spans="1:3" x14ac:dyDescent="0.25">
      <c r="A544" s="77"/>
      <c r="B544" s="77"/>
      <c r="C544" s="75"/>
    </row>
    <row r="545" spans="1:3" x14ac:dyDescent="0.25">
      <c r="A545" s="77"/>
      <c r="B545" s="77"/>
      <c r="C545" s="75"/>
    </row>
    <row r="546" spans="1:3" x14ac:dyDescent="0.25">
      <c r="A546" s="77"/>
      <c r="B546" s="77"/>
      <c r="C546" s="75"/>
    </row>
    <row r="547" spans="1:3" x14ac:dyDescent="0.25">
      <c r="A547" s="77"/>
      <c r="B547" s="77"/>
      <c r="C547" s="75"/>
    </row>
    <row r="548" spans="1:3" x14ac:dyDescent="0.25">
      <c r="A548" s="77"/>
      <c r="B548" s="77"/>
      <c r="C548" s="75"/>
    </row>
    <row r="549" spans="1:3" x14ac:dyDescent="0.25">
      <c r="A549" s="77"/>
      <c r="B549" s="77"/>
      <c r="C549" s="75"/>
    </row>
    <row r="550" spans="1:3" x14ac:dyDescent="0.25">
      <c r="A550" s="77"/>
      <c r="B550" s="77"/>
      <c r="C550" s="75"/>
    </row>
    <row r="551" spans="1:3" x14ac:dyDescent="0.25">
      <c r="A551" s="77"/>
      <c r="B551" s="77"/>
      <c r="C551" s="75"/>
    </row>
    <row r="552" spans="1:3" x14ac:dyDescent="0.25">
      <c r="A552" s="77"/>
      <c r="B552" s="77"/>
      <c r="C552" s="75"/>
    </row>
    <row r="553" spans="1:3" x14ac:dyDescent="0.25">
      <c r="A553" s="77"/>
      <c r="B553" s="77"/>
      <c r="C553" s="75"/>
    </row>
    <row r="554" spans="1:3" x14ac:dyDescent="0.25">
      <c r="A554" s="77"/>
      <c r="B554" s="77"/>
      <c r="C554" s="75"/>
    </row>
    <row r="555" spans="1:3" x14ac:dyDescent="0.25">
      <c r="A555" s="77"/>
      <c r="B555" s="77"/>
      <c r="C555" s="75"/>
    </row>
    <row r="556" spans="1:3" x14ac:dyDescent="0.25">
      <c r="A556" s="77"/>
      <c r="B556" s="77"/>
      <c r="C556" s="75"/>
    </row>
    <row r="557" spans="1:3" x14ac:dyDescent="0.25">
      <c r="A557" s="77"/>
      <c r="B557" s="77"/>
      <c r="C557" s="75"/>
    </row>
    <row r="558" spans="1:3" x14ac:dyDescent="0.25">
      <c r="A558" s="77"/>
      <c r="B558" s="77"/>
      <c r="C558" s="75"/>
    </row>
    <row r="559" spans="1:3" x14ac:dyDescent="0.25">
      <c r="A559" s="77"/>
      <c r="B559" s="77"/>
      <c r="C559" s="75"/>
    </row>
    <row r="560" spans="1:3" x14ac:dyDescent="0.25">
      <c r="A560" s="77"/>
      <c r="B560" s="77"/>
      <c r="C560" s="75"/>
    </row>
    <row r="561" spans="1:3" x14ac:dyDescent="0.25">
      <c r="A561" s="77"/>
      <c r="B561" s="77"/>
      <c r="C561" s="75"/>
    </row>
    <row r="562" spans="1:3" x14ac:dyDescent="0.25">
      <c r="A562" s="77"/>
      <c r="B562" s="77"/>
      <c r="C562" s="75"/>
    </row>
    <row r="563" spans="1:3" x14ac:dyDescent="0.25">
      <c r="A563" s="77"/>
      <c r="B563" s="77"/>
      <c r="C563" s="75"/>
    </row>
    <row r="564" spans="1:3" x14ac:dyDescent="0.25">
      <c r="A564" s="77"/>
      <c r="B564" s="77"/>
      <c r="C564" s="75"/>
    </row>
    <row r="565" spans="1:3" x14ac:dyDescent="0.25">
      <c r="A565" s="77"/>
      <c r="B565" s="77"/>
      <c r="C565" s="75"/>
    </row>
    <row r="566" spans="1:3" x14ac:dyDescent="0.25">
      <c r="A566" s="77"/>
      <c r="B566" s="77"/>
      <c r="C566" s="75"/>
    </row>
    <row r="567" spans="1:3" x14ac:dyDescent="0.25">
      <c r="A567" s="77"/>
      <c r="B567" s="77"/>
      <c r="C567" s="75"/>
    </row>
    <row r="568" spans="1:3" x14ac:dyDescent="0.25">
      <c r="A568" s="77"/>
      <c r="B568" s="77"/>
      <c r="C568" s="75"/>
    </row>
    <row r="569" spans="1:3" x14ac:dyDescent="0.25">
      <c r="A569" s="77"/>
      <c r="B569" s="77"/>
      <c r="C569" s="75"/>
    </row>
    <row r="570" spans="1:3" x14ac:dyDescent="0.25">
      <c r="A570" s="77"/>
      <c r="B570" s="77"/>
      <c r="C570" s="75"/>
    </row>
    <row r="571" spans="1:3" x14ac:dyDescent="0.25">
      <c r="A571" s="77"/>
      <c r="B571" s="77"/>
      <c r="C571" s="75"/>
    </row>
    <row r="572" spans="1:3" x14ac:dyDescent="0.25">
      <c r="A572" s="77"/>
      <c r="B572" s="77"/>
      <c r="C572" s="75"/>
    </row>
    <row r="573" spans="1:3" x14ac:dyDescent="0.25">
      <c r="A573" s="77"/>
      <c r="B573" s="77"/>
      <c r="C573" s="75"/>
    </row>
    <row r="574" spans="1:3" x14ac:dyDescent="0.25">
      <c r="A574" s="77"/>
      <c r="B574" s="77"/>
      <c r="C574" s="75"/>
    </row>
    <row r="575" spans="1:3" x14ac:dyDescent="0.25">
      <c r="A575" s="77"/>
      <c r="B575" s="77"/>
      <c r="C575" s="75"/>
    </row>
    <row r="576" spans="1:3" x14ac:dyDescent="0.25">
      <c r="A576" s="77"/>
      <c r="B576" s="77"/>
      <c r="C576" s="75"/>
    </row>
    <row r="577" spans="1:3" x14ac:dyDescent="0.25">
      <c r="A577" s="77"/>
      <c r="B577" s="77"/>
      <c r="C577" s="75"/>
    </row>
    <row r="578" spans="1:3" x14ac:dyDescent="0.25">
      <c r="A578" s="77"/>
      <c r="B578" s="77"/>
      <c r="C578" s="75"/>
    </row>
    <row r="579" spans="1:3" x14ac:dyDescent="0.25">
      <c r="A579" s="77"/>
      <c r="B579" s="77"/>
      <c r="C579" s="75"/>
    </row>
    <row r="580" spans="1:3" x14ac:dyDescent="0.25">
      <c r="A580" s="77"/>
      <c r="B580" s="77"/>
      <c r="C580" s="75"/>
    </row>
    <row r="581" spans="1:3" x14ac:dyDescent="0.25">
      <c r="A581" s="77"/>
      <c r="B581" s="77"/>
      <c r="C581" s="75"/>
    </row>
    <row r="582" spans="1:3" x14ac:dyDescent="0.25">
      <c r="A582" s="77"/>
      <c r="B582" s="77"/>
      <c r="C582" s="75"/>
    </row>
    <row r="583" spans="1:3" x14ac:dyDescent="0.25">
      <c r="A583" s="77"/>
      <c r="B583" s="77"/>
      <c r="C583" s="75"/>
    </row>
    <row r="584" spans="1:3" x14ac:dyDescent="0.25">
      <c r="A584" s="77"/>
      <c r="B584" s="77"/>
      <c r="C584" s="75"/>
    </row>
    <row r="585" spans="1:3" x14ac:dyDescent="0.25">
      <c r="A585" s="77"/>
      <c r="B585" s="77"/>
      <c r="C585" s="75"/>
    </row>
    <row r="586" spans="1:3" x14ac:dyDescent="0.25">
      <c r="A586" s="77"/>
      <c r="B586" s="77"/>
      <c r="C586" s="75"/>
    </row>
    <row r="587" spans="1:3" x14ac:dyDescent="0.25">
      <c r="A587" s="77"/>
      <c r="B587" s="77"/>
      <c r="C587" s="75"/>
    </row>
    <row r="588" spans="1:3" x14ac:dyDescent="0.25">
      <c r="A588" s="77"/>
      <c r="B588" s="77"/>
      <c r="C588" s="75"/>
    </row>
    <row r="589" spans="1:3" x14ac:dyDescent="0.25">
      <c r="A589" s="77"/>
      <c r="B589" s="77"/>
      <c r="C589" s="75"/>
    </row>
    <row r="590" spans="1:3" x14ac:dyDescent="0.25">
      <c r="A590" s="77"/>
      <c r="B590" s="77"/>
      <c r="C590" s="75"/>
    </row>
    <row r="591" spans="1:3" x14ac:dyDescent="0.25">
      <c r="A591" s="77"/>
      <c r="B591" s="77"/>
      <c r="C591" s="75"/>
    </row>
    <row r="592" spans="1:3" x14ac:dyDescent="0.25">
      <c r="A592" s="77"/>
      <c r="B592" s="77"/>
      <c r="C592" s="75"/>
    </row>
    <row r="593" spans="1:3" x14ac:dyDescent="0.25">
      <c r="A593" s="77"/>
      <c r="B593" s="77"/>
      <c r="C593" s="75"/>
    </row>
    <row r="594" spans="1:3" x14ac:dyDescent="0.25">
      <c r="A594" s="77"/>
      <c r="B594" s="77"/>
      <c r="C594" s="75"/>
    </row>
    <row r="595" spans="1:3" x14ac:dyDescent="0.25">
      <c r="A595" s="77"/>
      <c r="B595" s="77"/>
      <c r="C595" s="75"/>
    </row>
    <row r="596" spans="1:3" x14ac:dyDescent="0.25">
      <c r="A596" s="77"/>
      <c r="B596" s="77"/>
      <c r="C596" s="75"/>
    </row>
    <row r="597" spans="1:3" x14ac:dyDescent="0.25">
      <c r="A597" s="77"/>
      <c r="B597" s="77"/>
      <c r="C597" s="75"/>
    </row>
    <row r="598" spans="1:3" x14ac:dyDescent="0.25">
      <c r="A598" s="77"/>
      <c r="B598" s="77"/>
      <c r="C598" s="75"/>
    </row>
    <row r="599" spans="1:3" x14ac:dyDescent="0.25">
      <c r="A599" s="77"/>
      <c r="B599" s="77"/>
      <c r="C599" s="75"/>
    </row>
    <row r="600" spans="1:3" x14ac:dyDescent="0.25">
      <c r="A600" s="77"/>
      <c r="B600" s="77"/>
      <c r="C600" s="75"/>
    </row>
    <row r="601" spans="1:3" x14ac:dyDescent="0.25">
      <c r="A601" s="77"/>
      <c r="B601" s="77"/>
      <c r="C601" s="75"/>
    </row>
    <row r="602" spans="1:3" x14ac:dyDescent="0.25">
      <c r="A602" s="77"/>
      <c r="B602" s="77"/>
      <c r="C602" s="75"/>
    </row>
    <row r="603" spans="1:3" x14ac:dyDescent="0.25">
      <c r="A603" s="77"/>
      <c r="B603" s="77"/>
      <c r="C603" s="75"/>
    </row>
    <row r="604" spans="1:3" x14ac:dyDescent="0.25">
      <c r="A604" s="77"/>
      <c r="B604" s="77"/>
      <c r="C604" s="75"/>
    </row>
    <row r="605" spans="1:3" x14ac:dyDescent="0.25">
      <c r="A605" s="77"/>
      <c r="B605" s="77"/>
      <c r="C605" s="75"/>
    </row>
    <row r="606" spans="1:3" x14ac:dyDescent="0.25">
      <c r="A606" s="77"/>
      <c r="B606" s="77"/>
      <c r="C606" s="75"/>
    </row>
    <row r="607" spans="1:3" x14ac:dyDescent="0.25">
      <c r="A607" s="77"/>
      <c r="B607" s="77"/>
      <c r="C607" s="75"/>
    </row>
    <row r="608" spans="1:3" x14ac:dyDescent="0.25">
      <c r="A608" s="77"/>
      <c r="B608" s="77"/>
      <c r="C608" s="75"/>
    </row>
    <row r="609" spans="1:3" x14ac:dyDescent="0.25">
      <c r="A609" s="77"/>
      <c r="B609" s="77"/>
      <c r="C609" s="75"/>
    </row>
    <row r="610" spans="1:3" x14ac:dyDescent="0.25">
      <c r="A610" s="77"/>
      <c r="B610" s="77"/>
      <c r="C610" s="75"/>
    </row>
    <row r="611" spans="1:3" x14ac:dyDescent="0.25">
      <c r="A611" s="77"/>
      <c r="B611" s="77"/>
      <c r="C611" s="75"/>
    </row>
    <row r="612" spans="1:3" x14ac:dyDescent="0.25">
      <c r="A612" s="77"/>
      <c r="B612" s="77"/>
      <c r="C612" s="75"/>
    </row>
    <row r="613" spans="1:3" x14ac:dyDescent="0.25">
      <c r="A613" s="77"/>
      <c r="B613" s="77"/>
      <c r="C613" s="75"/>
    </row>
    <row r="614" spans="1:3" x14ac:dyDescent="0.25">
      <c r="A614" s="77"/>
      <c r="B614" s="77"/>
      <c r="C614" s="75"/>
    </row>
    <row r="615" spans="1:3" x14ac:dyDescent="0.25">
      <c r="A615" s="77"/>
      <c r="B615" s="77"/>
      <c r="C615" s="75"/>
    </row>
    <row r="616" spans="1:3" x14ac:dyDescent="0.25">
      <c r="A616" s="77"/>
      <c r="B616" s="77"/>
      <c r="C616" s="75"/>
    </row>
    <row r="617" spans="1:3" x14ac:dyDescent="0.25">
      <c r="A617" s="77"/>
      <c r="B617" s="77"/>
      <c r="C617" s="75"/>
    </row>
    <row r="618" spans="1:3" x14ac:dyDescent="0.25">
      <c r="A618" s="77"/>
      <c r="B618" s="77"/>
      <c r="C618" s="75"/>
    </row>
    <row r="619" spans="1:3" x14ac:dyDescent="0.25">
      <c r="A619" s="77"/>
      <c r="B619" s="77"/>
      <c r="C619" s="75"/>
    </row>
    <row r="620" spans="1:3" x14ac:dyDescent="0.25">
      <c r="A620" s="77"/>
      <c r="B620" s="77"/>
      <c r="C620" s="75"/>
    </row>
    <row r="621" spans="1:3" x14ac:dyDescent="0.25">
      <c r="A621" s="77"/>
      <c r="B621" s="77"/>
      <c r="C621" s="75"/>
    </row>
    <row r="622" spans="1:3" x14ac:dyDescent="0.25">
      <c r="A622" s="77"/>
      <c r="B622" s="77"/>
      <c r="C622" s="75"/>
    </row>
    <row r="623" spans="1:3" x14ac:dyDescent="0.25">
      <c r="A623" s="77"/>
      <c r="B623" s="77"/>
      <c r="C623" s="75"/>
    </row>
    <row r="624" spans="1:3" x14ac:dyDescent="0.25">
      <c r="A624" s="77"/>
      <c r="B624" s="77"/>
      <c r="C624" s="75"/>
    </row>
    <row r="625" spans="1:3" x14ac:dyDescent="0.25">
      <c r="A625" s="77"/>
      <c r="B625" s="77"/>
      <c r="C625" s="75"/>
    </row>
    <row r="626" spans="1:3" x14ac:dyDescent="0.25">
      <c r="A626" s="77"/>
      <c r="B626" s="77"/>
      <c r="C626" s="75"/>
    </row>
    <row r="627" spans="1:3" x14ac:dyDescent="0.25">
      <c r="A627" s="77"/>
      <c r="B627" s="77"/>
      <c r="C627" s="75"/>
    </row>
    <row r="628" spans="1:3" x14ac:dyDescent="0.25">
      <c r="A628" s="77"/>
      <c r="B628" s="77"/>
      <c r="C628" s="75"/>
    </row>
    <row r="629" spans="1:3" x14ac:dyDescent="0.25">
      <c r="A629" s="77"/>
      <c r="B629" s="77"/>
      <c r="C629" s="75"/>
    </row>
    <row r="630" spans="1:3" x14ac:dyDescent="0.25">
      <c r="A630" s="77"/>
      <c r="B630" s="77"/>
      <c r="C630" s="75"/>
    </row>
    <row r="631" spans="1:3" x14ac:dyDescent="0.25">
      <c r="A631" s="77"/>
      <c r="B631" s="77"/>
      <c r="C631" s="75"/>
    </row>
    <row r="632" spans="1:3" x14ac:dyDescent="0.25">
      <c r="A632" s="77"/>
      <c r="B632" s="77"/>
      <c r="C632" s="75"/>
    </row>
    <row r="633" spans="1:3" x14ac:dyDescent="0.25">
      <c r="A633" s="77"/>
      <c r="B633" s="77"/>
      <c r="C633" s="75"/>
    </row>
    <row r="634" spans="1:3" x14ac:dyDescent="0.25">
      <c r="A634" s="77"/>
      <c r="B634" s="77"/>
      <c r="C634" s="75"/>
    </row>
    <row r="635" spans="1:3" x14ac:dyDescent="0.25">
      <c r="A635" s="77"/>
      <c r="B635" s="77"/>
      <c r="C635" s="75"/>
    </row>
    <row r="636" spans="1:3" x14ac:dyDescent="0.25">
      <c r="A636" s="77"/>
      <c r="B636" s="77"/>
      <c r="C636" s="75"/>
    </row>
    <row r="637" spans="1:3" x14ac:dyDescent="0.25">
      <c r="A637" s="77"/>
      <c r="B637" s="77"/>
      <c r="C637" s="75"/>
    </row>
    <row r="638" spans="1:3" x14ac:dyDescent="0.25">
      <c r="A638" s="77"/>
      <c r="B638" s="77"/>
      <c r="C638" s="75"/>
    </row>
    <row r="639" spans="1:3" x14ac:dyDescent="0.25">
      <c r="A639" s="77"/>
      <c r="B639" s="77"/>
      <c r="C639" s="75"/>
    </row>
    <row r="640" spans="1:3" x14ac:dyDescent="0.25">
      <c r="A640" s="77"/>
      <c r="B640" s="77"/>
      <c r="C640" s="75"/>
    </row>
    <row r="641" spans="1:3" x14ac:dyDescent="0.25">
      <c r="A641" s="77"/>
      <c r="B641" s="77"/>
      <c r="C641" s="75"/>
    </row>
    <row r="642" spans="1:3" x14ac:dyDescent="0.25">
      <c r="A642" s="77"/>
      <c r="B642" s="77"/>
      <c r="C642" s="75"/>
    </row>
    <row r="643" spans="1:3" x14ac:dyDescent="0.25">
      <c r="A643" s="77"/>
      <c r="B643" s="77"/>
      <c r="C643" s="75"/>
    </row>
    <row r="644" spans="1:3" x14ac:dyDescent="0.25">
      <c r="A644" s="77"/>
      <c r="B644" s="77"/>
      <c r="C644" s="75"/>
    </row>
    <row r="645" spans="1:3" x14ac:dyDescent="0.25">
      <c r="A645" s="77"/>
      <c r="B645" s="77"/>
      <c r="C645" s="75"/>
    </row>
    <row r="646" spans="1:3" x14ac:dyDescent="0.25">
      <c r="A646" s="77"/>
      <c r="B646" s="77"/>
      <c r="C646" s="75"/>
    </row>
    <row r="647" spans="1:3" x14ac:dyDescent="0.25">
      <c r="A647" s="77"/>
      <c r="B647" s="77"/>
      <c r="C647" s="75"/>
    </row>
    <row r="648" spans="1:3" x14ac:dyDescent="0.25">
      <c r="A648" s="77"/>
      <c r="B648" s="77"/>
      <c r="C648" s="75"/>
    </row>
    <row r="649" spans="1:3" x14ac:dyDescent="0.25">
      <c r="A649" s="77"/>
      <c r="B649" s="77"/>
      <c r="C649" s="75"/>
    </row>
    <row r="650" spans="1:3" x14ac:dyDescent="0.25">
      <c r="A650" s="77"/>
      <c r="B650" s="77"/>
      <c r="C650" s="75"/>
    </row>
    <row r="651" spans="1:3" x14ac:dyDescent="0.25">
      <c r="A651" s="77"/>
      <c r="B651" s="77"/>
      <c r="C651" s="75"/>
    </row>
    <row r="652" spans="1:3" x14ac:dyDescent="0.25">
      <c r="A652" s="77"/>
      <c r="B652" s="77"/>
      <c r="C652" s="75"/>
    </row>
    <row r="653" spans="1:3" x14ac:dyDescent="0.25">
      <c r="A653" s="77"/>
      <c r="B653" s="77"/>
      <c r="C653" s="75"/>
    </row>
    <row r="654" spans="1:3" x14ac:dyDescent="0.25">
      <c r="A654" s="77"/>
      <c r="B654" s="77"/>
      <c r="C654" s="75"/>
    </row>
    <row r="655" spans="1:3" x14ac:dyDescent="0.25">
      <c r="A655" s="77"/>
      <c r="B655" s="77"/>
      <c r="C655" s="75"/>
    </row>
    <row r="656" spans="1:3" x14ac:dyDescent="0.25">
      <c r="A656" s="77"/>
      <c r="B656" s="77"/>
      <c r="C656" s="75"/>
    </row>
    <row r="657" spans="1:3" x14ac:dyDescent="0.25">
      <c r="A657" s="77"/>
      <c r="B657" s="77"/>
      <c r="C657" s="75"/>
    </row>
    <row r="658" spans="1:3" x14ac:dyDescent="0.25">
      <c r="A658" s="77"/>
      <c r="B658" s="77"/>
      <c r="C658" s="75"/>
    </row>
    <row r="659" spans="1:3" x14ac:dyDescent="0.25">
      <c r="A659" s="77"/>
      <c r="B659" s="77"/>
      <c r="C659" s="75"/>
    </row>
    <row r="660" spans="1:3" x14ac:dyDescent="0.25">
      <c r="A660" s="77"/>
      <c r="B660" s="77"/>
      <c r="C660" s="75"/>
    </row>
    <row r="661" spans="1:3" x14ac:dyDescent="0.25">
      <c r="A661" s="77"/>
      <c r="B661" s="77"/>
      <c r="C661" s="75"/>
    </row>
    <row r="662" spans="1:3" x14ac:dyDescent="0.25">
      <c r="A662" s="77"/>
      <c r="B662" s="77"/>
      <c r="C662" s="75"/>
    </row>
    <row r="663" spans="1:3" x14ac:dyDescent="0.25">
      <c r="A663" s="77"/>
      <c r="B663" s="77"/>
      <c r="C663" s="75"/>
    </row>
    <row r="664" spans="1:3" x14ac:dyDescent="0.25">
      <c r="A664" s="77"/>
      <c r="B664" s="77"/>
      <c r="C664" s="75"/>
    </row>
    <row r="665" spans="1:3" x14ac:dyDescent="0.25">
      <c r="A665" s="77"/>
      <c r="B665" s="77"/>
      <c r="C665" s="75"/>
    </row>
    <row r="666" spans="1:3" x14ac:dyDescent="0.25">
      <c r="A666" s="77"/>
      <c r="B666" s="77"/>
      <c r="C666" s="75"/>
    </row>
    <row r="667" spans="1:3" x14ac:dyDescent="0.25">
      <c r="A667" s="77"/>
      <c r="B667" s="77"/>
      <c r="C667" s="75"/>
    </row>
    <row r="668" spans="1:3" x14ac:dyDescent="0.25">
      <c r="A668" s="77"/>
      <c r="B668" s="77"/>
      <c r="C668" s="75"/>
    </row>
    <row r="669" spans="1:3" x14ac:dyDescent="0.25">
      <c r="A669" s="77"/>
      <c r="B669" s="77"/>
      <c r="C669" s="75"/>
    </row>
    <row r="670" spans="1:3" x14ac:dyDescent="0.25">
      <c r="A670" s="77"/>
      <c r="B670" s="77"/>
      <c r="C670" s="75"/>
    </row>
    <row r="671" spans="1:3" x14ac:dyDescent="0.25">
      <c r="A671" s="77"/>
      <c r="B671" s="77"/>
      <c r="C671" s="75"/>
    </row>
    <row r="672" spans="1:3" x14ac:dyDescent="0.25">
      <c r="A672" s="77"/>
      <c r="B672" s="77"/>
      <c r="C672" s="75"/>
    </row>
    <row r="673" spans="1:3" x14ac:dyDescent="0.25">
      <c r="A673" s="77"/>
      <c r="B673" s="77"/>
      <c r="C673" s="75"/>
    </row>
    <row r="674" spans="1:3" x14ac:dyDescent="0.25">
      <c r="A674" s="77"/>
      <c r="B674" s="77"/>
      <c r="C674" s="75"/>
    </row>
    <row r="675" spans="1:3" x14ac:dyDescent="0.25">
      <c r="A675" s="77"/>
      <c r="B675" s="77"/>
      <c r="C675" s="75"/>
    </row>
    <row r="676" spans="1:3" x14ac:dyDescent="0.25">
      <c r="A676" s="77"/>
      <c r="B676" s="77"/>
      <c r="C676" s="75"/>
    </row>
    <row r="677" spans="1:3" x14ac:dyDescent="0.25">
      <c r="A677" s="77"/>
      <c r="B677" s="77"/>
      <c r="C677" s="75"/>
    </row>
    <row r="678" spans="1:3" x14ac:dyDescent="0.25">
      <c r="A678" s="77"/>
      <c r="B678" s="77"/>
      <c r="C678" s="75"/>
    </row>
    <row r="679" spans="1:3" x14ac:dyDescent="0.25">
      <c r="A679" s="77"/>
      <c r="B679" s="77"/>
      <c r="C679" s="75"/>
    </row>
    <row r="680" spans="1:3" x14ac:dyDescent="0.25">
      <c r="A680" s="77"/>
      <c r="B680" s="77"/>
      <c r="C680" s="75"/>
    </row>
    <row r="681" spans="1:3" x14ac:dyDescent="0.25">
      <c r="A681" s="77"/>
      <c r="B681" s="77"/>
      <c r="C681" s="75"/>
    </row>
    <row r="682" spans="1:3" x14ac:dyDescent="0.25">
      <c r="A682" s="77"/>
      <c r="B682" s="77"/>
      <c r="C682" s="75"/>
    </row>
    <row r="683" spans="1:3" x14ac:dyDescent="0.25">
      <c r="A683" s="77"/>
      <c r="B683" s="77"/>
      <c r="C683" s="75"/>
    </row>
    <row r="684" spans="1:3" x14ac:dyDescent="0.25">
      <c r="A684" s="77"/>
      <c r="B684" s="77"/>
      <c r="C684" s="75"/>
    </row>
    <row r="685" spans="1:3" x14ac:dyDescent="0.25">
      <c r="A685" s="77"/>
      <c r="B685" s="77"/>
      <c r="C685" s="75"/>
    </row>
    <row r="686" spans="1:3" x14ac:dyDescent="0.25">
      <c r="A686" s="77"/>
      <c r="B686" s="77"/>
      <c r="C686" s="75"/>
    </row>
    <row r="687" spans="1:3" x14ac:dyDescent="0.25">
      <c r="A687" s="77"/>
      <c r="B687" s="77"/>
      <c r="C687" s="75"/>
    </row>
    <row r="688" spans="1:3" x14ac:dyDescent="0.25">
      <c r="A688" s="77"/>
      <c r="B688" s="77"/>
      <c r="C688" s="75"/>
    </row>
    <row r="689" spans="1:3" x14ac:dyDescent="0.25">
      <c r="A689" s="77"/>
      <c r="B689" s="77"/>
      <c r="C689" s="75"/>
    </row>
    <row r="690" spans="1:3" x14ac:dyDescent="0.25">
      <c r="A690" s="77"/>
      <c r="B690" s="77"/>
      <c r="C690" s="75"/>
    </row>
    <row r="691" spans="1:3" x14ac:dyDescent="0.25">
      <c r="A691" s="77"/>
      <c r="B691" s="77"/>
      <c r="C691" s="75"/>
    </row>
    <row r="692" spans="1:3" x14ac:dyDescent="0.25">
      <c r="A692" s="77"/>
      <c r="B692" s="77"/>
      <c r="C692" s="75"/>
    </row>
    <row r="693" spans="1:3" x14ac:dyDescent="0.25">
      <c r="A693" s="77"/>
      <c r="B693" s="77"/>
      <c r="C693" s="75"/>
    </row>
    <row r="694" spans="1:3" x14ac:dyDescent="0.25">
      <c r="A694" s="77"/>
      <c r="B694" s="77"/>
      <c r="C694" s="75"/>
    </row>
    <row r="695" spans="1:3" x14ac:dyDescent="0.25">
      <c r="A695" s="77"/>
      <c r="B695" s="77"/>
      <c r="C695" s="75"/>
    </row>
    <row r="696" spans="1:3" x14ac:dyDescent="0.25">
      <c r="A696" s="77"/>
      <c r="B696" s="77"/>
      <c r="C696" s="75"/>
    </row>
    <row r="697" spans="1:3" x14ac:dyDescent="0.25">
      <c r="A697" s="77"/>
      <c r="B697" s="77"/>
      <c r="C697" s="75"/>
    </row>
    <row r="698" spans="1:3" x14ac:dyDescent="0.25">
      <c r="A698" s="77"/>
      <c r="B698" s="77"/>
      <c r="C698" s="75"/>
    </row>
    <row r="699" spans="1:3" x14ac:dyDescent="0.25">
      <c r="A699" s="77"/>
      <c r="B699" s="77"/>
      <c r="C699" s="75"/>
    </row>
    <row r="700" spans="1:3" x14ac:dyDescent="0.25">
      <c r="A700" s="77"/>
      <c r="B700" s="77"/>
      <c r="C700" s="75"/>
    </row>
    <row r="701" spans="1:3" x14ac:dyDescent="0.25">
      <c r="A701" s="77"/>
      <c r="B701" s="77"/>
      <c r="C701" s="75"/>
    </row>
    <row r="702" spans="1:3" x14ac:dyDescent="0.25">
      <c r="A702" s="77"/>
      <c r="B702" s="77"/>
      <c r="C702" s="75"/>
    </row>
    <row r="703" spans="1:3" x14ac:dyDescent="0.25">
      <c r="A703" s="77"/>
      <c r="B703" s="77"/>
      <c r="C703" s="75"/>
    </row>
    <row r="704" spans="1:3" x14ac:dyDescent="0.25">
      <c r="A704" s="77"/>
      <c r="B704" s="77"/>
      <c r="C704" s="75"/>
    </row>
    <row r="705" spans="1:3" x14ac:dyDescent="0.25">
      <c r="A705" s="77"/>
      <c r="B705" s="77"/>
      <c r="C705" s="75"/>
    </row>
    <row r="706" spans="1:3" x14ac:dyDescent="0.25">
      <c r="A706" s="77"/>
      <c r="B706" s="77"/>
      <c r="C706" s="75"/>
    </row>
    <row r="707" spans="1:3" x14ac:dyDescent="0.25">
      <c r="A707" s="77"/>
      <c r="B707" s="77"/>
      <c r="C707" s="75"/>
    </row>
    <row r="708" spans="1:3" x14ac:dyDescent="0.25">
      <c r="A708" s="77"/>
      <c r="B708" s="77"/>
      <c r="C708" s="75"/>
    </row>
    <row r="709" spans="1:3" x14ac:dyDescent="0.25">
      <c r="A709" s="77"/>
      <c r="B709" s="77"/>
      <c r="C709" s="75"/>
    </row>
    <row r="710" spans="1:3" x14ac:dyDescent="0.25">
      <c r="A710" s="77"/>
      <c r="B710" s="77"/>
      <c r="C710" s="75"/>
    </row>
    <row r="711" spans="1:3" x14ac:dyDescent="0.25">
      <c r="A711" s="77"/>
      <c r="B711" s="77"/>
      <c r="C711" s="75"/>
    </row>
    <row r="712" spans="1:3" x14ac:dyDescent="0.25">
      <c r="A712" s="77"/>
      <c r="B712" s="77"/>
      <c r="C712" s="75"/>
    </row>
    <row r="713" spans="1:3" x14ac:dyDescent="0.25">
      <c r="A713" s="77"/>
      <c r="B713" s="77"/>
      <c r="C713" s="75"/>
    </row>
    <row r="714" spans="1:3" x14ac:dyDescent="0.25">
      <c r="A714" s="77"/>
      <c r="B714" s="77"/>
      <c r="C714" s="75"/>
    </row>
    <row r="715" spans="1:3" x14ac:dyDescent="0.25">
      <c r="A715" s="77"/>
      <c r="B715" s="77"/>
      <c r="C715" s="75"/>
    </row>
    <row r="716" spans="1:3" x14ac:dyDescent="0.25">
      <c r="A716" s="77"/>
      <c r="B716" s="77"/>
      <c r="C716" s="75"/>
    </row>
    <row r="717" spans="1:3" x14ac:dyDescent="0.25">
      <c r="A717" s="77"/>
      <c r="B717" s="77"/>
      <c r="C717" s="75"/>
    </row>
    <row r="718" spans="1:3" x14ac:dyDescent="0.25">
      <c r="A718" s="77"/>
      <c r="B718" s="77"/>
      <c r="C718" s="75"/>
    </row>
    <row r="719" spans="1:3" x14ac:dyDescent="0.25">
      <c r="A719" s="77"/>
      <c r="B719" s="77"/>
      <c r="C719" s="75"/>
    </row>
    <row r="720" spans="1:3" x14ac:dyDescent="0.25">
      <c r="A720" s="77"/>
      <c r="B720" s="77"/>
      <c r="C720" s="75"/>
    </row>
    <row r="721" spans="1:3" x14ac:dyDescent="0.25">
      <c r="A721" s="77"/>
      <c r="B721" s="77"/>
      <c r="C721" s="75"/>
    </row>
    <row r="722" spans="1:3" x14ac:dyDescent="0.25">
      <c r="A722" s="77"/>
      <c r="B722" s="77"/>
      <c r="C722" s="75"/>
    </row>
    <row r="723" spans="1:3" x14ac:dyDescent="0.25">
      <c r="A723" s="77"/>
      <c r="B723" s="77"/>
      <c r="C723" s="75"/>
    </row>
    <row r="724" spans="1:3" x14ac:dyDescent="0.25">
      <c r="A724" s="77"/>
      <c r="B724" s="77"/>
      <c r="C724" s="75"/>
    </row>
    <row r="725" spans="1:3" x14ac:dyDescent="0.25">
      <c r="A725" s="77"/>
      <c r="B725" s="77"/>
      <c r="C725" s="75"/>
    </row>
    <row r="726" spans="1:3" x14ac:dyDescent="0.25">
      <c r="A726" s="77"/>
      <c r="B726" s="77"/>
      <c r="C726" s="75"/>
    </row>
    <row r="727" spans="1:3" x14ac:dyDescent="0.25">
      <c r="A727" s="77"/>
      <c r="B727" s="77"/>
      <c r="C727" s="75"/>
    </row>
    <row r="728" spans="1:3" x14ac:dyDescent="0.25">
      <c r="A728" s="77"/>
      <c r="B728" s="77"/>
      <c r="C728" s="75"/>
    </row>
    <row r="729" spans="1:3" x14ac:dyDescent="0.25">
      <c r="A729" s="77"/>
      <c r="B729" s="77"/>
      <c r="C729" s="75"/>
    </row>
    <row r="730" spans="1:3" x14ac:dyDescent="0.25">
      <c r="A730" s="77"/>
      <c r="B730" s="77"/>
      <c r="C730" s="75"/>
    </row>
    <row r="731" spans="1:3" x14ac:dyDescent="0.25">
      <c r="A731" s="77"/>
      <c r="B731" s="77"/>
      <c r="C731" s="75"/>
    </row>
    <row r="732" spans="1:3" x14ac:dyDescent="0.25">
      <c r="A732" s="77"/>
      <c r="B732" s="77"/>
      <c r="C732" s="75"/>
    </row>
    <row r="733" spans="1:3" x14ac:dyDescent="0.25">
      <c r="A733" s="77"/>
      <c r="B733" s="77"/>
      <c r="C733" s="75"/>
    </row>
    <row r="734" spans="1:3" x14ac:dyDescent="0.25">
      <c r="A734" s="77"/>
      <c r="B734" s="77"/>
      <c r="C734" s="75"/>
    </row>
    <row r="735" spans="1:3" x14ac:dyDescent="0.25">
      <c r="A735" s="77"/>
      <c r="B735" s="77"/>
      <c r="C735" s="75"/>
    </row>
    <row r="736" spans="1:3" x14ac:dyDescent="0.25">
      <c r="A736" s="77"/>
      <c r="B736" s="77"/>
      <c r="C736" s="75"/>
    </row>
    <row r="737" spans="1:3" x14ac:dyDescent="0.25">
      <c r="A737" s="77"/>
      <c r="B737" s="77"/>
      <c r="C737" s="75"/>
    </row>
    <row r="738" spans="1:3" x14ac:dyDescent="0.25">
      <c r="A738" s="77"/>
      <c r="B738" s="77"/>
      <c r="C738" s="75"/>
    </row>
    <row r="739" spans="1:3" x14ac:dyDescent="0.25">
      <c r="A739" s="77"/>
      <c r="B739" s="77"/>
      <c r="C739" s="75"/>
    </row>
    <row r="740" spans="1:3" x14ac:dyDescent="0.25">
      <c r="A740" s="77"/>
      <c r="B740" s="77"/>
      <c r="C740" s="75"/>
    </row>
    <row r="741" spans="1:3" x14ac:dyDescent="0.25">
      <c r="A741" s="77"/>
      <c r="B741" s="77"/>
      <c r="C741" s="75"/>
    </row>
    <row r="742" spans="1:3" x14ac:dyDescent="0.25">
      <c r="A742" s="77"/>
      <c r="B742" s="77"/>
      <c r="C742" s="75"/>
    </row>
    <row r="743" spans="1:3" x14ac:dyDescent="0.25">
      <c r="A743" s="77"/>
      <c r="B743" s="77"/>
      <c r="C743" s="75"/>
    </row>
    <row r="744" spans="1:3" x14ac:dyDescent="0.25">
      <c r="A744" s="77"/>
      <c r="B744" s="77"/>
      <c r="C744" s="75"/>
    </row>
    <row r="745" spans="1:3" x14ac:dyDescent="0.25">
      <c r="A745" s="77"/>
      <c r="B745" s="77"/>
      <c r="C745" s="75"/>
    </row>
    <row r="746" spans="1:3" x14ac:dyDescent="0.25">
      <c r="A746" s="77"/>
      <c r="B746" s="77"/>
      <c r="C746" s="75"/>
    </row>
    <row r="747" spans="1:3" x14ac:dyDescent="0.25">
      <c r="A747" s="77"/>
      <c r="B747" s="77"/>
      <c r="C747" s="75"/>
    </row>
    <row r="748" spans="1:3" x14ac:dyDescent="0.25">
      <c r="A748" s="77"/>
      <c r="B748" s="77"/>
      <c r="C748" s="75"/>
    </row>
    <row r="749" spans="1:3" x14ac:dyDescent="0.25">
      <c r="A749" s="77"/>
      <c r="B749" s="77"/>
      <c r="C749" s="75"/>
    </row>
    <row r="750" spans="1:3" x14ac:dyDescent="0.25">
      <c r="A750" s="77"/>
      <c r="B750" s="77"/>
      <c r="C750" s="75"/>
    </row>
    <row r="751" spans="1:3" x14ac:dyDescent="0.25">
      <c r="A751" s="77"/>
      <c r="B751" s="77"/>
      <c r="C751" s="75"/>
    </row>
    <row r="752" spans="1:3" x14ac:dyDescent="0.25">
      <c r="A752" s="77"/>
      <c r="B752" s="77"/>
      <c r="C752" s="75"/>
    </row>
    <row r="753" spans="1:3" x14ac:dyDescent="0.25">
      <c r="A753" s="77"/>
      <c r="B753" s="77"/>
      <c r="C753" s="75"/>
    </row>
    <row r="754" spans="1:3" x14ac:dyDescent="0.25">
      <c r="A754" s="77"/>
      <c r="B754" s="77"/>
      <c r="C754" s="75"/>
    </row>
    <row r="755" spans="1:3" x14ac:dyDescent="0.25">
      <c r="A755" s="77"/>
      <c r="B755" s="77"/>
      <c r="C755" s="75"/>
    </row>
    <row r="756" spans="1:3" x14ac:dyDescent="0.25">
      <c r="A756" s="77"/>
      <c r="B756" s="77"/>
      <c r="C756" s="75"/>
    </row>
    <row r="757" spans="1:3" x14ac:dyDescent="0.25">
      <c r="A757" s="77"/>
      <c r="B757" s="77"/>
      <c r="C757" s="75"/>
    </row>
    <row r="758" spans="1:3" x14ac:dyDescent="0.25">
      <c r="A758" s="77"/>
      <c r="B758" s="77"/>
      <c r="C758" s="75"/>
    </row>
    <row r="759" spans="1:3" x14ac:dyDescent="0.25">
      <c r="A759" s="77"/>
      <c r="B759" s="77"/>
      <c r="C759" s="75"/>
    </row>
    <row r="760" spans="1:3" x14ac:dyDescent="0.25">
      <c r="A760" s="77"/>
      <c r="B760" s="77"/>
      <c r="C760" s="75"/>
    </row>
    <row r="761" spans="1:3" x14ac:dyDescent="0.25">
      <c r="A761" s="77"/>
      <c r="B761" s="77"/>
      <c r="C761" s="75"/>
    </row>
    <row r="762" spans="1:3" x14ac:dyDescent="0.25">
      <c r="A762" s="77"/>
      <c r="B762" s="77"/>
      <c r="C762" s="75"/>
    </row>
    <row r="763" spans="1:3" x14ac:dyDescent="0.25">
      <c r="A763" s="77"/>
      <c r="B763" s="77"/>
      <c r="C763" s="75"/>
    </row>
    <row r="764" spans="1:3" x14ac:dyDescent="0.25">
      <c r="A764" s="77"/>
      <c r="B764" s="77"/>
      <c r="C764" s="75"/>
    </row>
    <row r="765" spans="1:3" x14ac:dyDescent="0.25">
      <c r="A765" s="77"/>
      <c r="B765" s="77"/>
      <c r="C765" s="75"/>
    </row>
    <row r="766" spans="1:3" x14ac:dyDescent="0.25">
      <c r="A766" s="77"/>
      <c r="B766" s="77"/>
      <c r="C766" s="75"/>
    </row>
    <row r="767" spans="1:3" x14ac:dyDescent="0.25">
      <c r="A767" s="77"/>
      <c r="B767" s="77"/>
      <c r="C767" s="75"/>
    </row>
    <row r="768" spans="1:3" x14ac:dyDescent="0.25">
      <c r="A768" s="77"/>
      <c r="B768" s="77"/>
      <c r="C768" s="75"/>
    </row>
    <row r="769" spans="1:3" x14ac:dyDescent="0.25">
      <c r="A769" s="77"/>
      <c r="B769" s="77"/>
      <c r="C769" s="75"/>
    </row>
    <row r="770" spans="1:3" x14ac:dyDescent="0.25">
      <c r="A770" s="77"/>
      <c r="B770" s="77"/>
      <c r="C770" s="75"/>
    </row>
    <row r="771" spans="1:3" x14ac:dyDescent="0.25">
      <c r="A771" s="77"/>
      <c r="B771" s="77"/>
      <c r="C771" s="75"/>
    </row>
    <row r="772" spans="1:3" x14ac:dyDescent="0.25">
      <c r="A772" s="77"/>
      <c r="B772" s="77"/>
      <c r="C772" s="75"/>
    </row>
    <row r="773" spans="1:3" x14ac:dyDescent="0.25">
      <c r="A773" s="77"/>
      <c r="B773" s="77"/>
      <c r="C773" s="75"/>
    </row>
    <row r="774" spans="1:3" x14ac:dyDescent="0.25">
      <c r="A774" s="77"/>
      <c r="B774" s="77"/>
      <c r="C774" s="75"/>
    </row>
    <row r="775" spans="1:3" x14ac:dyDescent="0.25">
      <c r="A775" s="77"/>
      <c r="B775" s="77"/>
      <c r="C775" s="75"/>
    </row>
    <row r="776" spans="1:3" x14ac:dyDescent="0.25">
      <c r="A776" s="77"/>
      <c r="B776" s="77"/>
      <c r="C776" s="75"/>
    </row>
    <row r="777" spans="1:3" x14ac:dyDescent="0.25">
      <c r="A777" s="77"/>
      <c r="B777" s="77"/>
      <c r="C777" s="75"/>
    </row>
    <row r="778" spans="1:3" x14ac:dyDescent="0.25">
      <c r="A778" s="77"/>
      <c r="B778" s="77"/>
      <c r="C778" s="75"/>
    </row>
    <row r="779" spans="1:3" x14ac:dyDescent="0.25">
      <c r="A779" s="77"/>
      <c r="B779" s="77"/>
      <c r="C779" s="75"/>
    </row>
    <row r="780" spans="1:3" x14ac:dyDescent="0.25">
      <c r="A780" s="77"/>
      <c r="B780" s="77"/>
      <c r="C780" s="75"/>
    </row>
    <row r="781" spans="1:3" x14ac:dyDescent="0.25">
      <c r="A781" s="77"/>
      <c r="B781" s="77"/>
      <c r="C781" s="75"/>
    </row>
    <row r="782" spans="1:3" x14ac:dyDescent="0.25">
      <c r="A782" s="77"/>
      <c r="B782" s="77"/>
      <c r="C782" s="75"/>
    </row>
    <row r="783" spans="1:3" x14ac:dyDescent="0.25">
      <c r="A783" s="77"/>
      <c r="B783" s="77"/>
      <c r="C783" s="75"/>
    </row>
    <row r="784" spans="1:3" x14ac:dyDescent="0.25">
      <c r="A784" s="77"/>
      <c r="B784" s="77"/>
      <c r="C784" s="75"/>
    </row>
    <row r="785" spans="1:3" x14ac:dyDescent="0.25">
      <c r="A785" s="77"/>
      <c r="B785" s="77"/>
      <c r="C785" s="75"/>
    </row>
    <row r="786" spans="1:3" x14ac:dyDescent="0.25">
      <c r="A786" s="77"/>
      <c r="B786" s="77"/>
      <c r="C786" s="75"/>
    </row>
    <row r="787" spans="1:3" x14ac:dyDescent="0.25">
      <c r="A787" s="77"/>
      <c r="B787" s="77"/>
      <c r="C787" s="75"/>
    </row>
    <row r="788" spans="1:3" x14ac:dyDescent="0.25">
      <c r="A788" s="77"/>
      <c r="B788" s="77"/>
      <c r="C788" s="75"/>
    </row>
    <row r="789" spans="1:3" x14ac:dyDescent="0.25">
      <c r="A789" s="77"/>
      <c r="B789" s="77"/>
      <c r="C789" s="75"/>
    </row>
    <row r="790" spans="1:3" x14ac:dyDescent="0.25">
      <c r="A790" s="77"/>
      <c r="B790" s="77"/>
      <c r="C790" s="75"/>
    </row>
    <row r="791" spans="1:3" x14ac:dyDescent="0.25">
      <c r="A791" s="77"/>
      <c r="B791" s="77"/>
      <c r="C791" s="75"/>
    </row>
    <row r="792" spans="1:3" x14ac:dyDescent="0.25">
      <c r="A792" s="77"/>
      <c r="B792" s="77"/>
      <c r="C792" s="75"/>
    </row>
    <row r="793" spans="1:3" x14ac:dyDescent="0.25">
      <c r="A793" s="77"/>
      <c r="B793" s="77"/>
      <c r="C793" s="75"/>
    </row>
    <row r="794" spans="1:3" x14ac:dyDescent="0.25">
      <c r="A794" s="77"/>
      <c r="B794" s="77"/>
      <c r="C794" s="75"/>
    </row>
    <row r="795" spans="1:3" x14ac:dyDescent="0.25">
      <c r="A795" s="77"/>
      <c r="B795" s="77"/>
      <c r="C795" s="75"/>
    </row>
    <row r="796" spans="1:3" x14ac:dyDescent="0.25">
      <c r="A796" s="77"/>
      <c r="B796" s="77"/>
      <c r="C796" s="75"/>
    </row>
    <row r="797" spans="1:3" x14ac:dyDescent="0.25">
      <c r="A797" s="77"/>
      <c r="B797" s="77"/>
      <c r="C797" s="75"/>
    </row>
    <row r="798" spans="1:3" x14ac:dyDescent="0.25">
      <c r="A798" s="77"/>
      <c r="B798" s="77"/>
      <c r="C798" s="75"/>
    </row>
    <row r="799" spans="1:3" x14ac:dyDescent="0.25">
      <c r="A799" s="77"/>
      <c r="B799" s="77"/>
      <c r="C799" s="75"/>
    </row>
    <row r="800" spans="1:3" x14ac:dyDescent="0.25">
      <c r="A800" s="77"/>
      <c r="B800" s="77"/>
      <c r="C800" s="75"/>
    </row>
    <row r="801" spans="1:3" x14ac:dyDescent="0.25">
      <c r="A801" s="77"/>
      <c r="B801" s="77"/>
      <c r="C801" s="75"/>
    </row>
    <row r="802" spans="1:3" x14ac:dyDescent="0.25">
      <c r="A802" s="77"/>
      <c r="B802" s="77"/>
      <c r="C802" s="75"/>
    </row>
    <row r="803" spans="1:3" x14ac:dyDescent="0.25">
      <c r="A803" s="77"/>
      <c r="B803" s="77"/>
      <c r="C803" s="75"/>
    </row>
    <row r="804" spans="1:3" x14ac:dyDescent="0.25">
      <c r="A804" s="77"/>
      <c r="B804" s="77"/>
      <c r="C804" s="75"/>
    </row>
    <row r="805" spans="1:3" x14ac:dyDescent="0.25">
      <c r="A805" s="77"/>
      <c r="B805" s="77"/>
      <c r="C805" s="75"/>
    </row>
    <row r="806" spans="1:3" x14ac:dyDescent="0.25">
      <c r="A806" s="77"/>
      <c r="B806" s="77"/>
      <c r="C806" s="75"/>
    </row>
    <row r="807" spans="1:3" x14ac:dyDescent="0.25">
      <c r="A807" s="77"/>
      <c r="B807" s="77"/>
      <c r="C807" s="75"/>
    </row>
    <row r="808" spans="1:3" x14ac:dyDescent="0.25">
      <c r="A808" s="77"/>
      <c r="B808" s="77"/>
      <c r="C808" s="75"/>
    </row>
    <row r="809" spans="1:3" x14ac:dyDescent="0.25">
      <c r="A809" s="77"/>
      <c r="B809" s="77"/>
      <c r="C809" s="75"/>
    </row>
    <row r="810" spans="1:3" x14ac:dyDescent="0.25">
      <c r="A810" s="77"/>
      <c r="B810" s="77"/>
      <c r="C810" s="75"/>
    </row>
    <row r="811" spans="1:3" x14ac:dyDescent="0.25">
      <c r="A811" s="77"/>
      <c r="B811" s="77"/>
      <c r="C811" s="75"/>
    </row>
    <row r="812" spans="1:3" x14ac:dyDescent="0.25">
      <c r="A812" s="77"/>
      <c r="B812" s="77"/>
      <c r="C812" s="75"/>
    </row>
    <row r="813" spans="1:3" x14ac:dyDescent="0.25">
      <c r="A813" s="77"/>
      <c r="B813" s="77"/>
      <c r="C813" s="75"/>
    </row>
    <row r="814" spans="1:3" x14ac:dyDescent="0.25">
      <c r="A814" s="77"/>
      <c r="B814" s="77"/>
      <c r="C814" s="75"/>
    </row>
    <row r="815" spans="1:3" x14ac:dyDescent="0.25">
      <c r="A815" s="77"/>
      <c r="B815" s="77"/>
      <c r="C815" s="75"/>
    </row>
    <row r="816" spans="1:3" x14ac:dyDescent="0.25">
      <c r="A816" s="77"/>
      <c r="B816" s="77"/>
      <c r="C816" s="75"/>
    </row>
    <row r="817" spans="1:3" x14ac:dyDescent="0.25">
      <c r="A817" s="77"/>
      <c r="B817" s="77"/>
      <c r="C817" s="75"/>
    </row>
    <row r="818" spans="1:3" x14ac:dyDescent="0.25">
      <c r="A818" s="77"/>
      <c r="B818" s="77"/>
      <c r="C818" s="75"/>
    </row>
    <row r="819" spans="1:3" x14ac:dyDescent="0.25">
      <c r="A819" s="77"/>
      <c r="B819" s="77"/>
      <c r="C819" s="75"/>
    </row>
    <row r="820" spans="1:3" x14ac:dyDescent="0.25">
      <c r="A820" s="77"/>
      <c r="B820" s="77"/>
      <c r="C820" s="75"/>
    </row>
    <row r="821" spans="1:3" x14ac:dyDescent="0.25">
      <c r="A821" s="77"/>
      <c r="B821" s="77"/>
      <c r="C821" s="75"/>
    </row>
    <row r="822" spans="1:3" x14ac:dyDescent="0.25">
      <c r="A822" s="77"/>
      <c r="B822" s="77"/>
      <c r="C822" s="75"/>
    </row>
    <row r="823" spans="1:3" x14ac:dyDescent="0.25">
      <c r="A823" s="77"/>
      <c r="B823" s="77"/>
      <c r="C823" s="75"/>
    </row>
    <row r="824" spans="1:3" x14ac:dyDescent="0.25">
      <c r="A824" s="77"/>
      <c r="B824" s="77"/>
      <c r="C824" s="75"/>
    </row>
    <row r="825" spans="1:3" x14ac:dyDescent="0.25">
      <c r="A825" s="77"/>
      <c r="B825" s="77"/>
      <c r="C825" s="75"/>
    </row>
    <row r="826" spans="1:3" x14ac:dyDescent="0.25">
      <c r="A826" s="77"/>
      <c r="B826" s="77"/>
      <c r="C826" s="75"/>
    </row>
    <row r="827" spans="1:3" x14ac:dyDescent="0.25">
      <c r="A827" s="77"/>
      <c r="B827" s="77"/>
      <c r="C827" s="75"/>
    </row>
    <row r="828" spans="1:3" x14ac:dyDescent="0.25">
      <c r="A828" s="77"/>
      <c r="B828" s="77"/>
      <c r="C828" s="75"/>
    </row>
    <row r="829" spans="1:3" x14ac:dyDescent="0.25">
      <c r="A829" s="77"/>
      <c r="B829" s="77"/>
      <c r="C829" s="75"/>
    </row>
    <row r="830" spans="1:3" x14ac:dyDescent="0.25">
      <c r="A830" s="77"/>
      <c r="B830" s="77"/>
      <c r="C830" s="75"/>
    </row>
    <row r="831" spans="1:3" x14ac:dyDescent="0.25">
      <c r="A831" s="77"/>
      <c r="B831" s="77"/>
      <c r="C831" s="75"/>
    </row>
    <row r="832" spans="1:3" x14ac:dyDescent="0.25">
      <c r="A832" s="77"/>
      <c r="B832" s="77"/>
      <c r="C832" s="75"/>
    </row>
    <row r="833" spans="1:3" x14ac:dyDescent="0.25">
      <c r="A833" s="77"/>
      <c r="B833" s="77"/>
      <c r="C833" s="75"/>
    </row>
    <row r="834" spans="1:3" x14ac:dyDescent="0.25">
      <c r="A834" s="77"/>
      <c r="B834" s="77"/>
      <c r="C834" s="75"/>
    </row>
    <row r="835" spans="1:3" x14ac:dyDescent="0.25">
      <c r="A835" s="77"/>
      <c r="B835" s="77"/>
      <c r="C835" s="75"/>
    </row>
    <row r="836" spans="1:3" x14ac:dyDescent="0.25">
      <c r="A836" s="77"/>
      <c r="B836" s="77"/>
      <c r="C836" s="75"/>
    </row>
    <row r="837" spans="1:3" x14ac:dyDescent="0.25">
      <c r="A837" s="77"/>
      <c r="B837" s="77"/>
      <c r="C837" s="75"/>
    </row>
    <row r="838" spans="1:3" x14ac:dyDescent="0.25">
      <c r="A838" s="77"/>
      <c r="B838" s="77"/>
      <c r="C838" s="75"/>
    </row>
    <row r="839" spans="1:3" x14ac:dyDescent="0.25">
      <c r="A839" s="77"/>
      <c r="B839" s="77"/>
      <c r="C839" s="75"/>
    </row>
    <row r="840" spans="1:3" x14ac:dyDescent="0.25">
      <c r="A840" s="77"/>
      <c r="B840" s="77"/>
      <c r="C840" s="75"/>
    </row>
    <row r="841" spans="1:3" x14ac:dyDescent="0.25">
      <c r="A841" s="77"/>
      <c r="B841" s="77"/>
      <c r="C841" s="75"/>
    </row>
    <row r="842" spans="1:3" x14ac:dyDescent="0.25">
      <c r="A842" s="77"/>
      <c r="B842" s="77"/>
      <c r="C842" s="75"/>
    </row>
    <row r="843" spans="1:3" x14ac:dyDescent="0.25">
      <c r="A843" s="77"/>
      <c r="B843" s="77"/>
      <c r="C843" s="75"/>
    </row>
    <row r="844" spans="1:3" x14ac:dyDescent="0.25">
      <c r="A844" s="77"/>
      <c r="B844" s="77"/>
      <c r="C844" s="75"/>
    </row>
    <row r="845" spans="1:3" x14ac:dyDescent="0.25">
      <c r="A845" s="77"/>
      <c r="B845" s="77"/>
      <c r="C845" s="75"/>
    </row>
    <row r="846" spans="1:3" x14ac:dyDescent="0.25">
      <c r="A846" s="77"/>
      <c r="B846" s="77"/>
      <c r="C846" s="75"/>
    </row>
    <row r="847" spans="1:3" x14ac:dyDescent="0.25">
      <c r="A847" s="77"/>
      <c r="B847" s="77"/>
      <c r="C847" s="75"/>
    </row>
    <row r="848" spans="1:3" x14ac:dyDescent="0.25">
      <c r="A848" s="77"/>
      <c r="B848" s="77"/>
      <c r="C848" s="75"/>
    </row>
    <row r="849" spans="1:3" x14ac:dyDescent="0.25">
      <c r="A849" s="77"/>
      <c r="B849" s="77"/>
      <c r="C849" s="75"/>
    </row>
    <row r="850" spans="1:3" x14ac:dyDescent="0.25">
      <c r="A850" s="77"/>
      <c r="B850" s="77"/>
      <c r="C850" s="75"/>
    </row>
    <row r="851" spans="1:3" x14ac:dyDescent="0.25">
      <c r="A851" s="77"/>
      <c r="B851" s="77"/>
      <c r="C851" s="75"/>
    </row>
    <row r="852" spans="1:3" x14ac:dyDescent="0.25">
      <c r="A852" s="77"/>
      <c r="B852" s="77"/>
      <c r="C852" s="75"/>
    </row>
    <row r="853" spans="1:3" x14ac:dyDescent="0.25">
      <c r="A853" s="77"/>
      <c r="B853" s="77"/>
      <c r="C853" s="75"/>
    </row>
    <row r="854" spans="1:3" x14ac:dyDescent="0.25">
      <c r="A854" s="77"/>
      <c r="B854" s="77"/>
      <c r="C854" s="75"/>
    </row>
    <row r="855" spans="1:3" x14ac:dyDescent="0.25">
      <c r="A855" s="77"/>
      <c r="B855" s="77"/>
      <c r="C855" s="75"/>
    </row>
    <row r="856" spans="1:3" x14ac:dyDescent="0.25">
      <c r="A856" s="77"/>
      <c r="B856" s="77"/>
      <c r="C856" s="75"/>
    </row>
    <row r="857" spans="1:3" x14ac:dyDescent="0.25">
      <c r="A857" s="77"/>
      <c r="B857" s="77"/>
      <c r="C857" s="75"/>
    </row>
    <row r="858" spans="1:3" x14ac:dyDescent="0.25">
      <c r="A858" s="77"/>
      <c r="B858" s="77"/>
      <c r="C858" s="75"/>
    </row>
    <row r="859" spans="1:3" x14ac:dyDescent="0.25">
      <c r="A859" s="77"/>
      <c r="B859" s="77"/>
      <c r="C859" s="75"/>
    </row>
    <row r="860" spans="1:3" x14ac:dyDescent="0.25">
      <c r="A860" s="77"/>
      <c r="B860" s="77"/>
      <c r="C860" s="75"/>
    </row>
    <row r="861" spans="1:3" x14ac:dyDescent="0.25">
      <c r="A861" s="77"/>
      <c r="B861" s="77"/>
      <c r="C861" s="75"/>
    </row>
    <row r="862" spans="1:3" x14ac:dyDescent="0.25">
      <c r="A862" s="77"/>
      <c r="B862" s="77"/>
      <c r="C862" s="75"/>
    </row>
    <row r="863" spans="1:3" x14ac:dyDescent="0.25">
      <c r="A863" s="77"/>
      <c r="B863" s="77"/>
      <c r="C863" s="75"/>
    </row>
    <row r="864" spans="1:3" x14ac:dyDescent="0.25">
      <c r="A864" s="77"/>
      <c r="B864" s="77"/>
      <c r="C864" s="75"/>
    </row>
    <row r="865" spans="1:3" x14ac:dyDescent="0.25">
      <c r="A865" s="77"/>
      <c r="B865" s="77"/>
      <c r="C865" s="75"/>
    </row>
    <row r="866" spans="1:3" x14ac:dyDescent="0.25">
      <c r="A866" s="77"/>
      <c r="B866" s="77"/>
      <c r="C866" s="75"/>
    </row>
    <row r="867" spans="1:3" x14ac:dyDescent="0.25">
      <c r="A867" s="77"/>
      <c r="B867" s="77"/>
      <c r="C867" s="75"/>
    </row>
    <row r="868" spans="1:3" x14ac:dyDescent="0.25">
      <c r="A868" s="77"/>
      <c r="B868" s="77"/>
      <c r="C868" s="75"/>
    </row>
    <row r="869" spans="1:3" x14ac:dyDescent="0.25">
      <c r="A869" s="77"/>
      <c r="B869" s="77"/>
      <c r="C869" s="75"/>
    </row>
    <row r="870" spans="1:3" x14ac:dyDescent="0.25">
      <c r="A870" s="77"/>
      <c r="B870" s="77"/>
      <c r="C870" s="75"/>
    </row>
    <row r="871" spans="1:3" x14ac:dyDescent="0.25">
      <c r="A871" s="77"/>
      <c r="B871" s="77"/>
      <c r="C871" s="75"/>
    </row>
    <row r="872" spans="1:3" x14ac:dyDescent="0.25">
      <c r="A872" s="77"/>
      <c r="B872" s="77"/>
      <c r="C872" s="75"/>
    </row>
    <row r="873" spans="1:3" x14ac:dyDescent="0.25">
      <c r="A873" s="77"/>
      <c r="B873" s="77"/>
      <c r="C873" s="75"/>
    </row>
    <row r="874" spans="1:3" x14ac:dyDescent="0.25">
      <c r="A874" s="77"/>
      <c r="B874" s="77"/>
      <c r="C874" s="75"/>
    </row>
    <row r="875" spans="1:3" x14ac:dyDescent="0.25">
      <c r="A875" s="77"/>
      <c r="B875" s="77"/>
      <c r="C875" s="75"/>
    </row>
    <row r="876" spans="1:3" x14ac:dyDescent="0.25">
      <c r="A876" s="77"/>
      <c r="B876" s="77"/>
      <c r="C876" s="75"/>
    </row>
    <row r="877" spans="1:3" x14ac:dyDescent="0.25">
      <c r="A877" s="77"/>
      <c r="B877" s="77"/>
      <c r="C877" s="75"/>
    </row>
    <row r="878" spans="1:3" x14ac:dyDescent="0.25">
      <c r="A878" s="77"/>
      <c r="B878" s="77"/>
      <c r="C878" s="75"/>
    </row>
    <row r="879" spans="1:3" x14ac:dyDescent="0.25">
      <c r="A879" s="77"/>
      <c r="B879" s="77"/>
      <c r="C879" s="75"/>
    </row>
    <row r="880" spans="1:3" x14ac:dyDescent="0.25">
      <c r="A880" s="77"/>
      <c r="B880" s="77"/>
      <c r="C880" s="75"/>
    </row>
    <row r="881" spans="1:3" x14ac:dyDescent="0.25">
      <c r="A881" s="77"/>
      <c r="B881" s="77"/>
      <c r="C881" s="75"/>
    </row>
    <row r="882" spans="1:3" x14ac:dyDescent="0.25">
      <c r="A882" s="77"/>
      <c r="B882" s="77"/>
      <c r="C882" s="75"/>
    </row>
    <row r="883" spans="1:3" x14ac:dyDescent="0.25">
      <c r="A883" s="77"/>
      <c r="B883" s="77"/>
      <c r="C883" s="75"/>
    </row>
    <row r="884" spans="1:3" x14ac:dyDescent="0.25">
      <c r="A884" s="77"/>
      <c r="B884" s="77"/>
      <c r="C884" s="75"/>
    </row>
    <row r="885" spans="1:3" x14ac:dyDescent="0.25">
      <c r="A885" s="77"/>
      <c r="B885" s="77"/>
      <c r="C885" s="75"/>
    </row>
    <row r="886" spans="1:3" x14ac:dyDescent="0.25">
      <c r="A886" s="77"/>
      <c r="B886" s="77"/>
      <c r="C886" s="75"/>
    </row>
    <row r="887" spans="1:3" x14ac:dyDescent="0.25">
      <c r="A887" s="77"/>
      <c r="B887" s="77"/>
      <c r="C887" s="75"/>
    </row>
    <row r="888" spans="1:3" x14ac:dyDescent="0.25">
      <c r="A888" s="77"/>
      <c r="B888" s="77"/>
      <c r="C888" s="75"/>
    </row>
    <row r="889" spans="1:3" x14ac:dyDescent="0.25">
      <c r="A889" s="77"/>
      <c r="B889" s="77"/>
      <c r="C889" s="75"/>
    </row>
    <row r="890" spans="1:3" x14ac:dyDescent="0.25">
      <c r="A890" s="77"/>
      <c r="B890" s="77"/>
      <c r="C890" s="75"/>
    </row>
    <row r="891" spans="1:3" x14ac:dyDescent="0.25">
      <c r="A891" s="77"/>
      <c r="B891" s="77"/>
      <c r="C891" s="75"/>
    </row>
    <row r="892" spans="1:3" x14ac:dyDescent="0.25">
      <c r="A892" s="77"/>
      <c r="B892" s="77"/>
      <c r="C892" s="75"/>
    </row>
    <row r="893" spans="1:3" x14ac:dyDescent="0.25">
      <c r="A893" s="77"/>
      <c r="B893" s="77"/>
      <c r="C893" s="75"/>
    </row>
    <row r="894" spans="1:3" x14ac:dyDescent="0.25">
      <c r="A894" s="77"/>
      <c r="B894" s="77"/>
      <c r="C894" s="75"/>
    </row>
    <row r="895" spans="1:3" x14ac:dyDescent="0.25">
      <c r="A895" s="77"/>
      <c r="B895" s="77"/>
      <c r="C895" s="75"/>
    </row>
    <row r="896" spans="1:3" x14ac:dyDescent="0.25">
      <c r="A896" s="77"/>
      <c r="B896" s="77"/>
      <c r="C896" s="75"/>
    </row>
    <row r="897" spans="1:3" x14ac:dyDescent="0.25">
      <c r="A897" s="77"/>
      <c r="B897" s="77"/>
      <c r="C897" s="75"/>
    </row>
    <row r="898" spans="1:3" x14ac:dyDescent="0.25">
      <c r="A898" s="77"/>
      <c r="B898" s="77"/>
      <c r="C898" s="75"/>
    </row>
    <row r="899" spans="1:3" x14ac:dyDescent="0.25">
      <c r="A899" s="77"/>
      <c r="B899" s="77"/>
      <c r="C899" s="75"/>
    </row>
    <row r="900" spans="1:3" x14ac:dyDescent="0.25">
      <c r="A900" s="77"/>
      <c r="B900" s="77"/>
      <c r="C900" s="75"/>
    </row>
    <row r="901" spans="1:3" x14ac:dyDescent="0.25">
      <c r="A901" s="77"/>
      <c r="B901" s="77"/>
      <c r="C901" s="75"/>
    </row>
    <row r="902" spans="1:3" x14ac:dyDescent="0.25">
      <c r="A902" s="77"/>
      <c r="B902" s="77"/>
      <c r="C902" s="75"/>
    </row>
    <row r="903" spans="1:3" x14ac:dyDescent="0.25">
      <c r="A903" s="77"/>
      <c r="B903" s="77"/>
      <c r="C903" s="75"/>
    </row>
    <row r="904" spans="1:3" x14ac:dyDescent="0.25">
      <c r="A904" s="77"/>
      <c r="B904" s="77"/>
      <c r="C904" s="75"/>
    </row>
    <row r="905" spans="1:3" x14ac:dyDescent="0.25">
      <c r="A905" s="77"/>
      <c r="B905" s="77"/>
      <c r="C905" s="75"/>
    </row>
    <row r="906" spans="1:3" x14ac:dyDescent="0.25">
      <c r="A906" s="77"/>
      <c r="B906" s="77"/>
      <c r="C906" s="75"/>
    </row>
    <row r="907" spans="1:3" x14ac:dyDescent="0.25">
      <c r="A907" s="77"/>
      <c r="B907" s="77"/>
      <c r="C907" s="75"/>
    </row>
    <row r="908" spans="1:3" x14ac:dyDescent="0.25">
      <c r="A908" s="77"/>
      <c r="B908" s="77"/>
      <c r="C908" s="75"/>
    </row>
    <row r="909" spans="1:3" x14ac:dyDescent="0.25">
      <c r="A909" s="77"/>
      <c r="B909" s="77"/>
      <c r="C909" s="75"/>
    </row>
    <row r="910" spans="1:3" x14ac:dyDescent="0.25">
      <c r="A910" s="77"/>
      <c r="B910" s="77"/>
      <c r="C910" s="75"/>
    </row>
    <row r="911" spans="1:3" x14ac:dyDescent="0.25">
      <c r="A911" s="77"/>
      <c r="B911" s="77"/>
      <c r="C911" s="75"/>
    </row>
    <row r="912" spans="1:3" x14ac:dyDescent="0.25">
      <c r="A912" s="77"/>
      <c r="B912" s="77"/>
      <c r="C912" s="75"/>
    </row>
    <row r="913" spans="1:3" x14ac:dyDescent="0.25">
      <c r="A913" s="77"/>
      <c r="B913" s="77"/>
      <c r="C913" s="75"/>
    </row>
    <row r="914" spans="1:3" x14ac:dyDescent="0.25">
      <c r="A914" s="77"/>
      <c r="B914" s="77"/>
      <c r="C914" s="75"/>
    </row>
    <row r="915" spans="1:3" x14ac:dyDescent="0.25">
      <c r="A915" s="77"/>
      <c r="B915" s="77"/>
      <c r="C915" s="75"/>
    </row>
    <row r="916" spans="1:3" x14ac:dyDescent="0.25">
      <c r="A916" s="77"/>
      <c r="B916" s="77"/>
      <c r="C916" s="75"/>
    </row>
    <row r="917" spans="1:3" x14ac:dyDescent="0.25">
      <c r="A917" s="77"/>
      <c r="B917" s="77"/>
      <c r="C917" s="75"/>
    </row>
    <row r="918" spans="1:3" x14ac:dyDescent="0.25">
      <c r="A918" s="77"/>
      <c r="B918" s="77"/>
      <c r="C918" s="75"/>
    </row>
    <row r="919" spans="1:3" x14ac:dyDescent="0.25">
      <c r="A919" s="77"/>
      <c r="B919" s="77"/>
      <c r="C919" s="75"/>
    </row>
    <row r="920" spans="1:3" x14ac:dyDescent="0.25">
      <c r="A920" s="77"/>
      <c r="B920" s="77"/>
      <c r="C920" s="75"/>
    </row>
    <row r="921" spans="1:3" x14ac:dyDescent="0.25">
      <c r="A921" s="77"/>
      <c r="B921" s="77"/>
      <c r="C921" s="75"/>
    </row>
    <row r="922" spans="1:3" x14ac:dyDescent="0.25">
      <c r="A922" s="77"/>
      <c r="B922" s="77"/>
      <c r="C922" s="75"/>
    </row>
    <row r="923" spans="1:3" x14ac:dyDescent="0.25">
      <c r="A923" s="77"/>
      <c r="B923" s="77"/>
      <c r="C923" s="75"/>
    </row>
    <row r="924" spans="1:3" x14ac:dyDescent="0.25">
      <c r="A924" s="77"/>
      <c r="B924" s="77"/>
      <c r="C924" s="75"/>
    </row>
    <row r="925" spans="1:3" x14ac:dyDescent="0.25">
      <c r="A925" s="77"/>
      <c r="B925" s="77"/>
      <c r="C925" s="75"/>
    </row>
    <row r="926" spans="1:3" x14ac:dyDescent="0.25">
      <c r="A926" s="77"/>
      <c r="B926" s="77"/>
      <c r="C926" s="75"/>
    </row>
    <row r="927" spans="1:3" x14ac:dyDescent="0.25">
      <c r="A927" s="77"/>
      <c r="B927" s="77"/>
      <c r="C927" s="75"/>
    </row>
    <row r="928" spans="1:3" x14ac:dyDescent="0.25">
      <c r="A928" s="77"/>
      <c r="B928" s="77"/>
      <c r="C928" s="75"/>
    </row>
    <row r="929" spans="1:3" x14ac:dyDescent="0.25">
      <c r="A929" s="77"/>
      <c r="B929" s="77"/>
      <c r="C929" s="75"/>
    </row>
    <row r="930" spans="1:3" x14ac:dyDescent="0.25">
      <c r="A930" s="77"/>
      <c r="B930" s="77"/>
      <c r="C930" s="75"/>
    </row>
    <row r="931" spans="1:3" x14ac:dyDescent="0.25">
      <c r="A931" s="77"/>
      <c r="B931" s="77"/>
      <c r="C931" s="75"/>
    </row>
    <row r="932" spans="1:3" x14ac:dyDescent="0.25">
      <c r="A932" s="77"/>
      <c r="B932" s="77"/>
      <c r="C932" s="75"/>
    </row>
    <row r="933" spans="1:3" x14ac:dyDescent="0.25">
      <c r="A933" s="77"/>
      <c r="B933" s="77"/>
      <c r="C933" s="75"/>
    </row>
    <row r="934" spans="1:3" x14ac:dyDescent="0.25">
      <c r="A934" s="77"/>
      <c r="B934" s="77"/>
      <c r="C934" s="75"/>
    </row>
    <row r="935" spans="1:3" x14ac:dyDescent="0.25">
      <c r="A935" s="77"/>
      <c r="B935" s="77"/>
      <c r="C935" s="75"/>
    </row>
    <row r="936" spans="1:3" x14ac:dyDescent="0.25">
      <c r="A936" s="77"/>
      <c r="B936" s="77"/>
      <c r="C936" s="75"/>
    </row>
    <row r="937" spans="1:3" x14ac:dyDescent="0.25">
      <c r="A937" s="77"/>
      <c r="B937" s="77"/>
      <c r="C937" s="75"/>
    </row>
    <row r="938" spans="1:3" x14ac:dyDescent="0.25">
      <c r="A938" s="77"/>
      <c r="B938" s="77"/>
      <c r="C938" s="75"/>
    </row>
    <row r="939" spans="1:3" x14ac:dyDescent="0.25">
      <c r="A939" s="77"/>
      <c r="B939" s="77"/>
      <c r="C939" s="75"/>
    </row>
    <row r="940" spans="1:3" x14ac:dyDescent="0.25">
      <c r="A940" s="77"/>
      <c r="B940" s="77"/>
      <c r="C940" s="75"/>
    </row>
    <row r="941" spans="1:3" x14ac:dyDescent="0.25">
      <c r="A941" s="77"/>
      <c r="B941" s="77"/>
      <c r="C941" s="75"/>
    </row>
    <row r="942" spans="1:3" x14ac:dyDescent="0.25">
      <c r="A942" s="77"/>
      <c r="B942" s="77"/>
      <c r="C942" s="75"/>
    </row>
    <row r="943" spans="1:3" x14ac:dyDescent="0.25">
      <c r="A943" s="77"/>
      <c r="B943" s="77"/>
      <c r="C943" s="75"/>
    </row>
    <row r="944" spans="1:3" x14ac:dyDescent="0.25">
      <c r="A944" s="77"/>
      <c r="B944" s="77"/>
      <c r="C944" s="75"/>
    </row>
    <row r="945" spans="1:3" x14ac:dyDescent="0.25">
      <c r="A945" s="77"/>
      <c r="B945" s="77"/>
      <c r="C945" s="75"/>
    </row>
    <row r="946" spans="1:3" x14ac:dyDescent="0.25">
      <c r="A946" s="77"/>
      <c r="B946" s="77"/>
      <c r="C946" s="75"/>
    </row>
    <row r="947" spans="1:3" x14ac:dyDescent="0.25">
      <c r="A947" s="77"/>
      <c r="B947" s="77"/>
      <c r="C947" s="75"/>
    </row>
    <row r="948" spans="1:3" x14ac:dyDescent="0.25">
      <c r="A948" s="77"/>
      <c r="B948" s="77"/>
      <c r="C948" s="75"/>
    </row>
    <row r="949" spans="1:3" x14ac:dyDescent="0.25">
      <c r="A949" s="77"/>
      <c r="B949" s="77"/>
      <c r="C949" s="75"/>
    </row>
    <row r="950" spans="1:3" x14ac:dyDescent="0.25">
      <c r="A950" s="77"/>
      <c r="B950" s="77"/>
      <c r="C950" s="75"/>
    </row>
    <row r="951" spans="1:3" x14ac:dyDescent="0.25">
      <c r="A951" s="77"/>
      <c r="B951" s="77"/>
      <c r="C951" s="75"/>
    </row>
    <row r="952" spans="1:3" x14ac:dyDescent="0.25">
      <c r="A952" s="77"/>
      <c r="B952" s="77"/>
      <c r="C952" s="75"/>
    </row>
    <row r="953" spans="1:3" x14ac:dyDescent="0.25">
      <c r="A953" s="77"/>
      <c r="B953" s="77"/>
      <c r="C953" s="75"/>
    </row>
    <row r="954" spans="1:3" x14ac:dyDescent="0.25">
      <c r="A954" s="77"/>
      <c r="B954" s="77"/>
      <c r="C954" s="75"/>
    </row>
    <row r="955" spans="1:3" x14ac:dyDescent="0.25">
      <c r="A955" s="77"/>
      <c r="B955" s="77"/>
      <c r="C955" s="75"/>
    </row>
    <row r="956" spans="1:3" x14ac:dyDescent="0.25">
      <c r="A956" s="77"/>
      <c r="B956" s="77"/>
      <c r="C956" s="75"/>
    </row>
    <row r="957" spans="1:3" x14ac:dyDescent="0.25">
      <c r="A957" s="77"/>
      <c r="B957" s="77"/>
      <c r="C957" s="75"/>
    </row>
    <row r="958" spans="1:3" x14ac:dyDescent="0.25">
      <c r="A958" s="77"/>
      <c r="B958" s="77"/>
      <c r="C958" s="75"/>
    </row>
    <row r="959" spans="1:3" x14ac:dyDescent="0.25">
      <c r="A959" s="77"/>
      <c r="B959" s="77"/>
      <c r="C959" s="75"/>
    </row>
    <row r="960" spans="1:3" x14ac:dyDescent="0.25">
      <c r="A960" s="77"/>
      <c r="B960" s="77"/>
      <c r="C960" s="75"/>
    </row>
    <row r="961" spans="1:3" x14ac:dyDescent="0.25">
      <c r="A961" s="77"/>
      <c r="B961" s="77"/>
      <c r="C961" s="75"/>
    </row>
    <row r="962" spans="1:3" x14ac:dyDescent="0.25">
      <c r="A962" s="77"/>
      <c r="B962" s="77"/>
      <c r="C962" s="75"/>
    </row>
    <row r="963" spans="1:3" x14ac:dyDescent="0.25">
      <c r="A963" s="77"/>
      <c r="B963" s="77"/>
      <c r="C963" s="75"/>
    </row>
    <row r="964" spans="1:3" x14ac:dyDescent="0.25">
      <c r="A964" s="77"/>
      <c r="B964" s="77"/>
      <c r="C964" s="75"/>
    </row>
    <row r="965" spans="1:3" x14ac:dyDescent="0.25">
      <c r="A965" s="77"/>
      <c r="B965" s="77"/>
      <c r="C965" s="75"/>
    </row>
    <row r="966" spans="1:3" x14ac:dyDescent="0.25">
      <c r="A966" s="77"/>
      <c r="B966" s="77"/>
      <c r="C966" s="75"/>
    </row>
    <row r="967" spans="1:3" x14ac:dyDescent="0.25">
      <c r="A967" s="77"/>
      <c r="B967" s="77"/>
      <c r="C967" s="75"/>
    </row>
    <row r="968" spans="1:3" x14ac:dyDescent="0.25">
      <c r="A968" s="77"/>
      <c r="B968" s="77"/>
      <c r="C968" s="75"/>
    </row>
    <row r="969" spans="1:3" x14ac:dyDescent="0.25">
      <c r="A969" s="77"/>
      <c r="B969" s="77"/>
      <c r="C969" s="75"/>
    </row>
    <row r="970" spans="1:3" x14ac:dyDescent="0.25">
      <c r="A970" s="77"/>
      <c r="B970" s="77"/>
      <c r="C970" s="75"/>
    </row>
    <row r="971" spans="1:3" x14ac:dyDescent="0.25">
      <c r="A971" s="77"/>
      <c r="B971" s="77"/>
      <c r="C971" s="75"/>
    </row>
    <row r="972" spans="1:3" x14ac:dyDescent="0.25">
      <c r="A972" s="77"/>
      <c r="B972" s="77"/>
      <c r="C972" s="75"/>
    </row>
    <row r="973" spans="1:3" x14ac:dyDescent="0.25">
      <c r="A973" s="77"/>
      <c r="B973" s="77"/>
      <c r="C973" s="75"/>
    </row>
    <row r="974" spans="1:3" x14ac:dyDescent="0.25">
      <c r="A974" s="77"/>
      <c r="B974" s="77"/>
      <c r="C974" s="75"/>
    </row>
    <row r="975" spans="1:3" x14ac:dyDescent="0.25">
      <c r="A975" s="77"/>
      <c r="B975" s="77"/>
      <c r="C975" s="75"/>
    </row>
    <row r="976" spans="1:3" x14ac:dyDescent="0.25">
      <c r="A976" s="77"/>
      <c r="B976" s="77"/>
      <c r="C976" s="75"/>
    </row>
    <row r="977" spans="1:3" x14ac:dyDescent="0.25">
      <c r="A977" s="77"/>
      <c r="B977" s="77"/>
      <c r="C977" s="75"/>
    </row>
    <row r="978" spans="1:3" x14ac:dyDescent="0.25">
      <c r="A978" s="77"/>
      <c r="B978" s="77"/>
      <c r="C978" s="75"/>
    </row>
    <row r="979" spans="1:3" x14ac:dyDescent="0.25">
      <c r="A979" s="77"/>
      <c r="B979" s="77"/>
      <c r="C979" s="75"/>
    </row>
    <row r="980" spans="1:3" x14ac:dyDescent="0.25">
      <c r="A980" s="77"/>
      <c r="B980" s="77"/>
      <c r="C980" s="75"/>
    </row>
    <row r="981" spans="1:3" x14ac:dyDescent="0.25">
      <c r="A981" s="77"/>
      <c r="B981" s="77"/>
      <c r="C981" s="75"/>
    </row>
    <row r="982" spans="1:3" x14ac:dyDescent="0.25">
      <c r="A982" s="77"/>
      <c r="B982" s="77"/>
      <c r="C982" s="75"/>
    </row>
    <row r="983" spans="1:3" x14ac:dyDescent="0.25">
      <c r="A983" s="77"/>
      <c r="B983" s="77"/>
      <c r="C983" s="75"/>
    </row>
    <row r="984" spans="1:3" x14ac:dyDescent="0.25">
      <c r="A984" s="77"/>
      <c r="B984" s="77"/>
      <c r="C984" s="75"/>
    </row>
    <row r="985" spans="1:3" x14ac:dyDescent="0.25">
      <c r="A985" s="77"/>
      <c r="B985" s="77"/>
      <c r="C985" s="75"/>
    </row>
    <row r="986" spans="1:3" x14ac:dyDescent="0.25">
      <c r="A986" s="77"/>
      <c r="B986" s="77"/>
      <c r="C986" s="75"/>
    </row>
    <row r="987" spans="1:3" x14ac:dyDescent="0.25">
      <c r="A987" s="77"/>
      <c r="B987" s="77"/>
      <c r="C987" s="75"/>
    </row>
    <row r="988" spans="1:3" x14ac:dyDescent="0.25">
      <c r="A988" s="77"/>
      <c r="B988" s="77"/>
      <c r="C988" s="75"/>
    </row>
    <row r="989" spans="1:3" x14ac:dyDescent="0.25">
      <c r="A989" s="77"/>
      <c r="B989" s="77"/>
      <c r="C989" s="75"/>
    </row>
    <row r="990" spans="1:3" x14ac:dyDescent="0.25">
      <c r="A990" s="77"/>
      <c r="B990" s="77"/>
      <c r="C990" s="75"/>
    </row>
    <row r="991" spans="1:3" x14ac:dyDescent="0.25">
      <c r="A991" s="77"/>
      <c r="B991" s="77"/>
      <c r="C991" s="75"/>
    </row>
    <row r="992" spans="1:3" x14ac:dyDescent="0.25">
      <c r="A992" s="77"/>
      <c r="B992" s="77"/>
      <c r="C992" s="75"/>
    </row>
    <row r="993" spans="1:3" x14ac:dyDescent="0.25">
      <c r="A993" s="77"/>
      <c r="B993" s="77"/>
      <c r="C993" s="75"/>
    </row>
    <row r="994" spans="1:3" x14ac:dyDescent="0.25">
      <c r="A994" s="77"/>
      <c r="B994" s="77"/>
      <c r="C994" s="75"/>
    </row>
    <row r="995" spans="1:3" x14ac:dyDescent="0.25">
      <c r="A995" s="77"/>
      <c r="B995" s="77"/>
      <c r="C995" s="75"/>
    </row>
    <row r="996" spans="1:3" x14ac:dyDescent="0.25">
      <c r="A996" s="77"/>
      <c r="B996" s="77"/>
      <c r="C996" s="75"/>
    </row>
    <row r="997" spans="1:3" x14ac:dyDescent="0.25">
      <c r="A997" s="77"/>
      <c r="B997" s="77"/>
      <c r="C997" s="75"/>
    </row>
    <row r="998" spans="1:3" x14ac:dyDescent="0.25">
      <c r="A998" s="77"/>
      <c r="B998" s="77"/>
      <c r="C998" s="75"/>
    </row>
    <row r="999" spans="1:3" x14ac:dyDescent="0.25">
      <c r="A999" s="77"/>
      <c r="B999" s="77"/>
      <c r="C999" s="75"/>
    </row>
    <row r="1000" spans="1:3" x14ac:dyDescent="0.25">
      <c r="A1000" s="77"/>
      <c r="B1000" s="77"/>
      <c r="C1000" s="75"/>
    </row>
    <row r="1001" spans="1:3" x14ac:dyDescent="0.25">
      <c r="A1001" s="77"/>
      <c r="B1001" s="77"/>
      <c r="C1001" s="75"/>
    </row>
    <row r="1002" spans="1:3" x14ac:dyDescent="0.25">
      <c r="A1002" s="77"/>
      <c r="B1002" s="77"/>
      <c r="C1002" s="75"/>
    </row>
    <row r="1003" spans="1:3" x14ac:dyDescent="0.25">
      <c r="A1003" s="77"/>
      <c r="B1003" s="77"/>
      <c r="C1003" s="75"/>
    </row>
    <row r="1004" spans="1:3" x14ac:dyDescent="0.25">
      <c r="A1004" s="77"/>
      <c r="B1004" s="77"/>
      <c r="C1004" s="75"/>
    </row>
    <row r="1005" spans="1:3" x14ac:dyDescent="0.25">
      <c r="A1005" s="77"/>
      <c r="B1005" s="77"/>
      <c r="C1005" s="75"/>
    </row>
    <row r="1006" spans="1:3" x14ac:dyDescent="0.25">
      <c r="A1006" s="77"/>
      <c r="B1006" s="77"/>
      <c r="C1006" s="75"/>
    </row>
    <row r="1007" spans="1:3" x14ac:dyDescent="0.25">
      <c r="A1007" s="77"/>
      <c r="B1007" s="77"/>
      <c r="C1007" s="75"/>
    </row>
    <row r="1008" spans="1:3" x14ac:dyDescent="0.25">
      <c r="A1008" s="77"/>
      <c r="B1008" s="77"/>
      <c r="C1008" s="75"/>
    </row>
    <row r="1009" spans="1:3" x14ac:dyDescent="0.25">
      <c r="A1009" s="77"/>
      <c r="B1009" s="77"/>
      <c r="C1009" s="75"/>
    </row>
    <row r="1010" spans="1:3" x14ac:dyDescent="0.25">
      <c r="A1010" s="77"/>
      <c r="B1010" s="77"/>
      <c r="C1010" s="75"/>
    </row>
    <row r="1011" spans="1:3" x14ac:dyDescent="0.25">
      <c r="A1011" s="77"/>
      <c r="B1011" s="77"/>
      <c r="C1011" s="75"/>
    </row>
    <row r="1012" spans="1:3" x14ac:dyDescent="0.25">
      <c r="A1012" s="77"/>
      <c r="B1012" s="77"/>
      <c r="C1012" s="75"/>
    </row>
    <row r="1013" spans="1:3" x14ac:dyDescent="0.25">
      <c r="A1013" s="77"/>
      <c r="B1013" s="77"/>
      <c r="C1013" s="75"/>
    </row>
    <row r="1014" spans="1:3" x14ac:dyDescent="0.25">
      <c r="A1014" s="77"/>
      <c r="B1014" s="77"/>
      <c r="C1014" s="75"/>
    </row>
    <row r="1015" spans="1:3" x14ac:dyDescent="0.25">
      <c r="A1015" s="77"/>
      <c r="B1015" s="77"/>
      <c r="C1015" s="75"/>
    </row>
    <row r="1016" spans="1:3" x14ac:dyDescent="0.25">
      <c r="A1016" s="77"/>
      <c r="B1016" s="77"/>
      <c r="C1016" s="75"/>
    </row>
    <row r="1017" spans="1:3" x14ac:dyDescent="0.25">
      <c r="A1017" s="77"/>
      <c r="B1017" s="77"/>
      <c r="C1017" s="75"/>
    </row>
    <row r="1018" spans="1:3" x14ac:dyDescent="0.25">
      <c r="A1018" s="77"/>
      <c r="B1018" s="77"/>
      <c r="C1018" s="75"/>
    </row>
    <row r="1019" spans="1:3" x14ac:dyDescent="0.25">
      <c r="A1019" s="77"/>
      <c r="B1019" s="77"/>
      <c r="C1019" s="75"/>
    </row>
    <row r="1020" spans="1:3" x14ac:dyDescent="0.25">
      <c r="A1020" s="77"/>
      <c r="B1020" s="77"/>
      <c r="C1020" s="75"/>
    </row>
    <row r="1021" spans="1:3" x14ac:dyDescent="0.25">
      <c r="A1021" s="77"/>
      <c r="B1021" s="77"/>
      <c r="C1021" s="75"/>
    </row>
    <row r="1022" spans="1:3" x14ac:dyDescent="0.25">
      <c r="A1022" s="77"/>
      <c r="B1022" s="77"/>
      <c r="C1022" s="75"/>
    </row>
    <row r="1023" spans="1:3" x14ac:dyDescent="0.25">
      <c r="A1023" s="77"/>
      <c r="B1023" s="77"/>
      <c r="C1023" s="75"/>
    </row>
    <row r="1024" spans="1:3" x14ac:dyDescent="0.25">
      <c r="A1024" s="77"/>
      <c r="B1024" s="77"/>
      <c r="C1024" s="75"/>
    </row>
    <row r="1025" spans="1:3" x14ac:dyDescent="0.25">
      <c r="A1025" s="77"/>
      <c r="B1025" s="77"/>
      <c r="C1025" s="75"/>
    </row>
    <row r="1026" spans="1:3" x14ac:dyDescent="0.25">
      <c r="A1026" s="77"/>
      <c r="B1026" s="77"/>
      <c r="C1026" s="75"/>
    </row>
    <row r="1027" spans="1:3" x14ac:dyDescent="0.25">
      <c r="A1027" s="77"/>
      <c r="B1027" s="77"/>
      <c r="C1027" s="75"/>
    </row>
    <row r="1028" spans="1:3" x14ac:dyDescent="0.25">
      <c r="A1028" s="77"/>
      <c r="B1028" s="77"/>
      <c r="C1028" s="75"/>
    </row>
    <row r="1029" spans="1:3" x14ac:dyDescent="0.25">
      <c r="A1029" s="77"/>
      <c r="B1029" s="77"/>
      <c r="C1029" s="75"/>
    </row>
    <row r="1030" spans="1:3" x14ac:dyDescent="0.25">
      <c r="A1030" s="77"/>
      <c r="B1030" s="77"/>
      <c r="C1030" s="75"/>
    </row>
    <row r="1031" spans="1:3" x14ac:dyDescent="0.25">
      <c r="A1031" s="77"/>
      <c r="B1031" s="77"/>
      <c r="C1031" s="75"/>
    </row>
    <row r="1032" spans="1:3" x14ac:dyDescent="0.25">
      <c r="A1032" s="77"/>
      <c r="B1032" s="77"/>
      <c r="C1032" s="75"/>
    </row>
    <row r="1033" spans="1:3" x14ac:dyDescent="0.25">
      <c r="A1033" s="77"/>
      <c r="B1033" s="77"/>
      <c r="C1033" s="75"/>
    </row>
    <row r="1034" spans="1:3" x14ac:dyDescent="0.25">
      <c r="A1034" s="77"/>
      <c r="B1034" s="77"/>
      <c r="C1034" s="75"/>
    </row>
    <row r="1035" spans="1:3" x14ac:dyDescent="0.25">
      <c r="A1035" s="77"/>
      <c r="B1035" s="77"/>
      <c r="C1035" s="75"/>
    </row>
    <row r="1036" spans="1:3" x14ac:dyDescent="0.25">
      <c r="A1036" s="77"/>
      <c r="B1036" s="77"/>
      <c r="C1036" s="75"/>
    </row>
    <row r="1037" spans="1:3" x14ac:dyDescent="0.25">
      <c r="A1037" s="77"/>
      <c r="B1037" s="77"/>
      <c r="C1037" s="75"/>
    </row>
    <row r="1038" spans="1:3" x14ac:dyDescent="0.25">
      <c r="A1038" s="77"/>
      <c r="B1038" s="77"/>
      <c r="C1038" s="75"/>
    </row>
    <row r="1039" spans="1:3" x14ac:dyDescent="0.25">
      <c r="A1039" s="77"/>
      <c r="B1039" s="77"/>
      <c r="C1039" s="75"/>
    </row>
    <row r="1040" spans="1:3" x14ac:dyDescent="0.25">
      <c r="A1040" s="77"/>
      <c r="B1040" s="77"/>
      <c r="C1040" s="75"/>
    </row>
    <row r="1041" spans="1:3" x14ac:dyDescent="0.25">
      <c r="A1041" s="77"/>
      <c r="B1041" s="77"/>
      <c r="C1041" s="75"/>
    </row>
    <row r="1042" spans="1:3" x14ac:dyDescent="0.25">
      <c r="A1042" s="77"/>
      <c r="B1042" s="77"/>
      <c r="C1042" s="75"/>
    </row>
    <row r="1043" spans="1:3" x14ac:dyDescent="0.25">
      <c r="A1043" s="77"/>
      <c r="B1043" s="77"/>
      <c r="C1043" s="75"/>
    </row>
    <row r="1044" spans="1:3" x14ac:dyDescent="0.25">
      <c r="A1044" s="77"/>
      <c r="B1044" s="77"/>
      <c r="C1044" s="75"/>
    </row>
    <row r="1045" spans="1:3" x14ac:dyDescent="0.25">
      <c r="A1045" s="77"/>
      <c r="B1045" s="77"/>
      <c r="C1045" s="75"/>
    </row>
    <row r="1046" spans="1:3" x14ac:dyDescent="0.25">
      <c r="A1046" s="77"/>
      <c r="B1046" s="77"/>
      <c r="C1046" s="75"/>
    </row>
    <row r="1047" spans="1:3" x14ac:dyDescent="0.25">
      <c r="A1047" s="77"/>
      <c r="B1047" s="77"/>
      <c r="C1047" s="75"/>
    </row>
    <row r="1048" spans="1:3" x14ac:dyDescent="0.25">
      <c r="A1048" s="77"/>
      <c r="B1048" s="77"/>
      <c r="C1048" s="75"/>
    </row>
    <row r="1049" spans="1:3" x14ac:dyDescent="0.25">
      <c r="A1049" s="77"/>
      <c r="B1049" s="77"/>
      <c r="C1049" s="75"/>
    </row>
    <row r="1050" spans="1:3" x14ac:dyDescent="0.25">
      <c r="A1050" s="77"/>
      <c r="B1050" s="77"/>
      <c r="C1050" s="75"/>
    </row>
    <row r="1051" spans="1:3" x14ac:dyDescent="0.25">
      <c r="A1051" s="77"/>
      <c r="B1051" s="77"/>
      <c r="C1051" s="75"/>
    </row>
    <row r="1052" spans="1:3" x14ac:dyDescent="0.25">
      <c r="A1052" s="77"/>
      <c r="B1052" s="77"/>
      <c r="C1052" s="75"/>
    </row>
    <row r="1053" spans="1:3" x14ac:dyDescent="0.25">
      <c r="A1053" s="77"/>
      <c r="B1053" s="77"/>
      <c r="C1053" s="75"/>
    </row>
    <row r="1054" spans="1:3" x14ac:dyDescent="0.25">
      <c r="A1054" s="77"/>
      <c r="B1054" s="77"/>
      <c r="C1054" s="75"/>
    </row>
    <row r="1055" spans="1:3" x14ac:dyDescent="0.25">
      <c r="A1055" s="77"/>
      <c r="B1055" s="77"/>
      <c r="C1055" s="75"/>
    </row>
    <row r="1056" spans="1:3" x14ac:dyDescent="0.25">
      <c r="A1056" s="77"/>
      <c r="B1056" s="77"/>
      <c r="C1056" s="75"/>
    </row>
    <row r="1057" spans="1:3" x14ac:dyDescent="0.25">
      <c r="A1057" s="77"/>
      <c r="B1057" s="77"/>
      <c r="C1057" s="75"/>
    </row>
    <row r="1058" spans="1:3" x14ac:dyDescent="0.25">
      <c r="A1058" s="77"/>
      <c r="B1058" s="77"/>
      <c r="C1058" s="75"/>
    </row>
    <row r="1059" spans="1:3" x14ac:dyDescent="0.25">
      <c r="A1059" s="77"/>
      <c r="B1059" s="77"/>
      <c r="C1059" s="75"/>
    </row>
    <row r="1060" spans="1:3" x14ac:dyDescent="0.25">
      <c r="A1060" s="77"/>
      <c r="B1060" s="77"/>
      <c r="C1060" s="75"/>
    </row>
    <row r="1061" spans="1:3" x14ac:dyDescent="0.25">
      <c r="A1061" s="77"/>
      <c r="B1061" s="77"/>
      <c r="C1061" s="75"/>
    </row>
    <row r="1062" spans="1:3" x14ac:dyDescent="0.25">
      <c r="A1062" s="77"/>
      <c r="B1062" s="77"/>
      <c r="C1062" s="75"/>
    </row>
    <row r="1063" spans="1:3" x14ac:dyDescent="0.25">
      <c r="A1063" s="77"/>
      <c r="B1063" s="77"/>
      <c r="C1063" s="75"/>
    </row>
    <row r="1064" spans="1:3" x14ac:dyDescent="0.25">
      <c r="A1064" s="77"/>
      <c r="B1064" s="77"/>
      <c r="C1064" s="75"/>
    </row>
    <row r="1065" spans="1:3" x14ac:dyDescent="0.25">
      <c r="A1065" s="77"/>
      <c r="B1065" s="77"/>
      <c r="C1065" s="75"/>
    </row>
    <row r="1066" spans="1:3" x14ac:dyDescent="0.25">
      <c r="A1066" s="77"/>
      <c r="B1066" s="77"/>
      <c r="C1066" s="75"/>
    </row>
    <row r="1067" spans="1:3" x14ac:dyDescent="0.25">
      <c r="A1067" s="77"/>
      <c r="B1067" s="77"/>
      <c r="C1067" s="75"/>
    </row>
    <row r="1068" spans="1:3" x14ac:dyDescent="0.25">
      <c r="A1068" s="77"/>
      <c r="B1068" s="77"/>
      <c r="C1068" s="75"/>
    </row>
    <row r="1069" spans="1:3" x14ac:dyDescent="0.25">
      <c r="A1069" s="77"/>
      <c r="B1069" s="77"/>
      <c r="C1069" s="75"/>
    </row>
    <row r="1070" spans="1:3" x14ac:dyDescent="0.25">
      <c r="A1070" s="77"/>
      <c r="B1070" s="77"/>
      <c r="C1070" s="75"/>
    </row>
    <row r="1071" spans="1:3" x14ac:dyDescent="0.25">
      <c r="A1071" s="77"/>
      <c r="B1071" s="77"/>
      <c r="C1071" s="75"/>
    </row>
    <row r="1072" spans="1:3" x14ac:dyDescent="0.25">
      <c r="A1072" s="77"/>
      <c r="B1072" s="77"/>
      <c r="C1072" s="75"/>
    </row>
    <row r="1073" spans="1:3" x14ac:dyDescent="0.25">
      <c r="A1073" s="77"/>
      <c r="B1073" s="77"/>
      <c r="C1073" s="75"/>
    </row>
    <row r="1074" spans="1:3" x14ac:dyDescent="0.25">
      <c r="A1074" s="77"/>
      <c r="B1074" s="77"/>
      <c r="C1074" s="75"/>
    </row>
    <row r="1075" spans="1:3" x14ac:dyDescent="0.25">
      <c r="A1075" s="77"/>
      <c r="B1075" s="77"/>
      <c r="C1075" s="75"/>
    </row>
    <row r="1076" spans="1:3" x14ac:dyDescent="0.25">
      <c r="A1076" s="77"/>
      <c r="B1076" s="77"/>
      <c r="C1076" s="75"/>
    </row>
    <row r="1077" spans="1:3" x14ac:dyDescent="0.25">
      <c r="A1077" s="77"/>
      <c r="B1077" s="77"/>
      <c r="C1077" s="75"/>
    </row>
    <row r="1078" spans="1:3" x14ac:dyDescent="0.25">
      <c r="A1078" s="77"/>
      <c r="B1078" s="77"/>
      <c r="C1078" s="75"/>
    </row>
    <row r="1079" spans="1:3" x14ac:dyDescent="0.25">
      <c r="A1079" s="77"/>
      <c r="B1079" s="77"/>
      <c r="C1079" s="75"/>
    </row>
    <row r="1080" spans="1:3" x14ac:dyDescent="0.25">
      <c r="A1080" s="77"/>
      <c r="B1080" s="77"/>
      <c r="C1080" s="75"/>
    </row>
    <row r="1081" spans="1:3" x14ac:dyDescent="0.25">
      <c r="A1081" s="77"/>
      <c r="B1081" s="77"/>
      <c r="C1081" s="75"/>
    </row>
    <row r="1082" spans="1:3" x14ac:dyDescent="0.25">
      <c r="A1082" s="77"/>
      <c r="B1082" s="77"/>
      <c r="C1082" s="75"/>
    </row>
    <row r="1083" spans="1:3" x14ac:dyDescent="0.25">
      <c r="A1083" s="77"/>
      <c r="B1083" s="77"/>
      <c r="C1083" s="75"/>
    </row>
    <row r="1084" spans="1:3" x14ac:dyDescent="0.25">
      <c r="A1084" s="77"/>
      <c r="B1084" s="77"/>
      <c r="C1084" s="75"/>
    </row>
    <row r="1085" spans="1:3" x14ac:dyDescent="0.25">
      <c r="A1085" s="77"/>
      <c r="B1085" s="77"/>
      <c r="C1085" s="75"/>
    </row>
    <row r="1086" spans="1:3" x14ac:dyDescent="0.25">
      <c r="A1086" s="77"/>
      <c r="B1086" s="77"/>
      <c r="C1086" s="75"/>
    </row>
    <row r="1087" spans="1:3" x14ac:dyDescent="0.25">
      <c r="A1087" s="77"/>
      <c r="B1087" s="77"/>
      <c r="C1087" s="75"/>
    </row>
    <row r="1088" spans="1:3" x14ac:dyDescent="0.25">
      <c r="A1088" s="77"/>
      <c r="B1088" s="77"/>
      <c r="C1088" s="75"/>
    </row>
    <row r="1089" spans="1:3" x14ac:dyDescent="0.25">
      <c r="A1089" s="77"/>
      <c r="B1089" s="77"/>
      <c r="C1089" s="75"/>
    </row>
    <row r="1090" spans="1:3" x14ac:dyDescent="0.25">
      <c r="A1090" s="77"/>
      <c r="B1090" s="77"/>
      <c r="C1090" s="75"/>
    </row>
    <row r="1091" spans="1:3" x14ac:dyDescent="0.25">
      <c r="A1091" s="77"/>
      <c r="B1091" s="77"/>
      <c r="C1091" s="75"/>
    </row>
    <row r="1092" spans="1:3" x14ac:dyDescent="0.25">
      <c r="A1092" s="77"/>
      <c r="B1092" s="77"/>
      <c r="C1092" s="75"/>
    </row>
    <row r="1093" spans="1:3" x14ac:dyDescent="0.25">
      <c r="A1093" s="77"/>
      <c r="B1093" s="77"/>
      <c r="C1093" s="75"/>
    </row>
    <row r="1094" spans="1:3" x14ac:dyDescent="0.25">
      <c r="A1094" s="77"/>
      <c r="B1094" s="77"/>
      <c r="C1094" s="75"/>
    </row>
    <row r="1095" spans="1:3" x14ac:dyDescent="0.25">
      <c r="A1095" s="77"/>
      <c r="B1095" s="77"/>
      <c r="C1095" s="75"/>
    </row>
    <row r="1096" spans="1:3" x14ac:dyDescent="0.25">
      <c r="A1096" s="77"/>
      <c r="B1096" s="77"/>
      <c r="C1096" s="75"/>
    </row>
    <row r="1097" spans="1:3" x14ac:dyDescent="0.25">
      <c r="A1097" s="77"/>
      <c r="B1097" s="77"/>
      <c r="C1097" s="75"/>
    </row>
    <row r="1098" spans="1:3" x14ac:dyDescent="0.25">
      <c r="A1098" s="77"/>
      <c r="B1098" s="77"/>
      <c r="C1098" s="75"/>
    </row>
    <row r="1099" spans="1:3" x14ac:dyDescent="0.25">
      <c r="A1099" s="77"/>
      <c r="B1099" s="77"/>
      <c r="C1099" s="75"/>
    </row>
    <row r="1100" spans="1:3" x14ac:dyDescent="0.25">
      <c r="A1100" s="77"/>
      <c r="B1100" s="77"/>
      <c r="C1100" s="75"/>
    </row>
    <row r="1101" spans="1:3" x14ac:dyDescent="0.25">
      <c r="A1101" s="77"/>
      <c r="B1101" s="77"/>
      <c r="C1101" s="75"/>
    </row>
    <row r="1102" spans="1:3" x14ac:dyDescent="0.25">
      <c r="A1102" s="77"/>
      <c r="B1102" s="77"/>
      <c r="C1102" s="75"/>
    </row>
    <row r="1103" spans="1:3" x14ac:dyDescent="0.25">
      <c r="A1103" s="77"/>
      <c r="B1103" s="77"/>
      <c r="C1103" s="75"/>
    </row>
    <row r="1104" spans="1:3" x14ac:dyDescent="0.25">
      <c r="A1104" s="77"/>
      <c r="B1104" s="77"/>
      <c r="C1104" s="75"/>
    </row>
    <row r="1105" spans="1:3" x14ac:dyDescent="0.25">
      <c r="A1105" s="77"/>
      <c r="B1105" s="77"/>
      <c r="C1105" s="75"/>
    </row>
    <row r="1106" spans="1:3" x14ac:dyDescent="0.25">
      <c r="A1106" s="77"/>
      <c r="B1106" s="77"/>
      <c r="C1106" s="75"/>
    </row>
    <row r="1107" spans="1:3" x14ac:dyDescent="0.25">
      <c r="A1107" s="77"/>
      <c r="B1107" s="77"/>
      <c r="C1107" s="75"/>
    </row>
    <row r="1108" spans="1:3" x14ac:dyDescent="0.25">
      <c r="A1108" s="77"/>
      <c r="B1108" s="77"/>
      <c r="C1108" s="75"/>
    </row>
    <row r="1109" spans="1:3" x14ac:dyDescent="0.25">
      <c r="A1109" s="77"/>
      <c r="B1109" s="77"/>
      <c r="C1109" s="75"/>
    </row>
    <row r="1110" spans="1:3" x14ac:dyDescent="0.25">
      <c r="A1110" s="77"/>
      <c r="B1110" s="77"/>
      <c r="C1110" s="75"/>
    </row>
    <row r="1111" spans="1:3" x14ac:dyDescent="0.25">
      <c r="A1111" s="77"/>
      <c r="B1111" s="77"/>
      <c r="C1111" s="75"/>
    </row>
    <row r="1112" spans="1:3" x14ac:dyDescent="0.25">
      <c r="A1112" s="77"/>
      <c r="B1112" s="77"/>
      <c r="C1112" s="75"/>
    </row>
    <row r="1113" spans="1:3" x14ac:dyDescent="0.25">
      <c r="A1113" s="77"/>
      <c r="B1113" s="77"/>
      <c r="C1113" s="75"/>
    </row>
    <row r="1114" spans="1:3" x14ac:dyDescent="0.25">
      <c r="A1114" s="77"/>
      <c r="B1114" s="77"/>
      <c r="C1114" s="75"/>
    </row>
    <row r="1115" spans="1:3" x14ac:dyDescent="0.25">
      <c r="A1115" s="77"/>
      <c r="B1115" s="77"/>
      <c r="C1115" s="75"/>
    </row>
    <row r="1116" spans="1:3" x14ac:dyDescent="0.25">
      <c r="A1116" s="77"/>
      <c r="B1116" s="77"/>
      <c r="C1116" s="75"/>
    </row>
    <row r="1117" spans="1:3" x14ac:dyDescent="0.25">
      <c r="A1117" s="77"/>
      <c r="B1117" s="77"/>
      <c r="C1117" s="75"/>
    </row>
    <row r="1118" spans="1:3" x14ac:dyDescent="0.25">
      <c r="A1118" s="77"/>
      <c r="B1118" s="77"/>
      <c r="C1118" s="75"/>
    </row>
    <row r="1119" spans="1:3" x14ac:dyDescent="0.25">
      <c r="A1119" s="77"/>
      <c r="B1119" s="77"/>
      <c r="C1119" s="75"/>
    </row>
    <row r="1120" spans="1:3" x14ac:dyDescent="0.25">
      <c r="A1120" s="77"/>
      <c r="B1120" s="77"/>
      <c r="C1120" s="75"/>
    </row>
    <row r="1121" spans="1:3" x14ac:dyDescent="0.25">
      <c r="A1121" s="77"/>
      <c r="B1121" s="77"/>
      <c r="C1121" s="75"/>
    </row>
    <row r="1122" spans="1:3" x14ac:dyDescent="0.25">
      <c r="A1122" s="77"/>
      <c r="B1122" s="77"/>
      <c r="C1122" s="75"/>
    </row>
    <row r="1123" spans="1:3" x14ac:dyDescent="0.25">
      <c r="A1123" s="77"/>
      <c r="B1123" s="77"/>
      <c r="C1123" s="75"/>
    </row>
    <row r="1124" spans="1:3" x14ac:dyDescent="0.25">
      <c r="A1124" s="77"/>
      <c r="B1124" s="77"/>
      <c r="C1124" s="75"/>
    </row>
    <row r="1125" spans="1:3" x14ac:dyDescent="0.25">
      <c r="A1125" s="77"/>
      <c r="B1125" s="77"/>
      <c r="C1125" s="75"/>
    </row>
    <row r="1126" spans="1:3" x14ac:dyDescent="0.25">
      <c r="A1126" s="77"/>
      <c r="B1126" s="77"/>
      <c r="C1126" s="75"/>
    </row>
    <row r="1127" spans="1:3" x14ac:dyDescent="0.25">
      <c r="A1127" s="77"/>
      <c r="B1127" s="77"/>
      <c r="C1127" s="75"/>
    </row>
    <row r="1128" spans="1:3" x14ac:dyDescent="0.25">
      <c r="A1128" s="77"/>
      <c r="B1128" s="77"/>
      <c r="C1128" s="75"/>
    </row>
    <row r="1129" spans="1:3" x14ac:dyDescent="0.25">
      <c r="A1129" s="77"/>
      <c r="B1129" s="77"/>
      <c r="C1129" s="75"/>
    </row>
    <row r="1130" spans="1:3" x14ac:dyDescent="0.25">
      <c r="A1130" s="77"/>
      <c r="B1130" s="77"/>
      <c r="C1130" s="75"/>
    </row>
    <row r="1131" spans="1:3" x14ac:dyDescent="0.25">
      <c r="A1131" s="77"/>
      <c r="B1131" s="77"/>
      <c r="C1131" s="75"/>
    </row>
    <row r="1132" spans="1:3" x14ac:dyDescent="0.25">
      <c r="A1132" s="77"/>
      <c r="B1132" s="77"/>
      <c r="C1132" s="75"/>
    </row>
    <row r="1133" spans="1:3" x14ac:dyDescent="0.25">
      <c r="A1133" s="77"/>
      <c r="B1133" s="77"/>
      <c r="C1133" s="75"/>
    </row>
    <row r="1134" spans="1:3" x14ac:dyDescent="0.25">
      <c r="A1134" s="77"/>
      <c r="B1134" s="77"/>
      <c r="C1134" s="75"/>
    </row>
    <row r="1135" spans="1:3" x14ac:dyDescent="0.25">
      <c r="A1135" s="77"/>
      <c r="B1135" s="77"/>
      <c r="C1135" s="75"/>
    </row>
    <row r="1136" spans="1:3" x14ac:dyDescent="0.25">
      <c r="A1136" s="77"/>
      <c r="B1136" s="77"/>
      <c r="C1136" s="75"/>
    </row>
    <row r="1137" spans="1:3" x14ac:dyDescent="0.25">
      <c r="A1137" s="77"/>
      <c r="B1137" s="77"/>
      <c r="C1137" s="75"/>
    </row>
    <row r="1138" spans="1:3" x14ac:dyDescent="0.25">
      <c r="A1138" s="77"/>
      <c r="B1138" s="77"/>
      <c r="C1138" s="75"/>
    </row>
    <row r="1139" spans="1:3" x14ac:dyDescent="0.25">
      <c r="A1139" s="77"/>
      <c r="B1139" s="77"/>
      <c r="C1139" s="75"/>
    </row>
    <row r="1140" spans="1:3" x14ac:dyDescent="0.25">
      <c r="A1140" s="77"/>
      <c r="B1140" s="77"/>
      <c r="C1140" s="75"/>
    </row>
    <row r="1141" spans="1:3" x14ac:dyDescent="0.25">
      <c r="A1141" s="77"/>
      <c r="B1141" s="77"/>
      <c r="C1141" s="75"/>
    </row>
    <row r="1142" spans="1:3" x14ac:dyDescent="0.25">
      <c r="A1142" s="77"/>
      <c r="B1142" s="77"/>
      <c r="C1142" s="75"/>
    </row>
    <row r="1143" spans="1:3" x14ac:dyDescent="0.25">
      <c r="A1143" s="77"/>
      <c r="B1143" s="77"/>
      <c r="C1143" s="75"/>
    </row>
    <row r="1144" spans="1:3" x14ac:dyDescent="0.25">
      <c r="A1144" s="77"/>
      <c r="B1144" s="77"/>
      <c r="C1144" s="75"/>
    </row>
    <row r="1145" spans="1:3" x14ac:dyDescent="0.25">
      <c r="A1145" s="77"/>
      <c r="B1145" s="77"/>
      <c r="C1145" s="75"/>
    </row>
    <row r="1146" spans="1:3" x14ac:dyDescent="0.25">
      <c r="A1146" s="77"/>
      <c r="B1146" s="77"/>
      <c r="C1146" s="75"/>
    </row>
    <row r="1147" spans="1:3" x14ac:dyDescent="0.25">
      <c r="A1147" s="77"/>
      <c r="B1147" s="77"/>
      <c r="C1147" s="75"/>
    </row>
    <row r="1148" spans="1:3" x14ac:dyDescent="0.25">
      <c r="A1148" s="77"/>
      <c r="B1148" s="77"/>
      <c r="C1148" s="75"/>
    </row>
    <row r="1149" spans="1:3" x14ac:dyDescent="0.25">
      <c r="A1149" s="77"/>
      <c r="B1149" s="77"/>
      <c r="C1149" s="75"/>
    </row>
    <row r="1150" spans="1:3" x14ac:dyDescent="0.25">
      <c r="A1150" s="77"/>
      <c r="B1150" s="77"/>
      <c r="C1150" s="75"/>
    </row>
    <row r="1151" spans="1:3" x14ac:dyDescent="0.25">
      <c r="A1151" s="77"/>
      <c r="B1151" s="77"/>
      <c r="C1151" s="75"/>
    </row>
    <row r="1152" spans="1:3" x14ac:dyDescent="0.25">
      <c r="A1152" s="77"/>
      <c r="B1152" s="77"/>
      <c r="C1152" s="75"/>
    </row>
    <row r="1153" spans="1:3" x14ac:dyDescent="0.25">
      <c r="A1153" s="77"/>
      <c r="B1153" s="77"/>
      <c r="C1153" s="75"/>
    </row>
    <row r="1154" spans="1:3" x14ac:dyDescent="0.25">
      <c r="A1154" s="77"/>
      <c r="B1154" s="77"/>
      <c r="C1154" s="75"/>
    </row>
    <row r="1155" spans="1:3" x14ac:dyDescent="0.25">
      <c r="A1155" s="77"/>
      <c r="B1155" s="77"/>
      <c r="C1155" s="75"/>
    </row>
    <row r="1156" spans="1:3" x14ac:dyDescent="0.25">
      <c r="A1156" s="77"/>
      <c r="B1156" s="77"/>
      <c r="C1156" s="75"/>
    </row>
    <row r="1157" spans="1:3" x14ac:dyDescent="0.25">
      <c r="A1157" s="77"/>
      <c r="B1157" s="77"/>
      <c r="C1157" s="75"/>
    </row>
    <row r="1158" spans="1:3" x14ac:dyDescent="0.25">
      <c r="A1158" s="77"/>
      <c r="B1158" s="77"/>
      <c r="C1158" s="75"/>
    </row>
    <row r="1159" spans="1:3" x14ac:dyDescent="0.25">
      <c r="A1159" s="77"/>
      <c r="B1159" s="77"/>
      <c r="C1159" s="75"/>
    </row>
    <row r="1160" spans="1:3" x14ac:dyDescent="0.25">
      <c r="A1160" s="77"/>
      <c r="B1160" s="77"/>
      <c r="C1160" s="75"/>
    </row>
    <row r="1161" spans="1:3" x14ac:dyDescent="0.25">
      <c r="A1161" s="77"/>
      <c r="B1161" s="77"/>
      <c r="C1161" s="75"/>
    </row>
    <row r="1162" spans="1:3" x14ac:dyDescent="0.25">
      <c r="A1162" s="77"/>
      <c r="B1162" s="77"/>
      <c r="C1162" s="75"/>
    </row>
    <row r="1163" spans="1:3" x14ac:dyDescent="0.25">
      <c r="A1163" s="77"/>
      <c r="B1163" s="77"/>
      <c r="C1163" s="75"/>
    </row>
    <row r="1164" spans="1:3" x14ac:dyDescent="0.25">
      <c r="A1164" s="77"/>
      <c r="B1164" s="77"/>
      <c r="C1164" s="75"/>
    </row>
    <row r="1165" spans="1:3" x14ac:dyDescent="0.25">
      <c r="A1165" s="77"/>
      <c r="B1165" s="77"/>
      <c r="C1165" s="75"/>
    </row>
    <row r="1166" spans="1:3" x14ac:dyDescent="0.25">
      <c r="A1166" s="77"/>
      <c r="B1166" s="77"/>
      <c r="C1166" s="75"/>
    </row>
    <row r="1167" spans="1:3" x14ac:dyDescent="0.25">
      <c r="A1167" s="77"/>
      <c r="B1167" s="77"/>
      <c r="C1167" s="75"/>
    </row>
    <row r="1168" spans="1:3" x14ac:dyDescent="0.25">
      <c r="A1168" s="77"/>
      <c r="B1168" s="77"/>
      <c r="C1168" s="75"/>
    </row>
    <row r="1169" spans="1:3" x14ac:dyDescent="0.25">
      <c r="A1169" s="77"/>
      <c r="B1169" s="77"/>
      <c r="C1169" s="75"/>
    </row>
    <row r="1170" spans="1:3" x14ac:dyDescent="0.25">
      <c r="A1170" s="77"/>
      <c r="B1170" s="77"/>
      <c r="C1170" s="75"/>
    </row>
    <row r="1171" spans="1:3" x14ac:dyDescent="0.25">
      <c r="A1171" s="77"/>
      <c r="B1171" s="77"/>
      <c r="C1171" s="75"/>
    </row>
    <row r="1172" spans="1:3" x14ac:dyDescent="0.25">
      <c r="A1172" s="77"/>
      <c r="B1172" s="77"/>
      <c r="C1172" s="75"/>
    </row>
    <row r="1173" spans="1:3" x14ac:dyDescent="0.25">
      <c r="A1173" s="77"/>
      <c r="B1173" s="77"/>
      <c r="C1173" s="75"/>
    </row>
    <row r="1174" spans="1:3" x14ac:dyDescent="0.25">
      <c r="A1174" s="77"/>
      <c r="B1174" s="77"/>
      <c r="C1174" s="75"/>
    </row>
    <row r="1175" spans="1:3" x14ac:dyDescent="0.25">
      <c r="A1175" s="77"/>
      <c r="B1175" s="77"/>
      <c r="C1175" s="75"/>
    </row>
    <row r="1176" spans="1:3" x14ac:dyDescent="0.25">
      <c r="A1176" s="77"/>
      <c r="B1176" s="77"/>
      <c r="C1176" s="75"/>
    </row>
    <row r="1177" spans="1:3" x14ac:dyDescent="0.25">
      <c r="A1177" s="77"/>
      <c r="B1177" s="77"/>
      <c r="C1177" s="75"/>
    </row>
    <row r="1178" spans="1:3" x14ac:dyDescent="0.25">
      <c r="A1178" s="77"/>
      <c r="B1178" s="77"/>
      <c r="C1178" s="75"/>
    </row>
    <row r="1179" spans="1:3" x14ac:dyDescent="0.25">
      <c r="A1179" s="77"/>
      <c r="B1179" s="77"/>
      <c r="C1179" s="75"/>
    </row>
    <row r="1180" spans="1:3" x14ac:dyDescent="0.25">
      <c r="A1180" s="77"/>
      <c r="B1180" s="77"/>
      <c r="C1180" s="75"/>
    </row>
    <row r="1181" spans="1:3" x14ac:dyDescent="0.25">
      <c r="A1181" s="77"/>
      <c r="B1181" s="77"/>
      <c r="C1181" s="75"/>
    </row>
    <row r="1182" spans="1:3" x14ac:dyDescent="0.25">
      <c r="A1182" s="77"/>
      <c r="B1182" s="77"/>
      <c r="C1182" s="75"/>
    </row>
    <row r="1183" spans="1:3" x14ac:dyDescent="0.25">
      <c r="A1183" s="77"/>
      <c r="B1183" s="77"/>
      <c r="C1183" s="75"/>
    </row>
    <row r="1184" spans="1:3" x14ac:dyDescent="0.25">
      <c r="A1184" s="77"/>
      <c r="B1184" s="77"/>
      <c r="C1184" s="75"/>
    </row>
    <row r="1185" spans="1:3" x14ac:dyDescent="0.25">
      <c r="A1185" s="77"/>
      <c r="B1185" s="77"/>
      <c r="C1185" s="75"/>
    </row>
    <row r="1186" spans="1:3" x14ac:dyDescent="0.25">
      <c r="A1186" s="77"/>
      <c r="B1186" s="77"/>
      <c r="C1186" s="75"/>
    </row>
    <row r="1187" spans="1:3" x14ac:dyDescent="0.25">
      <c r="A1187" s="77"/>
      <c r="B1187" s="77"/>
      <c r="C1187" s="75"/>
    </row>
    <row r="1188" spans="1:3" x14ac:dyDescent="0.25">
      <c r="A1188" s="77"/>
      <c r="B1188" s="77"/>
      <c r="C1188" s="75"/>
    </row>
    <row r="1189" spans="1:3" x14ac:dyDescent="0.25">
      <c r="A1189" s="77"/>
      <c r="B1189" s="77"/>
      <c r="C1189" s="75"/>
    </row>
    <row r="1190" spans="1:3" x14ac:dyDescent="0.25">
      <c r="A1190" s="77"/>
      <c r="B1190" s="77"/>
      <c r="C1190" s="75"/>
    </row>
    <row r="1191" spans="1:3" x14ac:dyDescent="0.25">
      <c r="A1191" s="77"/>
      <c r="B1191" s="77"/>
      <c r="C1191" s="75"/>
    </row>
    <row r="1192" spans="1:3" x14ac:dyDescent="0.25">
      <c r="A1192" s="77"/>
      <c r="B1192" s="77"/>
      <c r="C1192" s="75"/>
    </row>
    <row r="1193" spans="1:3" x14ac:dyDescent="0.25">
      <c r="A1193" s="77"/>
      <c r="B1193" s="77"/>
      <c r="C1193" s="75"/>
    </row>
    <row r="1194" spans="1:3" x14ac:dyDescent="0.25">
      <c r="A1194" s="77"/>
      <c r="B1194" s="77"/>
      <c r="C1194" s="75"/>
    </row>
    <row r="1195" spans="1:3" x14ac:dyDescent="0.25">
      <c r="A1195" s="77"/>
      <c r="B1195" s="77"/>
      <c r="C1195" s="75"/>
    </row>
    <row r="1196" spans="1:3" x14ac:dyDescent="0.25">
      <c r="A1196" s="77"/>
      <c r="B1196" s="77"/>
      <c r="C1196" s="75"/>
    </row>
    <row r="1197" spans="1:3" x14ac:dyDescent="0.25">
      <c r="A1197" s="77"/>
      <c r="B1197" s="77"/>
      <c r="C1197" s="75"/>
    </row>
    <row r="1198" spans="1:3" x14ac:dyDescent="0.25">
      <c r="A1198" s="77"/>
      <c r="B1198" s="77"/>
      <c r="C1198" s="75"/>
    </row>
    <row r="1199" spans="1:3" x14ac:dyDescent="0.25">
      <c r="A1199" s="77"/>
      <c r="B1199" s="77"/>
      <c r="C1199" s="75"/>
    </row>
    <row r="1200" spans="1:3" x14ac:dyDescent="0.25">
      <c r="C1200"/>
    </row>
    <row r="1201" spans="1:2" customFormat="1" x14ac:dyDescent="0.25">
      <c r="A1201" s="79"/>
      <c r="B1201" s="79"/>
    </row>
    <row r="1202" spans="1:2" customFormat="1" x14ac:dyDescent="0.25">
      <c r="A1202" s="79"/>
      <c r="B1202" s="79"/>
    </row>
    <row r="1203" spans="1:2" customFormat="1" x14ac:dyDescent="0.25">
      <c r="A1203" s="79"/>
      <c r="B1203" s="79"/>
    </row>
    <row r="1204" spans="1:2" customFormat="1" x14ac:dyDescent="0.25">
      <c r="A1204" s="79"/>
      <c r="B1204" s="79"/>
    </row>
    <row r="1205" spans="1:2" customFormat="1" x14ac:dyDescent="0.25">
      <c r="A1205" s="79"/>
      <c r="B1205" s="79"/>
    </row>
    <row r="1206" spans="1:2" customFormat="1" x14ac:dyDescent="0.25">
      <c r="A1206" s="79"/>
      <c r="B1206" s="79"/>
    </row>
    <row r="1207" spans="1:2" customFormat="1" x14ac:dyDescent="0.25">
      <c r="A1207" s="79"/>
      <c r="B1207" s="79"/>
    </row>
    <row r="1208" spans="1:2" customFormat="1" x14ac:dyDescent="0.25">
      <c r="A1208" s="79"/>
      <c r="B1208" s="79"/>
    </row>
    <row r="1209" spans="1:2" customFormat="1" x14ac:dyDescent="0.25">
      <c r="A1209" s="79"/>
      <c r="B1209" s="79"/>
    </row>
    <row r="1210" spans="1:2" customFormat="1" x14ac:dyDescent="0.25">
      <c r="A1210" s="79"/>
      <c r="B1210" s="79"/>
    </row>
    <row r="1211" spans="1:2" customFormat="1" x14ac:dyDescent="0.25">
      <c r="A1211" s="79"/>
      <c r="B1211" s="79"/>
    </row>
    <row r="1212" spans="1:2" customFormat="1" x14ac:dyDescent="0.25">
      <c r="A1212" s="79"/>
      <c r="B1212" s="79"/>
    </row>
    <row r="1213" spans="1:2" customFormat="1" x14ac:dyDescent="0.25">
      <c r="A1213" s="79"/>
      <c r="B1213" s="79"/>
    </row>
    <row r="1214" spans="1:2" customFormat="1" x14ac:dyDescent="0.25">
      <c r="A1214" s="79"/>
      <c r="B1214" s="79"/>
    </row>
    <row r="1215" spans="1:2" customFormat="1" x14ac:dyDescent="0.25">
      <c r="A1215" s="79"/>
      <c r="B1215" s="79"/>
    </row>
    <row r="1216" spans="1:2" customFormat="1" x14ac:dyDescent="0.25">
      <c r="A1216" s="79"/>
      <c r="B1216" s="79"/>
    </row>
    <row r="1217" spans="1:2" customFormat="1" x14ac:dyDescent="0.25">
      <c r="A1217" s="79"/>
      <c r="B1217" s="79"/>
    </row>
    <row r="1218" spans="1:2" customFormat="1" x14ac:dyDescent="0.25">
      <c r="A1218" s="79"/>
      <c r="B1218" s="79"/>
    </row>
    <row r="1219" spans="1:2" customFormat="1" x14ac:dyDescent="0.25">
      <c r="A1219" s="79"/>
      <c r="B1219" s="79"/>
    </row>
    <row r="1220" spans="1:2" customFormat="1" x14ac:dyDescent="0.25">
      <c r="A1220" s="79"/>
      <c r="B1220" s="79"/>
    </row>
    <row r="1221" spans="1:2" customFormat="1" x14ac:dyDescent="0.25">
      <c r="A1221" s="79"/>
      <c r="B1221" s="79"/>
    </row>
    <row r="1222" spans="1:2" customFormat="1" x14ac:dyDescent="0.25">
      <c r="A1222" s="79"/>
      <c r="B1222" s="79"/>
    </row>
    <row r="1223" spans="1:2" customFormat="1" x14ac:dyDescent="0.25">
      <c r="A1223" s="79"/>
      <c r="B1223" s="79"/>
    </row>
    <row r="1224" spans="1:2" customFormat="1" x14ac:dyDescent="0.25">
      <c r="A1224" s="79"/>
      <c r="B1224" s="79"/>
    </row>
    <row r="1225" spans="1:2" customFormat="1" x14ac:dyDescent="0.25">
      <c r="A1225" s="79"/>
      <c r="B1225" s="79"/>
    </row>
    <row r="1226" spans="1:2" customFormat="1" x14ac:dyDescent="0.25">
      <c r="A1226" s="79"/>
      <c r="B1226" s="79"/>
    </row>
    <row r="1227" spans="1:2" customFormat="1" x14ac:dyDescent="0.25">
      <c r="A1227" s="79"/>
      <c r="B1227" s="79"/>
    </row>
    <row r="1228" spans="1:2" customFormat="1" x14ac:dyDescent="0.25">
      <c r="A1228" s="79"/>
      <c r="B1228" s="79"/>
    </row>
    <row r="1229" spans="1:2" customFormat="1" x14ac:dyDescent="0.25">
      <c r="A1229" s="79"/>
      <c r="B1229" s="79"/>
    </row>
    <row r="1230" spans="1:2" customFormat="1" x14ac:dyDescent="0.25">
      <c r="A1230" s="79"/>
      <c r="B1230" s="79"/>
    </row>
    <row r="1231" spans="1:2" customFormat="1" x14ac:dyDescent="0.25">
      <c r="A1231" s="79"/>
      <c r="B1231" s="79"/>
    </row>
    <row r="1232" spans="1:2" customFormat="1" x14ac:dyDescent="0.25">
      <c r="A1232" s="79"/>
      <c r="B1232" s="79"/>
    </row>
    <row r="1233" spans="1:2" customFormat="1" x14ac:dyDescent="0.25">
      <c r="A1233" s="79"/>
      <c r="B1233" s="79"/>
    </row>
    <row r="1234" spans="1:2" customFormat="1" x14ac:dyDescent="0.25">
      <c r="A1234" s="79"/>
      <c r="B1234" s="79"/>
    </row>
    <row r="1235" spans="1:2" customFormat="1" x14ac:dyDescent="0.25">
      <c r="A1235" s="79"/>
      <c r="B1235" s="79"/>
    </row>
    <row r="1236" spans="1:2" customFormat="1" x14ac:dyDescent="0.25">
      <c r="A1236" s="79"/>
      <c r="B1236" s="79"/>
    </row>
    <row r="1237" spans="1:2" customFormat="1" x14ac:dyDescent="0.25">
      <c r="A1237" s="79"/>
      <c r="B1237" s="79"/>
    </row>
    <row r="1238" spans="1:2" customFormat="1" x14ac:dyDescent="0.25">
      <c r="A1238" s="79"/>
      <c r="B1238" s="79"/>
    </row>
    <row r="1239" spans="1:2" customFormat="1" x14ac:dyDescent="0.25">
      <c r="A1239" s="79"/>
      <c r="B1239" s="79"/>
    </row>
    <row r="1240" spans="1:2" customFormat="1" x14ac:dyDescent="0.25">
      <c r="A1240" s="79"/>
      <c r="B1240" s="79"/>
    </row>
    <row r="1241" spans="1:2" customFormat="1" x14ac:dyDescent="0.25">
      <c r="A1241" s="79"/>
      <c r="B1241" s="79"/>
    </row>
    <row r="1242" spans="1:2" customFormat="1" x14ac:dyDescent="0.25">
      <c r="A1242" s="79"/>
      <c r="B1242" s="79"/>
    </row>
    <row r="1243" spans="1:2" customFormat="1" x14ac:dyDescent="0.25">
      <c r="A1243" s="79"/>
      <c r="B1243" s="79"/>
    </row>
    <row r="1244" spans="1:2" customFormat="1" x14ac:dyDescent="0.25">
      <c r="A1244" s="79"/>
      <c r="B1244" s="79"/>
    </row>
    <row r="1245" spans="1:2" customFormat="1" x14ac:dyDescent="0.25">
      <c r="A1245" s="79"/>
      <c r="B1245" s="79"/>
    </row>
    <row r="1246" spans="1:2" customFormat="1" x14ac:dyDescent="0.25">
      <c r="A1246" s="79"/>
      <c r="B1246" s="79"/>
    </row>
    <row r="1247" spans="1:2" customFormat="1" x14ac:dyDescent="0.25">
      <c r="A1247" s="79"/>
      <c r="B1247" s="79"/>
    </row>
    <row r="1248" spans="1:2" customFormat="1" x14ac:dyDescent="0.25">
      <c r="A1248" s="79"/>
      <c r="B1248" s="79"/>
    </row>
    <row r="1249" spans="1:2" customFormat="1" x14ac:dyDescent="0.25">
      <c r="A1249" s="79"/>
      <c r="B1249" s="79"/>
    </row>
    <row r="1250" spans="1:2" customFormat="1" x14ac:dyDescent="0.25">
      <c r="A1250" s="79"/>
      <c r="B1250" s="79"/>
    </row>
    <row r="1251" spans="1:2" customFormat="1" x14ac:dyDescent="0.25">
      <c r="A1251" s="79"/>
      <c r="B1251" s="79"/>
    </row>
    <row r="1252" spans="1:2" customFormat="1" x14ac:dyDescent="0.25">
      <c r="A1252" s="79"/>
      <c r="B1252" s="79"/>
    </row>
    <row r="1253" spans="1:2" customFormat="1" x14ac:dyDescent="0.25">
      <c r="A1253" s="79"/>
      <c r="B1253" s="79"/>
    </row>
    <row r="1254" spans="1:2" customFormat="1" x14ac:dyDescent="0.25">
      <c r="A1254" s="79"/>
      <c r="B1254" s="79"/>
    </row>
    <row r="1255" spans="1:2" customFormat="1" x14ac:dyDescent="0.25">
      <c r="A1255" s="79"/>
      <c r="B1255" s="79"/>
    </row>
    <row r="1256" spans="1:2" customFormat="1" x14ac:dyDescent="0.25">
      <c r="A1256" s="79"/>
      <c r="B1256" s="79"/>
    </row>
    <row r="1257" spans="1:2" customFormat="1" x14ac:dyDescent="0.25">
      <c r="A1257" s="79"/>
      <c r="B1257" s="79"/>
    </row>
    <row r="1258" spans="1:2" customFormat="1" x14ac:dyDescent="0.25">
      <c r="A1258" s="79"/>
      <c r="B1258" s="79"/>
    </row>
    <row r="1259" spans="1:2" customFormat="1" x14ac:dyDescent="0.25">
      <c r="A1259" s="79"/>
      <c r="B1259" s="79"/>
    </row>
    <row r="1260" spans="1:2" customFormat="1" x14ac:dyDescent="0.25">
      <c r="A1260" s="79"/>
      <c r="B1260" s="79"/>
    </row>
    <row r="1261" spans="1:2" customFormat="1" x14ac:dyDescent="0.25">
      <c r="A1261" s="79"/>
      <c r="B1261" s="79"/>
    </row>
    <row r="1262" spans="1:2" customFormat="1" x14ac:dyDescent="0.25">
      <c r="A1262" s="79"/>
      <c r="B1262" s="79"/>
    </row>
    <row r="1263" spans="1:2" customFormat="1" x14ac:dyDescent="0.25">
      <c r="A1263" s="79"/>
      <c r="B1263" s="79"/>
    </row>
    <row r="1264" spans="1:2" customFormat="1" x14ac:dyDescent="0.25">
      <c r="A1264" s="79"/>
      <c r="B1264" s="79"/>
    </row>
    <row r="1265" spans="1:2" customFormat="1" x14ac:dyDescent="0.25">
      <c r="A1265" s="79"/>
      <c r="B1265" s="79"/>
    </row>
    <row r="1266" spans="1:2" customFormat="1" x14ac:dyDescent="0.25">
      <c r="A1266" s="79"/>
      <c r="B1266" s="79"/>
    </row>
    <row r="1267" spans="1:2" customFormat="1" x14ac:dyDescent="0.25">
      <c r="A1267" s="79"/>
      <c r="B1267" s="79"/>
    </row>
    <row r="1268" spans="1:2" customFormat="1" x14ac:dyDescent="0.25">
      <c r="A1268" s="79"/>
      <c r="B1268" s="79"/>
    </row>
    <row r="1269" spans="1:2" customFormat="1" x14ac:dyDescent="0.25">
      <c r="A1269" s="79"/>
      <c r="B1269" s="79"/>
    </row>
    <row r="1270" spans="1:2" customFormat="1" x14ac:dyDescent="0.25">
      <c r="A1270" s="79"/>
      <c r="B1270" s="79"/>
    </row>
    <row r="1271" spans="1:2" customFormat="1" x14ac:dyDescent="0.25">
      <c r="A1271" s="79"/>
      <c r="B1271" s="79"/>
    </row>
    <row r="1272" spans="1:2" customFormat="1" x14ac:dyDescent="0.25">
      <c r="A1272" s="79"/>
      <c r="B1272" s="79"/>
    </row>
    <row r="1273" spans="1:2" customFormat="1" x14ac:dyDescent="0.25">
      <c r="A1273" s="79"/>
      <c r="B1273" s="79"/>
    </row>
    <row r="1274" spans="1:2" customFormat="1" x14ac:dyDescent="0.25">
      <c r="A1274" s="79"/>
      <c r="B1274" s="79"/>
    </row>
    <row r="1275" spans="1:2" customFormat="1" x14ac:dyDescent="0.25">
      <c r="A1275" s="79"/>
      <c r="B1275" s="79"/>
    </row>
    <row r="1276" spans="1:2" customFormat="1" x14ac:dyDescent="0.25">
      <c r="A1276" s="79"/>
      <c r="B1276" s="79"/>
    </row>
    <row r="1277" spans="1:2" customFormat="1" x14ac:dyDescent="0.25">
      <c r="A1277" s="79"/>
      <c r="B1277" s="79"/>
    </row>
    <row r="1278" spans="1:2" customFormat="1" x14ac:dyDescent="0.25">
      <c r="A1278" s="79"/>
      <c r="B1278" s="79"/>
    </row>
    <row r="1279" spans="1:2" customFormat="1" x14ac:dyDescent="0.25">
      <c r="A1279" s="79"/>
      <c r="B1279" s="79"/>
    </row>
    <row r="1280" spans="1:2" customFormat="1" x14ac:dyDescent="0.25">
      <c r="A1280" s="79"/>
      <c r="B1280" s="79"/>
    </row>
    <row r="1281" spans="1:2" customFormat="1" x14ac:dyDescent="0.25">
      <c r="A1281" s="79"/>
      <c r="B1281" s="79"/>
    </row>
    <row r="1282" spans="1:2" customFormat="1" x14ac:dyDescent="0.25">
      <c r="A1282" s="79"/>
      <c r="B1282" s="79"/>
    </row>
    <row r="1283" spans="1:2" customFormat="1" x14ac:dyDescent="0.25">
      <c r="A1283" s="79"/>
      <c r="B1283" s="79"/>
    </row>
    <row r="1284" spans="1:2" customFormat="1" x14ac:dyDescent="0.25">
      <c r="A1284" s="79"/>
      <c r="B1284" s="79"/>
    </row>
    <row r="1285" spans="1:2" customFormat="1" x14ac:dyDescent="0.25">
      <c r="A1285" s="79"/>
      <c r="B1285" s="79"/>
    </row>
    <row r="1286" spans="1:2" customFormat="1" x14ac:dyDescent="0.25">
      <c r="A1286" s="79"/>
      <c r="B1286" s="79"/>
    </row>
    <row r="1287" spans="1:2" customFormat="1" x14ac:dyDescent="0.25">
      <c r="A1287" s="79"/>
      <c r="B1287" s="79"/>
    </row>
    <row r="1288" spans="1:2" customFormat="1" x14ac:dyDescent="0.25">
      <c r="A1288" s="79"/>
      <c r="B1288" s="79"/>
    </row>
    <row r="1289" spans="1:2" customFormat="1" x14ac:dyDescent="0.25">
      <c r="A1289" s="79"/>
      <c r="B1289" s="79"/>
    </row>
    <row r="1290" spans="1:2" customFormat="1" x14ac:dyDescent="0.25">
      <c r="A1290" s="79"/>
      <c r="B1290" s="79"/>
    </row>
    <row r="1291" spans="1:2" customFormat="1" x14ac:dyDescent="0.25">
      <c r="A1291" s="79"/>
      <c r="B1291" s="79"/>
    </row>
    <row r="1292" spans="1:2" customFormat="1" x14ac:dyDescent="0.25">
      <c r="A1292" s="79"/>
      <c r="B1292" s="79"/>
    </row>
    <row r="1293" spans="1:2" customFormat="1" x14ac:dyDescent="0.25">
      <c r="A1293" s="79"/>
      <c r="B1293" s="79"/>
    </row>
    <row r="1294" spans="1:2" customFormat="1" x14ac:dyDescent="0.25">
      <c r="A1294" s="79"/>
      <c r="B1294" s="79"/>
    </row>
    <row r="1295" spans="1:2" customFormat="1" x14ac:dyDescent="0.25">
      <c r="A1295" s="79"/>
      <c r="B1295" s="79"/>
    </row>
    <row r="1296" spans="1:2" customFormat="1" x14ac:dyDescent="0.25">
      <c r="A1296" s="79"/>
      <c r="B1296" s="79"/>
    </row>
    <row r="1297" spans="1:2" customFormat="1" x14ac:dyDescent="0.25">
      <c r="A1297" s="79"/>
      <c r="B1297" s="79"/>
    </row>
    <row r="1298" spans="1:2" customFormat="1" x14ac:dyDescent="0.25">
      <c r="A1298" s="79"/>
      <c r="B1298" s="79"/>
    </row>
    <row r="1299" spans="1:2" customFormat="1" x14ac:dyDescent="0.25">
      <c r="A1299" s="79"/>
      <c r="B1299" s="79"/>
    </row>
    <row r="1300" spans="1:2" customFormat="1" x14ac:dyDescent="0.25">
      <c r="A1300" s="79"/>
      <c r="B1300" s="79"/>
    </row>
    <row r="1301" spans="1:2" customFormat="1" x14ac:dyDescent="0.25">
      <c r="A1301" s="79"/>
      <c r="B1301" s="79"/>
    </row>
    <row r="1302" spans="1:2" customFormat="1" x14ac:dyDescent="0.25">
      <c r="A1302" s="79"/>
      <c r="B1302" s="79"/>
    </row>
    <row r="1303" spans="1:2" customFormat="1" x14ac:dyDescent="0.25">
      <c r="A1303" s="79"/>
      <c r="B1303" s="79"/>
    </row>
    <row r="1304" spans="1:2" customFormat="1" x14ac:dyDescent="0.25">
      <c r="A1304" s="79"/>
      <c r="B1304" s="79"/>
    </row>
    <row r="1305" spans="1:2" customFormat="1" x14ac:dyDescent="0.25">
      <c r="A1305" s="79"/>
      <c r="B1305" s="79"/>
    </row>
    <row r="1306" spans="1:2" customFormat="1" x14ac:dyDescent="0.25">
      <c r="A1306" s="79"/>
      <c r="B1306" s="79"/>
    </row>
    <row r="1307" spans="1:2" customFormat="1" x14ac:dyDescent="0.25">
      <c r="A1307" s="79"/>
      <c r="B1307" s="79"/>
    </row>
    <row r="1308" spans="1:2" customFormat="1" x14ac:dyDescent="0.25">
      <c r="A1308" s="79"/>
      <c r="B1308" s="79"/>
    </row>
    <row r="1309" spans="1:2" customFormat="1" x14ac:dyDescent="0.25">
      <c r="A1309" s="79"/>
      <c r="B1309" s="79"/>
    </row>
    <row r="1310" spans="1:2" customFormat="1" x14ac:dyDescent="0.25">
      <c r="A1310" s="79"/>
      <c r="B1310" s="79"/>
    </row>
    <row r="1311" spans="1:2" customFormat="1" x14ac:dyDescent="0.25">
      <c r="A1311" s="79"/>
      <c r="B1311" s="79"/>
    </row>
    <row r="1312" spans="1:2" customFormat="1" x14ac:dyDescent="0.25">
      <c r="A1312" s="79"/>
      <c r="B1312" s="79"/>
    </row>
    <row r="1313" spans="1:2" customFormat="1" x14ac:dyDescent="0.25">
      <c r="A1313" s="79"/>
      <c r="B1313" s="79"/>
    </row>
    <row r="1314" spans="1:2" customFormat="1" x14ac:dyDescent="0.25">
      <c r="A1314" s="79"/>
      <c r="B1314" s="79"/>
    </row>
    <row r="1315" spans="1:2" customFormat="1" x14ac:dyDescent="0.25">
      <c r="A1315" s="79"/>
      <c r="B1315" s="79"/>
    </row>
    <row r="1316" spans="1:2" customFormat="1" x14ac:dyDescent="0.25">
      <c r="A1316" s="79"/>
      <c r="B1316" s="79"/>
    </row>
    <row r="1317" spans="1:2" customFormat="1" x14ac:dyDescent="0.25">
      <c r="A1317" s="79"/>
      <c r="B1317" s="79"/>
    </row>
    <row r="1318" spans="1:2" customFormat="1" x14ac:dyDescent="0.25">
      <c r="A1318" s="79"/>
      <c r="B1318" s="79"/>
    </row>
    <row r="1319" spans="1:2" customFormat="1" x14ac:dyDescent="0.25">
      <c r="A1319" s="79"/>
      <c r="B1319" s="79"/>
    </row>
    <row r="1320" spans="1:2" customFormat="1" x14ac:dyDescent="0.25">
      <c r="A1320" s="79"/>
      <c r="B1320" s="79"/>
    </row>
    <row r="1321" spans="1:2" customFormat="1" x14ac:dyDescent="0.25">
      <c r="A1321" s="79"/>
      <c r="B1321" s="79"/>
    </row>
    <row r="1322" spans="1:2" customFormat="1" x14ac:dyDescent="0.25">
      <c r="A1322" s="79"/>
      <c r="B1322" s="79"/>
    </row>
    <row r="1323" spans="1:2" customFormat="1" x14ac:dyDescent="0.25">
      <c r="A1323" s="79"/>
      <c r="B1323" s="79"/>
    </row>
    <row r="1324" spans="1:2" customFormat="1" x14ac:dyDescent="0.25">
      <c r="A1324" s="79"/>
      <c r="B1324" s="79"/>
    </row>
    <row r="1325" spans="1:2" customFormat="1" x14ac:dyDescent="0.25">
      <c r="A1325" s="79"/>
      <c r="B1325" s="79"/>
    </row>
    <row r="1326" spans="1:2" customFormat="1" x14ac:dyDescent="0.25">
      <c r="A1326" s="79"/>
      <c r="B1326" s="79"/>
    </row>
    <row r="1327" spans="1:2" customFormat="1" x14ac:dyDescent="0.25">
      <c r="A1327" s="79"/>
      <c r="B1327" s="79"/>
    </row>
    <row r="1328" spans="1:2" customFormat="1" x14ac:dyDescent="0.25">
      <c r="A1328" s="79"/>
      <c r="B1328" s="79"/>
    </row>
    <row r="1329" spans="1:2" customFormat="1" x14ac:dyDescent="0.25">
      <c r="A1329" s="79"/>
      <c r="B1329" s="79"/>
    </row>
    <row r="1330" spans="1:2" customFormat="1" x14ac:dyDescent="0.25">
      <c r="A1330" s="79"/>
      <c r="B1330" s="79"/>
    </row>
    <row r="1331" spans="1:2" customFormat="1" x14ac:dyDescent="0.25">
      <c r="A1331" s="79"/>
      <c r="B1331" s="79"/>
    </row>
    <row r="1332" spans="1:2" customFormat="1" x14ac:dyDescent="0.25">
      <c r="A1332" s="79"/>
      <c r="B1332" s="79"/>
    </row>
    <row r="1333" spans="1:2" customFormat="1" x14ac:dyDescent="0.25">
      <c r="A1333" s="79"/>
      <c r="B1333" s="79"/>
    </row>
    <row r="1334" spans="1:2" customFormat="1" x14ac:dyDescent="0.25">
      <c r="A1334" s="79"/>
      <c r="B1334" s="79"/>
    </row>
    <row r="1335" spans="1:2" customFormat="1" x14ac:dyDescent="0.25">
      <c r="A1335" s="79"/>
      <c r="B1335" s="79"/>
    </row>
    <row r="1336" spans="1:2" customFormat="1" x14ac:dyDescent="0.25">
      <c r="A1336" s="79"/>
      <c r="B1336" s="79"/>
    </row>
    <row r="1337" spans="1:2" customFormat="1" x14ac:dyDescent="0.25">
      <c r="A1337" s="79"/>
      <c r="B1337" s="79"/>
    </row>
    <row r="1338" spans="1:2" customFormat="1" x14ac:dyDescent="0.25">
      <c r="A1338" s="79"/>
      <c r="B1338" s="79"/>
    </row>
    <row r="1339" spans="1:2" customFormat="1" x14ac:dyDescent="0.25">
      <c r="A1339" s="79"/>
      <c r="B1339" s="79"/>
    </row>
    <row r="1340" spans="1:2" customFormat="1" x14ac:dyDescent="0.25">
      <c r="A1340" s="79"/>
      <c r="B1340" s="79"/>
    </row>
    <row r="1341" spans="1:2" customFormat="1" x14ac:dyDescent="0.25">
      <c r="A1341" s="79"/>
      <c r="B1341" s="79"/>
    </row>
    <row r="1342" spans="1:2" customFormat="1" x14ac:dyDescent="0.25">
      <c r="A1342" s="79"/>
      <c r="B1342" s="79"/>
    </row>
    <row r="1343" spans="1:2" customFormat="1" x14ac:dyDescent="0.25">
      <c r="A1343" s="79"/>
      <c r="B1343" s="79"/>
    </row>
    <row r="1344" spans="1:2" customFormat="1" x14ac:dyDescent="0.25">
      <c r="A1344" s="79"/>
      <c r="B1344" s="79"/>
    </row>
    <row r="1345" spans="1:2" customFormat="1" x14ac:dyDescent="0.25">
      <c r="A1345" s="79"/>
      <c r="B1345" s="79"/>
    </row>
    <row r="1346" spans="1:2" customFormat="1" x14ac:dyDescent="0.25">
      <c r="A1346" s="79"/>
      <c r="B1346" s="79"/>
    </row>
    <row r="1347" spans="1:2" customFormat="1" x14ac:dyDescent="0.25">
      <c r="A1347" s="79"/>
      <c r="B1347" s="79"/>
    </row>
    <row r="1348" spans="1:2" customFormat="1" x14ac:dyDescent="0.25">
      <c r="A1348" s="79"/>
      <c r="B1348" s="79"/>
    </row>
    <row r="1349" spans="1:2" customFormat="1" x14ac:dyDescent="0.25">
      <c r="A1349" s="79"/>
      <c r="B1349" s="79"/>
    </row>
    <row r="1350" spans="1:2" customFormat="1" x14ac:dyDescent="0.25">
      <c r="A1350" s="79"/>
      <c r="B1350" s="79"/>
    </row>
    <row r="1351" spans="1:2" customFormat="1" x14ac:dyDescent="0.25">
      <c r="A1351" s="79"/>
      <c r="B1351" s="79"/>
    </row>
    <row r="1352" spans="1:2" customFormat="1" x14ac:dyDescent="0.25">
      <c r="A1352" s="79"/>
      <c r="B1352" s="79"/>
    </row>
    <row r="1353" spans="1:2" customFormat="1" x14ac:dyDescent="0.25">
      <c r="A1353" s="79"/>
      <c r="B1353" s="79"/>
    </row>
    <row r="1354" spans="1:2" customFormat="1" x14ac:dyDescent="0.25">
      <c r="A1354" s="79"/>
      <c r="B1354" s="79"/>
    </row>
    <row r="1355" spans="1:2" customFormat="1" x14ac:dyDescent="0.25">
      <c r="A1355" s="79"/>
      <c r="B1355" s="79"/>
    </row>
    <row r="1356" spans="1:2" customFormat="1" x14ac:dyDescent="0.25">
      <c r="A1356" s="79"/>
      <c r="B1356" s="79"/>
    </row>
    <row r="1357" spans="1:2" customFormat="1" x14ac:dyDescent="0.25">
      <c r="A1357" s="79"/>
      <c r="B1357" s="79"/>
    </row>
    <row r="1358" spans="1:2" customFormat="1" x14ac:dyDescent="0.25">
      <c r="A1358" s="79"/>
      <c r="B1358" s="79"/>
    </row>
    <row r="1359" spans="1:2" customFormat="1" x14ac:dyDescent="0.25">
      <c r="A1359" s="79"/>
      <c r="B1359" s="79"/>
    </row>
    <row r="1360" spans="1:2" customFormat="1" x14ac:dyDescent="0.25">
      <c r="A1360" s="79"/>
      <c r="B1360" s="79"/>
    </row>
    <row r="1361" spans="1:2" customFormat="1" x14ac:dyDescent="0.25">
      <c r="A1361" s="79"/>
      <c r="B1361" s="79"/>
    </row>
    <row r="1362" spans="1:2" customFormat="1" x14ac:dyDescent="0.25">
      <c r="A1362" s="79"/>
      <c r="B1362" s="79"/>
    </row>
    <row r="1363" spans="1:2" customFormat="1" x14ac:dyDescent="0.25">
      <c r="A1363" s="79"/>
      <c r="B1363" s="79"/>
    </row>
    <row r="1364" spans="1:2" customFormat="1" x14ac:dyDescent="0.25">
      <c r="A1364" s="79"/>
      <c r="B1364" s="79"/>
    </row>
    <row r="1365" spans="1:2" customFormat="1" x14ac:dyDescent="0.25">
      <c r="A1365" s="79"/>
      <c r="B1365" s="79"/>
    </row>
    <row r="1366" spans="1:2" customFormat="1" x14ac:dyDescent="0.25">
      <c r="A1366" s="79"/>
      <c r="B1366" s="79"/>
    </row>
    <row r="1367" spans="1:2" customFormat="1" x14ac:dyDescent="0.25">
      <c r="A1367" s="79"/>
      <c r="B1367" s="79"/>
    </row>
    <row r="1368" spans="1:2" customFormat="1" x14ac:dyDescent="0.25">
      <c r="A1368" s="79"/>
      <c r="B1368" s="79"/>
    </row>
    <row r="1369" spans="1:2" customFormat="1" x14ac:dyDescent="0.25">
      <c r="A1369" s="79"/>
      <c r="B1369" s="79"/>
    </row>
    <row r="1370" spans="1:2" customFormat="1" x14ac:dyDescent="0.25">
      <c r="A1370" s="79"/>
      <c r="B1370" s="79"/>
    </row>
    <row r="1371" spans="1:2" customFormat="1" x14ac:dyDescent="0.25">
      <c r="A1371" s="79"/>
      <c r="B1371" s="79"/>
    </row>
    <row r="1372" spans="1:2" customFormat="1" x14ac:dyDescent="0.25">
      <c r="A1372" s="79"/>
      <c r="B1372" s="79"/>
    </row>
    <row r="1373" spans="1:2" customFormat="1" x14ac:dyDescent="0.25">
      <c r="A1373" s="79"/>
      <c r="B1373" s="79"/>
    </row>
    <row r="1374" spans="1:2" customFormat="1" x14ac:dyDescent="0.25">
      <c r="A1374" s="79"/>
      <c r="B1374" s="79"/>
    </row>
    <row r="1375" spans="1:2" customFormat="1" x14ac:dyDescent="0.25">
      <c r="A1375" s="79"/>
      <c r="B1375" s="79"/>
    </row>
    <row r="1376" spans="1:2" customFormat="1" x14ac:dyDescent="0.25">
      <c r="A1376" s="79"/>
      <c r="B1376" s="79"/>
    </row>
    <row r="1377" spans="1:2" customFormat="1" x14ac:dyDescent="0.25">
      <c r="A1377" s="79"/>
      <c r="B1377" s="79"/>
    </row>
    <row r="1378" spans="1:2" customFormat="1" x14ac:dyDescent="0.25">
      <c r="A1378" s="79"/>
      <c r="B1378" s="79"/>
    </row>
    <row r="1379" spans="1:2" customFormat="1" x14ac:dyDescent="0.25">
      <c r="A1379" s="79"/>
      <c r="B1379" s="79"/>
    </row>
    <row r="1380" spans="1:2" customFormat="1" x14ac:dyDescent="0.25">
      <c r="A1380" s="79"/>
      <c r="B1380" s="79"/>
    </row>
    <row r="1381" spans="1:2" customFormat="1" x14ac:dyDescent="0.25">
      <c r="A1381" s="79"/>
      <c r="B1381" s="79"/>
    </row>
    <row r="1382" spans="1:2" customFormat="1" x14ac:dyDescent="0.25">
      <c r="A1382" s="79"/>
      <c r="B1382" s="79"/>
    </row>
    <row r="1383" spans="1:2" customFormat="1" x14ac:dyDescent="0.25">
      <c r="A1383" s="79"/>
      <c r="B1383" s="79"/>
    </row>
    <row r="1384" spans="1:2" customFormat="1" x14ac:dyDescent="0.25">
      <c r="A1384" s="79"/>
      <c r="B1384" s="79"/>
    </row>
    <row r="1385" spans="1:2" customFormat="1" x14ac:dyDescent="0.25">
      <c r="A1385" s="79"/>
      <c r="B1385" s="79"/>
    </row>
    <row r="1386" spans="1:2" customFormat="1" x14ac:dyDescent="0.25">
      <c r="A1386" s="79"/>
      <c r="B1386" s="79"/>
    </row>
    <row r="1387" spans="1:2" customFormat="1" x14ac:dyDescent="0.25">
      <c r="A1387" s="79"/>
      <c r="B1387" s="79"/>
    </row>
    <row r="1388" spans="1:2" customFormat="1" x14ac:dyDescent="0.25">
      <c r="A1388" s="79"/>
      <c r="B1388" s="79"/>
    </row>
    <row r="1389" spans="1:2" customFormat="1" x14ac:dyDescent="0.25">
      <c r="A1389" s="79"/>
      <c r="B1389" s="79"/>
    </row>
    <row r="1390" spans="1:2" customFormat="1" x14ac:dyDescent="0.25">
      <c r="A1390" s="79"/>
      <c r="B1390" s="79"/>
    </row>
    <row r="1391" spans="1:2" customFormat="1" x14ac:dyDescent="0.25">
      <c r="A1391" s="79"/>
      <c r="B1391" s="79"/>
    </row>
    <row r="1392" spans="1:2" customFormat="1" x14ac:dyDescent="0.25">
      <c r="A1392" s="79"/>
      <c r="B1392" s="79"/>
    </row>
    <row r="1393" spans="1:2" customFormat="1" x14ac:dyDescent="0.25">
      <c r="A1393" s="79"/>
      <c r="B1393" s="79"/>
    </row>
    <row r="1394" spans="1:2" customFormat="1" x14ac:dyDescent="0.25">
      <c r="A1394" s="79"/>
      <c r="B1394" s="79"/>
    </row>
    <row r="1395" spans="1:2" customFormat="1" x14ac:dyDescent="0.25">
      <c r="A1395" s="79"/>
      <c r="B1395" s="79"/>
    </row>
    <row r="1396" spans="1:2" customFormat="1" x14ac:dyDescent="0.25">
      <c r="A1396" s="79"/>
      <c r="B1396" s="79"/>
    </row>
    <row r="1397" spans="1:2" customFormat="1" x14ac:dyDescent="0.25">
      <c r="A1397" s="79"/>
      <c r="B1397" s="79"/>
    </row>
    <row r="1398" spans="1:2" customFormat="1" x14ac:dyDescent="0.25">
      <c r="A1398" s="79"/>
      <c r="B1398" s="79"/>
    </row>
    <row r="1399" spans="1:2" customFormat="1" x14ac:dyDescent="0.25">
      <c r="A1399" s="79"/>
      <c r="B1399" s="79"/>
    </row>
    <row r="1400" spans="1:2" customFormat="1" x14ac:dyDescent="0.25">
      <c r="A1400" s="79"/>
      <c r="B1400" s="79"/>
    </row>
    <row r="1401" spans="1:2" customFormat="1" x14ac:dyDescent="0.25">
      <c r="A1401" s="79"/>
      <c r="B1401" s="79"/>
    </row>
    <row r="1402" spans="1:2" customFormat="1" x14ac:dyDescent="0.25">
      <c r="A1402" s="79"/>
      <c r="B1402" s="79"/>
    </row>
    <row r="1403" spans="1:2" customFormat="1" x14ac:dyDescent="0.25">
      <c r="A1403" s="79"/>
      <c r="B1403" s="79"/>
    </row>
    <row r="1404" spans="1:2" customFormat="1" x14ac:dyDescent="0.25">
      <c r="A1404" s="79"/>
      <c r="B1404" s="79"/>
    </row>
    <row r="1405" spans="1:2" customFormat="1" x14ac:dyDescent="0.25">
      <c r="A1405" s="79"/>
      <c r="B1405" s="79"/>
    </row>
    <row r="1406" spans="1:2" customFormat="1" x14ac:dyDescent="0.25">
      <c r="A1406" s="79"/>
      <c r="B1406" s="79"/>
    </row>
    <row r="1407" spans="1:2" customFormat="1" x14ac:dyDescent="0.25">
      <c r="A1407" s="79"/>
      <c r="B1407" s="79"/>
    </row>
    <row r="1408" spans="1:2" customFormat="1" x14ac:dyDescent="0.25">
      <c r="A1408" s="79"/>
      <c r="B1408" s="79"/>
    </row>
    <row r="1409" spans="1:2" customFormat="1" x14ac:dyDescent="0.25">
      <c r="A1409" s="79"/>
      <c r="B1409" s="79"/>
    </row>
    <row r="1410" spans="1:2" customFormat="1" x14ac:dyDescent="0.25">
      <c r="A1410" s="79"/>
      <c r="B1410" s="79"/>
    </row>
    <row r="1411" spans="1:2" customFormat="1" x14ac:dyDescent="0.25">
      <c r="A1411" s="79"/>
      <c r="B1411" s="79"/>
    </row>
    <row r="1412" spans="1:2" customFormat="1" x14ac:dyDescent="0.25">
      <c r="A1412" s="79"/>
      <c r="B1412" s="79"/>
    </row>
    <row r="1413" spans="1:2" customFormat="1" x14ac:dyDescent="0.25">
      <c r="A1413" s="79"/>
      <c r="B1413" s="79"/>
    </row>
    <row r="1414" spans="1:2" customFormat="1" x14ac:dyDescent="0.25">
      <c r="A1414" s="79"/>
      <c r="B1414" s="79"/>
    </row>
    <row r="1415" spans="1:2" customFormat="1" x14ac:dyDescent="0.25">
      <c r="A1415" s="79"/>
      <c r="B1415" s="79"/>
    </row>
    <row r="1416" spans="1:2" customFormat="1" x14ac:dyDescent="0.25">
      <c r="A1416" s="79"/>
      <c r="B1416" s="79"/>
    </row>
    <row r="1417" spans="1:2" customFormat="1" x14ac:dyDescent="0.25">
      <c r="A1417" s="79"/>
      <c r="B1417" s="79"/>
    </row>
    <row r="1418" spans="1:2" customFormat="1" x14ac:dyDescent="0.25">
      <c r="A1418" s="79"/>
      <c r="B1418" s="79"/>
    </row>
    <row r="1419" spans="1:2" customFormat="1" x14ac:dyDescent="0.25">
      <c r="A1419" s="79"/>
      <c r="B1419" s="79"/>
    </row>
    <row r="1420" spans="1:2" customFormat="1" x14ac:dyDescent="0.25">
      <c r="A1420" s="79"/>
      <c r="B1420" s="79"/>
    </row>
    <row r="1421" spans="1:2" customFormat="1" x14ac:dyDescent="0.25">
      <c r="A1421" s="79"/>
      <c r="B1421" s="79"/>
    </row>
    <row r="1422" spans="1:2" customFormat="1" x14ac:dyDescent="0.25">
      <c r="A1422" s="79"/>
      <c r="B1422" s="79"/>
    </row>
    <row r="1423" spans="1:2" customFormat="1" x14ac:dyDescent="0.25">
      <c r="A1423" s="79"/>
      <c r="B1423" s="79"/>
    </row>
    <row r="1424" spans="1:2" customFormat="1" x14ac:dyDescent="0.25">
      <c r="A1424" s="79"/>
      <c r="B1424" s="79"/>
    </row>
    <row r="1425" spans="1:2" customFormat="1" x14ac:dyDescent="0.25">
      <c r="A1425" s="79"/>
      <c r="B1425" s="79"/>
    </row>
    <row r="1426" spans="1:2" customFormat="1" x14ac:dyDescent="0.25">
      <c r="A1426" s="79"/>
      <c r="B1426" s="79"/>
    </row>
    <row r="1427" spans="1:2" customFormat="1" x14ac:dyDescent="0.25">
      <c r="A1427" s="79"/>
      <c r="B1427" s="79"/>
    </row>
    <row r="1428" spans="1:2" customFormat="1" x14ac:dyDescent="0.25">
      <c r="A1428" s="79"/>
      <c r="B1428" s="79"/>
    </row>
    <row r="1429" spans="1:2" customFormat="1" x14ac:dyDescent="0.25">
      <c r="A1429" s="79"/>
      <c r="B1429" s="79"/>
    </row>
    <row r="1430" spans="1:2" customFormat="1" x14ac:dyDescent="0.25">
      <c r="A1430" s="79"/>
      <c r="B1430" s="79"/>
    </row>
    <row r="1431" spans="1:2" customFormat="1" x14ac:dyDescent="0.25">
      <c r="A1431" s="79"/>
      <c r="B1431" s="79"/>
    </row>
    <row r="1432" spans="1:2" customFormat="1" x14ac:dyDescent="0.25">
      <c r="A1432" s="79"/>
      <c r="B1432" s="79"/>
    </row>
    <row r="1433" spans="1:2" customFormat="1" x14ac:dyDescent="0.25">
      <c r="A1433" s="79"/>
      <c r="B1433" s="79"/>
    </row>
    <row r="1434" spans="1:2" customFormat="1" x14ac:dyDescent="0.25">
      <c r="A1434" s="79"/>
      <c r="B1434" s="79"/>
    </row>
    <row r="1435" spans="1:2" customFormat="1" x14ac:dyDescent="0.25">
      <c r="A1435" s="79"/>
      <c r="B1435" s="79"/>
    </row>
    <row r="1436" spans="1:2" customFormat="1" x14ac:dyDescent="0.25">
      <c r="A1436" s="79"/>
      <c r="B1436" s="79"/>
    </row>
    <row r="1437" spans="1:2" customFormat="1" x14ac:dyDescent="0.25">
      <c r="A1437" s="79"/>
      <c r="B1437" s="79"/>
    </row>
    <row r="1438" spans="1:2" customFormat="1" x14ac:dyDescent="0.25">
      <c r="A1438" s="79"/>
      <c r="B1438" s="79"/>
    </row>
    <row r="1439" spans="1:2" customFormat="1" x14ac:dyDescent="0.25">
      <c r="A1439" s="79"/>
      <c r="B1439" s="79"/>
    </row>
    <row r="1440" spans="1:2" customFormat="1" x14ac:dyDescent="0.25">
      <c r="A1440" s="79"/>
      <c r="B1440" s="79"/>
    </row>
    <row r="1441" spans="1:2" customFormat="1" x14ac:dyDescent="0.25">
      <c r="A1441" s="79"/>
      <c r="B1441" s="79"/>
    </row>
    <row r="1442" spans="1:2" customFormat="1" x14ac:dyDescent="0.25">
      <c r="A1442" s="79"/>
      <c r="B1442" s="79"/>
    </row>
    <row r="1443" spans="1:2" customFormat="1" x14ac:dyDescent="0.25">
      <c r="A1443" s="79"/>
      <c r="B1443" s="79"/>
    </row>
    <row r="1444" spans="1:2" customFormat="1" x14ac:dyDescent="0.25">
      <c r="A1444" s="79"/>
      <c r="B1444" s="79"/>
    </row>
    <row r="1445" spans="1:2" customFormat="1" x14ac:dyDescent="0.25">
      <c r="A1445" s="79"/>
      <c r="B1445" s="79"/>
    </row>
    <row r="1446" spans="1:2" customFormat="1" x14ac:dyDescent="0.25">
      <c r="A1446" s="79"/>
      <c r="B1446" s="79"/>
    </row>
    <row r="1447" spans="1:2" customFormat="1" x14ac:dyDescent="0.25">
      <c r="A1447" s="79"/>
      <c r="B1447" s="79"/>
    </row>
    <row r="1448" spans="1:2" customFormat="1" x14ac:dyDescent="0.25">
      <c r="A1448" s="79"/>
      <c r="B1448" s="79"/>
    </row>
    <row r="1449" spans="1:2" customFormat="1" x14ac:dyDescent="0.25">
      <c r="A1449" s="79"/>
      <c r="B1449" s="79"/>
    </row>
    <row r="1450" spans="1:2" customFormat="1" x14ac:dyDescent="0.25">
      <c r="A1450" s="79"/>
      <c r="B1450" s="79"/>
    </row>
    <row r="1451" spans="1:2" customFormat="1" x14ac:dyDescent="0.25">
      <c r="A1451" s="79"/>
      <c r="B1451" s="79"/>
    </row>
    <row r="1452" spans="1:2" customFormat="1" x14ac:dyDescent="0.25">
      <c r="A1452" s="79"/>
      <c r="B1452" s="79"/>
    </row>
    <row r="1453" spans="1:2" customFormat="1" x14ac:dyDescent="0.25">
      <c r="A1453" s="79"/>
      <c r="B1453" s="79"/>
    </row>
    <row r="1454" spans="1:2" customFormat="1" x14ac:dyDescent="0.25">
      <c r="A1454" s="79"/>
      <c r="B1454" s="79"/>
    </row>
    <row r="1455" spans="1:2" customFormat="1" x14ac:dyDescent="0.25">
      <c r="A1455" s="79"/>
      <c r="B1455" s="79"/>
    </row>
    <row r="1456" spans="1:2" customFormat="1" x14ac:dyDescent="0.25">
      <c r="A1456" s="79"/>
      <c r="B1456" s="79"/>
    </row>
    <row r="1457" spans="1:2" customFormat="1" x14ac:dyDescent="0.25">
      <c r="A1457" s="79"/>
      <c r="B1457" s="79"/>
    </row>
    <row r="1458" spans="1:2" customFormat="1" x14ac:dyDescent="0.25">
      <c r="A1458" s="79"/>
      <c r="B1458" s="79"/>
    </row>
    <row r="1459" spans="1:2" customFormat="1" x14ac:dyDescent="0.25">
      <c r="A1459" s="79"/>
      <c r="B1459" s="79"/>
    </row>
    <row r="1460" spans="1:2" customFormat="1" x14ac:dyDescent="0.25">
      <c r="A1460" s="79"/>
      <c r="B1460" s="79"/>
    </row>
    <row r="1461" spans="1:2" customFormat="1" x14ac:dyDescent="0.25">
      <c r="A1461" s="79"/>
      <c r="B1461" s="79"/>
    </row>
    <row r="1462" spans="1:2" customFormat="1" x14ac:dyDescent="0.25">
      <c r="A1462" s="79"/>
      <c r="B1462" s="79"/>
    </row>
    <row r="1463" spans="1:2" customFormat="1" x14ac:dyDescent="0.25">
      <c r="A1463" s="79"/>
      <c r="B1463" s="79"/>
    </row>
    <row r="1464" spans="1:2" customFormat="1" x14ac:dyDescent="0.25">
      <c r="A1464" s="79"/>
      <c r="B1464" s="79"/>
    </row>
    <row r="1465" spans="1:2" customFormat="1" x14ac:dyDescent="0.25">
      <c r="A1465" s="79"/>
      <c r="B1465" s="79"/>
    </row>
    <row r="1466" spans="1:2" customFormat="1" x14ac:dyDescent="0.25">
      <c r="A1466" s="79"/>
      <c r="B1466" s="79"/>
    </row>
    <row r="1467" spans="1:2" customFormat="1" x14ac:dyDescent="0.25">
      <c r="A1467" s="79"/>
      <c r="B1467" s="79"/>
    </row>
    <row r="1468" spans="1:2" customFormat="1" x14ac:dyDescent="0.25">
      <c r="A1468" s="79"/>
      <c r="B1468" s="79"/>
    </row>
    <row r="1469" spans="1:2" customFormat="1" x14ac:dyDescent="0.25">
      <c r="A1469" s="79"/>
      <c r="B1469" s="79"/>
    </row>
    <row r="1470" spans="1:2" customFormat="1" x14ac:dyDescent="0.25">
      <c r="A1470" s="79"/>
      <c r="B1470" s="79"/>
    </row>
    <row r="1471" spans="1:2" customFormat="1" x14ac:dyDescent="0.25">
      <c r="A1471" s="79"/>
      <c r="B1471" s="79"/>
    </row>
    <row r="1472" spans="1:2" customFormat="1" x14ac:dyDescent="0.25">
      <c r="A1472" s="79"/>
      <c r="B1472" s="79"/>
    </row>
    <row r="1473" spans="1:2" customFormat="1" x14ac:dyDescent="0.25">
      <c r="A1473" s="79"/>
      <c r="B1473" s="79"/>
    </row>
    <row r="1474" spans="1:2" customFormat="1" x14ac:dyDescent="0.25">
      <c r="A1474" s="79"/>
      <c r="B1474" s="79"/>
    </row>
    <row r="1475" spans="1:2" customFormat="1" x14ac:dyDescent="0.25">
      <c r="A1475" s="79"/>
      <c r="B1475" s="79"/>
    </row>
    <row r="1476" spans="1:2" customFormat="1" x14ac:dyDescent="0.25">
      <c r="A1476" s="79"/>
      <c r="B1476" s="79"/>
    </row>
    <row r="1477" spans="1:2" customFormat="1" x14ac:dyDescent="0.25">
      <c r="A1477" s="79"/>
      <c r="B1477" s="79"/>
    </row>
    <row r="1478" spans="1:2" customFormat="1" x14ac:dyDescent="0.25">
      <c r="A1478" s="79"/>
      <c r="B1478" s="79"/>
    </row>
    <row r="1479" spans="1:2" customFormat="1" x14ac:dyDescent="0.25">
      <c r="A1479" s="79"/>
      <c r="B1479" s="79"/>
    </row>
    <row r="1480" spans="1:2" customFormat="1" x14ac:dyDescent="0.25">
      <c r="A1480" s="79"/>
      <c r="B1480" s="79"/>
    </row>
    <row r="1481" spans="1:2" customFormat="1" x14ac:dyDescent="0.25">
      <c r="A1481" s="79"/>
      <c r="B1481" s="79"/>
    </row>
    <row r="2001" spans="1:2" s="24" customFormat="1" x14ac:dyDescent="0.25">
      <c r="A2001" s="78"/>
      <c r="B2001" s="78"/>
    </row>
    <row r="2002" spans="1:2" s="24" customFormat="1" x14ac:dyDescent="0.25">
      <c r="A2002" s="78"/>
      <c r="B2002" s="78"/>
    </row>
    <row r="2003" spans="1:2" s="24" customFormat="1" x14ac:dyDescent="0.25">
      <c r="A2003" s="78"/>
      <c r="B2003" s="78"/>
    </row>
    <row r="2004" spans="1:2" s="24" customFormat="1" x14ac:dyDescent="0.25">
      <c r="A2004" s="78"/>
      <c r="B2004" s="78"/>
    </row>
    <row r="2005" spans="1:2" s="24" customFormat="1" x14ac:dyDescent="0.25">
      <c r="A2005" s="78"/>
      <c r="B2005" s="78"/>
    </row>
    <row r="2006" spans="1:2" s="24" customFormat="1" x14ac:dyDescent="0.25">
      <c r="A2006" s="78"/>
      <c r="B2006" s="78"/>
    </row>
    <row r="2007" spans="1:2" s="24" customFormat="1" x14ac:dyDescent="0.25">
      <c r="A2007" s="78"/>
      <c r="B2007" s="78"/>
    </row>
    <row r="2008" spans="1:2" s="24" customFormat="1" x14ac:dyDescent="0.25">
      <c r="A2008" s="78"/>
      <c r="B2008" s="78"/>
    </row>
    <row r="2009" spans="1:2" s="24" customFormat="1" x14ac:dyDescent="0.25">
      <c r="A2009" s="78"/>
      <c r="B2009" s="78"/>
    </row>
    <row r="2010" spans="1:2" s="24" customFormat="1" x14ac:dyDescent="0.25">
      <c r="A2010" s="78"/>
      <c r="B2010" s="78"/>
    </row>
    <row r="2011" spans="1:2" s="24" customFormat="1" x14ac:dyDescent="0.25">
      <c r="A2011" s="78"/>
      <c r="B2011" s="78"/>
    </row>
    <row r="2012" spans="1:2" s="24" customFormat="1" x14ac:dyDescent="0.25">
      <c r="A2012" s="78"/>
      <c r="B2012" s="78"/>
    </row>
    <row r="2013" spans="1:2" s="24" customFormat="1" x14ac:dyDescent="0.25">
      <c r="A2013" s="78"/>
      <c r="B2013" s="78"/>
    </row>
    <row r="2014" spans="1:2" s="24" customFormat="1" x14ac:dyDescent="0.25">
      <c r="A2014" s="78"/>
      <c r="B2014" s="78"/>
    </row>
    <row r="2015" spans="1:2" s="24" customFormat="1" x14ac:dyDescent="0.25">
      <c r="A2015" s="78"/>
      <c r="B2015" s="78"/>
    </row>
    <row r="2016" spans="1:2" s="24" customFormat="1" x14ac:dyDescent="0.25">
      <c r="A2016" s="78"/>
      <c r="B2016" s="78"/>
    </row>
    <row r="2017" spans="1:2" s="24" customFormat="1" x14ac:dyDescent="0.25">
      <c r="A2017" s="78"/>
      <c r="B2017" s="78"/>
    </row>
    <row r="2018" spans="1:2" s="24" customFormat="1" x14ac:dyDescent="0.25">
      <c r="A2018" s="78"/>
      <c r="B2018" s="78"/>
    </row>
    <row r="2019" spans="1:2" s="24" customFormat="1" x14ac:dyDescent="0.25">
      <c r="A2019" s="78"/>
      <c r="B2019" s="78"/>
    </row>
    <row r="2020" spans="1:2" s="24" customFormat="1" x14ac:dyDescent="0.25">
      <c r="A2020" s="78"/>
      <c r="B2020" s="78"/>
    </row>
    <row r="2021" spans="1:2" s="24" customFormat="1" x14ac:dyDescent="0.25">
      <c r="A2021" s="78"/>
      <c r="B2021" s="78"/>
    </row>
    <row r="2022" spans="1:2" s="24" customFormat="1" x14ac:dyDescent="0.25">
      <c r="A2022" s="78"/>
      <c r="B2022" s="78"/>
    </row>
    <row r="2023" spans="1:2" s="24" customFormat="1" x14ac:dyDescent="0.25">
      <c r="A2023" s="78"/>
      <c r="B2023" s="78"/>
    </row>
    <row r="2024" spans="1:2" s="24" customFormat="1" x14ac:dyDescent="0.25">
      <c r="A2024" s="78"/>
      <c r="B2024" s="78"/>
    </row>
    <row r="2025" spans="1:2" s="24" customFormat="1" x14ac:dyDescent="0.25">
      <c r="A2025" s="78"/>
      <c r="B2025" s="78"/>
    </row>
    <row r="2026" spans="1:2" s="24" customFormat="1" x14ac:dyDescent="0.25">
      <c r="A2026" s="78"/>
      <c r="B2026" s="78"/>
    </row>
    <row r="2027" spans="1:2" s="24" customFormat="1" x14ac:dyDescent="0.25">
      <c r="A2027" s="78"/>
      <c r="B2027" s="78"/>
    </row>
    <row r="2028" spans="1:2" s="24" customFormat="1" x14ac:dyDescent="0.25">
      <c r="A2028" s="78"/>
      <c r="B2028" s="78"/>
    </row>
    <row r="2029" spans="1:2" s="24" customFormat="1" x14ac:dyDescent="0.25">
      <c r="A2029" s="78"/>
      <c r="B2029" s="78"/>
    </row>
    <row r="2030" spans="1:2" s="24" customFormat="1" x14ac:dyDescent="0.25">
      <c r="A2030" s="78"/>
      <c r="B2030" s="78"/>
    </row>
    <row r="2031" spans="1:2" s="24" customFormat="1" x14ac:dyDescent="0.25">
      <c r="A2031" s="78"/>
      <c r="B2031" s="78"/>
    </row>
    <row r="2032" spans="1:2" s="24" customFormat="1" x14ac:dyDescent="0.25">
      <c r="A2032" s="78"/>
      <c r="B2032" s="78"/>
    </row>
    <row r="2033" spans="1:2" s="24" customFormat="1" x14ac:dyDescent="0.25">
      <c r="A2033" s="78"/>
      <c r="B2033" s="78"/>
    </row>
    <row r="2034" spans="1:2" s="24" customFormat="1" x14ac:dyDescent="0.25">
      <c r="A2034" s="78"/>
      <c r="B2034" s="78"/>
    </row>
    <row r="2035" spans="1:2" s="24" customFormat="1" x14ac:dyDescent="0.25">
      <c r="A2035" s="78"/>
      <c r="B2035" s="78"/>
    </row>
    <row r="2036" spans="1:2" s="24" customFormat="1" x14ac:dyDescent="0.25">
      <c r="A2036" s="78"/>
      <c r="B2036" s="78"/>
    </row>
    <row r="2037" spans="1:2" s="24" customFormat="1" x14ac:dyDescent="0.25">
      <c r="A2037" s="78"/>
      <c r="B2037" s="78"/>
    </row>
    <row r="2038" spans="1:2" s="24" customFormat="1" x14ac:dyDescent="0.25">
      <c r="A2038" s="78"/>
      <c r="B2038" s="78"/>
    </row>
    <row r="2039" spans="1:2" s="24" customFormat="1" x14ac:dyDescent="0.25">
      <c r="A2039" s="78"/>
      <c r="B2039" s="78"/>
    </row>
    <row r="2040" spans="1:2" s="24" customFormat="1" x14ac:dyDescent="0.25">
      <c r="A2040" s="78"/>
      <c r="B2040" s="78"/>
    </row>
    <row r="2041" spans="1:2" s="24" customFormat="1" x14ac:dyDescent="0.25">
      <c r="A2041" s="78"/>
      <c r="B2041" s="78"/>
    </row>
    <row r="2042" spans="1:2" s="24" customFormat="1" x14ac:dyDescent="0.25">
      <c r="A2042" s="78"/>
      <c r="B2042" s="78"/>
    </row>
    <row r="2043" spans="1:2" s="24" customFormat="1" x14ac:dyDescent="0.25">
      <c r="A2043" s="78"/>
      <c r="B2043" s="78"/>
    </row>
    <row r="2044" spans="1:2" s="24" customFormat="1" x14ac:dyDescent="0.25">
      <c r="A2044" s="78"/>
      <c r="B2044" s="78"/>
    </row>
    <row r="2045" spans="1:2" s="24" customFormat="1" x14ac:dyDescent="0.25">
      <c r="A2045" s="78"/>
      <c r="B2045" s="78"/>
    </row>
    <row r="2046" spans="1:2" s="24" customFormat="1" x14ac:dyDescent="0.25">
      <c r="A2046" s="78"/>
      <c r="B2046" s="78"/>
    </row>
    <row r="2047" spans="1:2" s="24" customFormat="1" x14ac:dyDescent="0.25">
      <c r="A2047" s="78"/>
      <c r="B2047" s="78"/>
    </row>
    <row r="2048" spans="1:2" s="24" customFormat="1" x14ac:dyDescent="0.25">
      <c r="A2048" s="78"/>
      <c r="B2048" s="78"/>
    </row>
    <row r="2049" spans="1:2" s="24" customFormat="1" x14ac:dyDescent="0.25">
      <c r="A2049" s="78"/>
      <c r="B2049" s="78"/>
    </row>
    <row r="2050" spans="1:2" s="24" customFormat="1" x14ac:dyDescent="0.25">
      <c r="A2050" s="78"/>
      <c r="B2050" s="78"/>
    </row>
    <row r="2051" spans="1:2" s="24" customFormat="1" x14ac:dyDescent="0.25">
      <c r="A2051" s="78"/>
      <c r="B2051" s="78"/>
    </row>
    <row r="2052" spans="1:2" s="24" customFormat="1" x14ac:dyDescent="0.25">
      <c r="A2052" s="78"/>
      <c r="B2052" s="78"/>
    </row>
    <row r="2053" spans="1:2" s="24" customFormat="1" x14ac:dyDescent="0.25">
      <c r="A2053" s="78"/>
      <c r="B2053" s="78"/>
    </row>
    <row r="2054" spans="1:2" s="24" customFormat="1" x14ac:dyDescent="0.25">
      <c r="A2054" s="78"/>
      <c r="B2054" s="78"/>
    </row>
    <row r="2055" spans="1:2" s="24" customFormat="1" x14ac:dyDescent="0.25">
      <c r="A2055" s="78"/>
      <c r="B2055" s="78"/>
    </row>
    <row r="2056" spans="1:2" s="24" customFormat="1" x14ac:dyDescent="0.25">
      <c r="A2056" s="78"/>
      <c r="B2056" s="78"/>
    </row>
    <row r="2057" spans="1:2" s="24" customFormat="1" x14ac:dyDescent="0.25">
      <c r="A2057" s="78"/>
      <c r="B2057" s="78"/>
    </row>
    <row r="2058" spans="1:2" s="24" customFormat="1" x14ac:dyDescent="0.25">
      <c r="A2058" s="78"/>
      <c r="B2058" s="78"/>
    </row>
    <row r="2059" spans="1:2" s="24" customFormat="1" x14ac:dyDescent="0.25">
      <c r="A2059" s="78"/>
      <c r="B2059" s="78"/>
    </row>
    <row r="2060" spans="1:2" s="24" customFormat="1" x14ac:dyDescent="0.25">
      <c r="A2060" s="78"/>
      <c r="B2060" s="78"/>
    </row>
    <row r="2061" spans="1:2" s="24" customFormat="1" x14ac:dyDescent="0.25">
      <c r="A2061" s="78"/>
      <c r="B2061" s="78"/>
    </row>
    <row r="2062" spans="1:2" s="24" customFormat="1" x14ac:dyDescent="0.25">
      <c r="A2062" s="78"/>
      <c r="B2062" s="78"/>
    </row>
    <row r="2063" spans="1:2" s="24" customFormat="1" x14ac:dyDescent="0.25">
      <c r="A2063" s="78"/>
      <c r="B2063" s="78"/>
    </row>
    <row r="2064" spans="1:2" s="24" customFormat="1" x14ac:dyDescent="0.25">
      <c r="A2064" s="78"/>
      <c r="B2064" s="78"/>
    </row>
    <row r="2065" spans="1:2" s="24" customFormat="1" x14ac:dyDescent="0.25">
      <c r="A2065" s="78"/>
      <c r="B2065" s="78"/>
    </row>
    <row r="2066" spans="1:2" s="24" customFormat="1" x14ac:dyDescent="0.25">
      <c r="A2066" s="78"/>
      <c r="B2066" s="78"/>
    </row>
    <row r="2067" spans="1:2" s="24" customFormat="1" x14ac:dyDescent="0.25">
      <c r="A2067" s="78"/>
      <c r="B2067" s="78"/>
    </row>
    <row r="2068" spans="1:2" s="24" customFormat="1" x14ac:dyDescent="0.25">
      <c r="A2068" s="78"/>
      <c r="B2068" s="78"/>
    </row>
    <row r="2069" spans="1:2" s="24" customFormat="1" x14ac:dyDescent="0.25">
      <c r="A2069" s="78"/>
      <c r="B2069" s="78"/>
    </row>
    <row r="2070" spans="1:2" s="24" customFormat="1" x14ac:dyDescent="0.25">
      <c r="A2070" s="78"/>
      <c r="B2070" s="78"/>
    </row>
    <row r="2071" spans="1:2" s="24" customFormat="1" x14ac:dyDescent="0.25">
      <c r="A2071" s="78"/>
      <c r="B2071" s="78"/>
    </row>
    <row r="2072" spans="1:2" s="24" customFormat="1" x14ac:dyDescent="0.25">
      <c r="A2072" s="78"/>
      <c r="B2072" s="78"/>
    </row>
    <row r="2073" spans="1:2" s="24" customFormat="1" x14ac:dyDescent="0.25">
      <c r="A2073" s="78"/>
      <c r="B2073" s="78"/>
    </row>
    <row r="2074" spans="1:2" s="24" customFormat="1" x14ac:dyDescent="0.25">
      <c r="A2074" s="78"/>
      <c r="B2074" s="78"/>
    </row>
    <row r="2075" spans="1:2" s="24" customFormat="1" x14ac:dyDescent="0.25">
      <c r="A2075" s="78"/>
      <c r="B2075" s="78"/>
    </row>
    <row r="2076" spans="1:2" s="24" customFormat="1" x14ac:dyDescent="0.25">
      <c r="A2076" s="78"/>
      <c r="B2076" s="78"/>
    </row>
    <row r="2077" spans="1:2" s="24" customFormat="1" x14ac:dyDescent="0.25">
      <c r="A2077" s="78"/>
      <c r="B2077" s="78"/>
    </row>
    <row r="2078" spans="1:2" s="24" customFormat="1" x14ac:dyDescent="0.25">
      <c r="A2078" s="78"/>
      <c r="B2078" s="78"/>
    </row>
    <row r="2079" spans="1:2" s="24" customFormat="1" x14ac:dyDescent="0.25">
      <c r="A2079" s="78"/>
      <c r="B2079" s="78"/>
    </row>
    <row r="2080" spans="1:2" s="24" customFormat="1" x14ac:dyDescent="0.25">
      <c r="A2080" s="78"/>
      <c r="B2080" s="78"/>
    </row>
    <row r="2081" spans="1:2" s="24" customFormat="1" x14ac:dyDescent="0.25">
      <c r="A2081" s="78"/>
      <c r="B2081" s="78"/>
    </row>
    <row r="2082" spans="1:2" s="24" customFormat="1" x14ac:dyDescent="0.25">
      <c r="A2082" s="78"/>
      <c r="B2082" s="78"/>
    </row>
    <row r="2083" spans="1:2" s="24" customFormat="1" x14ac:dyDescent="0.25">
      <c r="A2083" s="78"/>
      <c r="B2083" s="78"/>
    </row>
    <row r="2084" spans="1:2" s="24" customFormat="1" x14ac:dyDescent="0.25">
      <c r="A2084" s="78"/>
      <c r="B2084" s="78"/>
    </row>
    <row r="2085" spans="1:2" s="24" customFormat="1" x14ac:dyDescent="0.25">
      <c r="A2085" s="78"/>
      <c r="B2085" s="78"/>
    </row>
    <row r="2086" spans="1:2" s="24" customFormat="1" x14ac:dyDescent="0.25">
      <c r="A2086" s="78"/>
      <c r="B2086" s="78"/>
    </row>
    <row r="2087" spans="1:2" s="24" customFormat="1" x14ac:dyDescent="0.25">
      <c r="A2087" s="78"/>
      <c r="B2087" s="78"/>
    </row>
    <row r="2088" spans="1:2" s="24" customFormat="1" x14ac:dyDescent="0.25">
      <c r="A2088" s="78"/>
      <c r="B2088" s="78"/>
    </row>
    <row r="2089" spans="1:2" s="24" customFormat="1" x14ac:dyDescent="0.25">
      <c r="A2089" s="78"/>
      <c r="B2089" s="78"/>
    </row>
    <row r="2090" spans="1:2" s="24" customFormat="1" x14ac:dyDescent="0.25">
      <c r="A2090" s="78"/>
      <c r="B2090" s="78"/>
    </row>
    <row r="2091" spans="1:2" s="24" customFormat="1" x14ac:dyDescent="0.25">
      <c r="A2091" s="78"/>
      <c r="B2091" s="78"/>
    </row>
    <row r="2092" spans="1:2" s="24" customFormat="1" x14ac:dyDescent="0.25">
      <c r="A2092" s="78"/>
      <c r="B2092" s="78"/>
    </row>
    <row r="2093" spans="1:2" s="24" customFormat="1" x14ac:dyDescent="0.25">
      <c r="A2093" s="78"/>
      <c r="B2093" s="78"/>
    </row>
    <row r="2094" spans="1:2" s="24" customFormat="1" x14ac:dyDescent="0.25">
      <c r="A2094" s="78"/>
      <c r="B2094" s="78"/>
    </row>
    <row r="2095" spans="1:2" s="24" customFormat="1" x14ac:dyDescent="0.25">
      <c r="A2095" s="78"/>
      <c r="B2095" s="78"/>
    </row>
    <row r="2096" spans="1:2" s="24" customFormat="1" x14ac:dyDescent="0.25">
      <c r="A2096" s="78"/>
      <c r="B2096" s="78"/>
    </row>
    <row r="2097" spans="1:2" s="24" customFormat="1" x14ac:dyDescent="0.25">
      <c r="A2097" s="78"/>
      <c r="B2097" s="78"/>
    </row>
    <row r="2098" spans="1:2" s="24" customFormat="1" x14ac:dyDescent="0.25">
      <c r="A2098" s="78"/>
      <c r="B2098" s="78"/>
    </row>
    <row r="2099" spans="1:2" s="24" customFormat="1" x14ac:dyDescent="0.25">
      <c r="A2099" s="78"/>
      <c r="B2099" s="78"/>
    </row>
    <row r="2100" spans="1:2" s="24" customFormat="1" x14ac:dyDescent="0.25">
      <c r="A2100" s="78"/>
      <c r="B2100" s="78"/>
    </row>
    <row r="2101" spans="1:2" s="24" customFormat="1" x14ac:dyDescent="0.25">
      <c r="A2101" s="78"/>
      <c r="B2101" s="78"/>
    </row>
    <row r="2102" spans="1:2" s="24" customFormat="1" x14ac:dyDescent="0.25">
      <c r="A2102" s="78"/>
      <c r="B2102" s="78"/>
    </row>
    <row r="2103" spans="1:2" s="24" customFormat="1" x14ac:dyDescent="0.25">
      <c r="A2103" s="78"/>
      <c r="B2103" s="78"/>
    </row>
    <row r="2104" spans="1:2" s="24" customFormat="1" x14ac:dyDescent="0.25">
      <c r="A2104" s="78"/>
      <c r="B2104" s="78"/>
    </row>
    <row r="2105" spans="1:2" s="24" customFormat="1" x14ac:dyDescent="0.25">
      <c r="A2105" s="78"/>
      <c r="B2105" s="78"/>
    </row>
    <row r="2106" spans="1:2" s="24" customFormat="1" x14ac:dyDescent="0.25">
      <c r="A2106" s="78"/>
      <c r="B2106" s="78"/>
    </row>
    <row r="2107" spans="1:2" s="24" customFormat="1" x14ac:dyDescent="0.25">
      <c r="A2107" s="78"/>
      <c r="B2107" s="78"/>
    </row>
    <row r="2108" spans="1:2" s="24" customFormat="1" x14ac:dyDescent="0.25">
      <c r="A2108" s="78"/>
      <c r="B2108" s="78"/>
    </row>
    <row r="2109" spans="1:2" s="24" customFormat="1" x14ac:dyDescent="0.25">
      <c r="A2109" s="78"/>
      <c r="B2109" s="78"/>
    </row>
    <row r="2110" spans="1:2" s="24" customFormat="1" x14ac:dyDescent="0.25">
      <c r="A2110" s="78"/>
      <c r="B2110" s="78"/>
    </row>
    <row r="2111" spans="1:2" s="24" customFormat="1" x14ac:dyDescent="0.25">
      <c r="A2111" s="78"/>
      <c r="B2111" s="78"/>
    </row>
    <row r="2112" spans="1:2" s="24" customFormat="1" x14ac:dyDescent="0.25">
      <c r="A2112" s="78"/>
      <c r="B2112" s="78"/>
    </row>
    <row r="2113" spans="1:2" s="24" customFormat="1" x14ac:dyDescent="0.25">
      <c r="A2113" s="78"/>
      <c r="B2113" s="78"/>
    </row>
    <row r="2114" spans="1:2" s="24" customFormat="1" x14ac:dyDescent="0.25">
      <c r="A2114" s="78"/>
      <c r="B2114" s="78"/>
    </row>
    <row r="2115" spans="1:2" s="24" customFormat="1" x14ac:dyDescent="0.25">
      <c r="A2115" s="78"/>
      <c r="B2115" s="78"/>
    </row>
    <row r="2116" spans="1:2" s="24" customFormat="1" x14ac:dyDescent="0.25">
      <c r="A2116" s="78"/>
      <c r="B2116" s="78"/>
    </row>
    <row r="2117" spans="1:2" s="24" customFormat="1" x14ac:dyDescent="0.25">
      <c r="A2117" s="78"/>
      <c r="B2117" s="78"/>
    </row>
    <row r="2118" spans="1:2" s="24" customFormat="1" x14ac:dyDescent="0.25">
      <c r="A2118" s="78"/>
      <c r="B2118" s="78"/>
    </row>
    <row r="2119" spans="1:2" s="24" customFormat="1" x14ac:dyDescent="0.25">
      <c r="A2119" s="78"/>
      <c r="B2119" s="78"/>
    </row>
    <row r="2120" spans="1:2" s="24" customFormat="1" x14ac:dyDescent="0.25">
      <c r="A2120" s="78"/>
      <c r="B2120" s="78"/>
    </row>
    <row r="2121" spans="1:2" s="24" customFormat="1" x14ac:dyDescent="0.25">
      <c r="A2121" s="78"/>
      <c r="B2121" s="78"/>
    </row>
    <row r="2122" spans="1:2" s="24" customFormat="1" x14ac:dyDescent="0.25">
      <c r="A2122" s="78"/>
      <c r="B2122" s="78"/>
    </row>
    <row r="2123" spans="1:2" s="24" customFormat="1" x14ac:dyDescent="0.25">
      <c r="A2123" s="78"/>
      <c r="B2123" s="78"/>
    </row>
    <row r="2124" spans="1:2" s="24" customFormat="1" x14ac:dyDescent="0.25">
      <c r="A2124" s="78"/>
      <c r="B2124" s="78"/>
    </row>
    <row r="2125" spans="1:2" s="24" customFormat="1" x14ac:dyDescent="0.25">
      <c r="A2125" s="78"/>
      <c r="B2125" s="78"/>
    </row>
    <row r="2126" spans="1:2" s="24" customFormat="1" x14ac:dyDescent="0.25">
      <c r="A2126" s="78"/>
      <c r="B2126" s="78"/>
    </row>
    <row r="2127" spans="1:2" s="24" customFormat="1" x14ac:dyDescent="0.25">
      <c r="A2127" s="78"/>
      <c r="B2127" s="78"/>
    </row>
    <row r="2128" spans="1:2" s="24" customFormat="1" x14ac:dyDescent="0.25">
      <c r="A2128" s="78"/>
      <c r="B2128" s="78"/>
    </row>
    <row r="2129" spans="1:2" s="24" customFormat="1" x14ac:dyDescent="0.25">
      <c r="A2129" s="78"/>
      <c r="B2129" s="78"/>
    </row>
    <row r="2130" spans="1:2" s="24" customFormat="1" x14ac:dyDescent="0.25">
      <c r="A2130" s="78"/>
      <c r="B2130" s="78"/>
    </row>
    <row r="2131" spans="1:2" s="24" customFormat="1" x14ac:dyDescent="0.25">
      <c r="A2131" s="78"/>
      <c r="B2131" s="78"/>
    </row>
    <row r="2132" spans="1:2" s="24" customFormat="1" x14ac:dyDescent="0.25">
      <c r="A2132" s="78"/>
      <c r="B2132" s="78"/>
    </row>
    <row r="2133" spans="1:2" s="24" customFormat="1" x14ac:dyDescent="0.25">
      <c r="A2133" s="78"/>
      <c r="B2133" s="78"/>
    </row>
    <row r="2134" spans="1:2" s="24" customFormat="1" x14ac:dyDescent="0.25">
      <c r="A2134" s="78"/>
      <c r="B2134" s="78"/>
    </row>
    <row r="2135" spans="1:2" s="24" customFormat="1" x14ac:dyDescent="0.25">
      <c r="A2135" s="78"/>
      <c r="B2135" s="78"/>
    </row>
    <row r="2136" spans="1:2" s="24" customFormat="1" x14ac:dyDescent="0.25">
      <c r="A2136" s="78"/>
      <c r="B2136" s="78"/>
    </row>
    <row r="2137" spans="1:2" s="24" customFormat="1" x14ac:dyDescent="0.25">
      <c r="A2137" s="78"/>
      <c r="B2137" s="78"/>
    </row>
    <row r="2138" spans="1:2" s="24" customFormat="1" x14ac:dyDescent="0.25">
      <c r="A2138" s="78"/>
      <c r="B2138" s="78"/>
    </row>
    <row r="2139" spans="1:2" s="24" customFormat="1" x14ac:dyDescent="0.25">
      <c r="A2139" s="78"/>
      <c r="B2139" s="78"/>
    </row>
    <row r="2140" spans="1:2" s="24" customFormat="1" x14ac:dyDescent="0.25">
      <c r="A2140" s="78"/>
      <c r="B2140" s="78"/>
    </row>
    <row r="2141" spans="1:2" s="24" customFormat="1" x14ac:dyDescent="0.25">
      <c r="A2141" s="78"/>
      <c r="B2141" s="78"/>
    </row>
    <row r="2142" spans="1:2" s="24" customFormat="1" x14ac:dyDescent="0.25">
      <c r="A2142" s="78"/>
      <c r="B2142" s="78"/>
    </row>
    <row r="2143" spans="1:2" s="24" customFormat="1" x14ac:dyDescent="0.25">
      <c r="A2143" s="78"/>
      <c r="B2143" s="78"/>
    </row>
    <row r="2144" spans="1:2" s="24" customFormat="1" x14ac:dyDescent="0.25">
      <c r="A2144" s="78"/>
      <c r="B2144" s="78"/>
    </row>
    <row r="2145" spans="1:2" s="24" customFormat="1" x14ac:dyDescent="0.25">
      <c r="A2145" s="78"/>
      <c r="B2145" s="78"/>
    </row>
    <row r="2146" spans="1:2" s="24" customFormat="1" x14ac:dyDescent="0.25">
      <c r="A2146" s="78"/>
      <c r="B2146" s="78"/>
    </row>
    <row r="2147" spans="1:2" s="24" customFormat="1" x14ac:dyDescent="0.25">
      <c r="A2147" s="78"/>
      <c r="B2147" s="78"/>
    </row>
    <row r="2148" spans="1:2" s="24" customFormat="1" x14ac:dyDescent="0.25">
      <c r="A2148" s="78"/>
      <c r="B2148" s="78"/>
    </row>
    <row r="2149" spans="1:2" s="24" customFormat="1" x14ac:dyDescent="0.25">
      <c r="A2149" s="78"/>
      <c r="B2149" s="78"/>
    </row>
    <row r="2150" spans="1:2" s="24" customFormat="1" x14ac:dyDescent="0.25">
      <c r="A2150" s="78"/>
      <c r="B2150" s="78"/>
    </row>
    <row r="2151" spans="1:2" s="24" customFormat="1" x14ac:dyDescent="0.25">
      <c r="A2151" s="78"/>
      <c r="B2151" s="78"/>
    </row>
    <row r="2152" spans="1:2" s="24" customFormat="1" x14ac:dyDescent="0.25">
      <c r="A2152" s="78"/>
      <c r="B2152" s="78"/>
    </row>
    <row r="2153" spans="1:2" s="24" customFormat="1" x14ac:dyDescent="0.25">
      <c r="A2153" s="78"/>
      <c r="B2153" s="78"/>
    </row>
    <row r="2154" spans="1:2" s="24" customFormat="1" x14ac:dyDescent="0.25">
      <c r="A2154" s="78"/>
      <c r="B2154" s="78"/>
    </row>
    <row r="2155" spans="1:2" s="24" customFormat="1" x14ac:dyDescent="0.25">
      <c r="A2155" s="78"/>
      <c r="B2155" s="78"/>
    </row>
    <row r="2156" spans="1:2" s="24" customFormat="1" x14ac:dyDescent="0.25">
      <c r="A2156" s="78"/>
      <c r="B2156" s="78"/>
    </row>
    <row r="2157" spans="1:2" s="24" customFormat="1" x14ac:dyDescent="0.25">
      <c r="A2157" s="78"/>
      <c r="B2157" s="78"/>
    </row>
    <row r="2158" spans="1:2" s="24" customFormat="1" x14ac:dyDescent="0.25">
      <c r="A2158" s="78"/>
      <c r="B2158" s="78"/>
    </row>
    <row r="2159" spans="1:2" s="24" customFormat="1" x14ac:dyDescent="0.25">
      <c r="A2159" s="78"/>
      <c r="B2159" s="78"/>
    </row>
    <row r="2160" spans="1:2" s="24" customFormat="1" x14ac:dyDescent="0.25">
      <c r="A2160" s="78"/>
      <c r="B2160" s="78"/>
    </row>
    <row r="2161" spans="1:2" s="24" customFormat="1" x14ac:dyDescent="0.25">
      <c r="A2161" s="78"/>
      <c r="B2161" s="78"/>
    </row>
    <row r="2162" spans="1:2" s="24" customFormat="1" x14ac:dyDescent="0.25">
      <c r="A2162" s="78"/>
      <c r="B2162" s="78"/>
    </row>
    <row r="2163" spans="1:2" s="24" customFormat="1" x14ac:dyDescent="0.25">
      <c r="A2163" s="78"/>
      <c r="B2163" s="78"/>
    </row>
    <row r="2164" spans="1:2" s="24" customFormat="1" x14ac:dyDescent="0.25">
      <c r="A2164" s="78"/>
      <c r="B2164" s="78"/>
    </row>
    <row r="2165" spans="1:2" s="24" customFormat="1" x14ac:dyDescent="0.25">
      <c r="A2165" s="78"/>
      <c r="B2165" s="78"/>
    </row>
    <row r="2166" spans="1:2" s="24" customFormat="1" x14ac:dyDescent="0.25">
      <c r="A2166" s="78"/>
      <c r="B2166" s="78"/>
    </row>
    <row r="2167" spans="1:2" s="24" customFormat="1" x14ac:dyDescent="0.25">
      <c r="A2167" s="78"/>
      <c r="B2167" s="78"/>
    </row>
    <row r="2168" spans="1:2" s="24" customFormat="1" x14ac:dyDescent="0.25">
      <c r="A2168" s="78"/>
      <c r="B2168" s="78"/>
    </row>
    <row r="2169" spans="1:2" s="24" customFormat="1" x14ac:dyDescent="0.25">
      <c r="A2169" s="78"/>
      <c r="B2169" s="78"/>
    </row>
    <row r="2170" spans="1:2" s="24" customFormat="1" x14ac:dyDescent="0.25">
      <c r="A2170" s="78"/>
      <c r="B2170" s="78"/>
    </row>
    <row r="2171" spans="1:2" s="24" customFormat="1" x14ac:dyDescent="0.25">
      <c r="A2171" s="78"/>
      <c r="B2171" s="78"/>
    </row>
    <row r="2172" spans="1:2" s="24" customFormat="1" x14ac:dyDescent="0.25">
      <c r="A2172" s="78"/>
      <c r="B2172" s="78"/>
    </row>
    <row r="2173" spans="1:2" s="24" customFormat="1" x14ac:dyDescent="0.25">
      <c r="A2173" s="78"/>
      <c r="B2173" s="78"/>
    </row>
    <row r="2174" spans="1:2" s="24" customFormat="1" x14ac:dyDescent="0.25">
      <c r="A2174" s="78"/>
      <c r="B2174" s="78"/>
    </row>
    <row r="2175" spans="1:2" s="24" customFormat="1" x14ac:dyDescent="0.25">
      <c r="A2175" s="78"/>
      <c r="B2175" s="78"/>
    </row>
    <row r="2176" spans="1:2" s="24" customFormat="1" x14ac:dyDescent="0.25">
      <c r="A2176" s="78"/>
      <c r="B2176" s="78"/>
    </row>
    <row r="2177" spans="1:2" s="24" customFormat="1" x14ac:dyDescent="0.25">
      <c r="A2177" s="78"/>
      <c r="B2177" s="78"/>
    </row>
    <row r="2178" spans="1:2" s="24" customFormat="1" x14ac:dyDescent="0.25">
      <c r="A2178" s="78"/>
      <c r="B2178" s="78"/>
    </row>
    <row r="2179" spans="1:2" s="24" customFormat="1" x14ac:dyDescent="0.25">
      <c r="A2179" s="78"/>
      <c r="B2179" s="78"/>
    </row>
    <row r="2180" spans="1:2" s="24" customFormat="1" x14ac:dyDescent="0.25">
      <c r="A2180" s="78"/>
      <c r="B2180" s="78"/>
    </row>
    <row r="2181" spans="1:2" s="24" customFormat="1" x14ac:dyDescent="0.25">
      <c r="A2181" s="78"/>
      <c r="B2181" s="78"/>
    </row>
    <row r="2182" spans="1:2" s="24" customFormat="1" x14ac:dyDescent="0.25">
      <c r="A2182" s="78"/>
      <c r="B2182" s="78"/>
    </row>
    <row r="2183" spans="1:2" s="24" customFormat="1" x14ac:dyDescent="0.25">
      <c r="A2183" s="78"/>
      <c r="B2183" s="78"/>
    </row>
    <row r="2184" spans="1:2" s="24" customFormat="1" x14ac:dyDescent="0.25">
      <c r="A2184" s="78"/>
      <c r="B2184" s="78"/>
    </row>
    <row r="2185" spans="1:2" s="24" customFormat="1" x14ac:dyDescent="0.25">
      <c r="A2185" s="78"/>
      <c r="B2185" s="78"/>
    </row>
    <row r="2186" spans="1:2" s="24" customFormat="1" x14ac:dyDescent="0.25">
      <c r="A2186" s="78"/>
      <c r="B2186" s="78"/>
    </row>
    <row r="2187" spans="1:2" s="24" customFormat="1" x14ac:dyDescent="0.25">
      <c r="A2187" s="78"/>
      <c r="B2187" s="78"/>
    </row>
    <row r="2188" spans="1:2" s="24" customFormat="1" x14ac:dyDescent="0.25">
      <c r="A2188" s="78"/>
      <c r="B2188" s="78"/>
    </row>
    <row r="2189" spans="1:2" s="24" customFormat="1" x14ac:dyDescent="0.25">
      <c r="A2189" s="78"/>
      <c r="B2189" s="78"/>
    </row>
    <row r="2190" spans="1:2" s="24" customFormat="1" x14ac:dyDescent="0.25">
      <c r="A2190" s="78"/>
      <c r="B2190" s="78"/>
    </row>
    <row r="2191" spans="1:2" s="24" customFormat="1" x14ac:dyDescent="0.25">
      <c r="A2191" s="78"/>
      <c r="B2191" s="78"/>
    </row>
    <row r="2192" spans="1:2" s="24" customFormat="1" x14ac:dyDescent="0.25">
      <c r="A2192" s="78"/>
      <c r="B2192" s="78"/>
    </row>
    <row r="2193" spans="1:2" s="24" customFormat="1" x14ac:dyDescent="0.25">
      <c r="A2193" s="78"/>
      <c r="B2193" s="78"/>
    </row>
    <row r="2194" spans="1:2" s="24" customFormat="1" x14ac:dyDescent="0.25">
      <c r="A2194" s="78"/>
      <c r="B2194" s="78"/>
    </row>
    <row r="2195" spans="1:2" s="24" customFormat="1" x14ac:dyDescent="0.25">
      <c r="A2195" s="78"/>
      <c r="B2195" s="78"/>
    </row>
    <row r="2196" spans="1:2" s="24" customFormat="1" x14ac:dyDescent="0.25">
      <c r="A2196" s="78"/>
      <c r="B2196" s="78"/>
    </row>
    <row r="2197" spans="1:2" s="24" customFormat="1" x14ac:dyDescent="0.25">
      <c r="A2197" s="78"/>
      <c r="B2197" s="78"/>
    </row>
    <row r="2198" spans="1:2" s="24" customFormat="1" x14ac:dyDescent="0.25">
      <c r="A2198" s="78"/>
      <c r="B2198" s="78"/>
    </row>
    <row r="2199" spans="1:2" s="24" customFormat="1" x14ac:dyDescent="0.25">
      <c r="A2199" s="78"/>
      <c r="B2199" s="78"/>
    </row>
    <row r="2200" spans="1:2" s="24" customFormat="1" x14ac:dyDescent="0.25">
      <c r="A2200" s="78"/>
      <c r="B2200" s="7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33AE-6ACC-4212-975A-054602DB3BBB}">
  <sheetPr codeName="Sheet5"/>
  <dimension ref="A1:AA1314"/>
  <sheetViews>
    <sheetView workbookViewId="0">
      <selection activeCell="A9" sqref="A9"/>
    </sheetView>
  </sheetViews>
  <sheetFormatPr defaultRowHeight="15" x14ac:dyDescent="0.25"/>
  <cols>
    <col min="2" max="2" width="11.5703125" style="14" customWidth="1"/>
    <col min="3" max="4" width="10.140625" style="14" customWidth="1"/>
    <col min="7" max="10" width="9.140625" style="50"/>
    <col min="12" max="12" width="9.140625" style="56"/>
    <col min="13" max="15" width="9.140625" style="55"/>
    <col min="17" max="20" width="9.140625" style="53"/>
    <col min="21" max="27" width="9.140625" style="16"/>
  </cols>
  <sheetData>
    <row r="1" spans="1:20" ht="30" x14ac:dyDescent="0.25">
      <c r="B1" s="49" t="s">
        <v>32</v>
      </c>
      <c r="C1" s="49" t="s">
        <v>33</v>
      </c>
      <c r="D1" s="49" t="s">
        <v>34</v>
      </c>
      <c r="G1" s="59" t="s">
        <v>43</v>
      </c>
      <c r="H1" s="60" t="s">
        <v>40</v>
      </c>
      <c r="I1" s="60" t="s">
        <v>41</v>
      </c>
      <c r="J1" s="60" t="s">
        <v>42</v>
      </c>
      <c r="K1" s="11"/>
      <c r="L1" s="61" t="s">
        <v>39</v>
      </c>
      <c r="M1" s="62" t="s">
        <v>40</v>
      </c>
      <c r="N1" s="62" t="s">
        <v>41</v>
      </c>
      <c r="O1" s="62" t="s">
        <v>42</v>
      </c>
      <c r="P1" s="11"/>
      <c r="Q1" s="63" t="s">
        <v>39</v>
      </c>
      <c r="R1" s="64" t="s">
        <v>40</v>
      </c>
      <c r="S1" s="64" t="s">
        <v>41</v>
      </c>
      <c r="T1" s="64" t="s">
        <v>42</v>
      </c>
    </row>
    <row r="2" spans="1:20" x14ac:dyDescent="0.25">
      <c r="A2" s="65" t="s">
        <v>45</v>
      </c>
      <c r="B2" s="66">
        <f>SUM(SCAN!D:D)</f>
        <v>0</v>
      </c>
      <c r="C2" s="66">
        <f>SUM(SCAN!E:E)</f>
        <v>0</v>
      </c>
      <c r="D2" s="66">
        <f>SUM(SCAN!F:F)</f>
        <v>0</v>
      </c>
      <c r="H2" s="50">
        <f>IF(AND(SCAN!K2="-",SCAN!Q2="-"),SCAN!D2,0)</f>
        <v>0</v>
      </c>
      <c r="I2" s="50">
        <f>IF(AND(SCAN!K2="-",SCAN!Q2="-"),SCAN!E2,0)</f>
        <v>0</v>
      </c>
      <c r="J2" s="50">
        <f>IF(AND(SCAN!K2="-",SCAN!Q2="-"),SCAN!F2,0)</f>
        <v>0</v>
      </c>
      <c r="L2" s="56" t="str">
        <f>'Group List A'!D2</f>
        <v>EGx101</v>
      </c>
      <c r="M2" s="55">
        <f>IF(SCAN!K2&lt;&gt;"-",SCAN!D2,0)</f>
        <v>0</v>
      </c>
      <c r="N2" s="55">
        <f>IF(SCAN!K2&lt;&gt;"-",SCAN!E2,0)</f>
        <v>0</v>
      </c>
      <c r="O2" s="55">
        <f>IF(SCAN!K2&lt;&gt;"-",SCAN!F2,0)</f>
        <v>0</v>
      </c>
      <c r="Q2" s="53" t="str">
        <f>'Group List B'!D2</f>
        <v>EGB210</v>
      </c>
      <c r="R2" s="53">
        <f>IF(SCAN!Q2&lt;&gt;"-",SCAN!D2,0)</f>
        <v>0</v>
      </c>
      <c r="S2" s="53">
        <f>IF(SCAN!Q2&lt;&gt;"-",SCAN!E2,0)</f>
        <v>0</v>
      </c>
      <c r="T2" s="53">
        <f>IF(SCAN!Q2&lt;&gt;"-",SCAN!F2,0)</f>
        <v>0</v>
      </c>
    </row>
    <row r="3" spans="1:20" x14ac:dyDescent="0.25">
      <c r="A3" s="50" t="str">
        <f>G1</f>
        <v>NO unit</v>
      </c>
      <c r="B3" s="39">
        <f>SUM(H:H)</f>
        <v>0</v>
      </c>
      <c r="C3" s="39">
        <f>SUM(I:I)</f>
        <v>0</v>
      </c>
      <c r="D3" s="39">
        <f>SUM(J:J)</f>
        <v>0</v>
      </c>
      <c r="H3" s="50">
        <f>IF(AND(SCAN!K3="-",SCAN!Q3="-"),SCAN!D3,0)</f>
        <v>0</v>
      </c>
      <c r="I3" s="50">
        <f>IF(AND(SCAN!K3="-",SCAN!Q3="-"),SCAN!E3,0)</f>
        <v>0</v>
      </c>
      <c r="J3" s="50">
        <f>IF(AND(SCAN!K3="-",SCAN!Q3="-"),SCAN!F3,0)</f>
        <v>0</v>
      </c>
      <c r="M3" s="55">
        <f>IF(SCAN!K3&lt;&gt;"-",SCAN!D3,0)</f>
        <v>0</v>
      </c>
      <c r="N3" s="55">
        <f>IF(SCAN!K3&lt;&gt;"-",SCAN!E3,0)</f>
        <v>0</v>
      </c>
      <c r="O3" s="55">
        <f>IF(SCAN!K3&lt;&gt;"-",SCAN!F3,0)</f>
        <v>0</v>
      </c>
      <c r="R3" s="53">
        <f>IF(SCAN!Q3&lt;&gt;"-",SCAN!D3,0)</f>
        <v>0</v>
      </c>
      <c r="S3" s="53">
        <f>IF(SCAN!Q3&lt;&gt;"-",SCAN!E3,0)</f>
        <v>0</v>
      </c>
      <c r="T3" s="53">
        <f>IF(SCAN!Q3&lt;&gt;"-",SCAN!F3,0)</f>
        <v>0</v>
      </c>
    </row>
    <row r="4" spans="1:20" x14ac:dyDescent="0.25">
      <c r="A4" s="55" t="str">
        <f>L2</f>
        <v>EGx101</v>
      </c>
      <c r="B4" s="56">
        <f>SUM(M:M)</f>
        <v>0</v>
      </c>
      <c r="C4" s="56">
        <f>SUM(N:N)</f>
        <v>0</v>
      </c>
      <c r="D4" s="56">
        <f>SUM(O:O)</f>
        <v>0</v>
      </c>
      <c r="H4" s="50">
        <f>IF(AND(SCAN!K4="-",SCAN!Q4="-"),SCAN!D4,0)</f>
        <v>0</v>
      </c>
      <c r="I4" s="50">
        <f>IF(AND(SCAN!K4="-",SCAN!Q4="-"),SCAN!E4,0)</f>
        <v>0</v>
      </c>
      <c r="J4" s="50">
        <f>IF(AND(SCAN!K4="-",SCAN!Q4="-"),SCAN!F4,0)</f>
        <v>0</v>
      </c>
      <c r="M4" s="55">
        <f>IF(SCAN!K4&lt;&gt;"-",SCAN!D4,0)</f>
        <v>0</v>
      </c>
      <c r="N4" s="55">
        <f>IF(SCAN!K4&lt;&gt;"-",SCAN!E4,0)</f>
        <v>0</v>
      </c>
      <c r="O4" s="55">
        <f>IF(SCAN!K4&lt;&gt;"-",SCAN!F4,0)</f>
        <v>0</v>
      </c>
      <c r="R4" s="53">
        <f>IF(SCAN!Q4&lt;&gt;"-",SCAN!D4,0)</f>
        <v>0</v>
      </c>
      <c r="S4" s="53">
        <f>IF(SCAN!Q4&lt;&gt;"-",SCAN!E4,0)</f>
        <v>0</v>
      </c>
      <c r="T4" s="53">
        <f>IF(SCAN!Q4&lt;&gt;"-",SCAN!F4,0)</f>
        <v>0</v>
      </c>
    </row>
    <row r="5" spans="1:20" x14ac:dyDescent="0.25">
      <c r="A5" s="53" t="str">
        <f>Q2</f>
        <v>EGB210</v>
      </c>
      <c r="B5" s="52">
        <f>SUM(R:R)</f>
        <v>0</v>
      </c>
      <c r="C5" s="52">
        <f>SUM(S:S)</f>
        <v>0</v>
      </c>
      <c r="D5" s="52">
        <f>SUM(T:T)</f>
        <v>0</v>
      </c>
      <c r="H5" s="50">
        <f>IF(AND(SCAN!K5="-",SCAN!Q5="-"),SCAN!D5,0)</f>
        <v>0</v>
      </c>
      <c r="I5" s="50">
        <f>IF(AND(SCAN!K5="-",SCAN!Q5="-"),SCAN!E5,0)</f>
        <v>0</v>
      </c>
      <c r="J5" s="50">
        <f>IF(AND(SCAN!K5="-",SCAN!Q5="-"),SCAN!F5,0)</f>
        <v>0</v>
      </c>
      <c r="M5" s="55">
        <f>IF(SCAN!K5&lt;&gt;"-",SCAN!D5,0)</f>
        <v>0</v>
      </c>
      <c r="N5" s="55">
        <f>IF(SCAN!K5&lt;&gt;"-",SCAN!E5,0)</f>
        <v>0</v>
      </c>
      <c r="O5" s="55">
        <f>IF(SCAN!K5&lt;&gt;"-",SCAN!F5,0)</f>
        <v>0</v>
      </c>
      <c r="R5" s="53">
        <f>IF(SCAN!Q5&lt;&gt;"-",SCAN!D5,0)</f>
        <v>0</v>
      </c>
      <c r="S5" s="53">
        <f>IF(SCAN!Q5&lt;&gt;"-",SCAN!E5,0)</f>
        <v>0</v>
      </c>
      <c r="T5" s="53">
        <f>IF(SCAN!Q5&lt;&gt;"-",SCAN!F5,0)</f>
        <v>0</v>
      </c>
    </row>
    <row r="6" spans="1:20" x14ac:dyDescent="0.25">
      <c r="H6" s="50">
        <f>IF(AND(SCAN!K6="-",SCAN!Q6="-"),SCAN!D6,0)</f>
        <v>0</v>
      </c>
      <c r="I6" s="50">
        <f>IF(AND(SCAN!K6="-",SCAN!Q6="-"),SCAN!E6,0)</f>
        <v>0</v>
      </c>
      <c r="J6" s="50">
        <f>IF(AND(SCAN!K6="-",SCAN!Q6="-"),SCAN!F6,0)</f>
        <v>0</v>
      </c>
      <c r="M6" s="55">
        <f>IF(SCAN!K6&lt;&gt;"-",SCAN!D6,0)</f>
        <v>0</v>
      </c>
      <c r="N6" s="55">
        <f>IF(SCAN!K6&lt;&gt;"-",SCAN!E6,0)</f>
        <v>0</v>
      </c>
      <c r="O6" s="55">
        <f>IF(SCAN!K6&lt;&gt;"-",SCAN!F6,0)</f>
        <v>0</v>
      </c>
      <c r="R6" s="53">
        <f>IF(SCAN!Q6&lt;&gt;"-",SCAN!D6,0)</f>
        <v>0</v>
      </c>
      <c r="S6" s="53">
        <f>IF(SCAN!Q6&lt;&gt;"-",SCAN!E6,0)</f>
        <v>0</v>
      </c>
      <c r="T6" s="53">
        <f>IF(SCAN!Q6&lt;&gt;"-",SCAN!F6,0)</f>
        <v>0</v>
      </c>
    </row>
    <row r="7" spans="1:20" x14ac:dyDescent="0.25">
      <c r="H7" s="50">
        <f>IF(AND(SCAN!K7="-",SCAN!Q7="-"),SCAN!D7,0)</f>
        <v>0</v>
      </c>
      <c r="I7" s="50">
        <f>IF(AND(SCAN!K7="-",SCAN!Q7="-"),SCAN!E7,0)</f>
        <v>0</v>
      </c>
      <c r="J7" s="50">
        <f>IF(AND(SCAN!K7="-",SCAN!Q7="-"),SCAN!F7,0)</f>
        <v>0</v>
      </c>
      <c r="M7" s="55">
        <f>IF(SCAN!K7&lt;&gt;"-",SCAN!D7,0)</f>
        <v>0</v>
      </c>
      <c r="N7" s="55">
        <f>IF(SCAN!K7&lt;&gt;"-",SCAN!E7,0)</f>
        <v>0</v>
      </c>
      <c r="O7" s="55">
        <f>IF(SCAN!K7&lt;&gt;"-",SCAN!F7,0)</f>
        <v>0</v>
      </c>
      <c r="R7" s="53">
        <f>IF(SCAN!Q7&lt;&gt;"-",SCAN!D7,0)</f>
        <v>0</v>
      </c>
      <c r="S7" s="53">
        <f>IF(SCAN!Q7&lt;&gt;"-",SCAN!E7,0)</f>
        <v>0</v>
      </c>
      <c r="T7" s="53">
        <f>IF(SCAN!Q7&lt;&gt;"-",SCAN!F7,0)</f>
        <v>0</v>
      </c>
    </row>
    <row r="8" spans="1:20" x14ac:dyDescent="0.25">
      <c r="A8" t="s">
        <v>44</v>
      </c>
      <c r="B8" s="14">
        <f>SUM(B3:B5)</f>
        <v>0</v>
      </c>
      <c r="C8" s="14">
        <f>SUM(C3:C5)</f>
        <v>0</v>
      </c>
      <c r="D8" s="14">
        <f>SUM(D3:D5)</f>
        <v>0</v>
      </c>
      <c r="H8" s="50">
        <f>IF(AND(SCAN!K8="-",SCAN!Q8="-"),SCAN!D8,0)</f>
        <v>0</v>
      </c>
      <c r="I8" s="50">
        <f>IF(AND(SCAN!K8="-",SCAN!Q8="-"),SCAN!E8,0)</f>
        <v>0</v>
      </c>
      <c r="J8" s="50">
        <f>IF(AND(SCAN!K8="-",SCAN!Q8="-"),SCAN!F8,0)</f>
        <v>0</v>
      </c>
      <c r="M8" s="55">
        <f>IF(SCAN!K8&lt;&gt;"-",SCAN!D8,0)</f>
        <v>0</v>
      </c>
      <c r="N8" s="55">
        <f>IF(SCAN!K8&lt;&gt;"-",SCAN!E8,0)</f>
        <v>0</v>
      </c>
      <c r="O8" s="55">
        <f>IF(SCAN!K8&lt;&gt;"-",SCAN!F8,0)</f>
        <v>0</v>
      </c>
      <c r="R8" s="53">
        <f>IF(SCAN!Q8&lt;&gt;"-",SCAN!D8,0)</f>
        <v>0</v>
      </c>
      <c r="S8" s="53">
        <f>IF(SCAN!Q8&lt;&gt;"-",SCAN!E8,0)</f>
        <v>0</v>
      </c>
      <c r="T8" s="53">
        <f>IF(SCAN!Q8&lt;&gt;"-",SCAN!F8,0)</f>
        <v>0</v>
      </c>
    </row>
    <row r="9" spans="1:20" x14ac:dyDescent="0.25">
      <c r="H9" s="50">
        <f>IF(AND(SCAN!K9="-",SCAN!Q9="-"),SCAN!D9,0)</f>
        <v>0</v>
      </c>
      <c r="I9" s="50">
        <f>IF(AND(SCAN!K9="-",SCAN!Q9="-"),SCAN!E9,0)</f>
        <v>0</v>
      </c>
      <c r="J9" s="50">
        <f>IF(AND(SCAN!K9="-",SCAN!Q9="-"),SCAN!F9,0)</f>
        <v>0</v>
      </c>
      <c r="M9" s="55">
        <f>IF(SCAN!K9&lt;&gt;"-",SCAN!D9,0)</f>
        <v>0</v>
      </c>
      <c r="N9" s="55">
        <f>IF(SCAN!K9&lt;&gt;"-",SCAN!E9,0)</f>
        <v>0</v>
      </c>
      <c r="O9" s="55">
        <f>IF(SCAN!K9&lt;&gt;"-",SCAN!F9,0)</f>
        <v>0</v>
      </c>
      <c r="R9" s="53">
        <f>IF(SCAN!Q9&lt;&gt;"-",SCAN!D9,0)</f>
        <v>0</v>
      </c>
      <c r="S9" s="53">
        <f>IF(SCAN!Q9&lt;&gt;"-",SCAN!E9,0)</f>
        <v>0</v>
      </c>
      <c r="T9" s="53">
        <f>IF(SCAN!Q9&lt;&gt;"-",SCAN!F9,0)</f>
        <v>0</v>
      </c>
    </row>
    <row r="10" spans="1:20" x14ac:dyDescent="0.25">
      <c r="H10" s="50">
        <f>IF(AND(SCAN!K10="-",SCAN!Q10="-"),SCAN!D10,0)</f>
        <v>0</v>
      </c>
      <c r="I10" s="50">
        <f>IF(AND(SCAN!K10="-",SCAN!Q10="-"),SCAN!E10,0)</f>
        <v>0</v>
      </c>
      <c r="J10" s="50">
        <f>IF(AND(SCAN!K10="-",SCAN!Q10="-"),SCAN!F10,0)</f>
        <v>0</v>
      </c>
      <c r="M10" s="55">
        <f>IF(SCAN!K10&lt;&gt;"-",SCAN!D10,0)</f>
        <v>0</v>
      </c>
      <c r="N10" s="55">
        <f>IF(SCAN!K10&lt;&gt;"-",SCAN!E10,0)</f>
        <v>0</v>
      </c>
      <c r="O10" s="55">
        <f>IF(SCAN!K10&lt;&gt;"-",SCAN!F10,0)</f>
        <v>0</v>
      </c>
      <c r="R10" s="53">
        <f>IF(SCAN!Q10&lt;&gt;"-",SCAN!D10,0)</f>
        <v>0</v>
      </c>
      <c r="S10" s="53">
        <f>IF(SCAN!Q10&lt;&gt;"-",SCAN!E10,0)</f>
        <v>0</v>
      </c>
      <c r="T10" s="53">
        <f>IF(SCAN!Q10&lt;&gt;"-",SCAN!F10,0)</f>
        <v>0</v>
      </c>
    </row>
    <row r="11" spans="1:20" x14ac:dyDescent="0.25">
      <c r="H11" s="50">
        <f>IF(AND(SCAN!K11="-",SCAN!Q11="-"),SCAN!D11,0)</f>
        <v>0</v>
      </c>
      <c r="I11" s="50">
        <f>IF(AND(SCAN!K11="-",SCAN!Q11="-"),SCAN!E11,0)</f>
        <v>0</v>
      </c>
      <c r="J11" s="50">
        <f>IF(AND(SCAN!K11="-",SCAN!Q11="-"),SCAN!F11,0)</f>
        <v>0</v>
      </c>
      <c r="M11" s="55">
        <f>IF(SCAN!K11&lt;&gt;"-",SCAN!D11,0)</f>
        <v>0</v>
      </c>
      <c r="N11" s="55">
        <f>IF(SCAN!K11&lt;&gt;"-",SCAN!E11,0)</f>
        <v>0</v>
      </c>
      <c r="O11" s="55">
        <f>IF(SCAN!K11&lt;&gt;"-",SCAN!F11,0)</f>
        <v>0</v>
      </c>
      <c r="R11" s="53">
        <f>IF(SCAN!Q11&lt;&gt;"-",SCAN!D11,0)</f>
        <v>0</v>
      </c>
      <c r="S11" s="53">
        <f>IF(SCAN!Q11&lt;&gt;"-",SCAN!E11,0)</f>
        <v>0</v>
      </c>
      <c r="T11" s="53">
        <f>IF(SCAN!Q11&lt;&gt;"-",SCAN!F11,0)</f>
        <v>0</v>
      </c>
    </row>
    <row r="12" spans="1:20" x14ac:dyDescent="0.25">
      <c r="H12" s="50">
        <f>IF(AND(SCAN!K12="-",SCAN!Q12="-"),SCAN!D12,0)</f>
        <v>0</v>
      </c>
      <c r="I12" s="50">
        <f>IF(AND(SCAN!K12="-",SCAN!Q12="-"),SCAN!E12,0)</f>
        <v>0</v>
      </c>
      <c r="J12" s="50">
        <f>IF(AND(SCAN!K12="-",SCAN!Q12="-"),SCAN!F12,0)</f>
        <v>0</v>
      </c>
      <c r="M12" s="55">
        <f>IF(SCAN!K12&lt;&gt;"-",SCAN!D12,0)</f>
        <v>0</v>
      </c>
      <c r="N12" s="55">
        <f>IF(SCAN!K12&lt;&gt;"-",SCAN!E12,0)</f>
        <v>0</v>
      </c>
      <c r="O12" s="55">
        <f>IF(SCAN!K12&lt;&gt;"-",SCAN!F12,0)</f>
        <v>0</v>
      </c>
      <c r="R12" s="53">
        <f>IF(SCAN!Q12&lt;&gt;"-",SCAN!D12,0)</f>
        <v>0</v>
      </c>
      <c r="S12" s="53">
        <f>IF(SCAN!Q12&lt;&gt;"-",SCAN!E12,0)</f>
        <v>0</v>
      </c>
      <c r="T12" s="53">
        <f>IF(SCAN!Q12&lt;&gt;"-",SCAN!F12,0)</f>
        <v>0</v>
      </c>
    </row>
    <row r="13" spans="1:20" x14ac:dyDescent="0.25">
      <c r="H13" s="50">
        <f>IF(AND(SCAN!K13="-",SCAN!Q13="-"),SCAN!D13,0)</f>
        <v>0</v>
      </c>
      <c r="I13" s="50">
        <f>IF(AND(SCAN!K13="-",SCAN!Q13="-"),SCAN!E13,0)</f>
        <v>0</v>
      </c>
      <c r="J13" s="50">
        <f>IF(AND(SCAN!K13="-",SCAN!Q13="-"),SCAN!F13,0)</f>
        <v>0</v>
      </c>
      <c r="M13" s="55">
        <f>IF(SCAN!K13&lt;&gt;"-",SCAN!D13,0)</f>
        <v>0</v>
      </c>
      <c r="N13" s="55">
        <f>IF(SCAN!K13&lt;&gt;"-",SCAN!E13,0)</f>
        <v>0</v>
      </c>
      <c r="O13" s="55">
        <f>IF(SCAN!K13&lt;&gt;"-",SCAN!F13,0)</f>
        <v>0</v>
      </c>
      <c r="R13" s="53">
        <f>IF(SCAN!Q13&lt;&gt;"-",SCAN!D13,0)</f>
        <v>0</v>
      </c>
      <c r="S13" s="53">
        <f>IF(SCAN!Q13&lt;&gt;"-",SCAN!E13,0)</f>
        <v>0</v>
      </c>
      <c r="T13" s="53">
        <f>IF(SCAN!Q13&lt;&gt;"-",SCAN!F13,0)</f>
        <v>0</v>
      </c>
    </row>
    <row r="14" spans="1:20" x14ac:dyDescent="0.25">
      <c r="H14" s="50">
        <f>IF(AND(SCAN!K14="-",SCAN!Q14="-"),SCAN!D14,0)</f>
        <v>0</v>
      </c>
      <c r="I14" s="50">
        <f>IF(AND(SCAN!K14="-",SCAN!Q14="-"),SCAN!E14,0)</f>
        <v>0</v>
      </c>
      <c r="J14" s="50">
        <f>IF(AND(SCAN!K14="-",SCAN!Q14="-"),SCAN!F14,0)</f>
        <v>0</v>
      </c>
      <c r="M14" s="55">
        <f>IF(SCAN!K14&lt;&gt;"-",SCAN!D14,0)</f>
        <v>0</v>
      </c>
      <c r="N14" s="55">
        <f>IF(SCAN!K14&lt;&gt;"-",SCAN!E14,0)</f>
        <v>0</v>
      </c>
      <c r="O14" s="55">
        <f>IF(SCAN!K14&lt;&gt;"-",SCAN!F14,0)</f>
        <v>0</v>
      </c>
      <c r="R14" s="53">
        <f>IF(SCAN!Q14&lt;&gt;"-",SCAN!D14,0)</f>
        <v>0</v>
      </c>
      <c r="S14" s="53">
        <f>IF(SCAN!Q14&lt;&gt;"-",SCAN!E14,0)</f>
        <v>0</v>
      </c>
      <c r="T14" s="53">
        <f>IF(SCAN!Q14&lt;&gt;"-",SCAN!F14,0)</f>
        <v>0</v>
      </c>
    </row>
    <row r="15" spans="1:20" x14ac:dyDescent="0.25">
      <c r="H15" s="50">
        <f>IF(AND(SCAN!K15="-",SCAN!Q15="-"),SCAN!D15,0)</f>
        <v>0</v>
      </c>
      <c r="I15" s="50">
        <f>IF(AND(SCAN!K15="-",SCAN!Q15="-"),SCAN!E15,0)</f>
        <v>0</v>
      </c>
      <c r="J15" s="50">
        <f>IF(AND(SCAN!K15="-",SCAN!Q15="-"),SCAN!F15,0)</f>
        <v>0</v>
      </c>
      <c r="M15" s="55">
        <f>IF(SCAN!K15&lt;&gt;"-",SCAN!D15,0)</f>
        <v>0</v>
      </c>
      <c r="N15" s="55">
        <f>IF(SCAN!K15&lt;&gt;"-",SCAN!E15,0)</f>
        <v>0</v>
      </c>
      <c r="O15" s="55">
        <f>IF(SCAN!K15&lt;&gt;"-",SCAN!F15,0)</f>
        <v>0</v>
      </c>
      <c r="R15" s="53">
        <f>IF(SCAN!Q15&lt;&gt;"-",SCAN!D15,0)</f>
        <v>0</v>
      </c>
      <c r="S15" s="53">
        <f>IF(SCAN!Q15&lt;&gt;"-",SCAN!E15,0)</f>
        <v>0</v>
      </c>
      <c r="T15" s="53">
        <f>IF(SCAN!Q15&lt;&gt;"-",SCAN!F15,0)</f>
        <v>0</v>
      </c>
    </row>
    <row r="16" spans="1:20" x14ac:dyDescent="0.25">
      <c r="H16" s="50">
        <f>IF(AND(SCAN!K16="-",SCAN!Q16="-"),SCAN!D16,0)</f>
        <v>0</v>
      </c>
      <c r="I16" s="50">
        <f>IF(AND(SCAN!K16="-",SCAN!Q16="-"),SCAN!E16,0)</f>
        <v>0</v>
      </c>
      <c r="J16" s="50">
        <f>IF(AND(SCAN!K16="-",SCAN!Q16="-"),SCAN!F16,0)</f>
        <v>0</v>
      </c>
      <c r="M16" s="55">
        <f>IF(SCAN!K16&lt;&gt;"-",SCAN!D16,0)</f>
        <v>0</v>
      </c>
      <c r="N16" s="55">
        <f>IF(SCAN!K16&lt;&gt;"-",SCAN!E16,0)</f>
        <v>0</v>
      </c>
      <c r="O16" s="55">
        <f>IF(SCAN!K16&lt;&gt;"-",SCAN!F16,0)</f>
        <v>0</v>
      </c>
      <c r="R16" s="53">
        <f>IF(SCAN!Q16&lt;&gt;"-",SCAN!D16,0)</f>
        <v>0</v>
      </c>
      <c r="S16" s="53">
        <f>IF(SCAN!Q16&lt;&gt;"-",SCAN!E16,0)</f>
        <v>0</v>
      </c>
      <c r="T16" s="53">
        <f>IF(SCAN!Q16&lt;&gt;"-",SCAN!F16,0)</f>
        <v>0</v>
      </c>
    </row>
    <row r="17" spans="8:20" x14ac:dyDescent="0.25">
      <c r="H17" s="50">
        <f>IF(AND(SCAN!K17="-",SCAN!Q17="-"),SCAN!D17,0)</f>
        <v>0</v>
      </c>
      <c r="I17" s="50">
        <f>IF(AND(SCAN!K17="-",SCAN!Q17="-"),SCAN!E17,0)</f>
        <v>0</v>
      </c>
      <c r="J17" s="50">
        <f>IF(AND(SCAN!K17="-",SCAN!Q17="-"),SCAN!F17,0)</f>
        <v>0</v>
      </c>
      <c r="M17" s="55">
        <f>IF(SCAN!K17&lt;&gt;"-",SCAN!D17,0)</f>
        <v>0</v>
      </c>
      <c r="N17" s="55">
        <f>IF(SCAN!K17&lt;&gt;"-",SCAN!E17,0)</f>
        <v>0</v>
      </c>
      <c r="O17" s="55">
        <f>IF(SCAN!K17&lt;&gt;"-",SCAN!F17,0)</f>
        <v>0</v>
      </c>
      <c r="R17" s="53">
        <f>IF(SCAN!Q17&lt;&gt;"-",SCAN!D17,0)</f>
        <v>0</v>
      </c>
      <c r="S17" s="53">
        <f>IF(SCAN!Q17&lt;&gt;"-",SCAN!E17,0)</f>
        <v>0</v>
      </c>
      <c r="T17" s="53">
        <f>IF(SCAN!Q17&lt;&gt;"-",SCAN!F17,0)</f>
        <v>0</v>
      </c>
    </row>
    <row r="18" spans="8:20" x14ac:dyDescent="0.25">
      <c r="H18" s="50">
        <f>IF(AND(SCAN!K18="-",SCAN!Q18="-"),SCAN!D18,0)</f>
        <v>0</v>
      </c>
      <c r="I18" s="50">
        <f>IF(AND(SCAN!K18="-",SCAN!Q18="-"),SCAN!E18,0)</f>
        <v>0</v>
      </c>
      <c r="J18" s="50">
        <f>IF(AND(SCAN!K18="-",SCAN!Q18="-"),SCAN!F18,0)</f>
        <v>0</v>
      </c>
      <c r="M18" s="55">
        <f>IF(SCAN!K18&lt;&gt;"-",SCAN!D18,0)</f>
        <v>0</v>
      </c>
      <c r="N18" s="55">
        <f>IF(SCAN!K18&lt;&gt;"-",SCAN!E18,0)</f>
        <v>0</v>
      </c>
      <c r="O18" s="55">
        <f>IF(SCAN!K18&lt;&gt;"-",SCAN!F18,0)</f>
        <v>0</v>
      </c>
      <c r="R18" s="53">
        <f>IF(SCAN!Q18&lt;&gt;"-",SCAN!D18,0)</f>
        <v>0</v>
      </c>
      <c r="S18" s="53">
        <f>IF(SCAN!Q18&lt;&gt;"-",SCAN!E18,0)</f>
        <v>0</v>
      </c>
      <c r="T18" s="53">
        <f>IF(SCAN!Q18&lt;&gt;"-",SCAN!F18,0)</f>
        <v>0</v>
      </c>
    </row>
    <row r="19" spans="8:20" x14ac:dyDescent="0.25">
      <c r="H19" s="50">
        <f>IF(AND(SCAN!K19="-",SCAN!Q19="-"),SCAN!D19,0)</f>
        <v>0</v>
      </c>
      <c r="I19" s="50">
        <f>IF(AND(SCAN!K19="-",SCAN!Q19="-"),SCAN!E19,0)</f>
        <v>0</v>
      </c>
      <c r="J19" s="50">
        <f>IF(AND(SCAN!K19="-",SCAN!Q19="-"),SCAN!F19,0)</f>
        <v>0</v>
      </c>
      <c r="M19" s="55">
        <f>IF(SCAN!K19&lt;&gt;"-",SCAN!D19,0)</f>
        <v>0</v>
      </c>
      <c r="N19" s="55">
        <f>IF(SCAN!K19&lt;&gt;"-",SCAN!E19,0)</f>
        <v>0</v>
      </c>
      <c r="O19" s="55">
        <f>IF(SCAN!K19&lt;&gt;"-",SCAN!F19,0)</f>
        <v>0</v>
      </c>
      <c r="R19" s="53">
        <f>IF(SCAN!Q19&lt;&gt;"-",SCAN!D19,0)</f>
        <v>0</v>
      </c>
      <c r="S19" s="53">
        <f>IF(SCAN!Q19&lt;&gt;"-",SCAN!E19,0)</f>
        <v>0</v>
      </c>
      <c r="T19" s="53">
        <f>IF(SCAN!Q19&lt;&gt;"-",SCAN!F19,0)</f>
        <v>0</v>
      </c>
    </row>
    <row r="20" spans="8:20" x14ac:dyDescent="0.25">
      <c r="H20" s="50">
        <f>IF(AND(SCAN!K20="-",SCAN!Q20="-"),SCAN!D20,0)</f>
        <v>0</v>
      </c>
      <c r="I20" s="50">
        <f>IF(AND(SCAN!K20="-",SCAN!Q20="-"),SCAN!E20,0)</f>
        <v>0</v>
      </c>
      <c r="J20" s="50">
        <f>IF(AND(SCAN!K20="-",SCAN!Q20="-"),SCAN!F20,0)</f>
        <v>0</v>
      </c>
      <c r="M20" s="55">
        <f>IF(SCAN!K20&lt;&gt;"-",SCAN!D20,0)</f>
        <v>0</v>
      </c>
      <c r="N20" s="55">
        <f>IF(SCAN!K20&lt;&gt;"-",SCAN!E20,0)</f>
        <v>0</v>
      </c>
      <c r="O20" s="55">
        <f>IF(SCAN!K20&lt;&gt;"-",SCAN!F20,0)</f>
        <v>0</v>
      </c>
      <c r="R20" s="53">
        <f>IF(SCAN!Q20&lt;&gt;"-",SCAN!D20,0)</f>
        <v>0</v>
      </c>
      <c r="S20" s="53">
        <f>IF(SCAN!Q20&lt;&gt;"-",SCAN!E20,0)</f>
        <v>0</v>
      </c>
      <c r="T20" s="53">
        <f>IF(SCAN!Q20&lt;&gt;"-",SCAN!F20,0)</f>
        <v>0</v>
      </c>
    </row>
    <row r="21" spans="8:20" x14ac:dyDescent="0.25">
      <c r="H21" s="50">
        <f>IF(AND(SCAN!K21="-",SCAN!Q21="-"),SCAN!D21,0)</f>
        <v>0</v>
      </c>
      <c r="I21" s="50">
        <f>IF(AND(SCAN!K21="-",SCAN!Q21="-"),SCAN!E21,0)</f>
        <v>0</v>
      </c>
      <c r="J21" s="50">
        <f>IF(AND(SCAN!K21="-",SCAN!Q21="-"),SCAN!F21,0)</f>
        <v>0</v>
      </c>
      <c r="M21" s="55">
        <f>IF(SCAN!K21&lt;&gt;"-",SCAN!D21,0)</f>
        <v>0</v>
      </c>
      <c r="N21" s="55">
        <f>IF(SCAN!K21&lt;&gt;"-",SCAN!E21,0)</f>
        <v>0</v>
      </c>
      <c r="O21" s="55">
        <f>IF(SCAN!K21&lt;&gt;"-",SCAN!F21,0)</f>
        <v>0</v>
      </c>
      <c r="R21" s="53">
        <f>IF(SCAN!Q21&lt;&gt;"-",SCAN!D21,0)</f>
        <v>0</v>
      </c>
      <c r="S21" s="53">
        <f>IF(SCAN!Q21&lt;&gt;"-",SCAN!E21,0)</f>
        <v>0</v>
      </c>
      <c r="T21" s="53">
        <f>IF(SCAN!Q21&lt;&gt;"-",SCAN!F21,0)</f>
        <v>0</v>
      </c>
    </row>
    <row r="22" spans="8:20" x14ac:dyDescent="0.25">
      <c r="H22" s="50">
        <f>IF(AND(SCAN!K22="-",SCAN!Q22="-"),SCAN!D22,0)</f>
        <v>0</v>
      </c>
      <c r="I22" s="50">
        <f>IF(AND(SCAN!K22="-",SCAN!Q22="-"),SCAN!E22,0)</f>
        <v>0</v>
      </c>
      <c r="J22" s="50">
        <f>IF(AND(SCAN!K22="-",SCAN!Q22="-"),SCAN!F22,0)</f>
        <v>0</v>
      </c>
      <c r="M22" s="55">
        <f>IF(SCAN!K22&lt;&gt;"-",SCAN!D22,0)</f>
        <v>0</v>
      </c>
      <c r="N22" s="55">
        <f>IF(SCAN!K22&lt;&gt;"-",SCAN!E22,0)</f>
        <v>0</v>
      </c>
      <c r="O22" s="55">
        <f>IF(SCAN!K22&lt;&gt;"-",SCAN!F22,0)</f>
        <v>0</v>
      </c>
      <c r="R22" s="53">
        <f>IF(SCAN!Q22&lt;&gt;"-",SCAN!D22,0)</f>
        <v>0</v>
      </c>
      <c r="S22" s="53">
        <f>IF(SCAN!Q22&lt;&gt;"-",SCAN!E22,0)</f>
        <v>0</v>
      </c>
      <c r="T22" s="53">
        <f>IF(SCAN!Q22&lt;&gt;"-",SCAN!F22,0)</f>
        <v>0</v>
      </c>
    </row>
    <row r="23" spans="8:20" x14ac:dyDescent="0.25">
      <c r="H23" s="50">
        <f>IF(AND(SCAN!K23="-",SCAN!Q23="-"),SCAN!D23,0)</f>
        <v>0</v>
      </c>
      <c r="I23" s="50">
        <f>IF(AND(SCAN!K23="-",SCAN!Q23="-"),SCAN!E23,0)</f>
        <v>0</v>
      </c>
      <c r="J23" s="50">
        <f>IF(AND(SCAN!K23="-",SCAN!Q23="-"),SCAN!F23,0)</f>
        <v>0</v>
      </c>
      <c r="M23" s="55">
        <f>IF(SCAN!K23&lt;&gt;"-",SCAN!D23,0)</f>
        <v>0</v>
      </c>
      <c r="N23" s="55">
        <f>IF(SCAN!K23&lt;&gt;"-",SCAN!E23,0)</f>
        <v>0</v>
      </c>
      <c r="O23" s="55">
        <f>IF(SCAN!K23&lt;&gt;"-",SCAN!F23,0)</f>
        <v>0</v>
      </c>
      <c r="R23" s="53">
        <f>IF(SCAN!Q23&lt;&gt;"-",SCAN!D23,0)</f>
        <v>0</v>
      </c>
      <c r="S23" s="53">
        <f>IF(SCAN!Q23&lt;&gt;"-",SCAN!E23,0)</f>
        <v>0</v>
      </c>
      <c r="T23" s="53">
        <f>IF(SCAN!Q23&lt;&gt;"-",SCAN!F23,0)</f>
        <v>0</v>
      </c>
    </row>
    <row r="24" spans="8:20" x14ac:dyDescent="0.25">
      <c r="H24" s="50">
        <f>IF(AND(SCAN!K24="-",SCAN!Q24="-"),SCAN!D24,0)</f>
        <v>0</v>
      </c>
      <c r="I24" s="50">
        <f>IF(AND(SCAN!K24="-",SCAN!Q24="-"),SCAN!E24,0)</f>
        <v>0</v>
      </c>
      <c r="J24" s="50">
        <f>IF(AND(SCAN!K24="-",SCAN!Q24="-"),SCAN!F24,0)</f>
        <v>0</v>
      </c>
      <c r="M24" s="55">
        <f>IF(SCAN!K24&lt;&gt;"-",SCAN!D24,0)</f>
        <v>0</v>
      </c>
      <c r="N24" s="55">
        <f>IF(SCAN!K24&lt;&gt;"-",SCAN!E24,0)</f>
        <v>0</v>
      </c>
      <c r="O24" s="55">
        <f>IF(SCAN!K24&lt;&gt;"-",SCAN!F24,0)</f>
        <v>0</v>
      </c>
      <c r="R24" s="53">
        <f>IF(SCAN!Q24&lt;&gt;"-",SCAN!D24,0)</f>
        <v>0</v>
      </c>
      <c r="S24" s="53">
        <f>IF(SCAN!Q24&lt;&gt;"-",SCAN!E24,0)</f>
        <v>0</v>
      </c>
      <c r="T24" s="53">
        <f>IF(SCAN!Q24&lt;&gt;"-",SCAN!F24,0)</f>
        <v>0</v>
      </c>
    </row>
    <row r="25" spans="8:20" x14ac:dyDescent="0.25">
      <c r="H25" s="50">
        <f>IF(AND(SCAN!K25="-",SCAN!Q25="-"),SCAN!D25,0)</f>
        <v>0</v>
      </c>
      <c r="I25" s="50">
        <f>IF(AND(SCAN!K25="-",SCAN!Q25="-"),SCAN!E25,0)</f>
        <v>0</v>
      </c>
      <c r="J25" s="50">
        <f>IF(AND(SCAN!K25="-",SCAN!Q25="-"),SCAN!F25,0)</f>
        <v>0</v>
      </c>
      <c r="M25" s="55">
        <f>IF(SCAN!K25&lt;&gt;"-",SCAN!D25,0)</f>
        <v>0</v>
      </c>
      <c r="N25" s="55">
        <f>IF(SCAN!K25&lt;&gt;"-",SCAN!E25,0)</f>
        <v>0</v>
      </c>
      <c r="O25" s="55">
        <f>IF(SCAN!K25&lt;&gt;"-",SCAN!F25,0)</f>
        <v>0</v>
      </c>
      <c r="R25" s="53">
        <f>IF(SCAN!Q25&lt;&gt;"-",SCAN!D25,0)</f>
        <v>0</v>
      </c>
      <c r="S25" s="53">
        <f>IF(SCAN!Q25&lt;&gt;"-",SCAN!E25,0)</f>
        <v>0</v>
      </c>
      <c r="T25" s="53">
        <f>IF(SCAN!Q25&lt;&gt;"-",SCAN!F25,0)</f>
        <v>0</v>
      </c>
    </row>
    <row r="26" spans="8:20" x14ac:dyDescent="0.25">
      <c r="H26" s="50">
        <f>IF(AND(SCAN!K26="-",SCAN!Q26="-"),SCAN!D26,0)</f>
        <v>0</v>
      </c>
      <c r="I26" s="50">
        <f>IF(AND(SCAN!K26="-",SCAN!Q26="-"),SCAN!E26,0)</f>
        <v>0</v>
      </c>
      <c r="J26" s="50">
        <f>IF(AND(SCAN!K26="-",SCAN!Q26="-"),SCAN!F26,0)</f>
        <v>0</v>
      </c>
      <c r="M26" s="55">
        <f>IF(SCAN!K26&lt;&gt;"-",SCAN!D26,0)</f>
        <v>0</v>
      </c>
      <c r="N26" s="55">
        <f>IF(SCAN!K26&lt;&gt;"-",SCAN!E26,0)</f>
        <v>0</v>
      </c>
      <c r="O26" s="55">
        <f>IF(SCAN!K26&lt;&gt;"-",SCAN!F26,0)</f>
        <v>0</v>
      </c>
      <c r="R26" s="53">
        <f>IF(SCAN!Q26&lt;&gt;"-",SCAN!D26,0)</f>
        <v>0</v>
      </c>
      <c r="S26" s="53">
        <f>IF(SCAN!Q26&lt;&gt;"-",SCAN!E26,0)</f>
        <v>0</v>
      </c>
      <c r="T26" s="53">
        <f>IF(SCAN!Q26&lt;&gt;"-",SCAN!F26,0)</f>
        <v>0</v>
      </c>
    </row>
    <row r="27" spans="8:20" x14ac:dyDescent="0.25">
      <c r="H27" s="50">
        <f>IF(AND(SCAN!K27="-",SCAN!Q27="-"),SCAN!D27,0)</f>
        <v>0</v>
      </c>
      <c r="I27" s="50">
        <f>IF(AND(SCAN!K27="-",SCAN!Q27="-"),SCAN!E27,0)</f>
        <v>0</v>
      </c>
      <c r="J27" s="50">
        <f>IF(AND(SCAN!K27="-",SCAN!Q27="-"),SCAN!F27,0)</f>
        <v>0</v>
      </c>
      <c r="M27" s="55">
        <f>IF(SCAN!K27&lt;&gt;"-",SCAN!D27,0)</f>
        <v>0</v>
      </c>
      <c r="N27" s="55">
        <f>IF(SCAN!K27&lt;&gt;"-",SCAN!E27,0)</f>
        <v>0</v>
      </c>
      <c r="O27" s="55">
        <f>IF(SCAN!K27&lt;&gt;"-",SCAN!F27,0)</f>
        <v>0</v>
      </c>
      <c r="R27" s="53">
        <f>IF(SCAN!Q27&lt;&gt;"-",SCAN!D27,0)</f>
        <v>0</v>
      </c>
      <c r="S27" s="53">
        <f>IF(SCAN!Q27&lt;&gt;"-",SCAN!E27,0)</f>
        <v>0</v>
      </c>
      <c r="T27" s="53">
        <f>IF(SCAN!Q27&lt;&gt;"-",SCAN!F27,0)</f>
        <v>0</v>
      </c>
    </row>
    <row r="28" spans="8:20" x14ac:dyDescent="0.25">
      <c r="H28" s="50">
        <f>IF(AND(SCAN!K28="-",SCAN!Q28="-"),SCAN!D28,0)</f>
        <v>0</v>
      </c>
      <c r="I28" s="50">
        <f>IF(AND(SCAN!K28="-",SCAN!Q28="-"),SCAN!E28,0)</f>
        <v>0</v>
      </c>
      <c r="J28" s="50">
        <f>IF(AND(SCAN!K28="-",SCAN!Q28="-"),SCAN!F28,0)</f>
        <v>0</v>
      </c>
      <c r="M28" s="55">
        <f>IF(SCAN!K28&lt;&gt;"-",SCAN!D28,0)</f>
        <v>0</v>
      </c>
      <c r="N28" s="55">
        <f>IF(SCAN!K28&lt;&gt;"-",SCAN!E28,0)</f>
        <v>0</v>
      </c>
      <c r="O28" s="55">
        <f>IF(SCAN!K28&lt;&gt;"-",SCAN!F28,0)</f>
        <v>0</v>
      </c>
      <c r="R28" s="53">
        <f>IF(SCAN!Q28&lt;&gt;"-",SCAN!D28,0)</f>
        <v>0</v>
      </c>
      <c r="S28" s="53">
        <f>IF(SCAN!Q28&lt;&gt;"-",SCAN!E28,0)</f>
        <v>0</v>
      </c>
      <c r="T28" s="53">
        <f>IF(SCAN!Q28&lt;&gt;"-",SCAN!F28,0)</f>
        <v>0</v>
      </c>
    </row>
    <row r="29" spans="8:20" x14ac:dyDescent="0.25">
      <c r="H29" s="50">
        <f>IF(AND(SCAN!K29="-",SCAN!Q29="-"),SCAN!D29,0)</f>
        <v>0</v>
      </c>
      <c r="I29" s="50">
        <f>IF(AND(SCAN!K29="-",SCAN!Q29="-"),SCAN!E29,0)</f>
        <v>0</v>
      </c>
      <c r="J29" s="50">
        <f>IF(AND(SCAN!K29="-",SCAN!Q29="-"),SCAN!F29,0)</f>
        <v>0</v>
      </c>
      <c r="M29" s="55">
        <f>IF(SCAN!K29&lt;&gt;"-",SCAN!D29,0)</f>
        <v>0</v>
      </c>
      <c r="N29" s="55">
        <f>IF(SCAN!K29&lt;&gt;"-",SCAN!E29,0)</f>
        <v>0</v>
      </c>
      <c r="O29" s="55">
        <f>IF(SCAN!K29&lt;&gt;"-",SCAN!F29,0)</f>
        <v>0</v>
      </c>
      <c r="R29" s="53">
        <f>IF(SCAN!Q29&lt;&gt;"-",SCAN!D29,0)</f>
        <v>0</v>
      </c>
      <c r="S29" s="53">
        <f>IF(SCAN!Q29&lt;&gt;"-",SCAN!E29,0)</f>
        <v>0</v>
      </c>
      <c r="T29" s="53">
        <f>IF(SCAN!Q29&lt;&gt;"-",SCAN!F29,0)</f>
        <v>0</v>
      </c>
    </row>
    <row r="30" spans="8:20" x14ac:dyDescent="0.25">
      <c r="H30" s="50">
        <f>IF(AND(SCAN!K30="-",SCAN!Q30="-"),SCAN!D30,0)</f>
        <v>0</v>
      </c>
      <c r="I30" s="50">
        <f>IF(AND(SCAN!K30="-",SCAN!Q30="-"),SCAN!E30,0)</f>
        <v>0</v>
      </c>
      <c r="J30" s="50">
        <f>IF(AND(SCAN!K30="-",SCAN!Q30="-"),SCAN!F30,0)</f>
        <v>0</v>
      </c>
      <c r="M30" s="55">
        <f>IF(SCAN!K30&lt;&gt;"-",SCAN!D30,0)</f>
        <v>0</v>
      </c>
      <c r="N30" s="55">
        <f>IF(SCAN!K30&lt;&gt;"-",SCAN!E30,0)</f>
        <v>0</v>
      </c>
      <c r="O30" s="55">
        <f>IF(SCAN!K30&lt;&gt;"-",SCAN!F30,0)</f>
        <v>0</v>
      </c>
      <c r="R30" s="53">
        <f>IF(SCAN!Q30&lt;&gt;"-",SCAN!D30,0)</f>
        <v>0</v>
      </c>
      <c r="S30" s="53">
        <f>IF(SCAN!Q30&lt;&gt;"-",SCAN!E30,0)</f>
        <v>0</v>
      </c>
      <c r="T30" s="53">
        <f>IF(SCAN!Q30&lt;&gt;"-",SCAN!F30,0)</f>
        <v>0</v>
      </c>
    </row>
    <row r="31" spans="8:20" x14ac:dyDescent="0.25">
      <c r="H31" s="50">
        <f>IF(AND(SCAN!K31="-",SCAN!Q31="-"),SCAN!D31,0)</f>
        <v>0</v>
      </c>
      <c r="I31" s="50">
        <f>IF(AND(SCAN!K31="-",SCAN!Q31="-"),SCAN!E31,0)</f>
        <v>0</v>
      </c>
      <c r="J31" s="50">
        <f>IF(AND(SCAN!K31="-",SCAN!Q31="-"),SCAN!F31,0)</f>
        <v>0</v>
      </c>
      <c r="M31" s="55">
        <f>IF(SCAN!K31&lt;&gt;"-",SCAN!D31,0)</f>
        <v>0</v>
      </c>
      <c r="N31" s="55">
        <f>IF(SCAN!K31&lt;&gt;"-",SCAN!E31,0)</f>
        <v>0</v>
      </c>
      <c r="O31" s="55">
        <f>IF(SCAN!K31&lt;&gt;"-",SCAN!F31,0)</f>
        <v>0</v>
      </c>
      <c r="R31" s="53">
        <f>IF(SCAN!Q31&lt;&gt;"-",SCAN!D31,0)</f>
        <v>0</v>
      </c>
      <c r="S31" s="53">
        <f>IF(SCAN!Q31&lt;&gt;"-",SCAN!E31,0)</f>
        <v>0</v>
      </c>
      <c r="T31" s="53">
        <f>IF(SCAN!Q31&lt;&gt;"-",SCAN!F31,0)</f>
        <v>0</v>
      </c>
    </row>
    <row r="32" spans="8:20" x14ac:dyDescent="0.25">
      <c r="H32" s="50">
        <f>IF(AND(SCAN!K32="-",SCAN!Q32="-"),SCAN!D32,0)</f>
        <v>0</v>
      </c>
      <c r="I32" s="50">
        <f>IF(AND(SCAN!K32="-",SCAN!Q32="-"),SCAN!E32,0)</f>
        <v>0</v>
      </c>
      <c r="J32" s="50">
        <f>IF(AND(SCAN!K32="-",SCAN!Q32="-"),SCAN!F32,0)</f>
        <v>0</v>
      </c>
      <c r="M32" s="55">
        <f>IF(SCAN!K32&lt;&gt;"-",SCAN!D32,0)</f>
        <v>0</v>
      </c>
      <c r="N32" s="55">
        <f>IF(SCAN!K32&lt;&gt;"-",SCAN!E32,0)</f>
        <v>0</v>
      </c>
      <c r="O32" s="55">
        <f>IF(SCAN!K32&lt;&gt;"-",SCAN!F32,0)</f>
        <v>0</v>
      </c>
      <c r="R32" s="53">
        <f>IF(SCAN!Q32&lt;&gt;"-",SCAN!D32,0)</f>
        <v>0</v>
      </c>
      <c r="S32" s="53">
        <f>IF(SCAN!Q32&lt;&gt;"-",SCAN!E32,0)</f>
        <v>0</v>
      </c>
      <c r="T32" s="53">
        <f>IF(SCAN!Q32&lt;&gt;"-",SCAN!F32,0)</f>
        <v>0</v>
      </c>
    </row>
    <row r="33" spans="8:20" x14ac:dyDescent="0.25">
      <c r="H33" s="50">
        <f>IF(AND(SCAN!K33="-",SCAN!Q33="-"),SCAN!D33,0)</f>
        <v>0</v>
      </c>
      <c r="I33" s="50">
        <f>IF(AND(SCAN!K33="-",SCAN!Q33="-"),SCAN!E33,0)</f>
        <v>0</v>
      </c>
      <c r="J33" s="50">
        <f>IF(AND(SCAN!K33="-",SCAN!Q33="-"),SCAN!F33,0)</f>
        <v>0</v>
      </c>
      <c r="M33" s="55">
        <f>IF(SCAN!K33&lt;&gt;"-",SCAN!D33,0)</f>
        <v>0</v>
      </c>
      <c r="N33" s="55">
        <f>IF(SCAN!K33&lt;&gt;"-",SCAN!E33,0)</f>
        <v>0</v>
      </c>
      <c r="O33" s="55">
        <f>IF(SCAN!K33&lt;&gt;"-",SCAN!F33,0)</f>
        <v>0</v>
      </c>
      <c r="R33" s="53">
        <f>IF(SCAN!Q33&lt;&gt;"-",SCAN!D33,0)</f>
        <v>0</v>
      </c>
      <c r="S33" s="53">
        <f>IF(SCAN!Q33&lt;&gt;"-",SCAN!E33,0)</f>
        <v>0</v>
      </c>
      <c r="T33" s="53">
        <f>IF(SCAN!Q33&lt;&gt;"-",SCAN!F33,0)</f>
        <v>0</v>
      </c>
    </row>
    <row r="34" spans="8:20" x14ac:dyDescent="0.25">
      <c r="H34" s="50">
        <f>IF(AND(SCAN!K34="-",SCAN!Q34="-"),SCAN!D34,0)</f>
        <v>0</v>
      </c>
      <c r="I34" s="50">
        <f>IF(AND(SCAN!K34="-",SCAN!Q34="-"),SCAN!E34,0)</f>
        <v>0</v>
      </c>
      <c r="J34" s="50">
        <f>IF(AND(SCAN!K34="-",SCAN!Q34="-"),SCAN!F34,0)</f>
        <v>0</v>
      </c>
      <c r="M34" s="55">
        <f>IF(SCAN!K34&lt;&gt;"-",SCAN!D34,0)</f>
        <v>0</v>
      </c>
      <c r="N34" s="55">
        <f>IF(SCAN!K34&lt;&gt;"-",SCAN!E34,0)</f>
        <v>0</v>
      </c>
      <c r="O34" s="55">
        <f>IF(SCAN!K34&lt;&gt;"-",SCAN!F34,0)</f>
        <v>0</v>
      </c>
      <c r="R34" s="53">
        <f>IF(SCAN!Q34&lt;&gt;"-",SCAN!D34,0)</f>
        <v>0</v>
      </c>
      <c r="S34" s="53">
        <f>IF(SCAN!Q34&lt;&gt;"-",SCAN!E34,0)</f>
        <v>0</v>
      </c>
      <c r="T34" s="53">
        <f>IF(SCAN!Q34&lt;&gt;"-",SCAN!F34,0)</f>
        <v>0</v>
      </c>
    </row>
    <row r="35" spans="8:20" x14ac:dyDescent="0.25">
      <c r="H35" s="50">
        <f>IF(AND(SCAN!K35="-",SCAN!Q35="-"),SCAN!D35,0)</f>
        <v>0</v>
      </c>
      <c r="I35" s="50">
        <f>IF(AND(SCAN!K35="-",SCAN!Q35="-"),SCAN!E35,0)</f>
        <v>0</v>
      </c>
      <c r="J35" s="50">
        <f>IF(AND(SCAN!K35="-",SCAN!Q35="-"),SCAN!F35,0)</f>
        <v>0</v>
      </c>
      <c r="M35" s="55">
        <f>IF(SCAN!K35&lt;&gt;"-",SCAN!D35,0)</f>
        <v>0</v>
      </c>
      <c r="N35" s="55">
        <f>IF(SCAN!K35&lt;&gt;"-",SCAN!E35,0)</f>
        <v>0</v>
      </c>
      <c r="O35" s="55">
        <f>IF(SCAN!K35&lt;&gt;"-",SCAN!F35,0)</f>
        <v>0</v>
      </c>
      <c r="R35" s="53">
        <f>IF(SCAN!Q35&lt;&gt;"-",SCAN!D35,0)</f>
        <v>0</v>
      </c>
      <c r="S35" s="53">
        <f>IF(SCAN!Q35&lt;&gt;"-",SCAN!E35,0)</f>
        <v>0</v>
      </c>
      <c r="T35" s="53">
        <f>IF(SCAN!Q35&lt;&gt;"-",SCAN!F35,0)</f>
        <v>0</v>
      </c>
    </row>
    <row r="36" spans="8:20" x14ac:dyDescent="0.25">
      <c r="H36" s="50">
        <f>IF(AND(SCAN!K36="-",SCAN!Q36="-"),SCAN!D36,0)</f>
        <v>0</v>
      </c>
      <c r="I36" s="50">
        <f>IF(AND(SCAN!K36="-",SCAN!Q36="-"),SCAN!E36,0)</f>
        <v>0</v>
      </c>
      <c r="J36" s="50">
        <f>IF(AND(SCAN!K36="-",SCAN!Q36="-"),SCAN!F36,0)</f>
        <v>0</v>
      </c>
      <c r="M36" s="55">
        <f>IF(SCAN!K36&lt;&gt;"-",SCAN!D36,0)</f>
        <v>0</v>
      </c>
      <c r="N36" s="55">
        <f>IF(SCAN!K36&lt;&gt;"-",SCAN!E36,0)</f>
        <v>0</v>
      </c>
      <c r="O36" s="55">
        <f>IF(SCAN!K36&lt;&gt;"-",SCAN!F36,0)</f>
        <v>0</v>
      </c>
      <c r="R36" s="53">
        <f>IF(SCAN!Q36&lt;&gt;"-",SCAN!D36,0)</f>
        <v>0</v>
      </c>
      <c r="S36" s="53">
        <f>IF(SCAN!Q36&lt;&gt;"-",SCAN!E36,0)</f>
        <v>0</v>
      </c>
      <c r="T36" s="53">
        <f>IF(SCAN!Q36&lt;&gt;"-",SCAN!F36,0)</f>
        <v>0</v>
      </c>
    </row>
    <row r="37" spans="8:20" x14ac:dyDescent="0.25">
      <c r="H37" s="50">
        <f>IF(AND(SCAN!K37="-",SCAN!Q37="-"),SCAN!D37,0)</f>
        <v>0</v>
      </c>
      <c r="I37" s="50">
        <f>IF(AND(SCAN!K37="-",SCAN!Q37="-"),SCAN!E37,0)</f>
        <v>0</v>
      </c>
      <c r="J37" s="50">
        <f>IF(AND(SCAN!K37="-",SCAN!Q37="-"),SCAN!F37,0)</f>
        <v>0</v>
      </c>
      <c r="M37" s="55">
        <f>IF(SCAN!K37&lt;&gt;"-",SCAN!D37,0)</f>
        <v>0</v>
      </c>
      <c r="N37" s="55">
        <f>IF(SCAN!K37&lt;&gt;"-",SCAN!E37,0)</f>
        <v>0</v>
      </c>
      <c r="O37" s="55">
        <f>IF(SCAN!K37&lt;&gt;"-",SCAN!F37,0)</f>
        <v>0</v>
      </c>
      <c r="R37" s="53">
        <f>IF(SCAN!Q37&lt;&gt;"-",SCAN!D37,0)</f>
        <v>0</v>
      </c>
      <c r="S37" s="53">
        <f>IF(SCAN!Q37&lt;&gt;"-",SCAN!E37,0)</f>
        <v>0</v>
      </c>
      <c r="T37" s="53">
        <f>IF(SCAN!Q37&lt;&gt;"-",SCAN!F37,0)</f>
        <v>0</v>
      </c>
    </row>
    <row r="38" spans="8:20" x14ac:dyDescent="0.25">
      <c r="H38" s="50">
        <f>IF(AND(SCAN!K38="-",SCAN!Q38="-"),SCAN!D38,0)</f>
        <v>0</v>
      </c>
      <c r="I38" s="50">
        <f>IF(AND(SCAN!K38="-",SCAN!Q38="-"),SCAN!E38,0)</f>
        <v>0</v>
      </c>
      <c r="J38" s="50">
        <f>IF(AND(SCAN!K38="-",SCAN!Q38="-"),SCAN!F38,0)</f>
        <v>0</v>
      </c>
      <c r="M38" s="55">
        <f>IF(SCAN!K38&lt;&gt;"-",SCAN!D38,0)</f>
        <v>0</v>
      </c>
      <c r="N38" s="55">
        <f>IF(SCAN!K38&lt;&gt;"-",SCAN!E38,0)</f>
        <v>0</v>
      </c>
      <c r="O38" s="55">
        <f>IF(SCAN!K38&lt;&gt;"-",SCAN!F38,0)</f>
        <v>0</v>
      </c>
      <c r="R38" s="53">
        <f>IF(SCAN!Q38&lt;&gt;"-",SCAN!D38,0)</f>
        <v>0</v>
      </c>
      <c r="S38" s="53">
        <f>IF(SCAN!Q38&lt;&gt;"-",SCAN!E38,0)</f>
        <v>0</v>
      </c>
      <c r="T38" s="53">
        <f>IF(SCAN!Q38&lt;&gt;"-",SCAN!F38,0)</f>
        <v>0</v>
      </c>
    </row>
    <row r="39" spans="8:20" x14ac:dyDescent="0.25">
      <c r="H39" s="50">
        <f>IF(AND(SCAN!K39="-",SCAN!Q39="-"),SCAN!D39,0)</f>
        <v>0</v>
      </c>
      <c r="I39" s="50">
        <f>IF(AND(SCAN!K39="-",SCAN!Q39="-"),SCAN!E39,0)</f>
        <v>0</v>
      </c>
      <c r="J39" s="50">
        <f>IF(AND(SCAN!K39="-",SCAN!Q39="-"),SCAN!F39,0)</f>
        <v>0</v>
      </c>
      <c r="M39" s="55">
        <f>IF(SCAN!K39&lt;&gt;"-",SCAN!D39,0)</f>
        <v>0</v>
      </c>
      <c r="N39" s="55">
        <f>IF(SCAN!K39&lt;&gt;"-",SCAN!E39,0)</f>
        <v>0</v>
      </c>
      <c r="O39" s="55">
        <f>IF(SCAN!K39&lt;&gt;"-",SCAN!F39,0)</f>
        <v>0</v>
      </c>
      <c r="R39" s="53">
        <f>IF(SCAN!Q39&lt;&gt;"-",SCAN!D39,0)</f>
        <v>0</v>
      </c>
      <c r="S39" s="53">
        <f>IF(SCAN!Q39&lt;&gt;"-",SCAN!E39,0)</f>
        <v>0</v>
      </c>
      <c r="T39" s="53">
        <f>IF(SCAN!Q39&lt;&gt;"-",SCAN!F39,0)</f>
        <v>0</v>
      </c>
    </row>
    <row r="40" spans="8:20" x14ac:dyDescent="0.25">
      <c r="H40" s="50">
        <f>IF(AND(SCAN!K40="-",SCAN!Q40="-"),SCAN!D40,0)</f>
        <v>0</v>
      </c>
      <c r="I40" s="50">
        <f>IF(AND(SCAN!K40="-",SCAN!Q40="-"),SCAN!E40,0)</f>
        <v>0</v>
      </c>
      <c r="J40" s="50">
        <f>IF(AND(SCAN!K40="-",SCAN!Q40="-"),SCAN!F40,0)</f>
        <v>0</v>
      </c>
      <c r="M40" s="55">
        <f>IF(SCAN!K40&lt;&gt;"-",SCAN!D40,0)</f>
        <v>0</v>
      </c>
      <c r="N40" s="55">
        <f>IF(SCAN!K40&lt;&gt;"-",SCAN!E40,0)</f>
        <v>0</v>
      </c>
      <c r="O40" s="55">
        <f>IF(SCAN!K40&lt;&gt;"-",SCAN!F40,0)</f>
        <v>0</v>
      </c>
      <c r="R40" s="53">
        <f>IF(SCAN!Q40&lt;&gt;"-",SCAN!D40,0)</f>
        <v>0</v>
      </c>
      <c r="S40" s="53">
        <f>IF(SCAN!Q40&lt;&gt;"-",SCAN!E40,0)</f>
        <v>0</v>
      </c>
      <c r="T40" s="53">
        <f>IF(SCAN!Q40&lt;&gt;"-",SCAN!F40,0)</f>
        <v>0</v>
      </c>
    </row>
    <row r="41" spans="8:20" x14ac:dyDescent="0.25">
      <c r="H41" s="50">
        <f>IF(AND(SCAN!K41="-",SCAN!Q41="-"),SCAN!D41,0)</f>
        <v>0</v>
      </c>
      <c r="I41" s="50">
        <f>IF(AND(SCAN!K41="-",SCAN!Q41="-"),SCAN!E41,0)</f>
        <v>0</v>
      </c>
      <c r="J41" s="50">
        <f>IF(AND(SCAN!K41="-",SCAN!Q41="-"),SCAN!F41,0)</f>
        <v>0</v>
      </c>
      <c r="M41" s="55">
        <f>IF(SCAN!K41&lt;&gt;"-",SCAN!D41,0)</f>
        <v>0</v>
      </c>
      <c r="N41" s="55">
        <f>IF(SCAN!K41&lt;&gt;"-",SCAN!E41,0)</f>
        <v>0</v>
      </c>
      <c r="O41" s="55">
        <f>IF(SCAN!K41&lt;&gt;"-",SCAN!F41,0)</f>
        <v>0</v>
      </c>
      <c r="R41" s="53">
        <f>IF(SCAN!Q41&lt;&gt;"-",SCAN!D41,0)</f>
        <v>0</v>
      </c>
      <c r="S41" s="53">
        <f>IF(SCAN!Q41&lt;&gt;"-",SCAN!E41,0)</f>
        <v>0</v>
      </c>
      <c r="T41" s="53">
        <f>IF(SCAN!Q41&lt;&gt;"-",SCAN!F41,0)</f>
        <v>0</v>
      </c>
    </row>
    <row r="42" spans="8:20" x14ac:dyDescent="0.25">
      <c r="H42" s="50">
        <f>IF(AND(SCAN!K42="-",SCAN!Q42="-"),SCAN!D42,0)</f>
        <v>0</v>
      </c>
      <c r="I42" s="50">
        <f>IF(AND(SCAN!K42="-",SCAN!Q42="-"),SCAN!E42,0)</f>
        <v>0</v>
      </c>
      <c r="J42" s="50">
        <f>IF(AND(SCAN!K42="-",SCAN!Q42="-"),SCAN!F42,0)</f>
        <v>0</v>
      </c>
      <c r="M42" s="55">
        <f>IF(SCAN!K42&lt;&gt;"-",SCAN!D42,0)</f>
        <v>0</v>
      </c>
      <c r="N42" s="55">
        <f>IF(SCAN!K42&lt;&gt;"-",SCAN!E42,0)</f>
        <v>0</v>
      </c>
      <c r="O42" s="55">
        <f>IF(SCAN!K42&lt;&gt;"-",SCAN!F42,0)</f>
        <v>0</v>
      </c>
      <c r="R42" s="53">
        <f>IF(SCAN!Q42&lt;&gt;"-",SCAN!D42,0)</f>
        <v>0</v>
      </c>
      <c r="S42" s="53">
        <f>IF(SCAN!Q42&lt;&gt;"-",SCAN!E42,0)</f>
        <v>0</v>
      </c>
      <c r="T42" s="53">
        <f>IF(SCAN!Q42&lt;&gt;"-",SCAN!F42,0)</f>
        <v>0</v>
      </c>
    </row>
    <row r="43" spans="8:20" x14ac:dyDescent="0.25">
      <c r="H43" s="50">
        <f>IF(AND(SCAN!K43="-",SCAN!Q43="-"),SCAN!D43,0)</f>
        <v>0</v>
      </c>
      <c r="I43" s="50">
        <f>IF(AND(SCAN!K43="-",SCAN!Q43="-"),SCAN!E43,0)</f>
        <v>0</v>
      </c>
      <c r="J43" s="50">
        <f>IF(AND(SCAN!K43="-",SCAN!Q43="-"),SCAN!F43,0)</f>
        <v>0</v>
      </c>
      <c r="M43" s="55">
        <f>IF(SCAN!K43&lt;&gt;"-",SCAN!D43,0)</f>
        <v>0</v>
      </c>
      <c r="N43" s="55">
        <f>IF(SCAN!K43&lt;&gt;"-",SCAN!E43,0)</f>
        <v>0</v>
      </c>
      <c r="O43" s="55">
        <f>IF(SCAN!K43&lt;&gt;"-",SCAN!F43,0)</f>
        <v>0</v>
      </c>
      <c r="R43" s="53">
        <f>IF(SCAN!Q43&lt;&gt;"-",SCAN!D43,0)</f>
        <v>0</v>
      </c>
      <c r="S43" s="53">
        <f>IF(SCAN!Q43&lt;&gt;"-",SCAN!E43,0)</f>
        <v>0</v>
      </c>
      <c r="T43" s="53">
        <f>IF(SCAN!Q43&lt;&gt;"-",SCAN!F43,0)</f>
        <v>0</v>
      </c>
    </row>
    <row r="44" spans="8:20" x14ac:dyDescent="0.25">
      <c r="H44" s="50">
        <f>IF(AND(SCAN!K44="-",SCAN!Q44="-"),SCAN!D44,0)</f>
        <v>0</v>
      </c>
      <c r="I44" s="50">
        <f>IF(AND(SCAN!K44="-",SCAN!Q44="-"),SCAN!E44,0)</f>
        <v>0</v>
      </c>
      <c r="J44" s="50">
        <f>IF(AND(SCAN!K44="-",SCAN!Q44="-"),SCAN!F44,0)</f>
        <v>0</v>
      </c>
      <c r="M44" s="55">
        <f>IF(SCAN!K44&lt;&gt;"-",SCAN!D44,0)</f>
        <v>0</v>
      </c>
      <c r="N44" s="55">
        <f>IF(SCAN!K44&lt;&gt;"-",SCAN!E44,0)</f>
        <v>0</v>
      </c>
      <c r="O44" s="55">
        <f>IF(SCAN!K44&lt;&gt;"-",SCAN!F44,0)</f>
        <v>0</v>
      </c>
      <c r="R44" s="53">
        <f>IF(SCAN!Q44&lt;&gt;"-",SCAN!D44,0)</f>
        <v>0</v>
      </c>
      <c r="S44" s="53">
        <f>IF(SCAN!Q44&lt;&gt;"-",SCAN!E44,0)</f>
        <v>0</v>
      </c>
      <c r="T44" s="53">
        <f>IF(SCAN!Q44&lt;&gt;"-",SCAN!F44,0)</f>
        <v>0</v>
      </c>
    </row>
    <row r="45" spans="8:20" x14ac:dyDescent="0.25">
      <c r="H45" s="50">
        <f>IF(AND(SCAN!K45="-",SCAN!Q45="-"),SCAN!D45,0)</f>
        <v>0</v>
      </c>
      <c r="I45" s="50">
        <f>IF(AND(SCAN!K45="-",SCAN!Q45="-"),SCAN!E45,0)</f>
        <v>0</v>
      </c>
      <c r="J45" s="50">
        <f>IF(AND(SCAN!K45="-",SCAN!Q45="-"),SCAN!F45,0)</f>
        <v>0</v>
      </c>
      <c r="M45" s="55">
        <f>IF(SCAN!K45&lt;&gt;"-",SCAN!D45,0)</f>
        <v>0</v>
      </c>
      <c r="N45" s="55">
        <f>IF(SCAN!K45&lt;&gt;"-",SCAN!E45,0)</f>
        <v>0</v>
      </c>
      <c r="O45" s="55">
        <f>IF(SCAN!K45&lt;&gt;"-",SCAN!F45,0)</f>
        <v>0</v>
      </c>
      <c r="R45" s="53">
        <f>IF(SCAN!Q45&lt;&gt;"-",SCAN!D45,0)</f>
        <v>0</v>
      </c>
      <c r="S45" s="53">
        <f>IF(SCAN!Q45&lt;&gt;"-",SCAN!E45,0)</f>
        <v>0</v>
      </c>
      <c r="T45" s="53">
        <f>IF(SCAN!Q45&lt;&gt;"-",SCAN!F45,0)</f>
        <v>0</v>
      </c>
    </row>
    <row r="46" spans="8:20" x14ac:dyDescent="0.25">
      <c r="H46" s="50">
        <f>IF(AND(SCAN!K46="-",SCAN!Q46="-"),SCAN!D46,0)</f>
        <v>0</v>
      </c>
      <c r="I46" s="50">
        <f>IF(AND(SCAN!K46="-",SCAN!Q46="-"),SCAN!E46,0)</f>
        <v>0</v>
      </c>
      <c r="J46" s="50">
        <f>IF(AND(SCAN!K46="-",SCAN!Q46="-"),SCAN!F46,0)</f>
        <v>0</v>
      </c>
      <c r="M46" s="55">
        <f>IF(SCAN!K46&lt;&gt;"-",SCAN!D46,0)</f>
        <v>0</v>
      </c>
      <c r="N46" s="55">
        <f>IF(SCAN!K46&lt;&gt;"-",SCAN!E46,0)</f>
        <v>0</v>
      </c>
      <c r="O46" s="55">
        <f>IF(SCAN!K46&lt;&gt;"-",SCAN!F46,0)</f>
        <v>0</v>
      </c>
      <c r="R46" s="53">
        <f>IF(SCAN!Q46&lt;&gt;"-",SCAN!D46,0)</f>
        <v>0</v>
      </c>
      <c r="S46" s="53">
        <f>IF(SCAN!Q46&lt;&gt;"-",SCAN!E46,0)</f>
        <v>0</v>
      </c>
      <c r="T46" s="53">
        <f>IF(SCAN!Q46&lt;&gt;"-",SCAN!F46,0)</f>
        <v>0</v>
      </c>
    </row>
    <row r="47" spans="8:20" x14ac:dyDescent="0.25">
      <c r="H47" s="50">
        <f>IF(AND(SCAN!K47="-",SCAN!Q47="-"),SCAN!D47,0)</f>
        <v>0</v>
      </c>
      <c r="I47" s="50">
        <f>IF(AND(SCAN!K47="-",SCAN!Q47="-"),SCAN!E47,0)</f>
        <v>0</v>
      </c>
      <c r="J47" s="50">
        <f>IF(AND(SCAN!K47="-",SCAN!Q47="-"),SCAN!F47,0)</f>
        <v>0</v>
      </c>
      <c r="M47" s="55">
        <f>IF(SCAN!K47&lt;&gt;"-",SCAN!D47,0)</f>
        <v>0</v>
      </c>
      <c r="N47" s="55">
        <f>IF(SCAN!K47&lt;&gt;"-",SCAN!E47,0)</f>
        <v>0</v>
      </c>
      <c r="O47" s="55">
        <f>IF(SCAN!K47&lt;&gt;"-",SCAN!F47,0)</f>
        <v>0</v>
      </c>
      <c r="R47" s="53">
        <f>IF(SCAN!Q47&lt;&gt;"-",SCAN!D47,0)</f>
        <v>0</v>
      </c>
      <c r="S47" s="53">
        <f>IF(SCAN!Q47&lt;&gt;"-",SCAN!E47,0)</f>
        <v>0</v>
      </c>
      <c r="T47" s="53">
        <f>IF(SCAN!Q47&lt;&gt;"-",SCAN!F47,0)</f>
        <v>0</v>
      </c>
    </row>
    <row r="48" spans="8:20" x14ac:dyDescent="0.25">
      <c r="H48" s="50">
        <f>IF(AND(SCAN!K48="-",SCAN!Q48="-"),SCAN!D48,0)</f>
        <v>0</v>
      </c>
      <c r="I48" s="50">
        <f>IF(AND(SCAN!K48="-",SCAN!Q48="-"),SCAN!E48,0)</f>
        <v>0</v>
      </c>
      <c r="J48" s="50">
        <f>IF(AND(SCAN!K48="-",SCAN!Q48="-"),SCAN!F48,0)</f>
        <v>0</v>
      </c>
      <c r="M48" s="55">
        <f>IF(SCAN!K48&lt;&gt;"-",SCAN!D48,0)</f>
        <v>0</v>
      </c>
      <c r="N48" s="55">
        <f>IF(SCAN!K48&lt;&gt;"-",SCAN!E48,0)</f>
        <v>0</v>
      </c>
      <c r="O48" s="55">
        <f>IF(SCAN!K48&lt;&gt;"-",SCAN!F48,0)</f>
        <v>0</v>
      </c>
      <c r="R48" s="53">
        <f>IF(SCAN!Q48&lt;&gt;"-",SCAN!D48,0)</f>
        <v>0</v>
      </c>
      <c r="S48" s="53">
        <f>IF(SCAN!Q48&lt;&gt;"-",SCAN!E48,0)</f>
        <v>0</v>
      </c>
      <c r="T48" s="53">
        <f>IF(SCAN!Q48&lt;&gt;"-",SCAN!F48,0)</f>
        <v>0</v>
      </c>
    </row>
    <row r="49" spans="8:20" x14ac:dyDescent="0.25">
      <c r="H49" s="50">
        <f>IF(AND(SCAN!K49="-",SCAN!Q49="-"),SCAN!D49,0)</f>
        <v>0</v>
      </c>
      <c r="I49" s="50">
        <f>IF(AND(SCAN!K49="-",SCAN!Q49="-"),SCAN!E49,0)</f>
        <v>0</v>
      </c>
      <c r="J49" s="50">
        <f>IF(AND(SCAN!K49="-",SCAN!Q49="-"),SCAN!F49,0)</f>
        <v>0</v>
      </c>
      <c r="M49" s="55">
        <f>IF(SCAN!K49&lt;&gt;"-",SCAN!D49,0)</f>
        <v>0</v>
      </c>
      <c r="N49" s="55">
        <f>IF(SCAN!K49&lt;&gt;"-",SCAN!E49,0)</f>
        <v>0</v>
      </c>
      <c r="O49" s="55">
        <f>IF(SCAN!K49&lt;&gt;"-",SCAN!F49,0)</f>
        <v>0</v>
      </c>
      <c r="R49" s="53">
        <f>IF(SCAN!Q49&lt;&gt;"-",SCAN!D49,0)</f>
        <v>0</v>
      </c>
      <c r="S49" s="53">
        <f>IF(SCAN!Q49&lt;&gt;"-",SCAN!E49,0)</f>
        <v>0</v>
      </c>
      <c r="T49" s="53">
        <f>IF(SCAN!Q49&lt;&gt;"-",SCAN!F49,0)</f>
        <v>0</v>
      </c>
    </row>
    <row r="50" spans="8:20" x14ac:dyDescent="0.25">
      <c r="H50" s="50">
        <f>IF(AND(SCAN!K50="-",SCAN!Q50="-"),SCAN!D50,0)</f>
        <v>0</v>
      </c>
      <c r="I50" s="50">
        <f>IF(AND(SCAN!K50="-",SCAN!Q50="-"),SCAN!E50,0)</f>
        <v>0</v>
      </c>
      <c r="J50" s="50">
        <f>IF(AND(SCAN!K50="-",SCAN!Q50="-"),SCAN!F50,0)</f>
        <v>0</v>
      </c>
      <c r="M50" s="55">
        <f>IF(SCAN!K50&lt;&gt;"-",SCAN!D50,0)</f>
        <v>0</v>
      </c>
      <c r="N50" s="55">
        <f>IF(SCAN!K50&lt;&gt;"-",SCAN!E50,0)</f>
        <v>0</v>
      </c>
      <c r="O50" s="55">
        <f>IF(SCAN!K50&lt;&gt;"-",SCAN!F50,0)</f>
        <v>0</v>
      </c>
      <c r="R50" s="53">
        <f>IF(SCAN!Q50&lt;&gt;"-",SCAN!D50,0)</f>
        <v>0</v>
      </c>
      <c r="S50" s="53">
        <f>IF(SCAN!Q50&lt;&gt;"-",SCAN!E50,0)</f>
        <v>0</v>
      </c>
      <c r="T50" s="53">
        <f>IF(SCAN!Q50&lt;&gt;"-",SCAN!F50,0)</f>
        <v>0</v>
      </c>
    </row>
    <row r="51" spans="8:20" x14ac:dyDescent="0.25">
      <c r="H51" s="50">
        <f>IF(AND(SCAN!K51="-",SCAN!Q51="-"),SCAN!D51,0)</f>
        <v>0</v>
      </c>
      <c r="I51" s="50">
        <f>IF(AND(SCAN!K51="-",SCAN!Q51="-"),SCAN!E51,0)</f>
        <v>0</v>
      </c>
      <c r="J51" s="50">
        <f>IF(AND(SCAN!K51="-",SCAN!Q51="-"),SCAN!F51,0)</f>
        <v>0</v>
      </c>
      <c r="M51" s="55">
        <f>IF(SCAN!K51&lt;&gt;"-",SCAN!D51,0)</f>
        <v>0</v>
      </c>
      <c r="N51" s="55">
        <f>IF(SCAN!K51&lt;&gt;"-",SCAN!E51,0)</f>
        <v>0</v>
      </c>
      <c r="O51" s="55">
        <f>IF(SCAN!K51&lt;&gt;"-",SCAN!F51,0)</f>
        <v>0</v>
      </c>
      <c r="R51" s="53">
        <f>IF(SCAN!Q51&lt;&gt;"-",SCAN!D51,0)</f>
        <v>0</v>
      </c>
      <c r="S51" s="53">
        <f>IF(SCAN!Q51&lt;&gt;"-",SCAN!E51,0)</f>
        <v>0</v>
      </c>
      <c r="T51" s="53">
        <f>IF(SCAN!Q51&lt;&gt;"-",SCAN!F51,0)</f>
        <v>0</v>
      </c>
    </row>
    <row r="52" spans="8:20" x14ac:dyDescent="0.25">
      <c r="H52" s="50">
        <f>IF(AND(SCAN!K52="-",SCAN!Q52="-"),SCAN!D52,0)</f>
        <v>0</v>
      </c>
      <c r="I52" s="50">
        <f>IF(AND(SCAN!K52="-",SCAN!Q52="-"),SCAN!E52,0)</f>
        <v>0</v>
      </c>
      <c r="J52" s="50">
        <f>IF(AND(SCAN!K52="-",SCAN!Q52="-"),SCAN!F52,0)</f>
        <v>0</v>
      </c>
      <c r="M52" s="55">
        <f>IF(SCAN!K52&lt;&gt;"-",SCAN!D52,0)</f>
        <v>0</v>
      </c>
      <c r="N52" s="55">
        <f>IF(SCAN!K52&lt;&gt;"-",SCAN!E52,0)</f>
        <v>0</v>
      </c>
      <c r="O52" s="55">
        <f>IF(SCAN!K52&lt;&gt;"-",SCAN!F52,0)</f>
        <v>0</v>
      </c>
      <c r="R52" s="53">
        <f>IF(SCAN!Q52&lt;&gt;"-",SCAN!D52,0)</f>
        <v>0</v>
      </c>
      <c r="S52" s="53">
        <f>IF(SCAN!Q52&lt;&gt;"-",SCAN!E52,0)</f>
        <v>0</v>
      </c>
      <c r="T52" s="53">
        <f>IF(SCAN!Q52&lt;&gt;"-",SCAN!F52,0)</f>
        <v>0</v>
      </c>
    </row>
    <row r="53" spans="8:20" x14ac:dyDescent="0.25">
      <c r="H53" s="50">
        <f>IF(AND(SCAN!K53="-",SCAN!Q53="-"),SCAN!D53,0)</f>
        <v>0</v>
      </c>
      <c r="I53" s="50">
        <f>IF(AND(SCAN!K53="-",SCAN!Q53="-"),SCAN!E53,0)</f>
        <v>0</v>
      </c>
      <c r="J53" s="50">
        <f>IF(AND(SCAN!K53="-",SCAN!Q53="-"),SCAN!F53,0)</f>
        <v>0</v>
      </c>
      <c r="M53" s="55">
        <f>IF(SCAN!K53&lt;&gt;"-",SCAN!D53,0)</f>
        <v>0</v>
      </c>
      <c r="N53" s="55">
        <f>IF(SCAN!K53&lt;&gt;"-",SCAN!E53,0)</f>
        <v>0</v>
      </c>
      <c r="O53" s="55">
        <f>IF(SCAN!K53&lt;&gt;"-",SCAN!F53,0)</f>
        <v>0</v>
      </c>
      <c r="R53" s="53">
        <f>IF(SCAN!Q53&lt;&gt;"-",SCAN!D53,0)</f>
        <v>0</v>
      </c>
      <c r="S53" s="53">
        <f>IF(SCAN!Q53&lt;&gt;"-",SCAN!E53,0)</f>
        <v>0</v>
      </c>
      <c r="T53" s="53">
        <f>IF(SCAN!Q53&lt;&gt;"-",SCAN!F53,0)</f>
        <v>0</v>
      </c>
    </row>
    <row r="54" spans="8:20" x14ac:dyDescent="0.25">
      <c r="H54" s="50">
        <f>IF(AND(SCAN!K54="-",SCAN!Q54="-"),SCAN!D54,0)</f>
        <v>0</v>
      </c>
      <c r="I54" s="50">
        <f>IF(AND(SCAN!K54="-",SCAN!Q54="-"),SCAN!E54,0)</f>
        <v>0</v>
      </c>
      <c r="J54" s="50">
        <f>IF(AND(SCAN!K54="-",SCAN!Q54="-"),SCAN!F54,0)</f>
        <v>0</v>
      </c>
      <c r="M54" s="55">
        <f>IF(SCAN!K54&lt;&gt;"-",SCAN!D54,0)</f>
        <v>0</v>
      </c>
      <c r="N54" s="55">
        <f>IF(SCAN!K54&lt;&gt;"-",SCAN!E54,0)</f>
        <v>0</v>
      </c>
      <c r="O54" s="55">
        <f>IF(SCAN!K54&lt;&gt;"-",SCAN!F54,0)</f>
        <v>0</v>
      </c>
      <c r="R54" s="53">
        <f>IF(SCAN!Q54&lt;&gt;"-",SCAN!D54,0)</f>
        <v>0</v>
      </c>
      <c r="S54" s="53">
        <f>IF(SCAN!Q54&lt;&gt;"-",SCAN!E54,0)</f>
        <v>0</v>
      </c>
      <c r="T54" s="53">
        <f>IF(SCAN!Q54&lt;&gt;"-",SCAN!F54,0)</f>
        <v>0</v>
      </c>
    </row>
    <row r="55" spans="8:20" x14ac:dyDescent="0.25">
      <c r="H55" s="50">
        <f>IF(AND(SCAN!K55="-",SCAN!Q55="-"),SCAN!D55,0)</f>
        <v>0</v>
      </c>
      <c r="I55" s="50">
        <f>IF(AND(SCAN!K55="-",SCAN!Q55="-"),SCAN!E55,0)</f>
        <v>0</v>
      </c>
      <c r="J55" s="50">
        <f>IF(AND(SCAN!K55="-",SCAN!Q55="-"),SCAN!F55,0)</f>
        <v>0</v>
      </c>
      <c r="M55" s="55">
        <f>IF(SCAN!K55&lt;&gt;"-",SCAN!D55,0)</f>
        <v>0</v>
      </c>
      <c r="N55" s="55">
        <f>IF(SCAN!K55&lt;&gt;"-",SCAN!E55,0)</f>
        <v>0</v>
      </c>
      <c r="O55" s="55">
        <f>IF(SCAN!K55&lt;&gt;"-",SCAN!F55,0)</f>
        <v>0</v>
      </c>
      <c r="R55" s="53">
        <f>IF(SCAN!Q55&lt;&gt;"-",SCAN!D55,0)</f>
        <v>0</v>
      </c>
      <c r="S55" s="53">
        <f>IF(SCAN!Q55&lt;&gt;"-",SCAN!E55,0)</f>
        <v>0</v>
      </c>
      <c r="T55" s="53">
        <f>IF(SCAN!Q55&lt;&gt;"-",SCAN!F55,0)</f>
        <v>0</v>
      </c>
    </row>
    <row r="56" spans="8:20" x14ac:dyDescent="0.25">
      <c r="H56" s="50">
        <f>IF(AND(SCAN!K56="-",SCAN!Q56="-"),SCAN!D56,0)</f>
        <v>0</v>
      </c>
      <c r="I56" s="50">
        <f>IF(AND(SCAN!K56="-",SCAN!Q56="-"),SCAN!E56,0)</f>
        <v>0</v>
      </c>
      <c r="J56" s="50">
        <f>IF(AND(SCAN!K56="-",SCAN!Q56="-"),SCAN!F56,0)</f>
        <v>0</v>
      </c>
      <c r="M56" s="55">
        <f>IF(SCAN!K56&lt;&gt;"-",SCAN!D56,0)</f>
        <v>0</v>
      </c>
      <c r="N56" s="55">
        <f>IF(SCAN!K56&lt;&gt;"-",SCAN!E56,0)</f>
        <v>0</v>
      </c>
      <c r="O56" s="55">
        <f>IF(SCAN!K56&lt;&gt;"-",SCAN!F56,0)</f>
        <v>0</v>
      </c>
      <c r="R56" s="53">
        <f>IF(SCAN!Q56&lt;&gt;"-",SCAN!D56,0)</f>
        <v>0</v>
      </c>
      <c r="S56" s="53">
        <f>IF(SCAN!Q56&lt;&gt;"-",SCAN!E56,0)</f>
        <v>0</v>
      </c>
      <c r="T56" s="53">
        <f>IF(SCAN!Q56&lt;&gt;"-",SCAN!F56,0)</f>
        <v>0</v>
      </c>
    </row>
    <row r="57" spans="8:20" x14ac:dyDescent="0.25">
      <c r="H57" s="50">
        <f>IF(AND(SCAN!K57="-",SCAN!Q57="-"),SCAN!D57,0)</f>
        <v>0</v>
      </c>
      <c r="I57" s="50">
        <f>IF(AND(SCAN!K57="-",SCAN!Q57="-"),SCAN!E57,0)</f>
        <v>0</v>
      </c>
      <c r="J57" s="50">
        <f>IF(AND(SCAN!K57="-",SCAN!Q57="-"),SCAN!F57,0)</f>
        <v>0</v>
      </c>
      <c r="M57" s="55">
        <f>IF(SCAN!K57&lt;&gt;"-",SCAN!D57,0)</f>
        <v>0</v>
      </c>
      <c r="N57" s="55">
        <f>IF(SCAN!K57&lt;&gt;"-",SCAN!E57,0)</f>
        <v>0</v>
      </c>
      <c r="O57" s="55">
        <f>IF(SCAN!K57&lt;&gt;"-",SCAN!F57,0)</f>
        <v>0</v>
      </c>
      <c r="R57" s="53">
        <f>IF(SCAN!Q57&lt;&gt;"-",SCAN!D57,0)</f>
        <v>0</v>
      </c>
      <c r="S57" s="53">
        <f>IF(SCAN!Q57&lt;&gt;"-",SCAN!E57,0)</f>
        <v>0</v>
      </c>
      <c r="T57" s="53">
        <f>IF(SCAN!Q57&lt;&gt;"-",SCAN!F57,0)</f>
        <v>0</v>
      </c>
    </row>
    <row r="58" spans="8:20" x14ac:dyDescent="0.25">
      <c r="H58" s="50">
        <f>IF(AND(SCAN!K58="-",SCAN!Q58="-"),SCAN!D58,0)</f>
        <v>0</v>
      </c>
      <c r="I58" s="50">
        <f>IF(AND(SCAN!K58="-",SCAN!Q58="-"),SCAN!E58,0)</f>
        <v>0</v>
      </c>
      <c r="J58" s="50">
        <f>IF(AND(SCAN!K58="-",SCAN!Q58="-"),SCAN!F58,0)</f>
        <v>0</v>
      </c>
      <c r="M58" s="55">
        <f>IF(SCAN!K58&lt;&gt;"-",SCAN!D58,0)</f>
        <v>0</v>
      </c>
      <c r="N58" s="55">
        <f>IF(SCAN!K58&lt;&gt;"-",SCAN!E58,0)</f>
        <v>0</v>
      </c>
      <c r="O58" s="55">
        <f>IF(SCAN!K58&lt;&gt;"-",SCAN!F58,0)</f>
        <v>0</v>
      </c>
      <c r="R58" s="53">
        <f>IF(SCAN!Q58&lt;&gt;"-",SCAN!D58,0)</f>
        <v>0</v>
      </c>
      <c r="S58" s="53">
        <f>IF(SCAN!Q58&lt;&gt;"-",SCAN!E58,0)</f>
        <v>0</v>
      </c>
      <c r="T58" s="53">
        <f>IF(SCAN!Q58&lt;&gt;"-",SCAN!F58,0)</f>
        <v>0</v>
      </c>
    </row>
    <row r="59" spans="8:20" x14ac:dyDescent="0.25">
      <c r="H59" s="50">
        <f>IF(AND(SCAN!K59="-",SCAN!Q59="-"),SCAN!D59,0)</f>
        <v>0</v>
      </c>
      <c r="I59" s="50">
        <f>IF(AND(SCAN!K59="-",SCAN!Q59="-"),SCAN!E59,0)</f>
        <v>0</v>
      </c>
      <c r="J59" s="50">
        <f>IF(AND(SCAN!K59="-",SCAN!Q59="-"),SCAN!F59,0)</f>
        <v>0</v>
      </c>
      <c r="M59" s="55">
        <f>IF(SCAN!K59&lt;&gt;"-",SCAN!D59,0)</f>
        <v>0</v>
      </c>
      <c r="N59" s="55">
        <f>IF(SCAN!K59&lt;&gt;"-",SCAN!E59,0)</f>
        <v>0</v>
      </c>
      <c r="O59" s="55">
        <f>IF(SCAN!K59&lt;&gt;"-",SCAN!F59,0)</f>
        <v>0</v>
      </c>
      <c r="R59" s="53">
        <f>IF(SCAN!Q59&lt;&gt;"-",SCAN!D59,0)</f>
        <v>0</v>
      </c>
      <c r="S59" s="53">
        <f>IF(SCAN!Q59&lt;&gt;"-",SCAN!E59,0)</f>
        <v>0</v>
      </c>
      <c r="T59" s="53">
        <f>IF(SCAN!Q59&lt;&gt;"-",SCAN!F59,0)</f>
        <v>0</v>
      </c>
    </row>
    <row r="60" spans="8:20" x14ac:dyDescent="0.25">
      <c r="H60" s="50">
        <f>IF(AND(SCAN!K60="-",SCAN!Q60="-"),SCAN!D60,0)</f>
        <v>0</v>
      </c>
      <c r="I60" s="50">
        <f>IF(AND(SCAN!K60="-",SCAN!Q60="-"),SCAN!E60,0)</f>
        <v>0</v>
      </c>
      <c r="J60" s="50">
        <f>IF(AND(SCAN!K60="-",SCAN!Q60="-"),SCAN!F60,0)</f>
        <v>0</v>
      </c>
      <c r="M60" s="55">
        <f>IF(SCAN!K60&lt;&gt;"-",SCAN!D60,0)</f>
        <v>0</v>
      </c>
      <c r="N60" s="55">
        <f>IF(SCAN!K60&lt;&gt;"-",SCAN!E60,0)</f>
        <v>0</v>
      </c>
      <c r="O60" s="55">
        <f>IF(SCAN!K60&lt;&gt;"-",SCAN!F60,0)</f>
        <v>0</v>
      </c>
      <c r="R60" s="53">
        <f>IF(SCAN!Q60&lt;&gt;"-",SCAN!D60,0)</f>
        <v>0</v>
      </c>
      <c r="S60" s="53">
        <f>IF(SCAN!Q60&lt;&gt;"-",SCAN!E60,0)</f>
        <v>0</v>
      </c>
      <c r="T60" s="53">
        <f>IF(SCAN!Q60&lt;&gt;"-",SCAN!F60,0)</f>
        <v>0</v>
      </c>
    </row>
    <row r="61" spans="8:20" x14ac:dyDescent="0.25">
      <c r="H61" s="50">
        <f>IF(AND(SCAN!K61="-",SCAN!Q61="-"),SCAN!D61,0)</f>
        <v>0</v>
      </c>
      <c r="I61" s="50">
        <f>IF(AND(SCAN!K61="-",SCAN!Q61="-"),SCAN!E61,0)</f>
        <v>0</v>
      </c>
      <c r="J61" s="50">
        <f>IF(AND(SCAN!K61="-",SCAN!Q61="-"),SCAN!F61,0)</f>
        <v>0</v>
      </c>
      <c r="M61" s="55">
        <f>IF(SCAN!K61&lt;&gt;"-",SCAN!D61,0)</f>
        <v>0</v>
      </c>
      <c r="N61" s="55">
        <f>IF(SCAN!K61&lt;&gt;"-",SCAN!E61,0)</f>
        <v>0</v>
      </c>
      <c r="O61" s="55">
        <f>IF(SCAN!K61&lt;&gt;"-",SCAN!F61,0)</f>
        <v>0</v>
      </c>
      <c r="R61" s="53">
        <f>IF(SCAN!Q61&lt;&gt;"-",SCAN!D61,0)</f>
        <v>0</v>
      </c>
      <c r="S61" s="53">
        <f>IF(SCAN!Q61&lt;&gt;"-",SCAN!E61,0)</f>
        <v>0</v>
      </c>
      <c r="T61" s="53">
        <f>IF(SCAN!Q61&lt;&gt;"-",SCAN!F61,0)</f>
        <v>0</v>
      </c>
    </row>
    <row r="62" spans="8:20" x14ac:dyDescent="0.25">
      <c r="H62" s="50">
        <f>IF(AND(SCAN!K62="-",SCAN!Q62="-"),SCAN!D62,0)</f>
        <v>0</v>
      </c>
      <c r="I62" s="50">
        <f>IF(AND(SCAN!K62="-",SCAN!Q62="-"),SCAN!E62,0)</f>
        <v>0</v>
      </c>
      <c r="J62" s="50">
        <f>IF(AND(SCAN!K62="-",SCAN!Q62="-"),SCAN!F62,0)</f>
        <v>0</v>
      </c>
      <c r="M62" s="55">
        <f>IF(SCAN!K62&lt;&gt;"-",SCAN!D62,0)</f>
        <v>0</v>
      </c>
      <c r="N62" s="55">
        <f>IF(SCAN!K62&lt;&gt;"-",SCAN!E62,0)</f>
        <v>0</v>
      </c>
      <c r="O62" s="55">
        <f>IF(SCAN!K62&lt;&gt;"-",SCAN!F62,0)</f>
        <v>0</v>
      </c>
      <c r="R62" s="53">
        <f>IF(SCAN!Q62&lt;&gt;"-",SCAN!D62,0)</f>
        <v>0</v>
      </c>
      <c r="S62" s="53">
        <f>IF(SCAN!Q62&lt;&gt;"-",SCAN!E62,0)</f>
        <v>0</v>
      </c>
      <c r="T62" s="53">
        <f>IF(SCAN!Q62&lt;&gt;"-",SCAN!F62,0)</f>
        <v>0</v>
      </c>
    </row>
    <row r="63" spans="8:20" x14ac:dyDescent="0.25">
      <c r="H63" s="50">
        <f>IF(AND(SCAN!K63="-",SCAN!Q63="-"),SCAN!D63,0)</f>
        <v>0</v>
      </c>
      <c r="I63" s="50">
        <f>IF(AND(SCAN!K63="-",SCAN!Q63="-"),SCAN!E63,0)</f>
        <v>0</v>
      </c>
      <c r="J63" s="50">
        <f>IF(AND(SCAN!K63="-",SCAN!Q63="-"),SCAN!F63,0)</f>
        <v>0</v>
      </c>
      <c r="M63" s="55">
        <f>IF(SCAN!K63&lt;&gt;"-",SCAN!D63,0)</f>
        <v>0</v>
      </c>
      <c r="N63" s="55">
        <f>IF(SCAN!K63&lt;&gt;"-",SCAN!E63,0)</f>
        <v>0</v>
      </c>
      <c r="O63" s="55">
        <f>IF(SCAN!K63&lt;&gt;"-",SCAN!F63,0)</f>
        <v>0</v>
      </c>
      <c r="R63" s="53">
        <f>IF(SCAN!Q63&lt;&gt;"-",SCAN!D63,0)</f>
        <v>0</v>
      </c>
      <c r="S63" s="53">
        <f>IF(SCAN!Q63&lt;&gt;"-",SCAN!E63,0)</f>
        <v>0</v>
      </c>
      <c r="T63" s="53">
        <f>IF(SCAN!Q63&lt;&gt;"-",SCAN!F63,0)</f>
        <v>0</v>
      </c>
    </row>
    <row r="64" spans="8:20" x14ac:dyDescent="0.25">
      <c r="H64" s="50">
        <f>IF(AND(SCAN!K64="-",SCAN!Q64="-"),SCAN!D64,0)</f>
        <v>0</v>
      </c>
      <c r="I64" s="50">
        <f>IF(AND(SCAN!K64="-",SCAN!Q64="-"),SCAN!E64,0)</f>
        <v>0</v>
      </c>
      <c r="J64" s="50">
        <f>IF(AND(SCAN!K64="-",SCAN!Q64="-"),SCAN!F64,0)</f>
        <v>0</v>
      </c>
      <c r="M64" s="55">
        <f>IF(SCAN!K64&lt;&gt;"-",SCAN!D64,0)</f>
        <v>0</v>
      </c>
      <c r="N64" s="55">
        <f>IF(SCAN!K64&lt;&gt;"-",SCAN!E64,0)</f>
        <v>0</v>
      </c>
      <c r="O64" s="55">
        <f>IF(SCAN!K64&lt;&gt;"-",SCAN!F64,0)</f>
        <v>0</v>
      </c>
      <c r="R64" s="53">
        <f>IF(SCAN!Q64&lt;&gt;"-",SCAN!D64,0)</f>
        <v>0</v>
      </c>
      <c r="S64" s="53">
        <f>IF(SCAN!Q64&lt;&gt;"-",SCAN!E64,0)</f>
        <v>0</v>
      </c>
      <c r="T64" s="53">
        <f>IF(SCAN!Q64&lt;&gt;"-",SCAN!F64,0)</f>
        <v>0</v>
      </c>
    </row>
    <row r="65" spans="8:20" x14ac:dyDescent="0.25">
      <c r="H65" s="50">
        <f>IF(AND(SCAN!K65="-",SCAN!Q65="-"),SCAN!D65,0)</f>
        <v>0</v>
      </c>
      <c r="I65" s="50">
        <f>IF(AND(SCAN!K65="-",SCAN!Q65="-"),SCAN!E65,0)</f>
        <v>0</v>
      </c>
      <c r="J65" s="50">
        <f>IF(AND(SCAN!K65="-",SCAN!Q65="-"),SCAN!F65,0)</f>
        <v>0</v>
      </c>
      <c r="M65" s="55">
        <f>IF(SCAN!K65&lt;&gt;"-",SCAN!D65,0)</f>
        <v>0</v>
      </c>
      <c r="N65" s="55">
        <f>IF(SCAN!K65&lt;&gt;"-",SCAN!E65,0)</f>
        <v>0</v>
      </c>
      <c r="O65" s="55">
        <f>IF(SCAN!K65&lt;&gt;"-",SCAN!F65,0)</f>
        <v>0</v>
      </c>
      <c r="R65" s="53">
        <f>IF(SCAN!Q65&lt;&gt;"-",SCAN!D65,0)</f>
        <v>0</v>
      </c>
      <c r="S65" s="53">
        <f>IF(SCAN!Q65&lt;&gt;"-",SCAN!E65,0)</f>
        <v>0</v>
      </c>
      <c r="T65" s="53">
        <f>IF(SCAN!Q65&lt;&gt;"-",SCAN!F65,0)</f>
        <v>0</v>
      </c>
    </row>
    <row r="66" spans="8:20" x14ac:dyDescent="0.25">
      <c r="H66" s="50">
        <f>IF(AND(SCAN!K66="-",SCAN!Q66="-"),SCAN!D66,0)</f>
        <v>0</v>
      </c>
      <c r="I66" s="50">
        <f>IF(AND(SCAN!K66="-",SCAN!Q66="-"),SCAN!E66,0)</f>
        <v>0</v>
      </c>
      <c r="J66" s="50">
        <f>IF(AND(SCAN!K66="-",SCAN!Q66="-"),SCAN!F66,0)</f>
        <v>0</v>
      </c>
      <c r="M66" s="55">
        <f>IF(SCAN!K66&lt;&gt;"-",SCAN!D66,0)</f>
        <v>0</v>
      </c>
      <c r="N66" s="55">
        <f>IF(SCAN!K66&lt;&gt;"-",SCAN!E66,0)</f>
        <v>0</v>
      </c>
      <c r="O66" s="55">
        <f>IF(SCAN!K66&lt;&gt;"-",SCAN!F66,0)</f>
        <v>0</v>
      </c>
      <c r="R66" s="53">
        <f>IF(SCAN!Q66&lt;&gt;"-",SCAN!D66,0)</f>
        <v>0</v>
      </c>
      <c r="S66" s="53">
        <f>IF(SCAN!Q66&lt;&gt;"-",SCAN!E66,0)</f>
        <v>0</v>
      </c>
      <c r="T66" s="53">
        <f>IF(SCAN!Q66&lt;&gt;"-",SCAN!F66,0)</f>
        <v>0</v>
      </c>
    </row>
    <row r="67" spans="8:20" x14ac:dyDescent="0.25">
      <c r="H67" s="50">
        <f>IF(AND(SCAN!K67="-",SCAN!Q67="-"),SCAN!D67,0)</f>
        <v>0</v>
      </c>
      <c r="I67" s="50">
        <f>IF(AND(SCAN!K67="-",SCAN!Q67="-"),SCAN!E67,0)</f>
        <v>0</v>
      </c>
      <c r="J67" s="50">
        <f>IF(AND(SCAN!K67="-",SCAN!Q67="-"),SCAN!F67,0)</f>
        <v>0</v>
      </c>
      <c r="M67" s="55">
        <f>IF(SCAN!K67&lt;&gt;"-",SCAN!D67,0)</f>
        <v>0</v>
      </c>
      <c r="N67" s="55">
        <f>IF(SCAN!K67&lt;&gt;"-",SCAN!E67,0)</f>
        <v>0</v>
      </c>
      <c r="O67" s="55">
        <f>IF(SCAN!K67&lt;&gt;"-",SCAN!F67,0)</f>
        <v>0</v>
      </c>
      <c r="R67" s="53">
        <f>IF(SCAN!Q67&lt;&gt;"-",SCAN!D67,0)</f>
        <v>0</v>
      </c>
      <c r="S67" s="53">
        <f>IF(SCAN!Q67&lt;&gt;"-",SCAN!E67,0)</f>
        <v>0</v>
      </c>
      <c r="T67" s="53">
        <f>IF(SCAN!Q67&lt;&gt;"-",SCAN!F67,0)</f>
        <v>0</v>
      </c>
    </row>
    <row r="68" spans="8:20" x14ac:dyDescent="0.25">
      <c r="H68" s="50">
        <f>IF(AND(SCAN!K68="-",SCAN!Q68="-"),SCAN!D68,0)</f>
        <v>0</v>
      </c>
      <c r="I68" s="50">
        <f>IF(AND(SCAN!K68="-",SCAN!Q68="-"),SCAN!E68,0)</f>
        <v>0</v>
      </c>
      <c r="J68" s="50">
        <f>IF(AND(SCAN!K68="-",SCAN!Q68="-"),SCAN!F68,0)</f>
        <v>0</v>
      </c>
      <c r="M68" s="55">
        <f>IF(SCAN!K68&lt;&gt;"-",SCAN!D68,0)</f>
        <v>0</v>
      </c>
      <c r="N68" s="55">
        <f>IF(SCAN!K68&lt;&gt;"-",SCAN!E68,0)</f>
        <v>0</v>
      </c>
      <c r="O68" s="55">
        <f>IF(SCAN!K68&lt;&gt;"-",SCAN!F68,0)</f>
        <v>0</v>
      </c>
      <c r="R68" s="53">
        <f>IF(SCAN!Q68&lt;&gt;"-",SCAN!D68,0)</f>
        <v>0</v>
      </c>
      <c r="S68" s="53">
        <f>IF(SCAN!Q68&lt;&gt;"-",SCAN!E68,0)</f>
        <v>0</v>
      </c>
      <c r="T68" s="53">
        <f>IF(SCAN!Q68&lt;&gt;"-",SCAN!F68,0)</f>
        <v>0</v>
      </c>
    </row>
    <row r="69" spans="8:20" x14ac:dyDescent="0.25">
      <c r="H69" s="50">
        <f>IF(AND(SCAN!K69="-",SCAN!Q69="-"),SCAN!D69,0)</f>
        <v>0</v>
      </c>
      <c r="I69" s="50">
        <f>IF(AND(SCAN!K69="-",SCAN!Q69="-"),SCAN!E69,0)</f>
        <v>0</v>
      </c>
      <c r="J69" s="50">
        <f>IF(AND(SCAN!K69="-",SCAN!Q69="-"),SCAN!F69,0)</f>
        <v>0</v>
      </c>
      <c r="M69" s="55">
        <f>IF(SCAN!K69&lt;&gt;"-",SCAN!D69,0)</f>
        <v>0</v>
      </c>
      <c r="N69" s="55">
        <f>IF(SCAN!K69&lt;&gt;"-",SCAN!E69,0)</f>
        <v>0</v>
      </c>
      <c r="O69" s="55">
        <f>IF(SCAN!K69&lt;&gt;"-",SCAN!F69,0)</f>
        <v>0</v>
      </c>
      <c r="R69" s="53">
        <f>IF(SCAN!Q69&lt;&gt;"-",SCAN!D69,0)</f>
        <v>0</v>
      </c>
      <c r="S69" s="53">
        <f>IF(SCAN!Q69&lt;&gt;"-",SCAN!E69,0)</f>
        <v>0</v>
      </c>
      <c r="T69" s="53">
        <f>IF(SCAN!Q69&lt;&gt;"-",SCAN!F69,0)</f>
        <v>0</v>
      </c>
    </row>
    <row r="70" spans="8:20" x14ac:dyDescent="0.25">
      <c r="H70" s="50">
        <f>IF(AND(SCAN!K70="-",SCAN!Q70="-"),SCAN!D70,0)</f>
        <v>0</v>
      </c>
      <c r="I70" s="50">
        <f>IF(AND(SCAN!K70="-",SCAN!Q70="-"),SCAN!E70,0)</f>
        <v>0</v>
      </c>
      <c r="J70" s="50">
        <f>IF(AND(SCAN!K70="-",SCAN!Q70="-"),SCAN!F70,0)</f>
        <v>0</v>
      </c>
      <c r="M70" s="55">
        <f>IF(SCAN!K70&lt;&gt;"-",SCAN!D70,0)</f>
        <v>0</v>
      </c>
      <c r="N70" s="55">
        <f>IF(SCAN!K70&lt;&gt;"-",SCAN!E70,0)</f>
        <v>0</v>
      </c>
      <c r="O70" s="55">
        <f>IF(SCAN!K70&lt;&gt;"-",SCAN!F70,0)</f>
        <v>0</v>
      </c>
      <c r="R70" s="53">
        <f>IF(SCAN!Q70&lt;&gt;"-",SCAN!D70,0)</f>
        <v>0</v>
      </c>
      <c r="S70" s="53">
        <f>IF(SCAN!Q70&lt;&gt;"-",SCAN!E70,0)</f>
        <v>0</v>
      </c>
      <c r="T70" s="53">
        <f>IF(SCAN!Q70&lt;&gt;"-",SCAN!F70,0)</f>
        <v>0</v>
      </c>
    </row>
    <row r="71" spans="8:20" x14ac:dyDescent="0.25">
      <c r="H71" s="50">
        <f>IF(AND(SCAN!K71="-",SCAN!Q71="-"),SCAN!D71,0)</f>
        <v>0</v>
      </c>
      <c r="I71" s="50">
        <f>IF(AND(SCAN!K71="-",SCAN!Q71="-"),SCAN!E71,0)</f>
        <v>0</v>
      </c>
      <c r="J71" s="50">
        <f>IF(AND(SCAN!K71="-",SCAN!Q71="-"),SCAN!F71,0)</f>
        <v>0</v>
      </c>
      <c r="M71" s="55">
        <f>IF(SCAN!K71&lt;&gt;"-",SCAN!D71,0)</f>
        <v>0</v>
      </c>
      <c r="N71" s="55">
        <f>IF(SCAN!K71&lt;&gt;"-",SCAN!E71,0)</f>
        <v>0</v>
      </c>
      <c r="O71" s="55">
        <f>IF(SCAN!K71&lt;&gt;"-",SCAN!F71,0)</f>
        <v>0</v>
      </c>
      <c r="R71" s="53">
        <f>IF(SCAN!Q71&lt;&gt;"-",SCAN!D71,0)</f>
        <v>0</v>
      </c>
      <c r="S71" s="53">
        <f>IF(SCAN!Q71&lt;&gt;"-",SCAN!E71,0)</f>
        <v>0</v>
      </c>
      <c r="T71" s="53">
        <f>IF(SCAN!Q71&lt;&gt;"-",SCAN!F71,0)</f>
        <v>0</v>
      </c>
    </row>
    <row r="72" spans="8:20" x14ac:dyDescent="0.25">
      <c r="H72" s="50">
        <f>IF(AND(SCAN!K72="-",SCAN!Q72="-"),SCAN!D72,0)</f>
        <v>0</v>
      </c>
      <c r="I72" s="50">
        <f>IF(AND(SCAN!K72="-",SCAN!Q72="-"),SCAN!E72,0)</f>
        <v>0</v>
      </c>
      <c r="J72" s="50">
        <f>IF(AND(SCAN!K72="-",SCAN!Q72="-"),SCAN!F72,0)</f>
        <v>0</v>
      </c>
      <c r="M72" s="55">
        <f>IF(SCAN!K72&lt;&gt;"-",SCAN!D72,0)</f>
        <v>0</v>
      </c>
      <c r="N72" s="55">
        <f>IF(SCAN!K72&lt;&gt;"-",SCAN!E72,0)</f>
        <v>0</v>
      </c>
      <c r="O72" s="55">
        <f>IF(SCAN!K72&lt;&gt;"-",SCAN!F72,0)</f>
        <v>0</v>
      </c>
      <c r="R72" s="53">
        <f>IF(SCAN!Q72&lt;&gt;"-",SCAN!D72,0)</f>
        <v>0</v>
      </c>
      <c r="S72" s="53">
        <f>IF(SCAN!Q72&lt;&gt;"-",SCAN!E72,0)</f>
        <v>0</v>
      </c>
      <c r="T72" s="53">
        <f>IF(SCAN!Q72&lt;&gt;"-",SCAN!F72,0)</f>
        <v>0</v>
      </c>
    </row>
    <row r="73" spans="8:20" x14ac:dyDescent="0.25">
      <c r="H73" s="50">
        <f>IF(AND(SCAN!K73="-",SCAN!Q73="-"),SCAN!D73,0)</f>
        <v>0</v>
      </c>
      <c r="I73" s="50">
        <f>IF(AND(SCAN!K73="-",SCAN!Q73="-"),SCAN!E73,0)</f>
        <v>0</v>
      </c>
      <c r="J73" s="50">
        <f>IF(AND(SCAN!K73="-",SCAN!Q73="-"),SCAN!F73,0)</f>
        <v>0</v>
      </c>
      <c r="M73" s="55">
        <f>IF(SCAN!K73&lt;&gt;"-",SCAN!D73,0)</f>
        <v>0</v>
      </c>
      <c r="N73" s="55">
        <f>IF(SCAN!K73&lt;&gt;"-",SCAN!E73,0)</f>
        <v>0</v>
      </c>
      <c r="O73" s="55">
        <f>IF(SCAN!K73&lt;&gt;"-",SCAN!F73,0)</f>
        <v>0</v>
      </c>
      <c r="R73" s="53">
        <f>IF(SCAN!Q73&lt;&gt;"-",SCAN!D73,0)</f>
        <v>0</v>
      </c>
      <c r="S73" s="53">
        <f>IF(SCAN!Q73&lt;&gt;"-",SCAN!E73,0)</f>
        <v>0</v>
      </c>
      <c r="T73" s="53">
        <f>IF(SCAN!Q73&lt;&gt;"-",SCAN!F73,0)</f>
        <v>0</v>
      </c>
    </row>
    <row r="74" spans="8:20" x14ac:dyDescent="0.25">
      <c r="H74" s="50">
        <f>IF(AND(SCAN!K74="-",SCAN!Q74="-"),SCAN!D74,0)</f>
        <v>0</v>
      </c>
      <c r="I74" s="50">
        <f>IF(AND(SCAN!K74="-",SCAN!Q74="-"),SCAN!E74,0)</f>
        <v>0</v>
      </c>
      <c r="J74" s="50">
        <f>IF(AND(SCAN!K74="-",SCAN!Q74="-"),SCAN!F74,0)</f>
        <v>0</v>
      </c>
      <c r="M74" s="55">
        <f>IF(SCAN!K74&lt;&gt;"-",SCAN!D74,0)</f>
        <v>0</v>
      </c>
      <c r="N74" s="55">
        <f>IF(SCAN!K74&lt;&gt;"-",SCAN!E74,0)</f>
        <v>0</v>
      </c>
      <c r="O74" s="55">
        <f>IF(SCAN!K74&lt;&gt;"-",SCAN!F74,0)</f>
        <v>0</v>
      </c>
      <c r="R74" s="53">
        <f>IF(SCAN!Q74&lt;&gt;"-",SCAN!D74,0)</f>
        <v>0</v>
      </c>
      <c r="S74" s="53">
        <f>IF(SCAN!Q74&lt;&gt;"-",SCAN!E74,0)</f>
        <v>0</v>
      </c>
      <c r="T74" s="53">
        <f>IF(SCAN!Q74&lt;&gt;"-",SCAN!F74,0)</f>
        <v>0</v>
      </c>
    </row>
    <row r="75" spans="8:20" x14ac:dyDescent="0.25">
      <c r="H75" s="50">
        <f>IF(AND(SCAN!K75="-",SCAN!Q75="-"),SCAN!D75,0)</f>
        <v>0</v>
      </c>
      <c r="I75" s="50">
        <f>IF(AND(SCAN!K75="-",SCAN!Q75="-"),SCAN!E75,0)</f>
        <v>0</v>
      </c>
      <c r="J75" s="50">
        <f>IF(AND(SCAN!K75="-",SCAN!Q75="-"),SCAN!F75,0)</f>
        <v>0</v>
      </c>
      <c r="M75" s="55">
        <f>IF(SCAN!K75&lt;&gt;"-",SCAN!D75,0)</f>
        <v>0</v>
      </c>
      <c r="N75" s="55">
        <f>IF(SCAN!K75&lt;&gt;"-",SCAN!E75,0)</f>
        <v>0</v>
      </c>
      <c r="O75" s="55">
        <f>IF(SCAN!K75&lt;&gt;"-",SCAN!F75,0)</f>
        <v>0</v>
      </c>
      <c r="R75" s="53">
        <f>IF(SCAN!Q75&lt;&gt;"-",SCAN!D75,0)</f>
        <v>0</v>
      </c>
      <c r="S75" s="53">
        <f>IF(SCAN!Q75&lt;&gt;"-",SCAN!E75,0)</f>
        <v>0</v>
      </c>
      <c r="T75" s="53">
        <f>IF(SCAN!Q75&lt;&gt;"-",SCAN!F75,0)</f>
        <v>0</v>
      </c>
    </row>
    <row r="76" spans="8:20" x14ac:dyDescent="0.25">
      <c r="H76" s="50">
        <f>IF(AND(SCAN!K76="-",SCAN!Q76="-"),SCAN!D76,0)</f>
        <v>0</v>
      </c>
      <c r="I76" s="50">
        <f>IF(AND(SCAN!K76="-",SCAN!Q76="-"),SCAN!E76,0)</f>
        <v>0</v>
      </c>
      <c r="J76" s="50">
        <f>IF(AND(SCAN!K76="-",SCAN!Q76="-"),SCAN!F76,0)</f>
        <v>0</v>
      </c>
      <c r="M76" s="55">
        <f>IF(SCAN!K76&lt;&gt;"-",SCAN!D76,0)</f>
        <v>0</v>
      </c>
      <c r="N76" s="55">
        <f>IF(SCAN!K76&lt;&gt;"-",SCAN!E76,0)</f>
        <v>0</v>
      </c>
      <c r="O76" s="55">
        <f>IF(SCAN!K76&lt;&gt;"-",SCAN!F76,0)</f>
        <v>0</v>
      </c>
      <c r="R76" s="53">
        <f>IF(SCAN!Q76&lt;&gt;"-",SCAN!D76,0)</f>
        <v>0</v>
      </c>
      <c r="S76" s="53">
        <f>IF(SCAN!Q76&lt;&gt;"-",SCAN!E76,0)</f>
        <v>0</v>
      </c>
      <c r="T76" s="53">
        <f>IF(SCAN!Q76&lt;&gt;"-",SCAN!F76,0)</f>
        <v>0</v>
      </c>
    </row>
    <row r="77" spans="8:20" x14ac:dyDescent="0.25">
      <c r="H77" s="50">
        <f>IF(AND(SCAN!K77="-",SCAN!Q77="-"),SCAN!D77,0)</f>
        <v>0</v>
      </c>
      <c r="I77" s="50">
        <f>IF(AND(SCAN!K77="-",SCAN!Q77="-"),SCAN!E77,0)</f>
        <v>0</v>
      </c>
      <c r="J77" s="50">
        <f>IF(AND(SCAN!K77="-",SCAN!Q77="-"),SCAN!F77,0)</f>
        <v>0</v>
      </c>
      <c r="M77" s="55">
        <f>IF(SCAN!K77&lt;&gt;"-",SCAN!D77,0)</f>
        <v>0</v>
      </c>
      <c r="N77" s="55">
        <f>IF(SCAN!K77&lt;&gt;"-",SCAN!E77,0)</f>
        <v>0</v>
      </c>
      <c r="O77" s="55">
        <f>IF(SCAN!K77&lt;&gt;"-",SCAN!F77,0)</f>
        <v>0</v>
      </c>
      <c r="R77" s="53">
        <f>IF(SCAN!Q77&lt;&gt;"-",SCAN!D77,0)</f>
        <v>0</v>
      </c>
      <c r="S77" s="53">
        <f>IF(SCAN!Q77&lt;&gt;"-",SCAN!E77,0)</f>
        <v>0</v>
      </c>
      <c r="T77" s="53">
        <f>IF(SCAN!Q77&lt;&gt;"-",SCAN!F77,0)</f>
        <v>0</v>
      </c>
    </row>
    <row r="78" spans="8:20" x14ac:dyDescent="0.25">
      <c r="H78" s="50">
        <f>IF(AND(SCAN!K78="-",SCAN!Q78="-"),SCAN!D78,0)</f>
        <v>0</v>
      </c>
      <c r="I78" s="50">
        <f>IF(AND(SCAN!K78="-",SCAN!Q78="-"),SCAN!E78,0)</f>
        <v>0</v>
      </c>
      <c r="J78" s="50">
        <f>IF(AND(SCAN!K78="-",SCAN!Q78="-"),SCAN!F78,0)</f>
        <v>0</v>
      </c>
      <c r="M78" s="55">
        <f>IF(SCAN!K78&lt;&gt;"-",SCAN!D78,0)</f>
        <v>0</v>
      </c>
      <c r="N78" s="55">
        <f>IF(SCAN!K78&lt;&gt;"-",SCAN!E78,0)</f>
        <v>0</v>
      </c>
      <c r="O78" s="55">
        <f>IF(SCAN!K78&lt;&gt;"-",SCAN!F78,0)</f>
        <v>0</v>
      </c>
      <c r="R78" s="53">
        <f>IF(SCAN!Q78&lt;&gt;"-",SCAN!D78,0)</f>
        <v>0</v>
      </c>
      <c r="S78" s="53">
        <f>IF(SCAN!Q78&lt;&gt;"-",SCAN!E78,0)</f>
        <v>0</v>
      </c>
      <c r="T78" s="53">
        <f>IF(SCAN!Q78&lt;&gt;"-",SCAN!F78,0)</f>
        <v>0</v>
      </c>
    </row>
    <row r="79" spans="8:20" x14ac:dyDescent="0.25">
      <c r="H79" s="50">
        <f>IF(AND(SCAN!K79="-",SCAN!Q79="-"),SCAN!D79,0)</f>
        <v>0</v>
      </c>
      <c r="I79" s="50">
        <f>IF(AND(SCAN!K79="-",SCAN!Q79="-"),SCAN!E79,0)</f>
        <v>0</v>
      </c>
      <c r="J79" s="50">
        <f>IF(AND(SCAN!K79="-",SCAN!Q79="-"),SCAN!F79,0)</f>
        <v>0</v>
      </c>
      <c r="M79" s="55">
        <f>IF(SCAN!K79&lt;&gt;"-",SCAN!D79,0)</f>
        <v>0</v>
      </c>
      <c r="N79" s="55">
        <f>IF(SCAN!K79&lt;&gt;"-",SCAN!E79,0)</f>
        <v>0</v>
      </c>
      <c r="O79" s="55">
        <f>IF(SCAN!K79&lt;&gt;"-",SCAN!F79,0)</f>
        <v>0</v>
      </c>
      <c r="R79" s="53">
        <f>IF(SCAN!Q79&lt;&gt;"-",SCAN!D79,0)</f>
        <v>0</v>
      </c>
      <c r="S79" s="53">
        <f>IF(SCAN!Q79&lt;&gt;"-",SCAN!E79,0)</f>
        <v>0</v>
      </c>
      <c r="T79" s="53">
        <f>IF(SCAN!Q79&lt;&gt;"-",SCAN!F79,0)</f>
        <v>0</v>
      </c>
    </row>
    <row r="80" spans="8:20" x14ac:dyDescent="0.25">
      <c r="H80" s="50">
        <f>IF(AND(SCAN!K80="-",SCAN!Q80="-"),SCAN!D80,0)</f>
        <v>0</v>
      </c>
      <c r="I80" s="50">
        <f>IF(AND(SCAN!K80="-",SCAN!Q80="-"),SCAN!E80,0)</f>
        <v>0</v>
      </c>
      <c r="J80" s="50">
        <f>IF(AND(SCAN!K80="-",SCAN!Q80="-"),SCAN!F80,0)</f>
        <v>0</v>
      </c>
      <c r="M80" s="55">
        <f>IF(SCAN!K80&lt;&gt;"-",SCAN!D80,0)</f>
        <v>0</v>
      </c>
      <c r="N80" s="55">
        <f>IF(SCAN!K80&lt;&gt;"-",SCAN!E80,0)</f>
        <v>0</v>
      </c>
      <c r="O80" s="55">
        <f>IF(SCAN!K80&lt;&gt;"-",SCAN!F80,0)</f>
        <v>0</v>
      </c>
      <c r="R80" s="53">
        <f>IF(SCAN!Q80&lt;&gt;"-",SCAN!D80,0)</f>
        <v>0</v>
      </c>
      <c r="S80" s="53">
        <f>IF(SCAN!Q80&lt;&gt;"-",SCAN!E80,0)</f>
        <v>0</v>
      </c>
      <c r="T80" s="53">
        <f>IF(SCAN!Q80&lt;&gt;"-",SCAN!F80,0)</f>
        <v>0</v>
      </c>
    </row>
    <row r="81" spans="8:20" x14ac:dyDescent="0.25">
      <c r="H81" s="50">
        <f>IF(AND(SCAN!K81="-",SCAN!Q81="-"),SCAN!D81,0)</f>
        <v>0</v>
      </c>
      <c r="I81" s="50">
        <f>IF(AND(SCAN!K81="-",SCAN!Q81="-"),SCAN!E81,0)</f>
        <v>0</v>
      </c>
      <c r="J81" s="50">
        <f>IF(AND(SCAN!K81="-",SCAN!Q81="-"),SCAN!F81,0)</f>
        <v>0</v>
      </c>
      <c r="M81" s="55">
        <f>IF(SCAN!K81&lt;&gt;"-",SCAN!D81,0)</f>
        <v>0</v>
      </c>
      <c r="N81" s="55">
        <f>IF(SCAN!K81&lt;&gt;"-",SCAN!E81,0)</f>
        <v>0</v>
      </c>
      <c r="O81" s="55">
        <f>IF(SCAN!K81&lt;&gt;"-",SCAN!F81,0)</f>
        <v>0</v>
      </c>
      <c r="R81" s="53">
        <f>IF(SCAN!Q81&lt;&gt;"-",SCAN!D81,0)</f>
        <v>0</v>
      </c>
      <c r="S81" s="53">
        <f>IF(SCAN!Q81&lt;&gt;"-",SCAN!E81,0)</f>
        <v>0</v>
      </c>
      <c r="T81" s="53">
        <f>IF(SCAN!Q81&lt;&gt;"-",SCAN!F81,0)</f>
        <v>0</v>
      </c>
    </row>
    <row r="82" spans="8:20" x14ac:dyDescent="0.25">
      <c r="H82" s="50">
        <f>IF(AND(SCAN!K82="-",SCAN!Q82="-"),SCAN!D82,0)</f>
        <v>0</v>
      </c>
      <c r="I82" s="50">
        <f>IF(AND(SCAN!K82="-",SCAN!Q82="-"),SCAN!E82,0)</f>
        <v>0</v>
      </c>
      <c r="J82" s="50">
        <f>IF(AND(SCAN!K82="-",SCAN!Q82="-"),SCAN!F82,0)</f>
        <v>0</v>
      </c>
      <c r="M82" s="55">
        <f>IF(SCAN!K82&lt;&gt;"-",SCAN!D82,0)</f>
        <v>0</v>
      </c>
      <c r="N82" s="55">
        <f>IF(SCAN!K82&lt;&gt;"-",SCAN!E82,0)</f>
        <v>0</v>
      </c>
      <c r="O82" s="55">
        <f>IF(SCAN!K82&lt;&gt;"-",SCAN!F82,0)</f>
        <v>0</v>
      </c>
      <c r="R82" s="53">
        <f>IF(SCAN!Q82&lt;&gt;"-",SCAN!D82,0)</f>
        <v>0</v>
      </c>
      <c r="S82" s="53">
        <f>IF(SCAN!Q82&lt;&gt;"-",SCAN!E82,0)</f>
        <v>0</v>
      </c>
      <c r="T82" s="53">
        <f>IF(SCAN!Q82&lt;&gt;"-",SCAN!F82,0)</f>
        <v>0</v>
      </c>
    </row>
    <row r="83" spans="8:20" x14ac:dyDescent="0.25">
      <c r="H83" s="50">
        <f>IF(AND(SCAN!K83="-",SCAN!Q83="-"),SCAN!D83,0)</f>
        <v>0</v>
      </c>
      <c r="I83" s="50">
        <f>IF(AND(SCAN!K83="-",SCAN!Q83="-"),SCAN!E83,0)</f>
        <v>0</v>
      </c>
      <c r="J83" s="50">
        <f>IF(AND(SCAN!K83="-",SCAN!Q83="-"),SCAN!F83,0)</f>
        <v>0</v>
      </c>
      <c r="M83" s="55">
        <f>IF(SCAN!K83&lt;&gt;"-",SCAN!D83,0)</f>
        <v>0</v>
      </c>
      <c r="N83" s="55">
        <f>IF(SCAN!K83&lt;&gt;"-",SCAN!E83,0)</f>
        <v>0</v>
      </c>
      <c r="O83" s="55">
        <f>IF(SCAN!K83&lt;&gt;"-",SCAN!F83,0)</f>
        <v>0</v>
      </c>
      <c r="R83" s="53">
        <f>IF(SCAN!Q83&lt;&gt;"-",SCAN!D83,0)</f>
        <v>0</v>
      </c>
      <c r="S83" s="53">
        <f>IF(SCAN!Q83&lt;&gt;"-",SCAN!E83,0)</f>
        <v>0</v>
      </c>
      <c r="T83" s="53">
        <f>IF(SCAN!Q83&lt;&gt;"-",SCAN!F83,0)</f>
        <v>0</v>
      </c>
    </row>
    <row r="84" spans="8:20" x14ac:dyDescent="0.25">
      <c r="H84" s="50">
        <f>IF(AND(SCAN!K84="-",SCAN!Q84="-"),SCAN!D84,0)</f>
        <v>0</v>
      </c>
      <c r="I84" s="50">
        <f>IF(AND(SCAN!K84="-",SCAN!Q84="-"),SCAN!E84,0)</f>
        <v>0</v>
      </c>
      <c r="J84" s="50">
        <f>IF(AND(SCAN!K84="-",SCAN!Q84="-"),SCAN!F84,0)</f>
        <v>0</v>
      </c>
      <c r="M84" s="55">
        <f>IF(SCAN!K84&lt;&gt;"-",SCAN!D84,0)</f>
        <v>0</v>
      </c>
      <c r="N84" s="55">
        <f>IF(SCAN!K84&lt;&gt;"-",SCAN!E84,0)</f>
        <v>0</v>
      </c>
      <c r="O84" s="55">
        <f>IF(SCAN!K84&lt;&gt;"-",SCAN!F84,0)</f>
        <v>0</v>
      </c>
      <c r="R84" s="53">
        <f>IF(SCAN!Q84&lt;&gt;"-",SCAN!D84,0)</f>
        <v>0</v>
      </c>
      <c r="S84" s="53">
        <f>IF(SCAN!Q84&lt;&gt;"-",SCAN!E84,0)</f>
        <v>0</v>
      </c>
      <c r="T84" s="53">
        <f>IF(SCAN!Q84&lt;&gt;"-",SCAN!F84,0)</f>
        <v>0</v>
      </c>
    </row>
    <row r="85" spans="8:20" x14ac:dyDescent="0.25">
      <c r="H85" s="50">
        <f>IF(AND(SCAN!K85="-",SCAN!Q85="-"),SCAN!D85,0)</f>
        <v>0</v>
      </c>
      <c r="I85" s="50">
        <f>IF(AND(SCAN!K85="-",SCAN!Q85="-"),SCAN!E85,0)</f>
        <v>0</v>
      </c>
      <c r="J85" s="50">
        <f>IF(AND(SCAN!K85="-",SCAN!Q85="-"),SCAN!F85,0)</f>
        <v>0</v>
      </c>
      <c r="M85" s="55">
        <f>IF(SCAN!K85&lt;&gt;"-",SCAN!D85,0)</f>
        <v>0</v>
      </c>
      <c r="N85" s="55">
        <f>IF(SCAN!K85&lt;&gt;"-",SCAN!E85,0)</f>
        <v>0</v>
      </c>
      <c r="O85" s="55">
        <f>IF(SCAN!K85&lt;&gt;"-",SCAN!F85,0)</f>
        <v>0</v>
      </c>
      <c r="R85" s="53">
        <f>IF(SCAN!Q85&lt;&gt;"-",SCAN!D85,0)</f>
        <v>0</v>
      </c>
      <c r="S85" s="53">
        <f>IF(SCAN!Q85&lt;&gt;"-",SCAN!E85,0)</f>
        <v>0</v>
      </c>
      <c r="T85" s="53">
        <f>IF(SCAN!Q85&lt;&gt;"-",SCAN!F85,0)</f>
        <v>0</v>
      </c>
    </row>
    <row r="86" spans="8:20" x14ac:dyDescent="0.25">
      <c r="H86" s="50">
        <f>IF(AND(SCAN!K86="-",SCAN!Q86="-"),SCAN!D86,0)</f>
        <v>0</v>
      </c>
      <c r="I86" s="50">
        <f>IF(AND(SCAN!K86="-",SCAN!Q86="-"),SCAN!E86,0)</f>
        <v>0</v>
      </c>
      <c r="J86" s="50">
        <f>IF(AND(SCAN!K86="-",SCAN!Q86="-"),SCAN!F86,0)</f>
        <v>0</v>
      </c>
      <c r="M86" s="55">
        <f>IF(SCAN!K86&lt;&gt;"-",SCAN!D86,0)</f>
        <v>0</v>
      </c>
      <c r="N86" s="55">
        <f>IF(SCAN!K86&lt;&gt;"-",SCAN!E86,0)</f>
        <v>0</v>
      </c>
      <c r="O86" s="55">
        <f>IF(SCAN!K86&lt;&gt;"-",SCAN!F86,0)</f>
        <v>0</v>
      </c>
      <c r="R86" s="53">
        <f>IF(SCAN!Q86&lt;&gt;"-",SCAN!D86,0)</f>
        <v>0</v>
      </c>
      <c r="S86" s="53">
        <f>IF(SCAN!Q86&lt;&gt;"-",SCAN!E86,0)</f>
        <v>0</v>
      </c>
      <c r="T86" s="53">
        <f>IF(SCAN!Q86&lt;&gt;"-",SCAN!F86,0)</f>
        <v>0</v>
      </c>
    </row>
    <row r="87" spans="8:20" x14ac:dyDescent="0.25">
      <c r="H87" s="50">
        <f>IF(AND(SCAN!K87="-",SCAN!Q87="-"),SCAN!D87,0)</f>
        <v>0</v>
      </c>
      <c r="I87" s="50">
        <f>IF(AND(SCAN!K87="-",SCAN!Q87="-"),SCAN!E87,0)</f>
        <v>0</v>
      </c>
      <c r="J87" s="50">
        <f>IF(AND(SCAN!K87="-",SCAN!Q87="-"),SCAN!F87,0)</f>
        <v>0</v>
      </c>
      <c r="M87" s="55">
        <f>IF(SCAN!K87&lt;&gt;"-",SCAN!D87,0)</f>
        <v>0</v>
      </c>
      <c r="N87" s="55">
        <f>IF(SCAN!K87&lt;&gt;"-",SCAN!E87,0)</f>
        <v>0</v>
      </c>
      <c r="O87" s="55">
        <f>IF(SCAN!K87&lt;&gt;"-",SCAN!F87,0)</f>
        <v>0</v>
      </c>
      <c r="R87" s="53">
        <f>IF(SCAN!Q87&lt;&gt;"-",SCAN!D87,0)</f>
        <v>0</v>
      </c>
      <c r="S87" s="53">
        <f>IF(SCAN!Q87&lt;&gt;"-",SCAN!E87,0)</f>
        <v>0</v>
      </c>
      <c r="T87" s="53">
        <f>IF(SCAN!Q87&lt;&gt;"-",SCAN!F87,0)</f>
        <v>0</v>
      </c>
    </row>
    <row r="88" spans="8:20" x14ac:dyDescent="0.25">
      <c r="H88" s="50">
        <f>IF(AND(SCAN!K88="-",SCAN!Q88="-"),SCAN!D88,0)</f>
        <v>0</v>
      </c>
      <c r="I88" s="50">
        <f>IF(AND(SCAN!K88="-",SCAN!Q88="-"),SCAN!E88,0)</f>
        <v>0</v>
      </c>
      <c r="J88" s="50">
        <f>IF(AND(SCAN!K88="-",SCAN!Q88="-"),SCAN!F88,0)</f>
        <v>0</v>
      </c>
      <c r="M88" s="55">
        <f>IF(SCAN!K88&lt;&gt;"-",SCAN!D88,0)</f>
        <v>0</v>
      </c>
      <c r="N88" s="55">
        <f>IF(SCAN!K88&lt;&gt;"-",SCAN!E88,0)</f>
        <v>0</v>
      </c>
      <c r="O88" s="55">
        <f>IF(SCAN!K88&lt;&gt;"-",SCAN!F88,0)</f>
        <v>0</v>
      </c>
      <c r="R88" s="53">
        <f>IF(SCAN!Q88&lt;&gt;"-",SCAN!D88,0)</f>
        <v>0</v>
      </c>
      <c r="S88" s="53">
        <f>IF(SCAN!Q88&lt;&gt;"-",SCAN!E88,0)</f>
        <v>0</v>
      </c>
      <c r="T88" s="53">
        <f>IF(SCAN!Q88&lt;&gt;"-",SCAN!F88,0)</f>
        <v>0</v>
      </c>
    </row>
    <row r="89" spans="8:20" x14ac:dyDescent="0.25">
      <c r="H89" s="50">
        <f>IF(AND(SCAN!K89="-",SCAN!Q89="-"),SCAN!D89,0)</f>
        <v>0</v>
      </c>
      <c r="I89" s="50">
        <f>IF(AND(SCAN!K89="-",SCAN!Q89="-"),SCAN!E89,0)</f>
        <v>0</v>
      </c>
      <c r="J89" s="50">
        <f>IF(AND(SCAN!K89="-",SCAN!Q89="-"),SCAN!F89,0)</f>
        <v>0</v>
      </c>
      <c r="M89" s="55">
        <f>IF(SCAN!K89&lt;&gt;"-",SCAN!D89,0)</f>
        <v>0</v>
      </c>
      <c r="N89" s="55">
        <f>IF(SCAN!K89&lt;&gt;"-",SCAN!E89,0)</f>
        <v>0</v>
      </c>
      <c r="O89" s="55">
        <f>IF(SCAN!K89&lt;&gt;"-",SCAN!F89,0)</f>
        <v>0</v>
      </c>
      <c r="R89" s="53">
        <f>IF(SCAN!Q89&lt;&gt;"-",SCAN!D89,0)</f>
        <v>0</v>
      </c>
      <c r="S89" s="53">
        <f>IF(SCAN!Q89&lt;&gt;"-",SCAN!E89,0)</f>
        <v>0</v>
      </c>
      <c r="T89" s="53">
        <f>IF(SCAN!Q89&lt;&gt;"-",SCAN!F89,0)</f>
        <v>0</v>
      </c>
    </row>
    <row r="90" spans="8:20" x14ac:dyDescent="0.25">
      <c r="H90" s="50">
        <f>IF(AND(SCAN!K90="-",SCAN!Q90="-"),SCAN!D90,0)</f>
        <v>0</v>
      </c>
      <c r="I90" s="50">
        <f>IF(AND(SCAN!K90="-",SCAN!Q90="-"),SCAN!E90,0)</f>
        <v>0</v>
      </c>
      <c r="J90" s="50">
        <f>IF(AND(SCAN!K90="-",SCAN!Q90="-"),SCAN!F90,0)</f>
        <v>0</v>
      </c>
      <c r="M90" s="55">
        <f>IF(SCAN!K90&lt;&gt;"-",SCAN!D90,0)</f>
        <v>0</v>
      </c>
      <c r="N90" s="55">
        <f>IF(SCAN!K90&lt;&gt;"-",SCAN!E90,0)</f>
        <v>0</v>
      </c>
      <c r="O90" s="55">
        <f>IF(SCAN!K90&lt;&gt;"-",SCAN!F90,0)</f>
        <v>0</v>
      </c>
      <c r="R90" s="53">
        <f>IF(SCAN!Q90&lt;&gt;"-",SCAN!D90,0)</f>
        <v>0</v>
      </c>
      <c r="S90" s="53">
        <f>IF(SCAN!Q90&lt;&gt;"-",SCAN!E90,0)</f>
        <v>0</v>
      </c>
      <c r="T90" s="53">
        <f>IF(SCAN!Q90&lt;&gt;"-",SCAN!F90,0)</f>
        <v>0</v>
      </c>
    </row>
    <row r="91" spans="8:20" x14ac:dyDescent="0.25">
      <c r="H91" s="50">
        <f>IF(AND(SCAN!K91="-",SCAN!Q91="-"),SCAN!D91,0)</f>
        <v>0</v>
      </c>
      <c r="I91" s="50">
        <f>IF(AND(SCAN!K91="-",SCAN!Q91="-"),SCAN!E91,0)</f>
        <v>0</v>
      </c>
      <c r="J91" s="50">
        <f>IF(AND(SCAN!K91="-",SCAN!Q91="-"),SCAN!F91,0)</f>
        <v>0</v>
      </c>
      <c r="M91" s="55">
        <f>IF(SCAN!K91&lt;&gt;"-",SCAN!D91,0)</f>
        <v>0</v>
      </c>
      <c r="N91" s="55">
        <f>IF(SCAN!K91&lt;&gt;"-",SCAN!E91,0)</f>
        <v>0</v>
      </c>
      <c r="O91" s="55">
        <f>IF(SCAN!K91&lt;&gt;"-",SCAN!F91,0)</f>
        <v>0</v>
      </c>
      <c r="R91" s="53">
        <f>IF(SCAN!Q91&lt;&gt;"-",SCAN!D91,0)</f>
        <v>0</v>
      </c>
      <c r="S91" s="53">
        <f>IF(SCAN!Q91&lt;&gt;"-",SCAN!E91,0)</f>
        <v>0</v>
      </c>
      <c r="T91" s="53">
        <f>IF(SCAN!Q91&lt;&gt;"-",SCAN!F91,0)</f>
        <v>0</v>
      </c>
    </row>
    <row r="92" spans="8:20" x14ac:dyDescent="0.25">
      <c r="H92" s="50">
        <f>IF(AND(SCAN!K92="-",SCAN!Q92="-"),SCAN!D92,0)</f>
        <v>0</v>
      </c>
      <c r="I92" s="50">
        <f>IF(AND(SCAN!K92="-",SCAN!Q92="-"),SCAN!E92,0)</f>
        <v>0</v>
      </c>
      <c r="J92" s="50">
        <f>IF(AND(SCAN!K92="-",SCAN!Q92="-"),SCAN!F92,0)</f>
        <v>0</v>
      </c>
      <c r="M92" s="55">
        <f>IF(SCAN!K92&lt;&gt;"-",SCAN!D92,0)</f>
        <v>0</v>
      </c>
      <c r="N92" s="55">
        <f>IF(SCAN!K92&lt;&gt;"-",SCAN!E92,0)</f>
        <v>0</v>
      </c>
      <c r="O92" s="55">
        <f>IF(SCAN!K92&lt;&gt;"-",SCAN!F92,0)</f>
        <v>0</v>
      </c>
      <c r="R92" s="53">
        <f>IF(SCAN!Q92&lt;&gt;"-",SCAN!D92,0)</f>
        <v>0</v>
      </c>
      <c r="S92" s="53">
        <f>IF(SCAN!Q92&lt;&gt;"-",SCAN!E92,0)</f>
        <v>0</v>
      </c>
      <c r="T92" s="53">
        <f>IF(SCAN!Q92&lt;&gt;"-",SCAN!F92,0)</f>
        <v>0</v>
      </c>
    </row>
    <row r="93" spans="8:20" x14ac:dyDescent="0.25">
      <c r="H93" s="50">
        <f>IF(AND(SCAN!K93="-",SCAN!Q93="-"),SCAN!D93,0)</f>
        <v>0</v>
      </c>
      <c r="I93" s="50">
        <f>IF(AND(SCAN!K93="-",SCAN!Q93="-"),SCAN!E93,0)</f>
        <v>0</v>
      </c>
      <c r="J93" s="50">
        <f>IF(AND(SCAN!K93="-",SCAN!Q93="-"),SCAN!F93,0)</f>
        <v>0</v>
      </c>
      <c r="M93" s="55">
        <f>IF(SCAN!K93&lt;&gt;"-",SCAN!D93,0)</f>
        <v>0</v>
      </c>
      <c r="N93" s="55">
        <f>IF(SCAN!K93&lt;&gt;"-",SCAN!E93,0)</f>
        <v>0</v>
      </c>
      <c r="O93" s="55">
        <f>IF(SCAN!K93&lt;&gt;"-",SCAN!F93,0)</f>
        <v>0</v>
      </c>
      <c r="R93" s="53">
        <f>IF(SCAN!Q93&lt;&gt;"-",SCAN!D93,0)</f>
        <v>0</v>
      </c>
      <c r="S93" s="53">
        <f>IF(SCAN!Q93&lt;&gt;"-",SCAN!E93,0)</f>
        <v>0</v>
      </c>
      <c r="T93" s="53">
        <f>IF(SCAN!Q93&lt;&gt;"-",SCAN!F93,0)</f>
        <v>0</v>
      </c>
    </row>
    <row r="94" spans="8:20" x14ac:dyDescent="0.25">
      <c r="H94" s="50">
        <f>IF(AND(SCAN!K94="-",SCAN!Q94="-"),SCAN!D94,0)</f>
        <v>0</v>
      </c>
      <c r="I94" s="50">
        <f>IF(AND(SCAN!K94="-",SCAN!Q94="-"),SCAN!E94,0)</f>
        <v>0</v>
      </c>
      <c r="J94" s="50">
        <f>IF(AND(SCAN!K94="-",SCAN!Q94="-"),SCAN!F94,0)</f>
        <v>0</v>
      </c>
      <c r="M94" s="55">
        <f>IF(SCAN!K94&lt;&gt;"-",SCAN!D94,0)</f>
        <v>0</v>
      </c>
      <c r="N94" s="55">
        <f>IF(SCAN!K94&lt;&gt;"-",SCAN!E94,0)</f>
        <v>0</v>
      </c>
      <c r="O94" s="55">
        <f>IF(SCAN!K94&lt;&gt;"-",SCAN!F94,0)</f>
        <v>0</v>
      </c>
      <c r="R94" s="53">
        <f>IF(SCAN!Q94&lt;&gt;"-",SCAN!D94,0)</f>
        <v>0</v>
      </c>
      <c r="S94" s="53">
        <f>IF(SCAN!Q94&lt;&gt;"-",SCAN!E94,0)</f>
        <v>0</v>
      </c>
      <c r="T94" s="53">
        <f>IF(SCAN!Q94&lt;&gt;"-",SCAN!F94,0)</f>
        <v>0</v>
      </c>
    </row>
    <row r="95" spans="8:20" x14ac:dyDescent="0.25">
      <c r="H95" s="50">
        <f>IF(AND(SCAN!K95="-",SCAN!Q95="-"),SCAN!D95,0)</f>
        <v>0</v>
      </c>
      <c r="I95" s="50">
        <f>IF(AND(SCAN!K95="-",SCAN!Q95="-"),SCAN!E95,0)</f>
        <v>0</v>
      </c>
      <c r="J95" s="50">
        <f>IF(AND(SCAN!K95="-",SCAN!Q95="-"),SCAN!F95,0)</f>
        <v>0</v>
      </c>
      <c r="M95" s="55">
        <f>IF(SCAN!K95&lt;&gt;"-",SCAN!D95,0)</f>
        <v>0</v>
      </c>
      <c r="N95" s="55">
        <f>IF(SCAN!K95&lt;&gt;"-",SCAN!E95,0)</f>
        <v>0</v>
      </c>
      <c r="O95" s="55">
        <f>IF(SCAN!K95&lt;&gt;"-",SCAN!F95,0)</f>
        <v>0</v>
      </c>
      <c r="R95" s="53">
        <f>IF(SCAN!Q95&lt;&gt;"-",SCAN!D95,0)</f>
        <v>0</v>
      </c>
      <c r="S95" s="53">
        <f>IF(SCAN!Q95&lt;&gt;"-",SCAN!E95,0)</f>
        <v>0</v>
      </c>
      <c r="T95" s="53">
        <f>IF(SCAN!Q95&lt;&gt;"-",SCAN!F95,0)</f>
        <v>0</v>
      </c>
    </row>
    <row r="96" spans="8:20" x14ac:dyDescent="0.25">
      <c r="H96" s="50">
        <f>IF(AND(SCAN!K96="-",SCAN!Q96="-"),SCAN!D96,0)</f>
        <v>0</v>
      </c>
      <c r="I96" s="50">
        <f>IF(AND(SCAN!K96="-",SCAN!Q96="-"),SCAN!E96,0)</f>
        <v>0</v>
      </c>
      <c r="J96" s="50">
        <f>IF(AND(SCAN!K96="-",SCAN!Q96="-"),SCAN!F96,0)</f>
        <v>0</v>
      </c>
      <c r="M96" s="55">
        <f>IF(SCAN!K96&lt;&gt;"-",SCAN!D96,0)</f>
        <v>0</v>
      </c>
      <c r="N96" s="55">
        <f>IF(SCAN!K96&lt;&gt;"-",SCAN!E96,0)</f>
        <v>0</v>
      </c>
      <c r="O96" s="55">
        <f>IF(SCAN!K96&lt;&gt;"-",SCAN!F96,0)</f>
        <v>0</v>
      </c>
      <c r="R96" s="53">
        <f>IF(SCAN!Q96&lt;&gt;"-",SCAN!D96,0)</f>
        <v>0</v>
      </c>
      <c r="S96" s="53">
        <f>IF(SCAN!Q96&lt;&gt;"-",SCAN!E96,0)</f>
        <v>0</v>
      </c>
      <c r="T96" s="53">
        <f>IF(SCAN!Q96&lt;&gt;"-",SCAN!F96,0)</f>
        <v>0</v>
      </c>
    </row>
    <row r="97" spans="8:20" x14ac:dyDescent="0.25">
      <c r="H97" s="50">
        <f>IF(AND(SCAN!K97="-",SCAN!Q97="-"),SCAN!D97,0)</f>
        <v>0</v>
      </c>
      <c r="I97" s="50">
        <f>IF(AND(SCAN!K97="-",SCAN!Q97="-"),SCAN!E97,0)</f>
        <v>0</v>
      </c>
      <c r="J97" s="50">
        <f>IF(AND(SCAN!K97="-",SCAN!Q97="-"),SCAN!F97,0)</f>
        <v>0</v>
      </c>
      <c r="M97" s="55">
        <f>IF(SCAN!K97&lt;&gt;"-",SCAN!D97,0)</f>
        <v>0</v>
      </c>
      <c r="N97" s="55">
        <f>IF(SCAN!K97&lt;&gt;"-",SCAN!E97,0)</f>
        <v>0</v>
      </c>
      <c r="O97" s="55">
        <f>IF(SCAN!K97&lt;&gt;"-",SCAN!F97,0)</f>
        <v>0</v>
      </c>
      <c r="R97" s="53">
        <f>IF(SCAN!Q97&lt;&gt;"-",SCAN!D97,0)</f>
        <v>0</v>
      </c>
      <c r="S97" s="53">
        <f>IF(SCAN!Q97&lt;&gt;"-",SCAN!E97,0)</f>
        <v>0</v>
      </c>
      <c r="T97" s="53">
        <f>IF(SCAN!Q97&lt;&gt;"-",SCAN!F97,0)</f>
        <v>0</v>
      </c>
    </row>
    <row r="98" spans="8:20" x14ac:dyDescent="0.25">
      <c r="H98" s="50">
        <f>IF(AND(SCAN!K98="-",SCAN!Q98="-"),SCAN!D98,0)</f>
        <v>0</v>
      </c>
      <c r="I98" s="50">
        <f>IF(AND(SCAN!K98="-",SCAN!Q98="-"),SCAN!E98,0)</f>
        <v>0</v>
      </c>
      <c r="J98" s="50">
        <f>IF(AND(SCAN!K98="-",SCAN!Q98="-"),SCAN!F98,0)</f>
        <v>0</v>
      </c>
      <c r="M98" s="55">
        <f>IF(SCAN!K98&lt;&gt;"-",SCAN!D98,0)</f>
        <v>0</v>
      </c>
      <c r="N98" s="55">
        <f>IF(SCAN!K98&lt;&gt;"-",SCAN!E98,0)</f>
        <v>0</v>
      </c>
      <c r="O98" s="55">
        <f>IF(SCAN!K98&lt;&gt;"-",SCAN!F98,0)</f>
        <v>0</v>
      </c>
      <c r="R98" s="53">
        <f>IF(SCAN!Q98&lt;&gt;"-",SCAN!D98,0)</f>
        <v>0</v>
      </c>
      <c r="S98" s="53">
        <f>IF(SCAN!Q98&lt;&gt;"-",SCAN!E98,0)</f>
        <v>0</v>
      </c>
      <c r="T98" s="53">
        <f>IF(SCAN!Q98&lt;&gt;"-",SCAN!F98,0)</f>
        <v>0</v>
      </c>
    </row>
    <row r="99" spans="8:20" x14ac:dyDescent="0.25">
      <c r="H99" s="50">
        <f>IF(AND(SCAN!K99="-",SCAN!Q99="-"),SCAN!D99,0)</f>
        <v>0</v>
      </c>
      <c r="I99" s="50">
        <f>IF(AND(SCAN!K99="-",SCAN!Q99="-"),SCAN!E99,0)</f>
        <v>0</v>
      </c>
      <c r="J99" s="50">
        <f>IF(AND(SCAN!K99="-",SCAN!Q99="-"),SCAN!F99,0)</f>
        <v>0</v>
      </c>
      <c r="M99" s="55">
        <f>IF(SCAN!K99&lt;&gt;"-",SCAN!D99,0)</f>
        <v>0</v>
      </c>
      <c r="N99" s="55">
        <f>IF(SCAN!K99&lt;&gt;"-",SCAN!E99,0)</f>
        <v>0</v>
      </c>
      <c r="O99" s="55">
        <f>IF(SCAN!K99&lt;&gt;"-",SCAN!F99,0)</f>
        <v>0</v>
      </c>
      <c r="R99" s="53">
        <f>IF(SCAN!Q99&lt;&gt;"-",SCAN!D99,0)</f>
        <v>0</v>
      </c>
      <c r="S99" s="53">
        <f>IF(SCAN!Q99&lt;&gt;"-",SCAN!E99,0)</f>
        <v>0</v>
      </c>
      <c r="T99" s="53">
        <f>IF(SCAN!Q99&lt;&gt;"-",SCAN!F99,0)</f>
        <v>0</v>
      </c>
    </row>
    <row r="100" spans="8:20" x14ac:dyDescent="0.25">
      <c r="H100" s="50">
        <f>IF(AND(SCAN!K100="-",SCAN!Q100="-"),SCAN!D100,0)</f>
        <v>0</v>
      </c>
      <c r="I100" s="50">
        <f>IF(AND(SCAN!K100="-",SCAN!Q100="-"),SCAN!E100,0)</f>
        <v>0</v>
      </c>
      <c r="J100" s="50">
        <f>IF(AND(SCAN!K100="-",SCAN!Q100="-"),SCAN!F100,0)</f>
        <v>0</v>
      </c>
      <c r="M100" s="55">
        <f>IF(SCAN!K100&lt;&gt;"-",SCAN!D100,0)</f>
        <v>0</v>
      </c>
      <c r="N100" s="55">
        <f>IF(SCAN!K100&lt;&gt;"-",SCAN!E100,0)</f>
        <v>0</v>
      </c>
      <c r="O100" s="55">
        <f>IF(SCAN!K100&lt;&gt;"-",SCAN!F100,0)</f>
        <v>0</v>
      </c>
      <c r="R100" s="53">
        <f>IF(SCAN!Q100&lt;&gt;"-",SCAN!D100,0)</f>
        <v>0</v>
      </c>
      <c r="S100" s="53">
        <f>IF(SCAN!Q100&lt;&gt;"-",SCAN!E100,0)</f>
        <v>0</v>
      </c>
      <c r="T100" s="53">
        <f>IF(SCAN!Q100&lt;&gt;"-",SCAN!F100,0)</f>
        <v>0</v>
      </c>
    </row>
    <row r="101" spans="8:20" x14ac:dyDescent="0.25">
      <c r="H101" s="50">
        <f>IF(AND(SCAN!K101="-",SCAN!Q101="-"),SCAN!D101,0)</f>
        <v>0</v>
      </c>
      <c r="I101" s="50">
        <f>IF(AND(SCAN!K101="-",SCAN!Q101="-"),SCAN!E101,0)</f>
        <v>0</v>
      </c>
      <c r="J101" s="50">
        <f>IF(AND(SCAN!K101="-",SCAN!Q101="-"),SCAN!F101,0)</f>
        <v>0</v>
      </c>
      <c r="M101" s="55">
        <f>IF(SCAN!K101&lt;&gt;"-",SCAN!D101,0)</f>
        <v>0</v>
      </c>
      <c r="N101" s="55">
        <f>IF(SCAN!K101&lt;&gt;"-",SCAN!E101,0)</f>
        <v>0</v>
      </c>
      <c r="O101" s="55">
        <f>IF(SCAN!K101&lt;&gt;"-",SCAN!F101,0)</f>
        <v>0</v>
      </c>
      <c r="R101" s="53">
        <f>IF(SCAN!Q101&lt;&gt;"-",SCAN!D101,0)</f>
        <v>0</v>
      </c>
      <c r="S101" s="53">
        <f>IF(SCAN!Q101&lt;&gt;"-",SCAN!E101,0)</f>
        <v>0</v>
      </c>
      <c r="T101" s="53">
        <f>IF(SCAN!Q101&lt;&gt;"-",SCAN!F101,0)</f>
        <v>0</v>
      </c>
    </row>
    <row r="102" spans="8:20" x14ac:dyDescent="0.25">
      <c r="H102" s="50">
        <f>IF(AND(SCAN!K102="-",SCAN!Q102="-"),SCAN!D102,0)</f>
        <v>0</v>
      </c>
      <c r="I102" s="50">
        <f>IF(AND(SCAN!K102="-",SCAN!Q102="-"),SCAN!E102,0)</f>
        <v>0</v>
      </c>
      <c r="J102" s="50">
        <f>IF(AND(SCAN!K102="-",SCAN!Q102="-"),SCAN!F102,0)</f>
        <v>0</v>
      </c>
      <c r="M102" s="55">
        <f>IF(SCAN!K102&lt;&gt;"-",SCAN!D102,0)</f>
        <v>0</v>
      </c>
      <c r="N102" s="55">
        <f>IF(SCAN!K102&lt;&gt;"-",SCAN!E102,0)</f>
        <v>0</v>
      </c>
      <c r="O102" s="55">
        <f>IF(SCAN!K102&lt;&gt;"-",SCAN!F102,0)</f>
        <v>0</v>
      </c>
      <c r="R102" s="53">
        <f>IF(SCAN!Q102&lt;&gt;"-",SCAN!D102,0)</f>
        <v>0</v>
      </c>
      <c r="S102" s="53">
        <f>IF(SCAN!Q102&lt;&gt;"-",SCAN!E102,0)</f>
        <v>0</v>
      </c>
      <c r="T102" s="53">
        <f>IF(SCAN!Q102&lt;&gt;"-",SCAN!F102,0)</f>
        <v>0</v>
      </c>
    </row>
    <row r="103" spans="8:20" x14ac:dyDescent="0.25">
      <c r="H103" s="50">
        <f>IF(AND(SCAN!K103="-",SCAN!Q103="-"),SCAN!D103,0)</f>
        <v>0</v>
      </c>
      <c r="I103" s="50">
        <f>IF(AND(SCAN!K103="-",SCAN!Q103="-"),SCAN!E103,0)</f>
        <v>0</v>
      </c>
      <c r="J103" s="50">
        <f>IF(AND(SCAN!K103="-",SCAN!Q103="-"),SCAN!F103,0)</f>
        <v>0</v>
      </c>
      <c r="M103" s="55">
        <f>IF(SCAN!K103&lt;&gt;"-",SCAN!D103,0)</f>
        <v>0</v>
      </c>
      <c r="N103" s="55">
        <f>IF(SCAN!K103&lt;&gt;"-",SCAN!E103,0)</f>
        <v>0</v>
      </c>
      <c r="O103" s="55">
        <f>IF(SCAN!K103&lt;&gt;"-",SCAN!F103,0)</f>
        <v>0</v>
      </c>
      <c r="R103" s="53">
        <f>IF(SCAN!Q103&lt;&gt;"-",SCAN!D103,0)</f>
        <v>0</v>
      </c>
      <c r="S103" s="53">
        <f>IF(SCAN!Q103&lt;&gt;"-",SCAN!E103,0)</f>
        <v>0</v>
      </c>
      <c r="T103" s="53">
        <f>IF(SCAN!Q103&lt;&gt;"-",SCAN!F103,0)</f>
        <v>0</v>
      </c>
    </row>
    <row r="104" spans="8:20" x14ac:dyDescent="0.25">
      <c r="H104" s="50">
        <f>IF(AND(SCAN!K104="-",SCAN!Q104="-"),SCAN!D104,0)</f>
        <v>0</v>
      </c>
      <c r="I104" s="50">
        <f>IF(AND(SCAN!K104="-",SCAN!Q104="-"),SCAN!E104,0)</f>
        <v>0</v>
      </c>
      <c r="J104" s="50">
        <f>IF(AND(SCAN!K104="-",SCAN!Q104="-"),SCAN!F104,0)</f>
        <v>0</v>
      </c>
      <c r="M104" s="55">
        <f>IF(SCAN!K104&lt;&gt;"-",SCAN!D104,0)</f>
        <v>0</v>
      </c>
      <c r="N104" s="55">
        <f>IF(SCAN!K104&lt;&gt;"-",SCAN!E104,0)</f>
        <v>0</v>
      </c>
      <c r="O104" s="55">
        <f>IF(SCAN!K104&lt;&gt;"-",SCAN!F104,0)</f>
        <v>0</v>
      </c>
      <c r="R104" s="53">
        <f>IF(SCAN!Q104&lt;&gt;"-",SCAN!D104,0)</f>
        <v>0</v>
      </c>
      <c r="S104" s="53">
        <f>IF(SCAN!Q104&lt;&gt;"-",SCAN!E104,0)</f>
        <v>0</v>
      </c>
      <c r="T104" s="53">
        <f>IF(SCAN!Q104&lt;&gt;"-",SCAN!F104,0)</f>
        <v>0</v>
      </c>
    </row>
    <row r="105" spans="8:20" x14ac:dyDescent="0.25">
      <c r="H105" s="50">
        <f>IF(AND(SCAN!K105="-",SCAN!Q105="-"),SCAN!D105,0)</f>
        <v>0</v>
      </c>
      <c r="I105" s="50">
        <f>IF(AND(SCAN!K105="-",SCAN!Q105="-"),SCAN!E105,0)</f>
        <v>0</v>
      </c>
      <c r="J105" s="50">
        <f>IF(AND(SCAN!K105="-",SCAN!Q105="-"),SCAN!F105,0)</f>
        <v>0</v>
      </c>
      <c r="M105" s="55">
        <f>IF(SCAN!K105&lt;&gt;"-",SCAN!D105,0)</f>
        <v>0</v>
      </c>
      <c r="N105" s="55">
        <f>IF(SCAN!K105&lt;&gt;"-",SCAN!E105,0)</f>
        <v>0</v>
      </c>
      <c r="O105" s="55">
        <f>IF(SCAN!K105&lt;&gt;"-",SCAN!F105,0)</f>
        <v>0</v>
      </c>
      <c r="R105" s="53">
        <f>IF(SCAN!Q105&lt;&gt;"-",SCAN!D105,0)</f>
        <v>0</v>
      </c>
      <c r="S105" s="53">
        <f>IF(SCAN!Q105&lt;&gt;"-",SCAN!E105,0)</f>
        <v>0</v>
      </c>
      <c r="T105" s="53">
        <f>IF(SCAN!Q105&lt;&gt;"-",SCAN!F105,0)</f>
        <v>0</v>
      </c>
    </row>
    <row r="106" spans="8:20" x14ac:dyDescent="0.25">
      <c r="H106" s="50">
        <f>IF(AND(SCAN!K106="-",SCAN!Q106="-"),SCAN!D106,0)</f>
        <v>0</v>
      </c>
      <c r="I106" s="50">
        <f>IF(AND(SCAN!K106="-",SCAN!Q106="-"),SCAN!E106,0)</f>
        <v>0</v>
      </c>
      <c r="J106" s="50">
        <f>IF(AND(SCAN!K106="-",SCAN!Q106="-"),SCAN!F106,0)</f>
        <v>0</v>
      </c>
      <c r="M106" s="55">
        <f>IF(SCAN!K106&lt;&gt;"-",SCAN!D106,0)</f>
        <v>0</v>
      </c>
      <c r="N106" s="55">
        <f>IF(SCAN!K106&lt;&gt;"-",SCAN!E106,0)</f>
        <v>0</v>
      </c>
      <c r="O106" s="55">
        <f>IF(SCAN!K106&lt;&gt;"-",SCAN!F106,0)</f>
        <v>0</v>
      </c>
      <c r="R106" s="53">
        <f>IF(SCAN!Q106&lt;&gt;"-",SCAN!D106,0)</f>
        <v>0</v>
      </c>
      <c r="S106" s="53">
        <f>IF(SCAN!Q106&lt;&gt;"-",SCAN!E106,0)</f>
        <v>0</v>
      </c>
      <c r="T106" s="53">
        <f>IF(SCAN!Q106&lt;&gt;"-",SCAN!F106,0)</f>
        <v>0</v>
      </c>
    </row>
    <row r="107" spans="8:20" x14ac:dyDescent="0.25">
      <c r="H107" s="50">
        <f>IF(AND(SCAN!K107="-",SCAN!Q107="-"),SCAN!D107,0)</f>
        <v>0</v>
      </c>
      <c r="I107" s="50">
        <f>IF(AND(SCAN!K107="-",SCAN!Q107="-"),SCAN!E107,0)</f>
        <v>0</v>
      </c>
      <c r="J107" s="50">
        <f>IF(AND(SCAN!K107="-",SCAN!Q107="-"),SCAN!F107,0)</f>
        <v>0</v>
      </c>
      <c r="M107" s="55">
        <f>IF(SCAN!K107&lt;&gt;"-",SCAN!D107,0)</f>
        <v>0</v>
      </c>
      <c r="N107" s="55">
        <f>IF(SCAN!K107&lt;&gt;"-",SCAN!E107,0)</f>
        <v>0</v>
      </c>
      <c r="O107" s="55">
        <f>IF(SCAN!K107&lt;&gt;"-",SCAN!F107,0)</f>
        <v>0</v>
      </c>
      <c r="R107" s="53">
        <f>IF(SCAN!Q107&lt;&gt;"-",SCAN!D107,0)</f>
        <v>0</v>
      </c>
      <c r="S107" s="53">
        <f>IF(SCAN!Q107&lt;&gt;"-",SCAN!E107,0)</f>
        <v>0</v>
      </c>
      <c r="T107" s="53">
        <f>IF(SCAN!Q107&lt;&gt;"-",SCAN!F107,0)</f>
        <v>0</v>
      </c>
    </row>
    <row r="108" spans="8:20" x14ac:dyDescent="0.25">
      <c r="H108" s="50">
        <f>IF(AND(SCAN!K108="-",SCAN!Q108="-"),SCAN!D108,0)</f>
        <v>0</v>
      </c>
      <c r="I108" s="50">
        <f>IF(AND(SCAN!K108="-",SCAN!Q108="-"),SCAN!E108,0)</f>
        <v>0</v>
      </c>
      <c r="J108" s="50">
        <f>IF(AND(SCAN!K108="-",SCAN!Q108="-"),SCAN!F108,0)</f>
        <v>0</v>
      </c>
      <c r="M108" s="55">
        <f>IF(SCAN!K108&lt;&gt;"-",SCAN!D108,0)</f>
        <v>0</v>
      </c>
      <c r="N108" s="55">
        <f>IF(SCAN!K108&lt;&gt;"-",SCAN!E108,0)</f>
        <v>0</v>
      </c>
      <c r="O108" s="55">
        <f>IF(SCAN!K108&lt;&gt;"-",SCAN!F108,0)</f>
        <v>0</v>
      </c>
      <c r="R108" s="53">
        <f>IF(SCAN!Q108&lt;&gt;"-",SCAN!D108,0)</f>
        <v>0</v>
      </c>
      <c r="S108" s="53">
        <f>IF(SCAN!Q108&lt;&gt;"-",SCAN!E108,0)</f>
        <v>0</v>
      </c>
      <c r="T108" s="53">
        <f>IF(SCAN!Q108&lt;&gt;"-",SCAN!F108,0)</f>
        <v>0</v>
      </c>
    </row>
    <row r="109" spans="8:20" x14ac:dyDescent="0.25">
      <c r="H109" s="50">
        <f>IF(AND(SCAN!K109="-",SCAN!Q109="-"),SCAN!D109,0)</f>
        <v>0</v>
      </c>
      <c r="I109" s="50">
        <f>IF(AND(SCAN!K109="-",SCAN!Q109="-"),SCAN!E109,0)</f>
        <v>0</v>
      </c>
      <c r="J109" s="50">
        <f>IF(AND(SCAN!K109="-",SCAN!Q109="-"),SCAN!F109,0)</f>
        <v>0</v>
      </c>
      <c r="M109" s="55">
        <f>IF(SCAN!K109&lt;&gt;"-",SCAN!D109,0)</f>
        <v>0</v>
      </c>
      <c r="N109" s="55">
        <f>IF(SCAN!K109&lt;&gt;"-",SCAN!E109,0)</f>
        <v>0</v>
      </c>
      <c r="O109" s="55">
        <f>IF(SCAN!K109&lt;&gt;"-",SCAN!F109,0)</f>
        <v>0</v>
      </c>
      <c r="R109" s="53">
        <f>IF(SCAN!Q109&lt;&gt;"-",SCAN!D109,0)</f>
        <v>0</v>
      </c>
      <c r="S109" s="53">
        <f>IF(SCAN!Q109&lt;&gt;"-",SCAN!E109,0)</f>
        <v>0</v>
      </c>
      <c r="T109" s="53">
        <f>IF(SCAN!Q109&lt;&gt;"-",SCAN!F109,0)</f>
        <v>0</v>
      </c>
    </row>
    <row r="110" spans="8:20" x14ac:dyDescent="0.25">
      <c r="H110" s="50">
        <f>IF(AND(SCAN!K110="-",SCAN!Q110="-"),SCAN!D110,0)</f>
        <v>0</v>
      </c>
      <c r="I110" s="50">
        <f>IF(AND(SCAN!K110="-",SCAN!Q110="-"),SCAN!E110,0)</f>
        <v>0</v>
      </c>
      <c r="J110" s="50">
        <f>IF(AND(SCAN!K110="-",SCAN!Q110="-"),SCAN!F110,0)</f>
        <v>0</v>
      </c>
      <c r="M110" s="55">
        <f>IF(SCAN!K110&lt;&gt;"-",SCAN!D110,0)</f>
        <v>0</v>
      </c>
      <c r="N110" s="55">
        <f>IF(SCAN!K110&lt;&gt;"-",SCAN!E110,0)</f>
        <v>0</v>
      </c>
      <c r="O110" s="55">
        <f>IF(SCAN!K110&lt;&gt;"-",SCAN!F110,0)</f>
        <v>0</v>
      </c>
      <c r="R110" s="53">
        <f>IF(SCAN!Q110&lt;&gt;"-",SCAN!D110,0)</f>
        <v>0</v>
      </c>
      <c r="S110" s="53">
        <f>IF(SCAN!Q110&lt;&gt;"-",SCAN!E110,0)</f>
        <v>0</v>
      </c>
      <c r="T110" s="53">
        <f>IF(SCAN!Q110&lt;&gt;"-",SCAN!F110,0)</f>
        <v>0</v>
      </c>
    </row>
    <row r="111" spans="8:20" x14ac:dyDescent="0.25">
      <c r="H111" s="50">
        <f>IF(AND(SCAN!K111="-",SCAN!Q111="-"),SCAN!D111,0)</f>
        <v>0</v>
      </c>
      <c r="I111" s="50">
        <f>IF(AND(SCAN!K111="-",SCAN!Q111="-"),SCAN!E111,0)</f>
        <v>0</v>
      </c>
      <c r="J111" s="50">
        <f>IF(AND(SCAN!K111="-",SCAN!Q111="-"),SCAN!F111,0)</f>
        <v>0</v>
      </c>
      <c r="M111" s="55">
        <f>IF(SCAN!K111&lt;&gt;"-",SCAN!D111,0)</f>
        <v>0</v>
      </c>
      <c r="N111" s="55">
        <f>IF(SCAN!K111&lt;&gt;"-",SCAN!E111,0)</f>
        <v>0</v>
      </c>
      <c r="O111" s="55">
        <f>IF(SCAN!K111&lt;&gt;"-",SCAN!F111,0)</f>
        <v>0</v>
      </c>
      <c r="R111" s="53">
        <f>IF(SCAN!Q111&lt;&gt;"-",SCAN!D111,0)</f>
        <v>0</v>
      </c>
      <c r="S111" s="53">
        <f>IF(SCAN!Q111&lt;&gt;"-",SCAN!E111,0)</f>
        <v>0</v>
      </c>
      <c r="T111" s="53">
        <f>IF(SCAN!Q111&lt;&gt;"-",SCAN!F111,0)</f>
        <v>0</v>
      </c>
    </row>
    <row r="112" spans="8:20" x14ac:dyDescent="0.25">
      <c r="H112" s="50">
        <f>IF(AND(SCAN!K112="-",SCAN!Q112="-"),SCAN!D112,0)</f>
        <v>0</v>
      </c>
      <c r="I112" s="50">
        <f>IF(AND(SCAN!K112="-",SCAN!Q112="-"),SCAN!E112,0)</f>
        <v>0</v>
      </c>
      <c r="J112" s="50">
        <f>IF(AND(SCAN!K112="-",SCAN!Q112="-"),SCAN!F112,0)</f>
        <v>0</v>
      </c>
      <c r="M112" s="55">
        <f>IF(SCAN!K112&lt;&gt;"-",SCAN!D112,0)</f>
        <v>0</v>
      </c>
      <c r="N112" s="55">
        <f>IF(SCAN!K112&lt;&gt;"-",SCAN!E112,0)</f>
        <v>0</v>
      </c>
      <c r="O112" s="55">
        <f>IF(SCAN!K112&lt;&gt;"-",SCAN!F112,0)</f>
        <v>0</v>
      </c>
      <c r="R112" s="53">
        <f>IF(SCAN!Q112&lt;&gt;"-",SCAN!D112,0)</f>
        <v>0</v>
      </c>
      <c r="S112" s="53">
        <f>IF(SCAN!Q112&lt;&gt;"-",SCAN!E112,0)</f>
        <v>0</v>
      </c>
      <c r="T112" s="53">
        <f>IF(SCAN!Q112&lt;&gt;"-",SCAN!F112,0)</f>
        <v>0</v>
      </c>
    </row>
    <row r="113" spans="8:20" x14ac:dyDescent="0.25">
      <c r="H113" s="50">
        <f>IF(AND(SCAN!K113="-",SCAN!Q113="-"),SCAN!D113,0)</f>
        <v>0</v>
      </c>
      <c r="I113" s="50">
        <f>IF(AND(SCAN!K113="-",SCAN!Q113="-"),SCAN!E113,0)</f>
        <v>0</v>
      </c>
      <c r="J113" s="50">
        <f>IF(AND(SCAN!K113="-",SCAN!Q113="-"),SCAN!F113,0)</f>
        <v>0</v>
      </c>
      <c r="M113" s="55">
        <f>IF(SCAN!K113&lt;&gt;"-",SCAN!D113,0)</f>
        <v>0</v>
      </c>
      <c r="N113" s="55">
        <f>IF(SCAN!K113&lt;&gt;"-",SCAN!E113,0)</f>
        <v>0</v>
      </c>
      <c r="O113" s="55">
        <f>IF(SCAN!K113&lt;&gt;"-",SCAN!F113,0)</f>
        <v>0</v>
      </c>
      <c r="R113" s="53">
        <f>IF(SCAN!Q113&lt;&gt;"-",SCAN!D113,0)</f>
        <v>0</v>
      </c>
      <c r="S113" s="53">
        <f>IF(SCAN!Q113&lt;&gt;"-",SCAN!E113,0)</f>
        <v>0</v>
      </c>
      <c r="T113" s="53">
        <f>IF(SCAN!Q113&lt;&gt;"-",SCAN!F113,0)</f>
        <v>0</v>
      </c>
    </row>
    <row r="114" spans="8:20" x14ac:dyDescent="0.25">
      <c r="H114" s="50">
        <f>IF(AND(SCAN!K114="-",SCAN!Q114="-"),SCAN!D114,0)</f>
        <v>0</v>
      </c>
      <c r="I114" s="50">
        <f>IF(AND(SCAN!K114="-",SCAN!Q114="-"),SCAN!E114,0)</f>
        <v>0</v>
      </c>
      <c r="J114" s="50">
        <f>IF(AND(SCAN!K114="-",SCAN!Q114="-"),SCAN!F114,0)</f>
        <v>0</v>
      </c>
      <c r="M114" s="55">
        <f>IF(SCAN!K114&lt;&gt;"-",SCAN!D114,0)</f>
        <v>0</v>
      </c>
      <c r="N114" s="55">
        <f>IF(SCAN!K114&lt;&gt;"-",SCAN!E114,0)</f>
        <v>0</v>
      </c>
      <c r="O114" s="55">
        <f>IF(SCAN!K114&lt;&gt;"-",SCAN!F114,0)</f>
        <v>0</v>
      </c>
      <c r="R114" s="53">
        <f>IF(SCAN!Q114&lt;&gt;"-",SCAN!D114,0)</f>
        <v>0</v>
      </c>
      <c r="S114" s="53">
        <f>IF(SCAN!Q114&lt;&gt;"-",SCAN!E114,0)</f>
        <v>0</v>
      </c>
      <c r="T114" s="53">
        <f>IF(SCAN!Q114&lt;&gt;"-",SCAN!F114,0)</f>
        <v>0</v>
      </c>
    </row>
    <row r="115" spans="8:20" x14ac:dyDescent="0.25">
      <c r="H115" s="50">
        <f>IF(AND(SCAN!K115="-",SCAN!Q115="-"),SCAN!D115,0)</f>
        <v>0</v>
      </c>
      <c r="I115" s="50">
        <f>IF(AND(SCAN!K115="-",SCAN!Q115="-"),SCAN!E115,0)</f>
        <v>0</v>
      </c>
      <c r="J115" s="50">
        <f>IF(AND(SCAN!K115="-",SCAN!Q115="-"),SCAN!F115,0)</f>
        <v>0</v>
      </c>
      <c r="M115" s="55">
        <f>IF(SCAN!K115&lt;&gt;"-",SCAN!D115,0)</f>
        <v>0</v>
      </c>
      <c r="N115" s="55">
        <f>IF(SCAN!K115&lt;&gt;"-",SCAN!E115,0)</f>
        <v>0</v>
      </c>
      <c r="O115" s="55">
        <f>IF(SCAN!K115&lt;&gt;"-",SCAN!F115,0)</f>
        <v>0</v>
      </c>
      <c r="R115" s="53">
        <f>IF(SCAN!Q115&lt;&gt;"-",SCAN!D115,0)</f>
        <v>0</v>
      </c>
      <c r="S115" s="53">
        <f>IF(SCAN!Q115&lt;&gt;"-",SCAN!E115,0)</f>
        <v>0</v>
      </c>
      <c r="T115" s="53">
        <f>IF(SCAN!Q115&lt;&gt;"-",SCAN!F115,0)</f>
        <v>0</v>
      </c>
    </row>
    <row r="116" spans="8:20" x14ac:dyDescent="0.25">
      <c r="H116" s="50">
        <f>IF(AND(SCAN!K116="-",SCAN!Q116="-"),SCAN!D116,0)</f>
        <v>0</v>
      </c>
      <c r="I116" s="50">
        <f>IF(AND(SCAN!K116="-",SCAN!Q116="-"),SCAN!E116,0)</f>
        <v>0</v>
      </c>
      <c r="J116" s="50">
        <f>IF(AND(SCAN!K116="-",SCAN!Q116="-"),SCAN!F116,0)</f>
        <v>0</v>
      </c>
      <c r="M116" s="55">
        <f>IF(SCAN!K116&lt;&gt;"-",SCAN!D116,0)</f>
        <v>0</v>
      </c>
      <c r="N116" s="55">
        <f>IF(SCAN!K116&lt;&gt;"-",SCAN!E116,0)</f>
        <v>0</v>
      </c>
      <c r="O116" s="55">
        <f>IF(SCAN!K116&lt;&gt;"-",SCAN!F116,0)</f>
        <v>0</v>
      </c>
      <c r="R116" s="53">
        <f>IF(SCAN!Q116&lt;&gt;"-",SCAN!D116,0)</f>
        <v>0</v>
      </c>
      <c r="S116" s="53">
        <f>IF(SCAN!Q116&lt;&gt;"-",SCAN!E116,0)</f>
        <v>0</v>
      </c>
      <c r="T116" s="53">
        <f>IF(SCAN!Q116&lt;&gt;"-",SCAN!F116,0)</f>
        <v>0</v>
      </c>
    </row>
    <row r="117" spans="8:20" x14ac:dyDescent="0.25">
      <c r="H117" s="50">
        <f>IF(AND(SCAN!K117="-",SCAN!Q117="-"),SCAN!D117,0)</f>
        <v>0</v>
      </c>
      <c r="I117" s="50">
        <f>IF(AND(SCAN!K117="-",SCAN!Q117="-"),SCAN!E117,0)</f>
        <v>0</v>
      </c>
      <c r="J117" s="50">
        <f>IF(AND(SCAN!K117="-",SCAN!Q117="-"),SCAN!F117,0)</f>
        <v>0</v>
      </c>
      <c r="M117" s="55">
        <f>IF(SCAN!K117&lt;&gt;"-",SCAN!D117,0)</f>
        <v>0</v>
      </c>
      <c r="N117" s="55">
        <f>IF(SCAN!K117&lt;&gt;"-",SCAN!E117,0)</f>
        <v>0</v>
      </c>
      <c r="O117" s="55">
        <f>IF(SCAN!K117&lt;&gt;"-",SCAN!F117,0)</f>
        <v>0</v>
      </c>
      <c r="R117" s="53">
        <f>IF(SCAN!Q117&lt;&gt;"-",SCAN!D117,0)</f>
        <v>0</v>
      </c>
      <c r="S117" s="53">
        <f>IF(SCAN!Q117&lt;&gt;"-",SCAN!E117,0)</f>
        <v>0</v>
      </c>
      <c r="T117" s="53">
        <f>IF(SCAN!Q117&lt;&gt;"-",SCAN!F117,0)</f>
        <v>0</v>
      </c>
    </row>
    <row r="118" spans="8:20" x14ac:dyDescent="0.25">
      <c r="H118" s="50">
        <f>IF(AND(SCAN!K118="-",SCAN!Q118="-"),SCAN!D118,0)</f>
        <v>0</v>
      </c>
      <c r="I118" s="50">
        <f>IF(AND(SCAN!K118="-",SCAN!Q118="-"),SCAN!E118,0)</f>
        <v>0</v>
      </c>
      <c r="J118" s="50">
        <f>IF(AND(SCAN!K118="-",SCAN!Q118="-"),SCAN!F118,0)</f>
        <v>0</v>
      </c>
      <c r="M118" s="55">
        <f>IF(SCAN!K118&lt;&gt;"-",SCAN!D118,0)</f>
        <v>0</v>
      </c>
      <c r="N118" s="55">
        <f>IF(SCAN!K118&lt;&gt;"-",SCAN!E118,0)</f>
        <v>0</v>
      </c>
      <c r="O118" s="55">
        <f>IF(SCAN!K118&lt;&gt;"-",SCAN!F118,0)</f>
        <v>0</v>
      </c>
      <c r="R118" s="53">
        <f>IF(SCAN!Q118&lt;&gt;"-",SCAN!D118,0)</f>
        <v>0</v>
      </c>
      <c r="S118" s="53">
        <f>IF(SCAN!Q118&lt;&gt;"-",SCAN!E118,0)</f>
        <v>0</v>
      </c>
      <c r="T118" s="53">
        <f>IF(SCAN!Q118&lt;&gt;"-",SCAN!F118,0)</f>
        <v>0</v>
      </c>
    </row>
    <row r="119" spans="8:20" x14ac:dyDescent="0.25">
      <c r="H119" s="50">
        <f>IF(AND(SCAN!K119="-",SCAN!Q119="-"),SCAN!D119,0)</f>
        <v>0</v>
      </c>
      <c r="I119" s="50">
        <f>IF(AND(SCAN!K119="-",SCAN!Q119="-"),SCAN!E119,0)</f>
        <v>0</v>
      </c>
      <c r="J119" s="50">
        <f>IF(AND(SCAN!K119="-",SCAN!Q119="-"),SCAN!F119,0)</f>
        <v>0</v>
      </c>
      <c r="M119" s="55">
        <f>IF(SCAN!K119&lt;&gt;"-",SCAN!D119,0)</f>
        <v>0</v>
      </c>
      <c r="N119" s="55">
        <f>IF(SCAN!K119&lt;&gt;"-",SCAN!E119,0)</f>
        <v>0</v>
      </c>
      <c r="O119" s="55">
        <f>IF(SCAN!K119&lt;&gt;"-",SCAN!F119,0)</f>
        <v>0</v>
      </c>
      <c r="R119" s="53">
        <f>IF(SCAN!Q119&lt;&gt;"-",SCAN!D119,0)</f>
        <v>0</v>
      </c>
      <c r="S119" s="53">
        <f>IF(SCAN!Q119&lt;&gt;"-",SCAN!E119,0)</f>
        <v>0</v>
      </c>
      <c r="T119" s="53">
        <f>IF(SCAN!Q119&lt;&gt;"-",SCAN!F119,0)</f>
        <v>0</v>
      </c>
    </row>
    <row r="120" spans="8:20" x14ac:dyDescent="0.25">
      <c r="H120" s="50">
        <f>IF(AND(SCAN!K120="-",SCAN!Q120="-"),SCAN!D120,0)</f>
        <v>0</v>
      </c>
      <c r="I120" s="50">
        <f>IF(AND(SCAN!K120="-",SCAN!Q120="-"),SCAN!E120,0)</f>
        <v>0</v>
      </c>
      <c r="J120" s="50">
        <f>IF(AND(SCAN!K120="-",SCAN!Q120="-"),SCAN!F120,0)</f>
        <v>0</v>
      </c>
      <c r="M120" s="55">
        <f>IF(SCAN!K120&lt;&gt;"-",SCAN!D120,0)</f>
        <v>0</v>
      </c>
      <c r="N120" s="55">
        <f>IF(SCAN!K120&lt;&gt;"-",SCAN!E120,0)</f>
        <v>0</v>
      </c>
      <c r="O120" s="55">
        <f>IF(SCAN!K120&lt;&gt;"-",SCAN!F120,0)</f>
        <v>0</v>
      </c>
      <c r="R120" s="53">
        <f>IF(SCAN!Q120&lt;&gt;"-",SCAN!D120,0)</f>
        <v>0</v>
      </c>
      <c r="S120" s="53">
        <f>IF(SCAN!Q120&lt;&gt;"-",SCAN!E120,0)</f>
        <v>0</v>
      </c>
      <c r="T120" s="53">
        <f>IF(SCAN!Q120&lt;&gt;"-",SCAN!F120,0)</f>
        <v>0</v>
      </c>
    </row>
    <row r="121" spans="8:20" x14ac:dyDescent="0.25">
      <c r="H121" s="50">
        <f>IF(AND(SCAN!K121="-",SCAN!Q121="-"),SCAN!D121,0)</f>
        <v>0</v>
      </c>
      <c r="I121" s="50">
        <f>IF(AND(SCAN!K121="-",SCAN!Q121="-"),SCAN!E121,0)</f>
        <v>0</v>
      </c>
      <c r="J121" s="50">
        <f>IF(AND(SCAN!K121="-",SCAN!Q121="-"),SCAN!F121,0)</f>
        <v>0</v>
      </c>
      <c r="M121" s="55">
        <f>IF(SCAN!K121&lt;&gt;"-",SCAN!D121,0)</f>
        <v>0</v>
      </c>
      <c r="N121" s="55">
        <f>IF(SCAN!K121&lt;&gt;"-",SCAN!E121,0)</f>
        <v>0</v>
      </c>
      <c r="O121" s="55">
        <f>IF(SCAN!K121&lt;&gt;"-",SCAN!F121,0)</f>
        <v>0</v>
      </c>
      <c r="R121" s="53">
        <f>IF(SCAN!Q121&lt;&gt;"-",SCAN!D121,0)</f>
        <v>0</v>
      </c>
      <c r="S121" s="53">
        <f>IF(SCAN!Q121&lt;&gt;"-",SCAN!E121,0)</f>
        <v>0</v>
      </c>
      <c r="T121" s="53">
        <f>IF(SCAN!Q121&lt;&gt;"-",SCAN!F121,0)</f>
        <v>0</v>
      </c>
    </row>
    <row r="122" spans="8:20" x14ac:dyDescent="0.25">
      <c r="H122" s="50">
        <f>IF(AND(SCAN!K122="-",SCAN!Q122="-"),SCAN!D122,0)</f>
        <v>0</v>
      </c>
      <c r="I122" s="50">
        <f>IF(AND(SCAN!K122="-",SCAN!Q122="-"),SCAN!E122,0)</f>
        <v>0</v>
      </c>
      <c r="J122" s="50">
        <f>IF(AND(SCAN!K122="-",SCAN!Q122="-"),SCAN!F122,0)</f>
        <v>0</v>
      </c>
      <c r="M122" s="55">
        <f>IF(SCAN!K122&lt;&gt;"-",SCAN!D122,0)</f>
        <v>0</v>
      </c>
      <c r="N122" s="55">
        <f>IF(SCAN!K122&lt;&gt;"-",SCAN!E122,0)</f>
        <v>0</v>
      </c>
      <c r="O122" s="55">
        <f>IF(SCAN!K122&lt;&gt;"-",SCAN!F122,0)</f>
        <v>0</v>
      </c>
      <c r="R122" s="53">
        <f>IF(SCAN!Q122&lt;&gt;"-",SCAN!D122,0)</f>
        <v>0</v>
      </c>
      <c r="S122" s="53">
        <f>IF(SCAN!Q122&lt;&gt;"-",SCAN!E122,0)</f>
        <v>0</v>
      </c>
      <c r="T122" s="53">
        <f>IF(SCAN!Q122&lt;&gt;"-",SCAN!F122,0)</f>
        <v>0</v>
      </c>
    </row>
    <row r="123" spans="8:20" x14ac:dyDescent="0.25">
      <c r="H123" s="50">
        <f>IF(AND(SCAN!K123="-",SCAN!Q123="-"),SCAN!D123,0)</f>
        <v>0</v>
      </c>
      <c r="I123" s="50">
        <f>IF(AND(SCAN!K123="-",SCAN!Q123="-"),SCAN!E123,0)</f>
        <v>0</v>
      </c>
      <c r="J123" s="50">
        <f>IF(AND(SCAN!K123="-",SCAN!Q123="-"),SCAN!F123,0)</f>
        <v>0</v>
      </c>
      <c r="M123" s="55">
        <f>IF(SCAN!K123&lt;&gt;"-",SCAN!D123,0)</f>
        <v>0</v>
      </c>
      <c r="N123" s="55">
        <f>IF(SCAN!K123&lt;&gt;"-",SCAN!E123,0)</f>
        <v>0</v>
      </c>
      <c r="O123" s="55">
        <f>IF(SCAN!K123&lt;&gt;"-",SCAN!F123,0)</f>
        <v>0</v>
      </c>
      <c r="R123" s="53">
        <f>IF(SCAN!Q123&lt;&gt;"-",SCAN!D123,0)</f>
        <v>0</v>
      </c>
      <c r="S123" s="53">
        <f>IF(SCAN!Q123&lt;&gt;"-",SCAN!E123,0)</f>
        <v>0</v>
      </c>
      <c r="T123" s="53">
        <f>IF(SCAN!Q123&lt;&gt;"-",SCAN!F123,0)</f>
        <v>0</v>
      </c>
    </row>
    <row r="124" spans="8:20" x14ac:dyDescent="0.25">
      <c r="H124" s="50">
        <f>IF(AND(SCAN!K124="-",SCAN!Q124="-"),SCAN!D124,0)</f>
        <v>0</v>
      </c>
      <c r="I124" s="50">
        <f>IF(AND(SCAN!K124="-",SCAN!Q124="-"),SCAN!E124,0)</f>
        <v>0</v>
      </c>
      <c r="J124" s="50">
        <f>IF(AND(SCAN!K124="-",SCAN!Q124="-"),SCAN!F124,0)</f>
        <v>0</v>
      </c>
      <c r="M124" s="55">
        <f>IF(SCAN!K124&lt;&gt;"-",SCAN!D124,0)</f>
        <v>0</v>
      </c>
      <c r="N124" s="55">
        <f>IF(SCAN!K124&lt;&gt;"-",SCAN!E124,0)</f>
        <v>0</v>
      </c>
      <c r="O124" s="55">
        <f>IF(SCAN!K124&lt;&gt;"-",SCAN!F124,0)</f>
        <v>0</v>
      </c>
      <c r="R124" s="53">
        <f>IF(SCAN!Q124&lt;&gt;"-",SCAN!D124,0)</f>
        <v>0</v>
      </c>
      <c r="S124" s="53">
        <f>IF(SCAN!Q124&lt;&gt;"-",SCAN!E124,0)</f>
        <v>0</v>
      </c>
      <c r="T124" s="53">
        <f>IF(SCAN!Q124&lt;&gt;"-",SCAN!F124,0)</f>
        <v>0</v>
      </c>
    </row>
    <row r="125" spans="8:20" x14ac:dyDescent="0.25">
      <c r="H125" s="50">
        <f>IF(AND(SCAN!K125="-",SCAN!Q125="-"),SCAN!D125,0)</f>
        <v>0</v>
      </c>
      <c r="I125" s="50">
        <f>IF(AND(SCAN!K125="-",SCAN!Q125="-"),SCAN!E125,0)</f>
        <v>0</v>
      </c>
      <c r="J125" s="50">
        <f>IF(AND(SCAN!K125="-",SCAN!Q125="-"),SCAN!F125,0)</f>
        <v>0</v>
      </c>
      <c r="M125" s="55">
        <f>IF(SCAN!K125&lt;&gt;"-",SCAN!D125,0)</f>
        <v>0</v>
      </c>
      <c r="N125" s="55">
        <f>IF(SCAN!K125&lt;&gt;"-",SCAN!E125,0)</f>
        <v>0</v>
      </c>
      <c r="O125" s="55">
        <f>IF(SCAN!K125&lt;&gt;"-",SCAN!F125,0)</f>
        <v>0</v>
      </c>
      <c r="R125" s="53">
        <f>IF(SCAN!Q125&lt;&gt;"-",SCAN!D125,0)</f>
        <v>0</v>
      </c>
      <c r="S125" s="53">
        <f>IF(SCAN!Q125&lt;&gt;"-",SCAN!E125,0)</f>
        <v>0</v>
      </c>
      <c r="T125" s="53">
        <f>IF(SCAN!Q125&lt;&gt;"-",SCAN!F125,0)</f>
        <v>0</v>
      </c>
    </row>
    <row r="126" spans="8:20" x14ac:dyDescent="0.25">
      <c r="H126" s="50">
        <f>IF(AND(SCAN!K126="-",SCAN!Q126="-"),SCAN!D126,0)</f>
        <v>0</v>
      </c>
      <c r="I126" s="50">
        <f>IF(AND(SCAN!K126="-",SCAN!Q126="-"),SCAN!E126,0)</f>
        <v>0</v>
      </c>
      <c r="J126" s="50">
        <f>IF(AND(SCAN!K126="-",SCAN!Q126="-"),SCAN!F126,0)</f>
        <v>0</v>
      </c>
      <c r="M126" s="55">
        <f>IF(SCAN!K126&lt;&gt;"-",SCAN!D126,0)</f>
        <v>0</v>
      </c>
      <c r="N126" s="55">
        <f>IF(SCAN!K126&lt;&gt;"-",SCAN!E126,0)</f>
        <v>0</v>
      </c>
      <c r="O126" s="55">
        <f>IF(SCAN!K126&lt;&gt;"-",SCAN!F126,0)</f>
        <v>0</v>
      </c>
      <c r="R126" s="53">
        <f>IF(SCAN!Q126&lt;&gt;"-",SCAN!D126,0)</f>
        <v>0</v>
      </c>
      <c r="S126" s="53">
        <f>IF(SCAN!Q126&lt;&gt;"-",SCAN!E126,0)</f>
        <v>0</v>
      </c>
      <c r="T126" s="53">
        <f>IF(SCAN!Q126&lt;&gt;"-",SCAN!F126,0)</f>
        <v>0</v>
      </c>
    </row>
    <row r="127" spans="8:20" x14ac:dyDescent="0.25">
      <c r="H127" s="50">
        <f>IF(AND(SCAN!K127="-",SCAN!Q127="-"),SCAN!D127,0)</f>
        <v>0</v>
      </c>
      <c r="I127" s="50">
        <f>IF(AND(SCAN!K127="-",SCAN!Q127="-"),SCAN!E127,0)</f>
        <v>0</v>
      </c>
      <c r="J127" s="50">
        <f>IF(AND(SCAN!K127="-",SCAN!Q127="-"),SCAN!F127,0)</f>
        <v>0</v>
      </c>
      <c r="M127" s="55">
        <f>IF(SCAN!K127&lt;&gt;"-",SCAN!D127,0)</f>
        <v>0</v>
      </c>
      <c r="N127" s="55">
        <f>IF(SCAN!K127&lt;&gt;"-",SCAN!E127,0)</f>
        <v>0</v>
      </c>
      <c r="O127" s="55">
        <f>IF(SCAN!K127&lt;&gt;"-",SCAN!F127,0)</f>
        <v>0</v>
      </c>
      <c r="R127" s="53">
        <f>IF(SCAN!Q127&lt;&gt;"-",SCAN!D127,0)</f>
        <v>0</v>
      </c>
      <c r="S127" s="53">
        <f>IF(SCAN!Q127&lt;&gt;"-",SCAN!E127,0)</f>
        <v>0</v>
      </c>
      <c r="T127" s="53">
        <f>IF(SCAN!Q127&lt;&gt;"-",SCAN!F127,0)</f>
        <v>0</v>
      </c>
    </row>
    <row r="128" spans="8:20" x14ac:dyDescent="0.25">
      <c r="H128" s="50">
        <f>IF(AND(SCAN!K128="-",SCAN!Q128="-"),SCAN!D128,0)</f>
        <v>0</v>
      </c>
      <c r="I128" s="50">
        <f>IF(AND(SCAN!K128="-",SCAN!Q128="-"),SCAN!E128,0)</f>
        <v>0</v>
      </c>
      <c r="J128" s="50">
        <f>IF(AND(SCAN!K128="-",SCAN!Q128="-"),SCAN!F128,0)</f>
        <v>0</v>
      </c>
      <c r="M128" s="55">
        <f>IF(SCAN!K128&lt;&gt;"-",SCAN!D128,0)</f>
        <v>0</v>
      </c>
      <c r="N128" s="55">
        <f>IF(SCAN!K128&lt;&gt;"-",SCAN!E128,0)</f>
        <v>0</v>
      </c>
      <c r="O128" s="55">
        <f>IF(SCAN!K128&lt;&gt;"-",SCAN!F128,0)</f>
        <v>0</v>
      </c>
      <c r="R128" s="53">
        <f>IF(SCAN!Q128&lt;&gt;"-",SCAN!D128,0)</f>
        <v>0</v>
      </c>
      <c r="S128" s="53">
        <f>IF(SCAN!Q128&lt;&gt;"-",SCAN!E128,0)</f>
        <v>0</v>
      </c>
      <c r="T128" s="53">
        <f>IF(SCAN!Q128&lt;&gt;"-",SCAN!F128,0)</f>
        <v>0</v>
      </c>
    </row>
    <row r="129" spans="8:20" x14ac:dyDescent="0.25">
      <c r="H129" s="50">
        <f>IF(AND(SCAN!K129="-",SCAN!Q129="-"),SCAN!D129,0)</f>
        <v>0</v>
      </c>
      <c r="I129" s="50">
        <f>IF(AND(SCAN!K129="-",SCAN!Q129="-"),SCAN!E129,0)</f>
        <v>0</v>
      </c>
      <c r="J129" s="50">
        <f>IF(AND(SCAN!K129="-",SCAN!Q129="-"),SCAN!F129,0)</f>
        <v>0</v>
      </c>
      <c r="M129" s="55">
        <f>IF(SCAN!K129&lt;&gt;"-",SCAN!D129,0)</f>
        <v>0</v>
      </c>
      <c r="N129" s="55">
        <f>IF(SCAN!K129&lt;&gt;"-",SCAN!E129,0)</f>
        <v>0</v>
      </c>
      <c r="O129" s="55">
        <f>IF(SCAN!K129&lt;&gt;"-",SCAN!F129,0)</f>
        <v>0</v>
      </c>
      <c r="R129" s="53">
        <f>IF(SCAN!Q129&lt;&gt;"-",SCAN!D129,0)</f>
        <v>0</v>
      </c>
      <c r="S129" s="53">
        <f>IF(SCAN!Q129&lt;&gt;"-",SCAN!E129,0)</f>
        <v>0</v>
      </c>
      <c r="T129" s="53">
        <f>IF(SCAN!Q129&lt;&gt;"-",SCAN!F129,0)</f>
        <v>0</v>
      </c>
    </row>
    <row r="130" spans="8:20" x14ac:dyDescent="0.25">
      <c r="H130" s="50">
        <f>IF(AND(SCAN!K130="-",SCAN!Q130="-"),SCAN!D130,0)</f>
        <v>0</v>
      </c>
      <c r="I130" s="50">
        <f>IF(AND(SCAN!K130="-",SCAN!Q130="-"),SCAN!E130,0)</f>
        <v>0</v>
      </c>
      <c r="J130" s="50">
        <f>IF(AND(SCAN!K130="-",SCAN!Q130="-"),SCAN!F130,0)</f>
        <v>0</v>
      </c>
      <c r="M130" s="55">
        <f>IF(SCAN!K130&lt;&gt;"-",SCAN!D130,0)</f>
        <v>0</v>
      </c>
      <c r="N130" s="55">
        <f>IF(SCAN!K130&lt;&gt;"-",SCAN!E130,0)</f>
        <v>0</v>
      </c>
      <c r="O130" s="55">
        <f>IF(SCAN!K130&lt;&gt;"-",SCAN!F130,0)</f>
        <v>0</v>
      </c>
      <c r="R130" s="53">
        <f>IF(SCAN!Q130&lt;&gt;"-",SCAN!D130,0)</f>
        <v>0</v>
      </c>
      <c r="S130" s="53">
        <f>IF(SCAN!Q130&lt;&gt;"-",SCAN!E130,0)</f>
        <v>0</v>
      </c>
      <c r="T130" s="53">
        <f>IF(SCAN!Q130&lt;&gt;"-",SCAN!F130,0)</f>
        <v>0</v>
      </c>
    </row>
    <row r="131" spans="8:20" x14ac:dyDescent="0.25">
      <c r="H131" s="50">
        <f>IF(AND(SCAN!K131="-",SCAN!Q131="-"),SCAN!D131,0)</f>
        <v>0</v>
      </c>
      <c r="I131" s="50">
        <f>IF(AND(SCAN!K131="-",SCAN!Q131="-"),SCAN!E131,0)</f>
        <v>0</v>
      </c>
      <c r="J131" s="50">
        <f>IF(AND(SCAN!K131="-",SCAN!Q131="-"),SCAN!F131,0)</f>
        <v>0</v>
      </c>
      <c r="M131" s="55">
        <f>IF(SCAN!K131&lt;&gt;"-",SCAN!D131,0)</f>
        <v>0</v>
      </c>
      <c r="N131" s="55">
        <f>IF(SCAN!K131&lt;&gt;"-",SCAN!E131,0)</f>
        <v>0</v>
      </c>
      <c r="O131" s="55">
        <f>IF(SCAN!K131&lt;&gt;"-",SCAN!F131,0)</f>
        <v>0</v>
      </c>
      <c r="R131" s="53">
        <f>IF(SCAN!Q131&lt;&gt;"-",SCAN!D131,0)</f>
        <v>0</v>
      </c>
      <c r="S131" s="53">
        <f>IF(SCAN!Q131&lt;&gt;"-",SCAN!E131,0)</f>
        <v>0</v>
      </c>
      <c r="T131" s="53">
        <f>IF(SCAN!Q131&lt;&gt;"-",SCAN!F131,0)</f>
        <v>0</v>
      </c>
    </row>
    <row r="132" spans="8:20" x14ac:dyDescent="0.25">
      <c r="H132" s="50">
        <f>IF(AND(SCAN!K132="-",SCAN!Q132="-"),SCAN!D132,0)</f>
        <v>0</v>
      </c>
      <c r="I132" s="50">
        <f>IF(AND(SCAN!K132="-",SCAN!Q132="-"),SCAN!E132,0)</f>
        <v>0</v>
      </c>
      <c r="J132" s="50">
        <f>IF(AND(SCAN!K132="-",SCAN!Q132="-"),SCAN!F132,0)</f>
        <v>0</v>
      </c>
      <c r="M132" s="55">
        <f>IF(SCAN!K132&lt;&gt;"-",SCAN!D132,0)</f>
        <v>0</v>
      </c>
      <c r="N132" s="55">
        <f>IF(SCAN!K132&lt;&gt;"-",SCAN!E132,0)</f>
        <v>0</v>
      </c>
      <c r="O132" s="55">
        <f>IF(SCAN!K132&lt;&gt;"-",SCAN!F132,0)</f>
        <v>0</v>
      </c>
      <c r="R132" s="53">
        <f>IF(SCAN!Q132&lt;&gt;"-",SCAN!D132,0)</f>
        <v>0</v>
      </c>
      <c r="S132" s="53">
        <f>IF(SCAN!Q132&lt;&gt;"-",SCAN!E132,0)</f>
        <v>0</v>
      </c>
      <c r="T132" s="53">
        <f>IF(SCAN!Q132&lt;&gt;"-",SCAN!F132,0)</f>
        <v>0</v>
      </c>
    </row>
    <row r="133" spans="8:20" x14ac:dyDescent="0.25">
      <c r="H133" s="50">
        <f>IF(AND(SCAN!K133="-",SCAN!Q133="-"),SCAN!D133,0)</f>
        <v>0</v>
      </c>
      <c r="I133" s="50">
        <f>IF(AND(SCAN!K133="-",SCAN!Q133="-"),SCAN!E133,0)</f>
        <v>0</v>
      </c>
      <c r="J133" s="50">
        <f>IF(AND(SCAN!K133="-",SCAN!Q133="-"),SCAN!F133,0)</f>
        <v>0</v>
      </c>
      <c r="M133" s="55">
        <f>IF(SCAN!K133&lt;&gt;"-",SCAN!D133,0)</f>
        <v>0</v>
      </c>
      <c r="N133" s="55">
        <f>IF(SCAN!K133&lt;&gt;"-",SCAN!E133,0)</f>
        <v>0</v>
      </c>
      <c r="O133" s="55">
        <f>IF(SCAN!K133&lt;&gt;"-",SCAN!F133,0)</f>
        <v>0</v>
      </c>
      <c r="R133" s="53">
        <f>IF(SCAN!Q133&lt;&gt;"-",SCAN!D133,0)</f>
        <v>0</v>
      </c>
      <c r="S133" s="53">
        <f>IF(SCAN!Q133&lt;&gt;"-",SCAN!E133,0)</f>
        <v>0</v>
      </c>
      <c r="T133" s="53">
        <f>IF(SCAN!Q133&lt;&gt;"-",SCAN!F133,0)</f>
        <v>0</v>
      </c>
    </row>
    <row r="134" spans="8:20" x14ac:dyDescent="0.25">
      <c r="H134" s="50">
        <f>IF(AND(SCAN!K134="-",SCAN!Q134="-"),SCAN!D134,0)</f>
        <v>0</v>
      </c>
      <c r="I134" s="50">
        <f>IF(AND(SCAN!K134="-",SCAN!Q134="-"),SCAN!E134,0)</f>
        <v>0</v>
      </c>
      <c r="J134" s="50">
        <f>IF(AND(SCAN!K134="-",SCAN!Q134="-"),SCAN!F134,0)</f>
        <v>0</v>
      </c>
      <c r="M134" s="55">
        <f>IF(SCAN!K134&lt;&gt;"-",SCAN!D134,0)</f>
        <v>0</v>
      </c>
      <c r="N134" s="55">
        <f>IF(SCAN!K134&lt;&gt;"-",SCAN!E134,0)</f>
        <v>0</v>
      </c>
      <c r="O134" s="55">
        <f>IF(SCAN!K134&lt;&gt;"-",SCAN!F134,0)</f>
        <v>0</v>
      </c>
      <c r="R134" s="53">
        <f>IF(SCAN!Q134&lt;&gt;"-",SCAN!D134,0)</f>
        <v>0</v>
      </c>
      <c r="S134" s="53">
        <f>IF(SCAN!Q134&lt;&gt;"-",SCAN!E134,0)</f>
        <v>0</v>
      </c>
      <c r="T134" s="53">
        <f>IF(SCAN!Q134&lt;&gt;"-",SCAN!F134,0)</f>
        <v>0</v>
      </c>
    </row>
    <row r="135" spans="8:20" x14ac:dyDescent="0.25">
      <c r="H135" s="50">
        <f>IF(AND(SCAN!K135="-",SCAN!Q135="-"),SCAN!D135,0)</f>
        <v>0</v>
      </c>
      <c r="I135" s="50">
        <f>IF(AND(SCAN!K135="-",SCAN!Q135="-"),SCAN!E135,0)</f>
        <v>0</v>
      </c>
      <c r="J135" s="50">
        <f>IF(AND(SCAN!K135="-",SCAN!Q135="-"),SCAN!F135,0)</f>
        <v>0</v>
      </c>
      <c r="M135" s="55">
        <f>IF(SCAN!K135&lt;&gt;"-",SCAN!D135,0)</f>
        <v>0</v>
      </c>
      <c r="N135" s="55">
        <f>IF(SCAN!K135&lt;&gt;"-",SCAN!E135,0)</f>
        <v>0</v>
      </c>
      <c r="O135" s="55">
        <f>IF(SCAN!K135&lt;&gt;"-",SCAN!F135,0)</f>
        <v>0</v>
      </c>
      <c r="R135" s="53">
        <f>IF(SCAN!Q135&lt;&gt;"-",SCAN!D135,0)</f>
        <v>0</v>
      </c>
      <c r="S135" s="53">
        <f>IF(SCAN!Q135&lt;&gt;"-",SCAN!E135,0)</f>
        <v>0</v>
      </c>
      <c r="T135" s="53">
        <f>IF(SCAN!Q135&lt;&gt;"-",SCAN!F135,0)</f>
        <v>0</v>
      </c>
    </row>
    <row r="136" spans="8:20" x14ac:dyDescent="0.25">
      <c r="H136" s="50">
        <f>IF(AND(SCAN!K136="-",SCAN!Q136="-"),SCAN!D136,0)</f>
        <v>0</v>
      </c>
      <c r="I136" s="50">
        <f>IF(AND(SCAN!K136="-",SCAN!Q136="-"),SCAN!E136,0)</f>
        <v>0</v>
      </c>
      <c r="J136" s="50">
        <f>IF(AND(SCAN!K136="-",SCAN!Q136="-"),SCAN!F136,0)</f>
        <v>0</v>
      </c>
      <c r="M136" s="55">
        <f>IF(SCAN!K136&lt;&gt;"-",SCAN!D136,0)</f>
        <v>0</v>
      </c>
      <c r="N136" s="55">
        <f>IF(SCAN!K136&lt;&gt;"-",SCAN!E136,0)</f>
        <v>0</v>
      </c>
      <c r="O136" s="55">
        <f>IF(SCAN!K136&lt;&gt;"-",SCAN!F136,0)</f>
        <v>0</v>
      </c>
      <c r="R136" s="53">
        <f>IF(SCAN!Q136&lt;&gt;"-",SCAN!D136,0)</f>
        <v>0</v>
      </c>
      <c r="S136" s="53">
        <f>IF(SCAN!Q136&lt;&gt;"-",SCAN!E136,0)</f>
        <v>0</v>
      </c>
      <c r="T136" s="53">
        <f>IF(SCAN!Q136&lt;&gt;"-",SCAN!F136,0)</f>
        <v>0</v>
      </c>
    </row>
    <row r="137" spans="8:20" x14ac:dyDescent="0.25">
      <c r="H137" s="50">
        <f>IF(AND(SCAN!K137="-",SCAN!Q137="-"),SCAN!D137,0)</f>
        <v>0</v>
      </c>
      <c r="I137" s="50">
        <f>IF(AND(SCAN!K137="-",SCAN!Q137="-"),SCAN!E137,0)</f>
        <v>0</v>
      </c>
      <c r="J137" s="50">
        <f>IF(AND(SCAN!K137="-",SCAN!Q137="-"),SCAN!F137,0)</f>
        <v>0</v>
      </c>
      <c r="M137" s="55">
        <f>IF(SCAN!K137&lt;&gt;"-",SCAN!D137,0)</f>
        <v>0</v>
      </c>
      <c r="N137" s="55">
        <f>IF(SCAN!K137&lt;&gt;"-",SCAN!E137,0)</f>
        <v>0</v>
      </c>
      <c r="O137" s="55">
        <f>IF(SCAN!K137&lt;&gt;"-",SCAN!F137,0)</f>
        <v>0</v>
      </c>
      <c r="R137" s="53">
        <f>IF(SCAN!Q137&lt;&gt;"-",SCAN!D137,0)</f>
        <v>0</v>
      </c>
      <c r="S137" s="53">
        <f>IF(SCAN!Q137&lt;&gt;"-",SCAN!E137,0)</f>
        <v>0</v>
      </c>
      <c r="T137" s="53">
        <f>IF(SCAN!Q137&lt;&gt;"-",SCAN!F137,0)</f>
        <v>0</v>
      </c>
    </row>
    <row r="138" spans="8:20" x14ac:dyDescent="0.25">
      <c r="H138" s="50">
        <f>IF(AND(SCAN!K138="-",SCAN!Q138="-"),SCAN!D138,0)</f>
        <v>0</v>
      </c>
      <c r="I138" s="50">
        <f>IF(AND(SCAN!K138="-",SCAN!Q138="-"),SCAN!E138,0)</f>
        <v>0</v>
      </c>
      <c r="J138" s="50">
        <f>IF(AND(SCAN!K138="-",SCAN!Q138="-"),SCAN!F138,0)</f>
        <v>0</v>
      </c>
      <c r="M138" s="55">
        <f>IF(SCAN!K138&lt;&gt;"-",SCAN!D138,0)</f>
        <v>0</v>
      </c>
      <c r="N138" s="55">
        <f>IF(SCAN!K138&lt;&gt;"-",SCAN!E138,0)</f>
        <v>0</v>
      </c>
      <c r="O138" s="55">
        <f>IF(SCAN!K138&lt;&gt;"-",SCAN!F138,0)</f>
        <v>0</v>
      </c>
      <c r="R138" s="53">
        <f>IF(SCAN!Q138&lt;&gt;"-",SCAN!D138,0)</f>
        <v>0</v>
      </c>
      <c r="S138" s="53">
        <f>IF(SCAN!Q138&lt;&gt;"-",SCAN!E138,0)</f>
        <v>0</v>
      </c>
      <c r="T138" s="53">
        <f>IF(SCAN!Q138&lt;&gt;"-",SCAN!F138,0)</f>
        <v>0</v>
      </c>
    </row>
    <row r="139" spans="8:20" x14ac:dyDescent="0.25">
      <c r="H139" s="50">
        <f>IF(AND(SCAN!K139="-",SCAN!Q139="-"),SCAN!D139,0)</f>
        <v>0</v>
      </c>
      <c r="I139" s="50">
        <f>IF(AND(SCAN!K139="-",SCAN!Q139="-"),SCAN!E139,0)</f>
        <v>0</v>
      </c>
      <c r="J139" s="50">
        <f>IF(AND(SCAN!K139="-",SCAN!Q139="-"),SCAN!F139,0)</f>
        <v>0</v>
      </c>
      <c r="M139" s="55">
        <f>IF(SCAN!K139&lt;&gt;"-",SCAN!D139,0)</f>
        <v>0</v>
      </c>
      <c r="N139" s="55">
        <f>IF(SCAN!K139&lt;&gt;"-",SCAN!E139,0)</f>
        <v>0</v>
      </c>
      <c r="O139" s="55">
        <f>IF(SCAN!K139&lt;&gt;"-",SCAN!F139,0)</f>
        <v>0</v>
      </c>
      <c r="R139" s="53">
        <f>IF(SCAN!Q139&lt;&gt;"-",SCAN!D139,0)</f>
        <v>0</v>
      </c>
      <c r="S139" s="53">
        <f>IF(SCAN!Q139&lt;&gt;"-",SCAN!E139,0)</f>
        <v>0</v>
      </c>
      <c r="T139" s="53">
        <f>IF(SCAN!Q139&lt;&gt;"-",SCAN!F139,0)</f>
        <v>0</v>
      </c>
    </row>
    <row r="140" spans="8:20" x14ac:dyDescent="0.25">
      <c r="H140" s="50">
        <f>IF(AND(SCAN!K140="-",SCAN!Q140="-"),SCAN!D140,0)</f>
        <v>0</v>
      </c>
      <c r="I140" s="50">
        <f>IF(AND(SCAN!K140="-",SCAN!Q140="-"),SCAN!E140,0)</f>
        <v>0</v>
      </c>
      <c r="J140" s="50">
        <f>IF(AND(SCAN!K140="-",SCAN!Q140="-"),SCAN!F140,0)</f>
        <v>0</v>
      </c>
      <c r="M140" s="55">
        <f>IF(SCAN!K140&lt;&gt;"-",SCAN!D140,0)</f>
        <v>0</v>
      </c>
      <c r="N140" s="55">
        <f>IF(SCAN!K140&lt;&gt;"-",SCAN!E140,0)</f>
        <v>0</v>
      </c>
      <c r="O140" s="55">
        <f>IF(SCAN!K140&lt;&gt;"-",SCAN!F140,0)</f>
        <v>0</v>
      </c>
      <c r="R140" s="53">
        <f>IF(SCAN!Q140&lt;&gt;"-",SCAN!D140,0)</f>
        <v>0</v>
      </c>
      <c r="S140" s="53">
        <f>IF(SCAN!Q140&lt;&gt;"-",SCAN!E140,0)</f>
        <v>0</v>
      </c>
      <c r="T140" s="53">
        <f>IF(SCAN!Q140&lt;&gt;"-",SCAN!F140,0)</f>
        <v>0</v>
      </c>
    </row>
    <row r="141" spans="8:20" x14ac:dyDescent="0.25">
      <c r="H141" s="50">
        <f>IF(AND(SCAN!K141="-",SCAN!Q141="-"),SCAN!D141,0)</f>
        <v>0</v>
      </c>
      <c r="I141" s="50">
        <f>IF(AND(SCAN!K141="-",SCAN!Q141="-"),SCAN!E141,0)</f>
        <v>0</v>
      </c>
      <c r="J141" s="50">
        <f>IF(AND(SCAN!K141="-",SCAN!Q141="-"),SCAN!F141,0)</f>
        <v>0</v>
      </c>
      <c r="M141" s="55">
        <f>IF(SCAN!K141&lt;&gt;"-",SCAN!D141,0)</f>
        <v>0</v>
      </c>
      <c r="N141" s="55">
        <f>IF(SCAN!K141&lt;&gt;"-",SCAN!E141,0)</f>
        <v>0</v>
      </c>
      <c r="O141" s="55">
        <f>IF(SCAN!K141&lt;&gt;"-",SCAN!F141,0)</f>
        <v>0</v>
      </c>
      <c r="R141" s="53">
        <f>IF(SCAN!Q141&lt;&gt;"-",SCAN!D141,0)</f>
        <v>0</v>
      </c>
      <c r="S141" s="53">
        <f>IF(SCAN!Q141&lt;&gt;"-",SCAN!E141,0)</f>
        <v>0</v>
      </c>
      <c r="T141" s="53">
        <f>IF(SCAN!Q141&lt;&gt;"-",SCAN!F141,0)</f>
        <v>0</v>
      </c>
    </row>
    <row r="142" spans="8:20" x14ac:dyDescent="0.25">
      <c r="H142" s="50">
        <f>IF(AND(SCAN!K142="-",SCAN!Q142="-"),SCAN!D142,0)</f>
        <v>0</v>
      </c>
      <c r="I142" s="50">
        <f>IF(AND(SCAN!K142="-",SCAN!Q142="-"),SCAN!E142,0)</f>
        <v>0</v>
      </c>
      <c r="J142" s="50">
        <f>IF(AND(SCAN!K142="-",SCAN!Q142="-"),SCAN!F142,0)</f>
        <v>0</v>
      </c>
      <c r="M142" s="55">
        <f>IF(SCAN!K142&lt;&gt;"-",SCAN!D142,0)</f>
        <v>0</v>
      </c>
      <c r="N142" s="55">
        <f>IF(SCAN!K142&lt;&gt;"-",SCAN!E142,0)</f>
        <v>0</v>
      </c>
      <c r="O142" s="55">
        <f>IF(SCAN!K142&lt;&gt;"-",SCAN!F142,0)</f>
        <v>0</v>
      </c>
      <c r="R142" s="53">
        <f>IF(SCAN!Q142&lt;&gt;"-",SCAN!D142,0)</f>
        <v>0</v>
      </c>
      <c r="S142" s="53">
        <f>IF(SCAN!Q142&lt;&gt;"-",SCAN!E142,0)</f>
        <v>0</v>
      </c>
      <c r="T142" s="53">
        <f>IF(SCAN!Q142&lt;&gt;"-",SCAN!F142,0)</f>
        <v>0</v>
      </c>
    </row>
    <row r="143" spans="8:20" x14ac:dyDescent="0.25">
      <c r="H143" s="50">
        <f>IF(AND(SCAN!K143="-",SCAN!Q143="-"),SCAN!D143,0)</f>
        <v>0</v>
      </c>
      <c r="I143" s="50">
        <f>IF(AND(SCAN!K143="-",SCAN!Q143="-"),SCAN!E143,0)</f>
        <v>0</v>
      </c>
      <c r="J143" s="50">
        <f>IF(AND(SCAN!K143="-",SCAN!Q143="-"),SCAN!F143,0)</f>
        <v>0</v>
      </c>
      <c r="M143" s="55">
        <f>IF(SCAN!K143&lt;&gt;"-",SCAN!D143,0)</f>
        <v>0</v>
      </c>
      <c r="N143" s="55">
        <f>IF(SCAN!K143&lt;&gt;"-",SCAN!E143,0)</f>
        <v>0</v>
      </c>
      <c r="O143" s="55">
        <f>IF(SCAN!K143&lt;&gt;"-",SCAN!F143,0)</f>
        <v>0</v>
      </c>
      <c r="R143" s="53">
        <f>IF(SCAN!Q143&lt;&gt;"-",SCAN!D143,0)</f>
        <v>0</v>
      </c>
      <c r="S143" s="53">
        <f>IF(SCAN!Q143&lt;&gt;"-",SCAN!E143,0)</f>
        <v>0</v>
      </c>
      <c r="T143" s="53">
        <f>IF(SCAN!Q143&lt;&gt;"-",SCAN!F143,0)</f>
        <v>0</v>
      </c>
    </row>
    <row r="144" spans="8:20" x14ac:dyDescent="0.25">
      <c r="H144" s="50">
        <f>IF(AND(SCAN!K144="-",SCAN!Q144="-"),SCAN!D144,0)</f>
        <v>0</v>
      </c>
      <c r="I144" s="50">
        <f>IF(AND(SCAN!K144="-",SCAN!Q144="-"),SCAN!E144,0)</f>
        <v>0</v>
      </c>
      <c r="J144" s="50">
        <f>IF(AND(SCAN!K144="-",SCAN!Q144="-"),SCAN!F144,0)</f>
        <v>0</v>
      </c>
      <c r="M144" s="55">
        <f>IF(SCAN!K144&lt;&gt;"-",SCAN!D144,0)</f>
        <v>0</v>
      </c>
      <c r="N144" s="55">
        <f>IF(SCAN!K144&lt;&gt;"-",SCAN!E144,0)</f>
        <v>0</v>
      </c>
      <c r="O144" s="55">
        <f>IF(SCAN!K144&lt;&gt;"-",SCAN!F144,0)</f>
        <v>0</v>
      </c>
      <c r="R144" s="53">
        <f>IF(SCAN!Q144&lt;&gt;"-",SCAN!D144,0)</f>
        <v>0</v>
      </c>
      <c r="S144" s="53">
        <f>IF(SCAN!Q144&lt;&gt;"-",SCAN!E144,0)</f>
        <v>0</v>
      </c>
      <c r="T144" s="53">
        <f>IF(SCAN!Q144&lt;&gt;"-",SCAN!F144,0)</f>
        <v>0</v>
      </c>
    </row>
    <row r="145" spans="8:20" x14ac:dyDescent="0.25">
      <c r="H145" s="50">
        <f>IF(AND(SCAN!K145="-",SCAN!Q145="-"),SCAN!D145,0)</f>
        <v>0</v>
      </c>
      <c r="I145" s="50">
        <f>IF(AND(SCAN!K145="-",SCAN!Q145="-"),SCAN!E145,0)</f>
        <v>0</v>
      </c>
      <c r="J145" s="50">
        <f>IF(AND(SCAN!K145="-",SCAN!Q145="-"),SCAN!F145,0)</f>
        <v>0</v>
      </c>
      <c r="M145" s="55">
        <f>IF(SCAN!K145&lt;&gt;"-",SCAN!D145,0)</f>
        <v>0</v>
      </c>
      <c r="N145" s="55">
        <f>IF(SCAN!K145&lt;&gt;"-",SCAN!E145,0)</f>
        <v>0</v>
      </c>
      <c r="O145" s="55">
        <f>IF(SCAN!K145&lt;&gt;"-",SCAN!F145,0)</f>
        <v>0</v>
      </c>
      <c r="R145" s="53">
        <f>IF(SCAN!Q145&lt;&gt;"-",SCAN!D145,0)</f>
        <v>0</v>
      </c>
      <c r="S145" s="53">
        <f>IF(SCAN!Q145&lt;&gt;"-",SCAN!E145,0)</f>
        <v>0</v>
      </c>
      <c r="T145" s="53">
        <f>IF(SCAN!Q145&lt;&gt;"-",SCAN!F145,0)</f>
        <v>0</v>
      </c>
    </row>
    <row r="146" spans="8:20" x14ac:dyDescent="0.25">
      <c r="H146" s="50">
        <f>IF(AND(SCAN!K146="-",SCAN!Q146="-"),SCAN!D146,0)</f>
        <v>0</v>
      </c>
      <c r="I146" s="50">
        <f>IF(AND(SCAN!K146="-",SCAN!Q146="-"),SCAN!E146,0)</f>
        <v>0</v>
      </c>
      <c r="J146" s="50">
        <f>IF(AND(SCAN!K146="-",SCAN!Q146="-"),SCAN!F146,0)</f>
        <v>0</v>
      </c>
      <c r="M146" s="55">
        <f>IF(SCAN!K146&lt;&gt;"-",SCAN!D146,0)</f>
        <v>0</v>
      </c>
      <c r="N146" s="55">
        <f>IF(SCAN!K146&lt;&gt;"-",SCAN!E146,0)</f>
        <v>0</v>
      </c>
      <c r="O146" s="55">
        <f>IF(SCAN!K146&lt;&gt;"-",SCAN!F146,0)</f>
        <v>0</v>
      </c>
      <c r="R146" s="53">
        <f>IF(SCAN!Q146&lt;&gt;"-",SCAN!D146,0)</f>
        <v>0</v>
      </c>
      <c r="S146" s="53">
        <f>IF(SCAN!Q146&lt;&gt;"-",SCAN!E146,0)</f>
        <v>0</v>
      </c>
      <c r="T146" s="53">
        <f>IF(SCAN!Q146&lt;&gt;"-",SCAN!F146,0)</f>
        <v>0</v>
      </c>
    </row>
    <row r="147" spans="8:20" x14ac:dyDescent="0.25">
      <c r="H147" s="50">
        <f>IF(AND(SCAN!K147="-",SCAN!Q147="-"),SCAN!D147,0)</f>
        <v>0</v>
      </c>
      <c r="I147" s="50">
        <f>IF(AND(SCAN!K147="-",SCAN!Q147="-"),SCAN!E147,0)</f>
        <v>0</v>
      </c>
      <c r="J147" s="50">
        <f>IF(AND(SCAN!K147="-",SCAN!Q147="-"),SCAN!F147,0)</f>
        <v>0</v>
      </c>
      <c r="M147" s="55">
        <f>IF(SCAN!K147&lt;&gt;"-",SCAN!D147,0)</f>
        <v>0</v>
      </c>
      <c r="N147" s="55">
        <f>IF(SCAN!K147&lt;&gt;"-",SCAN!E147,0)</f>
        <v>0</v>
      </c>
      <c r="O147" s="55">
        <f>IF(SCAN!K147&lt;&gt;"-",SCAN!F147,0)</f>
        <v>0</v>
      </c>
      <c r="R147" s="53">
        <f>IF(SCAN!Q147&lt;&gt;"-",SCAN!D147,0)</f>
        <v>0</v>
      </c>
      <c r="S147" s="53">
        <f>IF(SCAN!Q147&lt;&gt;"-",SCAN!E147,0)</f>
        <v>0</v>
      </c>
      <c r="T147" s="53">
        <f>IF(SCAN!Q147&lt;&gt;"-",SCAN!F147,0)</f>
        <v>0</v>
      </c>
    </row>
    <row r="148" spans="8:20" x14ac:dyDescent="0.25">
      <c r="H148" s="50">
        <f>IF(AND(SCAN!K148="-",SCAN!Q148="-"),SCAN!D148,0)</f>
        <v>0</v>
      </c>
      <c r="I148" s="50">
        <f>IF(AND(SCAN!K148="-",SCAN!Q148="-"),SCAN!E148,0)</f>
        <v>0</v>
      </c>
      <c r="J148" s="50">
        <f>IF(AND(SCAN!K148="-",SCAN!Q148="-"),SCAN!F148,0)</f>
        <v>0</v>
      </c>
      <c r="M148" s="55">
        <f>IF(SCAN!K148&lt;&gt;"-",SCAN!D148,0)</f>
        <v>0</v>
      </c>
      <c r="N148" s="55">
        <f>IF(SCAN!K148&lt;&gt;"-",SCAN!E148,0)</f>
        <v>0</v>
      </c>
      <c r="O148" s="55">
        <f>IF(SCAN!K148&lt;&gt;"-",SCAN!F148,0)</f>
        <v>0</v>
      </c>
      <c r="R148" s="53">
        <f>IF(SCAN!Q148&lt;&gt;"-",SCAN!D148,0)</f>
        <v>0</v>
      </c>
      <c r="S148" s="53">
        <f>IF(SCAN!Q148&lt;&gt;"-",SCAN!E148,0)</f>
        <v>0</v>
      </c>
      <c r="T148" s="53">
        <f>IF(SCAN!Q148&lt;&gt;"-",SCAN!F148,0)</f>
        <v>0</v>
      </c>
    </row>
    <row r="149" spans="8:20" x14ac:dyDescent="0.25">
      <c r="H149" s="50">
        <f>IF(AND(SCAN!K149="-",SCAN!Q149="-"),SCAN!D149,0)</f>
        <v>0</v>
      </c>
      <c r="I149" s="50">
        <f>IF(AND(SCAN!K149="-",SCAN!Q149="-"),SCAN!E149,0)</f>
        <v>0</v>
      </c>
      <c r="J149" s="50">
        <f>IF(AND(SCAN!K149="-",SCAN!Q149="-"),SCAN!F149,0)</f>
        <v>0</v>
      </c>
      <c r="M149" s="55">
        <f>IF(SCAN!K149&lt;&gt;"-",SCAN!D149,0)</f>
        <v>0</v>
      </c>
      <c r="N149" s="55">
        <f>IF(SCAN!K149&lt;&gt;"-",SCAN!E149,0)</f>
        <v>0</v>
      </c>
      <c r="O149" s="55">
        <f>IF(SCAN!K149&lt;&gt;"-",SCAN!F149,0)</f>
        <v>0</v>
      </c>
      <c r="R149" s="53">
        <f>IF(SCAN!Q149&lt;&gt;"-",SCAN!D149,0)</f>
        <v>0</v>
      </c>
      <c r="S149" s="53">
        <f>IF(SCAN!Q149&lt;&gt;"-",SCAN!E149,0)</f>
        <v>0</v>
      </c>
      <c r="T149" s="53">
        <f>IF(SCAN!Q149&lt;&gt;"-",SCAN!F149,0)</f>
        <v>0</v>
      </c>
    </row>
    <row r="150" spans="8:20" x14ac:dyDescent="0.25">
      <c r="H150" s="50">
        <f>IF(AND(SCAN!K150="-",SCAN!Q150="-"),SCAN!D150,0)</f>
        <v>0</v>
      </c>
      <c r="I150" s="50">
        <f>IF(AND(SCAN!K150="-",SCAN!Q150="-"),SCAN!E150,0)</f>
        <v>0</v>
      </c>
      <c r="J150" s="50">
        <f>IF(AND(SCAN!K150="-",SCAN!Q150="-"),SCAN!F150,0)</f>
        <v>0</v>
      </c>
      <c r="M150" s="55">
        <f>IF(SCAN!K150&lt;&gt;"-",SCAN!D150,0)</f>
        <v>0</v>
      </c>
      <c r="N150" s="55">
        <f>IF(SCAN!K150&lt;&gt;"-",SCAN!E150,0)</f>
        <v>0</v>
      </c>
      <c r="O150" s="55">
        <f>IF(SCAN!K150&lt;&gt;"-",SCAN!F150,0)</f>
        <v>0</v>
      </c>
      <c r="R150" s="53">
        <f>IF(SCAN!Q150&lt;&gt;"-",SCAN!D150,0)</f>
        <v>0</v>
      </c>
      <c r="S150" s="53">
        <f>IF(SCAN!Q150&lt;&gt;"-",SCAN!E150,0)</f>
        <v>0</v>
      </c>
      <c r="T150" s="53">
        <f>IF(SCAN!Q150&lt;&gt;"-",SCAN!F150,0)</f>
        <v>0</v>
      </c>
    </row>
    <row r="151" spans="8:20" x14ac:dyDescent="0.25">
      <c r="H151" s="50">
        <f>IF(AND(SCAN!K151="-",SCAN!Q151="-"),SCAN!D151,0)</f>
        <v>0</v>
      </c>
      <c r="I151" s="50">
        <f>IF(AND(SCAN!K151="-",SCAN!Q151="-"),SCAN!E151,0)</f>
        <v>0</v>
      </c>
      <c r="J151" s="50">
        <f>IF(AND(SCAN!K151="-",SCAN!Q151="-"),SCAN!F151,0)</f>
        <v>0</v>
      </c>
      <c r="M151" s="55">
        <f>IF(SCAN!K151&lt;&gt;"-",SCAN!D151,0)</f>
        <v>0</v>
      </c>
      <c r="N151" s="55">
        <f>IF(SCAN!K151&lt;&gt;"-",SCAN!E151,0)</f>
        <v>0</v>
      </c>
      <c r="O151" s="55">
        <f>IF(SCAN!K151&lt;&gt;"-",SCAN!F151,0)</f>
        <v>0</v>
      </c>
      <c r="R151" s="53">
        <f>IF(SCAN!Q151&lt;&gt;"-",SCAN!D151,0)</f>
        <v>0</v>
      </c>
      <c r="S151" s="53">
        <f>IF(SCAN!Q151&lt;&gt;"-",SCAN!E151,0)</f>
        <v>0</v>
      </c>
      <c r="T151" s="53">
        <f>IF(SCAN!Q151&lt;&gt;"-",SCAN!F151,0)</f>
        <v>0</v>
      </c>
    </row>
    <row r="152" spans="8:20" x14ac:dyDescent="0.25">
      <c r="H152" s="50">
        <f>IF(AND(SCAN!K152="-",SCAN!Q152="-"),SCAN!D152,0)</f>
        <v>0</v>
      </c>
      <c r="I152" s="50">
        <f>IF(AND(SCAN!K152="-",SCAN!Q152="-"),SCAN!E152,0)</f>
        <v>0</v>
      </c>
      <c r="J152" s="50">
        <f>IF(AND(SCAN!K152="-",SCAN!Q152="-"),SCAN!F152,0)</f>
        <v>0</v>
      </c>
      <c r="M152" s="55">
        <f>IF(SCAN!K152&lt;&gt;"-",SCAN!D152,0)</f>
        <v>0</v>
      </c>
      <c r="N152" s="55">
        <f>IF(SCAN!K152&lt;&gt;"-",SCAN!E152,0)</f>
        <v>0</v>
      </c>
      <c r="O152" s="55">
        <f>IF(SCAN!K152&lt;&gt;"-",SCAN!F152,0)</f>
        <v>0</v>
      </c>
      <c r="R152" s="53">
        <f>IF(SCAN!Q152&lt;&gt;"-",SCAN!D152,0)</f>
        <v>0</v>
      </c>
      <c r="S152" s="53">
        <f>IF(SCAN!Q152&lt;&gt;"-",SCAN!E152,0)</f>
        <v>0</v>
      </c>
      <c r="T152" s="53">
        <f>IF(SCAN!Q152&lt;&gt;"-",SCAN!F152,0)</f>
        <v>0</v>
      </c>
    </row>
    <row r="153" spans="8:20" x14ac:dyDescent="0.25">
      <c r="H153" s="50">
        <f>IF(AND(SCAN!K153="-",SCAN!Q153="-"),SCAN!D153,0)</f>
        <v>0</v>
      </c>
      <c r="I153" s="50">
        <f>IF(AND(SCAN!K153="-",SCAN!Q153="-"),SCAN!E153,0)</f>
        <v>0</v>
      </c>
      <c r="J153" s="50">
        <f>IF(AND(SCAN!K153="-",SCAN!Q153="-"),SCAN!F153,0)</f>
        <v>0</v>
      </c>
      <c r="M153" s="55">
        <f>IF(SCAN!K153&lt;&gt;"-",SCAN!D153,0)</f>
        <v>0</v>
      </c>
      <c r="N153" s="55">
        <f>IF(SCAN!K153&lt;&gt;"-",SCAN!E153,0)</f>
        <v>0</v>
      </c>
      <c r="O153" s="55">
        <f>IF(SCAN!K153&lt;&gt;"-",SCAN!F153,0)</f>
        <v>0</v>
      </c>
      <c r="R153" s="53">
        <f>IF(SCAN!Q153&lt;&gt;"-",SCAN!D153,0)</f>
        <v>0</v>
      </c>
      <c r="S153" s="53">
        <f>IF(SCAN!Q153&lt;&gt;"-",SCAN!E153,0)</f>
        <v>0</v>
      </c>
      <c r="T153" s="53">
        <f>IF(SCAN!Q153&lt;&gt;"-",SCAN!F153,0)</f>
        <v>0</v>
      </c>
    </row>
    <row r="154" spans="8:20" x14ac:dyDescent="0.25">
      <c r="H154" s="50">
        <f>IF(AND(SCAN!K154="-",SCAN!Q154="-"),SCAN!D154,0)</f>
        <v>0</v>
      </c>
      <c r="I154" s="50">
        <f>IF(AND(SCAN!K154="-",SCAN!Q154="-"),SCAN!E154,0)</f>
        <v>0</v>
      </c>
      <c r="J154" s="50">
        <f>IF(AND(SCAN!K154="-",SCAN!Q154="-"),SCAN!F154,0)</f>
        <v>0</v>
      </c>
      <c r="M154" s="55">
        <f>IF(SCAN!K154&lt;&gt;"-",SCAN!D154,0)</f>
        <v>0</v>
      </c>
      <c r="N154" s="55">
        <f>IF(SCAN!K154&lt;&gt;"-",SCAN!E154,0)</f>
        <v>0</v>
      </c>
      <c r="O154" s="55">
        <f>IF(SCAN!K154&lt;&gt;"-",SCAN!F154,0)</f>
        <v>0</v>
      </c>
      <c r="R154" s="53">
        <f>IF(SCAN!Q154&lt;&gt;"-",SCAN!D154,0)</f>
        <v>0</v>
      </c>
      <c r="S154" s="53">
        <f>IF(SCAN!Q154&lt;&gt;"-",SCAN!E154,0)</f>
        <v>0</v>
      </c>
      <c r="T154" s="53">
        <f>IF(SCAN!Q154&lt;&gt;"-",SCAN!F154,0)</f>
        <v>0</v>
      </c>
    </row>
    <row r="155" spans="8:20" x14ac:dyDescent="0.25">
      <c r="H155" s="50">
        <f>IF(AND(SCAN!K155="-",SCAN!Q155="-"),SCAN!D155,0)</f>
        <v>0</v>
      </c>
      <c r="I155" s="50">
        <f>IF(AND(SCAN!K155="-",SCAN!Q155="-"),SCAN!E155,0)</f>
        <v>0</v>
      </c>
      <c r="J155" s="50">
        <f>IF(AND(SCAN!K155="-",SCAN!Q155="-"),SCAN!F155,0)</f>
        <v>0</v>
      </c>
      <c r="M155" s="55">
        <f>IF(SCAN!K155&lt;&gt;"-",SCAN!D155,0)</f>
        <v>0</v>
      </c>
      <c r="N155" s="55">
        <f>IF(SCAN!K155&lt;&gt;"-",SCAN!E155,0)</f>
        <v>0</v>
      </c>
      <c r="O155" s="55">
        <f>IF(SCAN!K155&lt;&gt;"-",SCAN!F155,0)</f>
        <v>0</v>
      </c>
      <c r="R155" s="53">
        <f>IF(SCAN!Q155&lt;&gt;"-",SCAN!D155,0)</f>
        <v>0</v>
      </c>
      <c r="S155" s="53">
        <f>IF(SCAN!Q155&lt;&gt;"-",SCAN!E155,0)</f>
        <v>0</v>
      </c>
      <c r="T155" s="53">
        <f>IF(SCAN!Q155&lt;&gt;"-",SCAN!F155,0)</f>
        <v>0</v>
      </c>
    </row>
    <row r="156" spans="8:20" x14ac:dyDescent="0.25">
      <c r="H156" s="50">
        <f>IF(AND(SCAN!K156="-",SCAN!Q156="-"),SCAN!D156,0)</f>
        <v>0</v>
      </c>
      <c r="I156" s="50">
        <f>IF(AND(SCAN!K156="-",SCAN!Q156="-"),SCAN!E156,0)</f>
        <v>0</v>
      </c>
      <c r="J156" s="50">
        <f>IF(AND(SCAN!K156="-",SCAN!Q156="-"),SCAN!F156,0)</f>
        <v>0</v>
      </c>
      <c r="M156" s="55">
        <f>IF(SCAN!K156&lt;&gt;"-",SCAN!D156,0)</f>
        <v>0</v>
      </c>
      <c r="N156" s="55">
        <f>IF(SCAN!K156&lt;&gt;"-",SCAN!E156,0)</f>
        <v>0</v>
      </c>
      <c r="O156" s="55">
        <f>IF(SCAN!K156&lt;&gt;"-",SCAN!F156,0)</f>
        <v>0</v>
      </c>
      <c r="R156" s="53">
        <f>IF(SCAN!Q156&lt;&gt;"-",SCAN!D156,0)</f>
        <v>0</v>
      </c>
      <c r="S156" s="53">
        <f>IF(SCAN!Q156&lt;&gt;"-",SCAN!E156,0)</f>
        <v>0</v>
      </c>
      <c r="T156" s="53">
        <f>IF(SCAN!Q156&lt;&gt;"-",SCAN!F156,0)</f>
        <v>0</v>
      </c>
    </row>
    <row r="157" spans="8:20" x14ac:dyDescent="0.25">
      <c r="H157" s="50">
        <f>IF(AND(SCAN!K157="-",SCAN!Q157="-"),SCAN!D157,0)</f>
        <v>0</v>
      </c>
      <c r="I157" s="50">
        <f>IF(AND(SCAN!K157="-",SCAN!Q157="-"),SCAN!E157,0)</f>
        <v>0</v>
      </c>
      <c r="J157" s="50">
        <f>IF(AND(SCAN!K157="-",SCAN!Q157="-"),SCAN!F157,0)</f>
        <v>0</v>
      </c>
      <c r="M157" s="55">
        <f>IF(SCAN!K157&lt;&gt;"-",SCAN!D157,0)</f>
        <v>0</v>
      </c>
      <c r="N157" s="55">
        <f>IF(SCAN!K157&lt;&gt;"-",SCAN!E157,0)</f>
        <v>0</v>
      </c>
      <c r="O157" s="55">
        <f>IF(SCAN!K157&lt;&gt;"-",SCAN!F157,0)</f>
        <v>0</v>
      </c>
      <c r="R157" s="53">
        <f>IF(SCAN!Q157&lt;&gt;"-",SCAN!D157,0)</f>
        <v>0</v>
      </c>
      <c r="S157" s="53">
        <f>IF(SCAN!Q157&lt;&gt;"-",SCAN!E157,0)</f>
        <v>0</v>
      </c>
      <c r="T157" s="53">
        <f>IF(SCAN!Q157&lt;&gt;"-",SCAN!F157,0)</f>
        <v>0</v>
      </c>
    </row>
    <row r="158" spans="8:20" x14ac:dyDescent="0.25">
      <c r="H158" s="50">
        <f>IF(AND(SCAN!K158="-",SCAN!Q158="-"),SCAN!D158,0)</f>
        <v>0</v>
      </c>
      <c r="I158" s="50">
        <f>IF(AND(SCAN!K158="-",SCAN!Q158="-"),SCAN!E158,0)</f>
        <v>0</v>
      </c>
      <c r="J158" s="50">
        <f>IF(AND(SCAN!K158="-",SCAN!Q158="-"),SCAN!F158,0)</f>
        <v>0</v>
      </c>
      <c r="M158" s="55">
        <f>IF(SCAN!K158&lt;&gt;"-",SCAN!D158,0)</f>
        <v>0</v>
      </c>
      <c r="N158" s="55">
        <f>IF(SCAN!K158&lt;&gt;"-",SCAN!E158,0)</f>
        <v>0</v>
      </c>
      <c r="O158" s="55">
        <f>IF(SCAN!K158&lt;&gt;"-",SCAN!F158,0)</f>
        <v>0</v>
      </c>
      <c r="R158" s="53">
        <f>IF(SCAN!Q158&lt;&gt;"-",SCAN!D158,0)</f>
        <v>0</v>
      </c>
      <c r="S158" s="53">
        <f>IF(SCAN!Q158&lt;&gt;"-",SCAN!E158,0)</f>
        <v>0</v>
      </c>
      <c r="T158" s="53">
        <f>IF(SCAN!Q158&lt;&gt;"-",SCAN!F158,0)</f>
        <v>0</v>
      </c>
    </row>
    <row r="159" spans="8:20" x14ac:dyDescent="0.25">
      <c r="H159" s="50">
        <f>IF(AND(SCAN!K159="-",SCAN!Q159="-"),SCAN!D159,0)</f>
        <v>0</v>
      </c>
      <c r="I159" s="50">
        <f>IF(AND(SCAN!K159="-",SCAN!Q159="-"),SCAN!E159,0)</f>
        <v>0</v>
      </c>
      <c r="J159" s="50">
        <f>IF(AND(SCAN!K159="-",SCAN!Q159="-"),SCAN!F159,0)</f>
        <v>0</v>
      </c>
      <c r="M159" s="55">
        <f>IF(SCAN!K159&lt;&gt;"-",SCAN!D159,0)</f>
        <v>0</v>
      </c>
      <c r="N159" s="55">
        <f>IF(SCAN!K159&lt;&gt;"-",SCAN!E159,0)</f>
        <v>0</v>
      </c>
      <c r="O159" s="55">
        <f>IF(SCAN!K159&lt;&gt;"-",SCAN!F159,0)</f>
        <v>0</v>
      </c>
      <c r="R159" s="53">
        <f>IF(SCAN!Q159&lt;&gt;"-",SCAN!D159,0)</f>
        <v>0</v>
      </c>
      <c r="S159" s="53">
        <f>IF(SCAN!Q159&lt;&gt;"-",SCAN!E159,0)</f>
        <v>0</v>
      </c>
      <c r="T159" s="53">
        <f>IF(SCAN!Q159&lt;&gt;"-",SCAN!F159,0)</f>
        <v>0</v>
      </c>
    </row>
    <row r="160" spans="8:20" x14ac:dyDescent="0.25">
      <c r="H160" s="50">
        <f>IF(AND(SCAN!K160="-",SCAN!Q160="-"),SCAN!D160,0)</f>
        <v>0</v>
      </c>
      <c r="I160" s="50">
        <f>IF(AND(SCAN!K160="-",SCAN!Q160="-"),SCAN!E160,0)</f>
        <v>0</v>
      </c>
      <c r="J160" s="50">
        <f>IF(AND(SCAN!K160="-",SCAN!Q160="-"),SCAN!F160,0)</f>
        <v>0</v>
      </c>
      <c r="M160" s="55">
        <f>IF(SCAN!K160&lt;&gt;"-",SCAN!D160,0)</f>
        <v>0</v>
      </c>
      <c r="N160" s="55">
        <f>IF(SCAN!K160&lt;&gt;"-",SCAN!E160,0)</f>
        <v>0</v>
      </c>
      <c r="O160" s="55">
        <f>IF(SCAN!K160&lt;&gt;"-",SCAN!F160,0)</f>
        <v>0</v>
      </c>
      <c r="R160" s="53">
        <f>IF(SCAN!Q160&lt;&gt;"-",SCAN!D160,0)</f>
        <v>0</v>
      </c>
      <c r="S160" s="53">
        <f>IF(SCAN!Q160&lt;&gt;"-",SCAN!E160,0)</f>
        <v>0</v>
      </c>
      <c r="T160" s="53">
        <f>IF(SCAN!Q160&lt;&gt;"-",SCAN!F160,0)</f>
        <v>0</v>
      </c>
    </row>
    <row r="161" spans="8:20" x14ac:dyDescent="0.25">
      <c r="H161" s="50">
        <f>IF(AND(SCAN!K161="-",SCAN!Q161="-"),SCAN!D161,0)</f>
        <v>0</v>
      </c>
      <c r="I161" s="50">
        <f>IF(AND(SCAN!K161="-",SCAN!Q161="-"),SCAN!E161,0)</f>
        <v>0</v>
      </c>
      <c r="J161" s="50">
        <f>IF(AND(SCAN!K161="-",SCAN!Q161="-"),SCAN!F161,0)</f>
        <v>0</v>
      </c>
      <c r="M161" s="55">
        <f>IF(SCAN!K161&lt;&gt;"-",SCAN!D161,0)</f>
        <v>0</v>
      </c>
      <c r="N161" s="55">
        <f>IF(SCAN!K161&lt;&gt;"-",SCAN!E161,0)</f>
        <v>0</v>
      </c>
      <c r="O161" s="55">
        <f>IF(SCAN!K161&lt;&gt;"-",SCAN!F161,0)</f>
        <v>0</v>
      </c>
      <c r="R161" s="53">
        <f>IF(SCAN!Q161&lt;&gt;"-",SCAN!D161,0)</f>
        <v>0</v>
      </c>
      <c r="S161" s="53">
        <f>IF(SCAN!Q161&lt;&gt;"-",SCAN!E161,0)</f>
        <v>0</v>
      </c>
      <c r="T161" s="53">
        <f>IF(SCAN!Q161&lt;&gt;"-",SCAN!F161,0)</f>
        <v>0</v>
      </c>
    </row>
    <row r="162" spans="8:20" x14ac:dyDescent="0.25">
      <c r="H162" s="50">
        <f>IF(AND(SCAN!K162="-",SCAN!Q162="-"),SCAN!D162,0)</f>
        <v>0</v>
      </c>
      <c r="I162" s="50">
        <f>IF(AND(SCAN!K162="-",SCAN!Q162="-"),SCAN!E162,0)</f>
        <v>0</v>
      </c>
      <c r="J162" s="50">
        <f>IF(AND(SCAN!K162="-",SCAN!Q162="-"),SCAN!F162,0)</f>
        <v>0</v>
      </c>
      <c r="M162" s="55">
        <f>IF(SCAN!K162&lt;&gt;"-",SCAN!D162,0)</f>
        <v>0</v>
      </c>
      <c r="N162" s="55">
        <f>IF(SCAN!K162&lt;&gt;"-",SCAN!E162,0)</f>
        <v>0</v>
      </c>
      <c r="O162" s="55">
        <f>IF(SCAN!K162&lt;&gt;"-",SCAN!F162,0)</f>
        <v>0</v>
      </c>
      <c r="R162" s="53">
        <f>IF(SCAN!Q162&lt;&gt;"-",SCAN!D162,0)</f>
        <v>0</v>
      </c>
      <c r="S162" s="53">
        <f>IF(SCAN!Q162&lt;&gt;"-",SCAN!E162,0)</f>
        <v>0</v>
      </c>
      <c r="T162" s="53">
        <f>IF(SCAN!Q162&lt;&gt;"-",SCAN!F162,0)</f>
        <v>0</v>
      </c>
    </row>
    <row r="163" spans="8:20" x14ac:dyDescent="0.25">
      <c r="H163" s="50">
        <f>IF(AND(SCAN!K163="-",SCAN!Q163="-"),SCAN!D163,0)</f>
        <v>0</v>
      </c>
      <c r="I163" s="50">
        <f>IF(AND(SCAN!K163="-",SCAN!Q163="-"),SCAN!E163,0)</f>
        <v>0</v>
      </c>
      <c r="J163" s="50">
        <f>IF(AND(SCAN!K163="-",SCAN!Q163="-"),SCAN!F163,0)</f>
        <v>0</v>
      </c>
      <c r="M163" s="55">
        <f>IF(SCAN!K163&lt;&gt;"-",SCAN!D163,0)</f>
        <v>0</v>
      </c>
      <c r="N163" s="55">
        <f>IF(SCAN!K163&lt;&gt;"-",SCAN!E163,0)</f>
        <v>0</v>
      </c>
      <c r="O163" s="55">
        <f>IF(SCAN!K163&lt;&gt;"-",SCAN!F163,0)</f>
        <v>0</v>
      </c>
      <c r="R163" s="53">
        <f>IF(SCAN!Q163&lt;&gt;"-",SCAN!D163,0)</f>
        <v>0</v>
      </c>
      <c r="S163" s="53">
        <f>IF(SCAN!Q163&lt;&gt;"-",SCAN!E163,0)</f>
        <v>0</v>
      </c>
      <c r="T163" s="53">
        <f>IF(SCAN!Q163&lt;&gt;"-",SCAN!F163,0)</f>
        <v>0</v>
      </c>
    </row>
    <row r="164" spans="8:20" x14ac:dyDescent="0.25">
      <c r="H164" s="50">
        <f>IF(AND(SCAN!K164="-",SCAN!Q164="-"),SCAN!D164,0)</f>
        <v>0</v>
      </c>
      <c r="I164" s="50">
        <f>IF(AND(SCAN!K164="-",SCAN!Q164="-"),SCAN!E164,0)</f>
        <v>0</v>
      </c>
      <c r="J164" s="50">
        <f>IF(AND(SCAN!K164="-",SCAN!Q164="-"),SCAN!F164,0)</f>
        <v>0</v>
      </c>
      <c r="M164" s="55">
        <f>IF(SCAN!K164&lt;&gt;"-",SCAN!D164,0)</f>
        <v>0</v>
      </c>
      <c r="N164" s="55">
        <f>IF(SCAN!K164&lt;&gt;"-",SCAN!E164,0)</f>
        <v>0</v>
      </c>
      <c r="O164" s="55">
        <f>IF(SCAN!K164&lt;&gt;"-",SCAN!F164,0)</f>
        <v>0</v>
      </c>
      <c r="R164" s="53">
        <f>IF(SCAN!Q164&lt;&gt;"-",SCAN!D164,0)</f>
        <v>0</v>
      </c>
      <c r="S164" s="53">
        <f>IF(SCAN!Q164&lt;&gt;"-",SCAN!E164,0)</f>
        <v>0</v>
      </c>
      <c r="T164" s="53">
        <f>IF(SCAN!Q164&lt;&gt;"-",SCAN!F164,0)</f>
        <v>0</v>
      </c>
    </row>
    <row r="165" spans="8:20" x14ac:dyDescent="0.25">
      <c r="H165" s="50">
        <f>IF(AND(SCAN!K165="-",SCAN!Q165="-"),SCAN!D165,0)</f>
        <v>0</v>
      </c>
      <c r="I165" s="50">
        <f>IF(AND(SCAN!K165="-",SCAN!Q165="-"),SCAN!E165,0)</f>
        <v>0</v>
      </c>
      <c r="J165" s="50">
        <f>IF(AND(SCAN!K165="-",SCAN!Q165="-"),SCAN!F165,0)</f>
        <v>0</v>
      </c>
      <c r="M165" s="55">
        <f>IF(SCAN!K165&lt;&gt;"-",SCAN!D165,0)</f>
        <v>0</v>
      </c>
      <c r="N165" s="55">
        <f>IF(SCAN!K165&lt;&gt;"-",SCAN!E165,0)</f>
        <v>0</v>
      </c>
      <c r="O165" s="55">
        <f>IF(SCAN!K165&lt;&gt;"-",SCAN!F165,0)</f>
        <v>0</v>
      </c>
      <c r="R165" s="53">
        <f>IF(SCAN!Q165&lt;&gt;"-",SCAN!D165,0)</f>
        <v>0</v>
      </c>
      <c r="S165" s="53">
        <f>IF(SCAN!Q165&lt;&gt;"-",SCAN!E165,0)</f>
        <v>0</v>
      </c>
      <c r="T165" s="53">
        <f>IF(SCAN!Q165&lt;&gt;"-",SCAN!F165,0)</f>
        <v>0</v>
      </c>
    </row>
    <row r="166" spans="8:20" x14ac:dyDescent="0.25">
      <c r="H166" s="50">
        <f>IF(AND(SCAN!K166="-",SCAN!Q166="-"),SCAN!D166,0)</f>
        <v>0</v>
      </c>
      <c r="I166" s="50">
        <f>IF(AND(SCAN!K166="-",SCAN!Q166="-"),SCAN!E166,0)</f>
        <v>0</v>
      </c>
      <c r="J166" s="50">
        <f>IF(AND(SCAN!K166="-",SCAN!Q166="-"),SCAN!F166,0)</f>
        <v>0</v>
      </c>
      <c r="M166" s="55">
        <f>IF(SCAN!K166&lt;&gt;"-",SCAN!D166,0)</f>
        <v>0</v>
      </c>
      <c r="N166" s="55">
        <f>IF(SCAN!K166&lt;&gt;"-",SCAN!E166,0)</f>
        <v>0</v>
      </c>
      <c r="O166" s="55">
        <f>IF(SCAN!K166&lt;&gt;"-",SCAN!F166,0)</f>
        <v>0</v>
      </c>
      <c r="R166" s="53">
        <f>IF(SCAN!Q166&lt;&gt;"-",SCAN!D166,0)</f>
        <v>0</v>
      </c>
      <c r="S166" s="53">
        <f>IF(SCAN!Q166&lt;&gt;"-",SCAN!E166,0)</f>
        <v>0</v>
      </c>
      <c r="T166" s="53">
        <f>IF(SCAN!Q166&lt;&gt;"-",SCAN!F166,0)</f>
        <v>0</v>
      </c>
    </row>
    <row r="167" spans="8:20" x14ac:dyDescent="0.25">
      <c r="H167" s="50">
        <f>IF(AND(SCAN!K167="-",SCAN!Q167="-"),SCAN!D167,0)</f>
        <v>0</v>
      </c>
      <c r="I167" s="50">
        <f>IF(AND(SCAN!K167="-",SCAN!Q167="-"),SCAN!E167,0)</f>
        <v>0</v>
      </c>
      <c r="J167" s="50">
        <f>IF(AND(SCAN!K167="-",SCAN!Q167="-"),SCAN!F167,0)</f>
        <v>0</v>
      </c>
      <c r="M167" s="55">
        <f>IF(SCAN!K167&lt;&gt;"-",SCAN!D167,0)</f>
        <v>0</v>
      </c>
      <c r="N167" s="55">
        <f>IF(SCAN!K167&lt;&gt;"-",SCAN!E167,0)</f>
        <v>0</v>
      </c>
      <c r="O167" s="55">
        <f>IF(SCAN!K167&lt;&gt;"-",SCAN!F167,0)</f>
        <v>0</v>
      </c>
      <c r="R167" s="53">
        <f>IF(SCAN!Q167&lt;&gt;"-",SCAN!D167,0)</f>
        <v>0</v>
      </c>
      <c r="S167" s="53">
        <f>IF(SCAN!Q167&lt;&gt;"-",SCAN!E167,0)</f>
        <v>0</v>
      </c>
      <c r="T167" s="53">
        <f>IF(SCAN!Q167&lt;&gt;"-",SCAN!F167,0)</f>
        <v>0</v>
      </c>
    </row>
    <row r="168" spans="8:20" x14ac:dyDescent="0.25">
      <c r="H168" s="50">
        <f>IF(AND(SCAN!K168="-",SCAN!Q168="-"),SCAN!D168,0)</f>
        <v>0</v>
      </c>
      <c r="I168" s="50">
        <f>IF(AND(SCAN!K168="-",SCAN!Q168="-"),SCAN!E168,0)</f>
        <v>0</v>
      </c>
      <c r="J168" s="50">
        <f>IF(AND(SCAN!K168="-",SCAN!Q168="-"),SCAN!F168,0)</f>
        <v>0</v>
      </c>
      <c r="M168" s="55">
        <f>IF(SCAN!K168&lt;&gt;"-",SCAN!D168,0)</f>
        <v>0</v>
      </c>
      <c r="N168" s="55">
        <f>IF(SCAN!K168&lt;&gt;"-",SCAN!E168,0)</f>
        <v>0</v>
      </c>
      <c r="O168" s="55">
        <f>IF(SCAN!K168&lt;&gt;"-",SCAN!F168,0)</f>
        <v>0</v>
      </c>
      <c r="R168" s="53">
        <f>IF(SCAN!Q168&lt;&gt;"-",SCAN!D168,0)</f>
        <v>0</v>
      </c>
      <c r="S168" s="53">
        <f>IF(SCAN!Q168&lt;&gt;"-",SCAN!E168,0)</f>
        <v>0</v>
      </c>
      <c r="T168" s="53">
        <f>IF(SCAN!Q168&lt;&gt;"-",SCAN!F168,0)</f>
        <v>0</v>
      </c>
    </row>
    <row r="169" spans="8:20" x14ac:dyDescent="0.25">
      <c r="H169" s="50">
        <f>IF(AND(SCAN!K169="-",SCAN!Q169="-"),SCAN!D169,0)</f>
        <v>0</v>
      </c>
      <c r="I169" s="50">
        <f>IF(AND(SCAN!K169="-",SCAN!Q169="-"),SCAN!E169,0)</f>
        <v>0</v>
      </c>
      <c r="J169" s="50">
        <f>IF(AND(SCAN!K169="-",SCAN!Q169="-"),SCAN!F169,0)</f>
        <v>0</v>
      </c>
      <c r="M169" s="55">
        <f>IF(SCAN!K169&lt;&gt;"-",SCAN!D169,0)</f>
        <v>0</v>
      </c>
      <c r="N169" s="55">
        <f>IF(SCAN!K169&lt;&gt;"-",SCAN!E169,0)</f>
        <v>0</v>
      </c>
      <c r="O169" s="55">
        <f>IF(SCAN!K169&lt;&gt;"-",SCAN!F169,0)</f>
        <v>0</v>
      </c>
      <c r="R169" s="53">
        <f>IF(SCAN!Q169&lt;&gt;"-",SCAN!D169,0)</f>
        <v>0</v>
      </c>
      <c r="S169" s="53">
        <f>IF(SCAN!Q169&lt;&gt;"-",SCAN!E169,0)</f>
        <v>0</v>
      </c>
      <c r="T169" s="53">
        <f>IF(SCAN!Q169&lt;&gt;"-",SCAN!F169,0)</f>
        <v>0</v>
      </c>
    </row>
    <row r="170" spans="8:20" x14ac:dyDescent="0.25">
      <c r="H170" s="50">
        <f>IF(AND(SCAN!K170="-",SCAN!Q170="-"),SCAN!D170,0)</f>
        <v>0</v>
      </c>
      <c r="I170" s="50">
        <f>IF(AND(SCAN!K170="-",SCAN!Q170="-"),SCAN!E170,0)</f>
        <v>0</v>
      </c>
      <c r="J170" s="50">
        <f>IF(AND(SCAN!K170="-",SCAN!Q170="-"),SCAN!F170,0)</f>
        <v>0</v>
      </c>
      <c r="M170" s="55">
        <f>IF(SCAN!K170&lt;&gt;"-",SCAN!D170,0)</f>
        <v>0</v>
      </c>
      <c r="N170" s="55">
        <f>IF(SCAN!K170&lt;&gt;"-",SCAN!E170,0)</f>
        <v>0</v>
      </c>
      <c r="O170" s="55">
        <f>IF(SCAN!K170&lt;&gt;"-",SCAN!F170,0)</f>
        <v>0</v>
      </c>
      <c r="R170" s="53">
        <f>IF(SCAN!Q170&lt;&gt;"-",SCAN!D170,0)</f>
        <v>0</v>
      </c>
      <c r="S170" s="53">
        <f>IF(SCAN!Q170&lt;&gt;"-",SCAN!E170,0)</f>
        <v>0</v>
      </c>
      <c r="T170" s="53">
        <f>IF(SCAN!Q170&lt;&gt;"-",SCAN!F170,0)</f>
        <v>0</v>
      </c>
    </row>
    <row r="171" spans="8:20" x14ac:dyDescent="0.25">
      <c r="H171" s="50">
        <f>IF(AND(SCAN!K171="-",SCAN!Q171="-"),SCAN!D171,0)</f>
        <v>0</v>
      </c>
      <c r="I171" s="50">
        <f>IF(AND(SCAN!K171="-",SCAN!Q171="-"),SCAN!E171,0)</f>
        <v>0</v>
      </c>
      <c r="J171" s="50">
        <f>IF(AND(SCAN!K171="-",SCAN!Q171="-"),SCAN!F171,0)</f>
        <v>0</v>
      </c>
      <c r="M171" s="55">
        <f>IF(SCAN!K171&lt;&gt;"-",SCAN!D171,0)</f>
        <v>0</v>
      </c>
      <c r="N171" s="55">
        <f>IF(SCAN!K171&lt;&gt;"-",SCAN!E171,0)</f>
        <v>0</v>
      </c>
      <c r="O171" s="55">
        <f>IF(SCAN!K171&lt;&gt;"-",SCAN!F171,0)</f>
        <v>0</v>
      </c>
      <c r="R171" s="53">
        <f>IF(SCAN!Q171&lt;&gt;"-",SCAN!D171,0)</f>
        <v>0</v>
      </c>
      <c r="S171" s="53">
        <f>IF(SCAN!Q171&lt;&gt;"-",SCAN!E171,0)</f>
        <v>0</v>
      </c>
      <c r="T171" s="53">
        <f>IF(SCAN!Q171&lt;&gt;"-",SCAN!F171,0)</f>
        <v>0</v>
      </c>
    </row>
    <row r="172" spans="8:20" x14ac:dyDescent="0.25">
      <c r="H172" s="50">
        <f>IF(AND(SCAN!K172="-",SCAN!Q172="-"),SCAN!D172,0)</f>
        <v>0</v>
      </c>
      <c r="I172" s="50">
        <f>IF(AND(SCAN!K172="-",SCAN!Q172="-"),SCAN!E172,0)</f>
        <v>0</v>
      </c>
      <c r="J172" s="50">
        <f>IF(AND(SCAN!K172="-",SCAN!Q172="-"),SCAN!F172,0)</f>
        <v>0</v>
      </c>
      <c r="M172" s="55">
        <f>IF(SCAN!K172&lt;&gt;"-",SCAN!D172,0)</f>
        <v>0</v>
      </c>
      <c r="N172" s="55">
        <f>IF(SCAN!K172&lt;&gt;"-",SCAN!E172,0)</f>
        <v>0</v>
      </c>
      <c r="O172" s="55">
        <f>IF(SCAN!K172&lt;&gt;"-",SCAN!F172,0)</f>
        <v>0</v>
      </c>
      <c r="R172" s="53">
        <f>IF(SCAN!Q172&lt;&gt;"-",SCAN!D172,0)</f>
        <v>0</v>
      </c>
      <c r="S172" s="53">
        <f>IF(SCAN!Q172&lt;&gt;"-",SCAN!E172,0)</f>
        <v>0</v>
      </c>
      <c r="T172" s="53">
        <f>IF(SCAN!Q172&lt;&gt;"-",SCAN!F172,0)</f>
        <v>0</v>
      </c>
    </row>
    <row r="173" spans="8:20" x14ac:dyDescent="0.25">
      <c r="H173" s="50">
        <f>IF(AND(SCAN!K173="-",SCAN!Q173="-"),SCAN!D173,0)</f>
        <v>0</v>
      </c>
      <c r="I173" s="50">
        <f>IF(AND(SCAN!K173="-",SCAN!Q173="-"),SCAN!E173,0)</f>
        <v>0</v>
      </c>
      <c r="J173" s="50">
        <f>IF(AND(SCAN!K173="-",SCAN!Q173="-"),SCAN!F173,0)</f>
        <v>0</v>
      </c>
      <c r="M173" s="55">
        <f>IF(SCAN!K173&lt;&gt;"-",SCAN!D173,0)</f>
        <v>0</v>
      </c>
      <c r="N173" s="55">
        <f>IF(SCAN!K173&lt;&gt;"-",SCAN!E173,0)</f>
        <v>0</v>
      </c>
      <c r="O173" s="55">
        <f>IF(SCAN!K173&lt;&gt;"-",SCAN!F173,0)</f>
        <v>0</v>
      </c>
      <c r="R173" s="53">
        <f>IF(SCAN!Q173&lt;&gt;"-",SCAN!D173,0)</f>
        <v>0</v>
      </c>
      <c r="S173" s="53">
        <f>IF(SCAN!Q173&lt;&gt;"-",SCAN!E173,0)</f>
        <v>0</v>
      </c>
      <c r="T173" s="53">
        <f>IF(SCAN!Q173&lt;&gt;"-",SCAN!F173,0)</f>
        <v>0</v>
      </c>
    </row>
    <row r="174" spans="8:20" x14ac:dyDescent="0.25">
      <c r="H174" s="50">
        <f>IF(AND(SCAN!K174="-",SCAN!Q174="-"),SCAN!D174,0)</f>
        <v>0</v>
      </c>
      <c r="I174" s="50">
        <f>IF(AND(SCAN!K174="-",SCAN!Q174="-"),SCAN!E174,0)</f>
        <v>0</v>
      </c>
      <c r="J174" s="50">
        <f>IF(AND(SCAN!K174="-",SCAN!Q174="-"),SCAN!F174,0)</f>
        <v>0</v>
      </c>
      <c r="M174" s="55">
        <f>IF(SCAN!K174&lt;&gt;"-",SCAN!D174,0)</f>
        <v>0</v>
      </c>
      <c r="N174" s="55">
        <f>IF(SCAN!K174&lt;&gt;"-",SCAN!E174,0)</f>
        <v>0</v>
      </c>
      <c r="O174" s="55">
        <f>IF(SCAN!K174&lt;&gt;"-",SCAN!F174,0)</f>
        <v>0</v>
      </c>
      <c r="R174" s="53">
        <f>IF(SCAN!Q174&lt;&gt;"-",SCAN!D174,0)</f>
        <v>0</v>
      </c>
      <c r="S174" s="53">
        <f>IF(SCAN!Q174&lt;&gt;"-",SCAN!E174,0)</f>
        <v>0</v>
      </c>
      <c r="T174" s="53">
        <f>IF(SCAN!Q174&lt;&gt;"-",SCAN!F174,0)</f>
        <v>0</v>
      </c>
    </row>
    <row r="175" spans="8:20" x14ac:dyDescent="0.25">
      <c r="H175" s="50">
        <f>IF(AND(SCAN!K175="-",SCAN!Q175="-"),SCAN!D175,0)</f>
        <v>0</v>
      </c>
      <c r="I175" s="50">
        <f>IF(AND(SCAN!K175="-",SCAN!Q175="-"),SCAN!E175,0)</f>
        <v>0</v>
      </c>
      <c r="J175" s="50">
        <f>IF(AND(SCAN!K175="-",SCAN!Q175="-"),SCAN!F175,0)</f>
        <v>0</v>
      </c>
      <c r="M175" s="55">
        <f>IF(SCAN!K175&lt;&gt;"-",SCAN!D175,0)</f>
        <v>0</v>
      </c>
      <c r="N175" s="55">
        <f>IF(SCAN!K175&lt;&gt;"-",SCAN!E175,0)</f>
        <v>0</v>
      </c>
      <c r="O175" s="55">
        <f>IF(SCAN!K175&lt;&gt;"-",SCAN!F175,0)</f>
        <v>0</v>
      </c>
      <c r="R175" s="53">
        <f>IF(SCAN!Q175&lt;&gt;"-",SCAN!D175,0)</f>
        <v>0</v>
      </c>
      <c r="S175" s="53">
        <f>IF(SCAN!Q175&lt;&gt;"-",SCAN!E175,0)</f>
        <v>0</v>
      </c>
      <c r="T175" s="53">
        <f>IF(SCAN!Q175&lt;&gt;"-",SCAN!F175,0)</f>
        <v>0</v>
      </c>
    </row>
    <row r="176" spans="8:20" x14ac:dyDescent="0.25">
      <c r="H176" s="50">
        <f>IF(AND(SCAN!K176="-",SCAN!Q176="-"),SCAN!D176,0)</f>
        <v>0</v>
      </c>
      <c r="I176" s="50">
        <f>IF(AND(SCAN!K176="-",SCAN!Q176="-"),SCAN!E176,0)</f>
        <v>0</v>
      </c>
      <c r="J176" s="50">
        <f>IF(AND(SCAN!K176="-",SCAN!Q176="-"),SCAN!F176,0)</f>
        <v>0</v>
      </c>
      <c r="M176" s="55">
        <f>IF(SCAN!K176&lt;&gt;"-",SCAN!D176,0)</f>
        <v>0</v>
      </c>
      <c r="N176" s="55">
        <f>IF(SCAN!K176&lt;&gt;"-",SCAN!E176,0)</f>
        <v>0</v>
      </c>
      <c r="O176" s="55">
        <f>IF(SCAN!K176&lt;&gt;"-",SCAN!F176,0)</f>
        <v>0</v>
      </c>
      <c r="R176" s="53">
        <f>IF(SCAN!Q176&lt;&gt;"-",SCAN!D176,0)</f>
        <v>0</v>
      </c>
      <c r="S176" s="53">
        <f>IF(SCAN!Q176&lt;&gt;"-",SCAN!E176,0)</f>
        <v>0</v>
      </c>
      <c r="T176" s="53">
        <f>IF(SCAN!Q176&lt;&gt;"-",SCAN!F176,0)</f>
        <v>0</v>
      </c>
    </row>
    <row r="177" spans="8:20" x14ac:dyDescent="0.25">
      <c r="H177" s="50">
        <f>IF(AND(SCAN!K177="-",SCAN!Q177="-"),SCAN!D177,0)</f>
        <v>0</v>
      </c>
      <c r="I177" s="50">
        <f>IF(AND(SCAN!K177="-",SCAN!Q177="-"),SCAN!E177,0)</f>
        <v>0</v>
      </c>
      <c r="J177" s="50">
        <f>IF(AND(SCAN!K177="-",SCAN!Q177="-"),SCAN!F177,0)</f>
        <v>0</v>
      </c>
      <c r="M177" s="55">
        <f>IF(SCAN!K177&lt;&gt;"-",SCAN!D177,0)</f>
        <v>0</v>
      </c>
      <c r="N177" s="55">
        <f>IF(SCAN!K177&lt;&gt;"-",SCAN!E177,0)</f>
        <v>0</v>
      </c>
      <c r="O177" s="55">
        <f>IF(SCAN!K177&lt;&gt;"-",SCAN!F177,0)</f>
        <v>0</v>
      </c>
      <c r="R177" s="53">
        <f>IF(SCAN!Q177&lt;&gt;"-",SCAN!D177,0)</f>
        <v>0</v>
      </c>
      <c r="S177" s="53">
        <f>IF(SCAN!Q177&lt;&gt;"-",SCAN!E177,0)</f>
        <v>0</v>
      </c>
      <c r="T177" s="53">
        <f>IF(SCAN!Q177&lt;&gt;"-",SCAN!F177,0)</f>
        <v>0</v>
      </c>
    </row>
    <row r="178" spans="8:20" x14ac:dyDescent="0.25">
      <c r="H178" s="50">
        <f>IF(AND(SCAN!K178="-",SCAN!Q178="-"),SCAN!D178,0)</f>
        <v>0</v>
      </c>
      <c r="I178" s="50">
        <f>IF(AND(SCAN!K178="-",SCAN!Q178="-"),SCAN!E178,0)</f>
        <v>0</v>
      </c>
      <c r="J178" s="50">
        <f>IF(AND(SCAN!K178="-",SCAN!Q178="-"),SCAN!F178,0)</f>
        <v>0</v>
      </c>
      <c r="M178" s="55">
        <f>IF(SCAN!K178&lt;&gt;"-",SCAN!D178,0)</f>
        <v>0</v>
      </c>
      <c r="N178" s="55">
        <f>IF(SCAN!K178&lt;&gt;"-",SCAN!E178,0)</f>
        <v>0</v>
      </c>
      <c r="O178" s="55">
        <f>IF(SCAN!K178&lt;&gt;"-",SCAN!F178,0)</f>
        <v>0</v>
      </c>
      <c r="R178" s="53">
        <f>IF(SCAN!Q178&lt;&gt;"-",SCAN!D178,0)</f>
        <v>0</v>
      </c>
      <c r="S178" s="53">
        <f>IF(SCAN!Q178&lt;&gt;"-",SCAN!E178,0)</f>
        <v>0</v>
      </c>
      <c r="T178" s="53">
        <f>IF(SCAN!Q178&lt;&gt;"-",SCAN!F178,0)</f>
        <v>0</v>
      </c>
    </row>
    <row r="179" spans="8:20" x14ac:dyDescent="0.25">
      <c r="H179" s="50">
        <f>IF(AND(SCAN!K179="-",SCAN!Q179="-"),SCAN!D179,0)</f>
        <v>0</v>
      </c>
      <c r="I179" s="50">
        <f>IF(AND(SCAN!K179="-",SCAN!Q179="-"),SCAN!E179,0)</f>
        <v>0</v>
      </c>
      <c r="J179" s="50">
        <f>IF(AND(SCAN!K179="-",SCAN!Q179="-"),SCAN!F179,0)</f>
        <v>0</v>
      </c>
      <c r="M179" s="55">
        <f>IF(SCAN!K179&lt;&gt;"-",SCAN!D179,0)</f>
        <v>0</v>
      </c>
      <c r="N179" s="55">
        <f>IF(SCAN!K179&lt;&gt;"-",SCAN!E179,0)</f>
        <v>0</v>
      </c>
      <c r="O179" s="55">
        <f>IF(SCAN!K179&lt;&gt;"-",SCAN!F179,0)</f>
        <v>0</v>
      </c>
      <c r="R179" s="53">
        <f>IF(SCAN!Q179&lt;&gt;"-",SCAN!D179,0)</f>
        <v>0</v>
      </c>
      <c r="S179" s="53">
        <f>IF(SCAN!Q179&lt;&gt;"-",SCAN!E179,0)</f>
        <v>0</v>
      </c>
      <c r="T179" s="53">
        <f>IF(SCAN!Q179&lt;&gt;"-",SCAN!F179,0)</f>
        <v>0</v>
      </c>
    </row>
    <row r="180" spans="8:20" x14ac:dyDescent="0.25">
      <c r="H180" s="50">
        <f>IF(AND(SCAN!K180="-",SCAN!Q180="-"),SCAN!D180,0)</f>
        <v>0</v>
      </c>
      <c r="I180" s="50">
        <f>IF(AND(SCAN!K180="-",SCAN!Q180="-"),SCAN!E180,0)</f>
        <v>0</v>
      </c>
      <c r="J180" s="50">
        <f>IF(AND(SCAN!K180="-",SCAN!Q180="-"),SCAN!F180,0)</f>
        <v>0</v>
      </c>
      <c r="M180" s="55">
        <f>IF(SCAN!K180&lt;&gt;"-",SCAN!D180,0)</f>
        <v>0</v>
      </c>
      <c r="N180" s="55">
        <f>IF(SCAN!K180&lt;&gt;"-",SCAN!E180,0)</f>
        <v>0</v>
      </c>
      <c r="O180" s="55">
        <f>IF(SCAN!K180&lt;&gt;"-",SCAN!F180,0)</f>
        <v>0</v>
      </c>
      <c r="R180" s="53">
        <f>IF(SCAN!Q180&lt;&gt;"-",SCAN!D180,0)</f>
        <v>0</v>
      </c>
      <c r="S180" s="53">
        <f>IF(SCAN!Q180&lt;&gt;"-",SCAN!E180,0)</f>
        <v>0</v>
      </c>
      <c r="T180" s="53">
        <f>IF(SCAN!Q180&lt;&gt;"-",SCAN!F180,0)</f>
        <v>0</v>
      </c>
    </row>
    <row r="181" spans="8:20" x14ac:dyDescent="0.25">
      <c r="H181" s="50">
        <f>IF(AND(SCAN!K181="-",SCAN!Q181="-"),SCAN!D181,0)</f>
        <v>0</v>
      </c>
      <c r="I181" s="50">
        <f>IF(AND(SCAN!K181="-",SCAN!Q181="-"),SCAN!E181,0)</f>
        <v>0</v>
      </c>
      <c r="J181" s="50">
        <f>IF(AND(SCAN!K181="-",SCAN!Q181="-"),SCAN!F181,0)</f>
        <v>0</v>
      </c>
      <c r="M181" s="55">
        <f>IF(SCAN!K181&lt;&gt;"-",SCAN!D181,0)</f>
        <v>0</v>
      </c>
      <c r="N181" s="55">
        <f>IF(SCAN!K181&lt;&gt;"-",SCAN!E181,0)</f>
        <v>0</v>
      </c>
      <c r="O181" s="55">
        <f>IF(SCAN!K181&lt;&gt;"-",SCAN!F181,0)</f>
        <v>0</v>
      </c>
      <c r="R181" s="53">
        <f>IF(SCAN!Q181&lt;&gt;"-",SCAN!D181,0)</f>
        <v>0</v>
      </c>
      <c r="S181" s="53">
        <f>IF(SCAN!Q181&lt;&gt;"-",SCAN!E181,0)</f>
        <v>0</v>
      </c>
      <c r="T181" s="53">
        <f>IF(SCAN!Q181&lt;&gt;"-",SCAN!F181,0)</f>
        <v>0</v>
      </c>
    </row>
    <row r="182" spans="8:20" x14ac:dyDescent="0.25">
      <c r="H182" s="50">
        <f>IF(AND(SCAN!K182="-",SCAN!Q182="-"),SCAN!D182,0)</f>
        <v>0</v>
      </c>
      <c r="I182" s="50">
        <f>IF(AND(SCAN!K182="-",SCAN!Q182="-"),SCAN!E182,0)</f>
        <v>0</v>
      </c>
      <c r="J182" s="50">
        <f>IF(AND(SCAN!K182="-",SCAN!Q182="-"),SCAN!F182,0)</f>
        <v>0</v>
      </c>
      <c r="M182" s="55">
        <f>IF(SCAN!K182&lt;&gt;"-",SCAN!D182,0)</f>
        <v>0</v>
      </c>
      <c r="N182" s="55">
        <f>IF(SCAN!K182&lt;&gt;"-",SCAN!E182,0)</f>
        <v>0</v>
      </c>
      <c r="O182" s="55">
        <f>IF(SCAN!K182&lt;&gt;"-",SCAN!F182,0)</f>
        <v>0</v>
      </c>
      <c r="R182" s="53">
        <f>IF(SCAN!Q182&lt;&gt;"-",SCAN!D182,0)</f>
        <v>0</v>
      </c>
      <c r="S182" s="53">
        <f>IF(SCAN!Q182&lt;&gt;"-",SCAN!E182,0)</f>
        <v>0</v>
      </c>
      <c r="T182" s="53">
        <f>IF(SCAN!Q182&lt;&gt;"-",SCAN!F182,0)</f>
        <v>0</v>
      </c>
    </row>
    <row r="183" spans="8:20" x14ac:dyDescent="0.25">
      <c r="H183" s="50">
        <f>IF(AND(SCAN!K183="-",SCAN!Q183="-"),SCAN!D183,0)</f>
        <v>0</v>
      </c>
      <c r="I183" s="50">
        <f>IF(AND(SCAN!K183="-",SCAN!Q183="-"),SCAN!E183,0)</f>
        <v>0</v>
      </c>
      <c r="J183" s="50">
        <f>IF(AND(SCAN!K183="-",SCAN!Q183="-"),SCAN!F183,0)</f>
        <v>0</v>
      </c>
      <c r="M183" s="55">
        <f>IF(SCAN!K183&lt;&gt;"-",SCAN!D183,0)</f>
        <v>0</v>
      </c>
      <c r="N183" s="55">
        <f>IF(SCAN!K183&lt;&gt;"-",SCAN!E183,0)</f>
        <v>0</v>
      </c>
      <c r="O183" s="55">
        <f>IF(SCAN!K183&lt;&gt;"-",SCAN!F183,0)</f>
        <v>0</v>
      </c>
      <c r="R183" s="53">
        <f>IF(SCAN!Q183&lt;&gt;"-",SCAN!D183,0)</f>
        <v>0</v>
      </c>
      <c r="S183" s="53">
        <f>IF(SCAN!Q183&lt;&gt;"-",SCAN!E183,0)</f>
        <v>0</v>
      </c>
      <c r="T183" s="53">
        <f>IF(SCAN!Q183&lt;&gt;"-",SCAN!F183,0)</f>
        <v>0</v>
      </c>
    </row>
    <row r="184" spans="8:20" x14ac:dyDescent="0.25">
      <c r="H184" s="50">
        <f>IF(AND(SCAN!K184="-",SCAN!Q184="-"),SCAN!D184,0)</f>
        <v>0</v>
      </c>
      <c r="I184" s="50">
        <f>IF(AND(SCAN!K184="-",SCAN!Q184="-"),SCAN!E184,0)</f>
        <v>0</v>
      </c>
      <c r="J184" s="50">
        <f>IF(AND(SCAN!K184="-",SCAN!Q184="-"),SCAN!F184,0)</f>
        <v>0</v>
      </c>
      <c r="M184" s="55">
        <f>IF(SCAN!K184&lt;&gt;"-",SCAN!D184,0)</f>
        <v>0</v>
      </c>
      <c r="N184" s="55">
        <f>IF(SCAN!K184&lt;&gt;"-",SCAN!E184,0)</f>
        <v>0</v>
      </c>
      <c r="O184" s="55">
        <f>IF(SCAN!K184&lt;&gt;"-",SCAN!F184,0)</f>
        <v>0</v>
      </c>
      <c r="R184" s="53">
        <f>IF(SCAN!Q184&lt;&gt;"-",SCAN!D184,0)</f>
        <v>0</v>
      </c>
      <c r="S184" s="53">
        <f>IF(SCAN!Q184&lt;&gt;"-",SCAN!E184,0)</f>
        <v>0</v>
      </c>
      <c r="T184" s="53">
        <f>IF(SCAN!Q184&lt;&gt;"-",SCAN!F184,0)</f>
        <v>0</v>
      </c>
    </row>
    <row r="185" spans="8:20" x14ac:dyDescent="0.25">
      <c r="H185" s="50">
        <f>IF(AND(SCAN!K185="-",SCAN!Q185="-"),SCAN!D185,0)</f>
        <v>0</v>
      </c>
      <c r="I185" s="50">
        <f>IF(AND(SCAN!K185="-",SCAN!Q185="-"),SCAN!E185,0)</f>
        <v>0</v>
      </c>
      <c r="J185" s="50">
        <f>IF(AND(SCAN!K185="-",SCAN!Q185="-"),SCAN!F185,0)</f>
        <v>0</v>
      </c>
      <c r="M185" s="55">
        <f>IF(SCAN!K185&lt;&gt;"-",SCAN!D185,0)</f>
        <v>0</v>
      </c>
      <c r="N185" s="55">
        <f>IF(SCAN!K185&lt;&gt;"-",SCAN!E185,0)</f>
        <v>0</v>
      </c>
      <c r="O185" s="55">
        <f>IF(SCAN!K185&lt;&gt;"-",SCAN!F185,0)</f>
        <v>0</v>
      </c>
      <c r="R185" s="53">
        <f>IF(SCAN!Q185&lt;&gt;"-",SCAN!D185,0)</f>
        <v>0</v>
      </c>
      <c r="S185" s="53">
        <f>IF(SCAN!Q185&lt;&gt;"-",SCAN!E185,0)</f>
        <v>0</v>
      </c>
      <c r="T185" s="53">
        <f>IF(SCAN!Q185&lt;&gt;"-",SCAN!F185,0)</f>
        <v>0</v>
      </c>
    </row>
    <row r="186" spans="8:20" x14ac:dyDescent="0.25">
      <c r="H186" s="50">
        <f>IF(AND(SCAN!K186="-",SCAN!Q186="-"),SCAN!D186,0)</f>
        <v>0</v>
      </c>
      <c r="I186" s="50">
        <f>IF(AND(SCAN!K186="-",SCAN!Q186="-"),SCAN!E186,0)</f>
        <v>0</v>
      </c>
      <c r="J186" s="50">
        <f>IF(AND(SCAN!K186="-",SCAN!Q186="-"),SCAN!F186,0)</f>
        <v>0</v>
      </c>
      <c r="M186" s="55">
        <f>IF(SCAN!K186&lt;&gt;"-",SCAN!D186,0)</f>
        <v>0</v>
      </c>
      <c r="N186" s="55">
        <f>IF(SCAN!K186&lt;&gt;"-",SCAN!E186,0)</f>
        <v>0</v>
      </c>
      <c r="O186" s="55">
        <f>IF(SCAN!K186&lt;&gt;"-",SCAN!F186,0)</f>
        <v>0</v>
      </c>
      <c r="R186" s="53">
        <f>IF(SCAN!Q186&lt;&gt;"-",SCAN!D186,0)</f>
        <v>0</v>
      </c>
      <c r="S186" s="53">
        <f>IF(SCAN!Q186&lt;&gt;"-",SCAN!E186,0)</f>
        <v>0</v>
      </c>
      <c r="T186" s="53">
        <f>IF(SCAN!Q186&lt;&gt;"-",SCAN!F186,0)</f>
        <v>0</v>
      </c>
    </row>
    <row r="187" spans="8:20" x14ac:dyDescent="0.25">
      <c r="H187" s="50">
        <f>IF(AND(SCAN!K187="-",SCAN!Q187="-"),SCAN!D187,0)</f>
        <v>0</v>
      </c>
      <c r="I187" s="50">
        <f>IF(AND(SCAN!K187="-",SCAN!Q187="-"),SCAN!E187,0)</f>
        <v>0</v>
      </c>
      <c r="J187" s="50">
        <f>IF(AND(SCAN!K187="-",SCAN!Q187="-"),SCAN!F187,0)</f>
        <v>0</v>
      </c>
      <c r="M187" s="55">
        <f>IF(SCAN!K187&lt;&gt;"-",SCAN!D187,0)</f>
        <v>0</v>
      </c>
      <c r="N187" s="55">
        <f>IF(SCAN!K187&lt;&gt;"-",SCAN!E187,0)</f>
        <v>0</v>
      </c>
      <c r="O187" s="55">
        <f>IF(SCAN!K187&lt;&gt;"-",SCAN!F187,0)</f>
        <v>0</v>
      </c>
      <c r="R187" s="53">
        <f>IF(SCAN!Q187&lt;&gt;"-",SCAN!D187,0)</f>
        <v>0</v>
      </c>
      <c r="S187" s="53">
        <f>IF(SCAN!Q187&lt;&gt;"-",SCAN!E187,0)</f>
        <v>0</v>
      </c>
      <c r="T187" s="53">
        <f>IF(SCAN!Q187&lt;&gt;"-",SCAN!F187,0)</f>
        <v>0</v>
      </c>
    </row>
    <row r="188" spans="8:20" x14ac:dyDescent="0.25">
      <c r="H188" s="50">
        <f>IF(AND(SCAN!K188="-",SCAN!Q188="-"),SCAN!D188,0)</f>
        <v>0</v>
      </c>
      <c r="I188" s="50">
        <f>IF(AND(SCAN!K188="-",SCAN!Q188="-"),SCAN!E188,0)</f>
        <v>0</v>
      </c>
      <c r="J188" s="50">
        <f>IF(AND(SCAN!K188="-",SCAN!Q188="-"),SCAN!F188,0)</f>
        <v>0</v>
      </c>
      <c r="M188" s="55">
        <f>IF(SCAN!K188&lt;&gt;"-",SCAN!D188,0)</f>
        <v>0</v>
      </c>
      <c r="N188" s="55">
        <f>IF(SCAN!K188&lt;&gt;"-",SCAN!E188,0)</f>
        <v>0</v>
      </c>
      <c r="O188" s="55">
        <f>IF(SCAN!K188&lt;&gt;"-",SCAN!F188,0)</f>
        <v>0</v>
      </c>
      <c r="R188" s="53">
        <f>IF(SCAN!Q188&lt;&gt;"-",SCAN!D188,0)</f>
        <v>0</v>
      </c>
      <c r="S188" s="53">
        <f>IF(SCAN!Q188&lt;&gt;"-",SCAN!E188,0)</f>
        <v>0</v>
      </c>
      <c r="T188" s="53">
        <f>IF(SCAN!Q188&lt;&gt;"-",SCAN!F188,0)</f>
        <v>0</v>
      </c>
    </row>
    <row r="189" spans="8:20" x14ac:dyDescent="0.25">
      <c r="H189" s="50">
        <f>IF(AND(SCAN!K189="-",SCAN!Q189="-"),SCAN!D189,0)</f>
        <v>0</v>
      </c>
      <c r="I189" s="50">
        <f>IF(AND(SCAN!K189="-",SCAN!Q189="-"),SCAN!E189,0)</f>
        <v>0</v>
      </c>
      <c r="J189" s="50">
        <f>IF(AND(SCAN!K189="-",SCAN!Q189="-"),SCAN!F189,0)</f>
        <v>0</v>
      </c>
      <c r="M189" s="55">
        <f>IF(SCAN!K189&lt;&gt;"-",SCAN!D189,0)</f>
        <v>0</v>
      </c>
      <c r="N189" s="55">
        <f>IF(SCAN!K189&lt;&gt;"-",SCAN!E189,0)</f>
        <v>0</v>
      </c>
      <c r="O189" s="55">
        <f>IF(SCAN!K189&lt;&gt;"-",SCAN!F189,0)</f>
        <v>0</v>
      </c>
      <c r="R189" s="53">
        <f>IF(SCAN!Q189&lt;&gt;"-",SCAN!D189,0)</f>
        <v>0</v>
      </c>
      <c r="S189" s="53">
        <f>IF(SCAN!Q189&lt;&gt;"-",SCAN!E189,0)</f>
        <v>0</v>
      </c>
      <c r="T189" s="53">
        <f>IF(SCAN!Q189&lt;&gt;"-",SCAN!F189,0)</f>
        <v>0</v>
      </c>
    </row>
    <row r="190" spans="8:20" x14ac:dyDescent="0.25">
      <c r="H190" s="50">
        <f>IF(AND(SCAN!K190="-",SCAN!Q190="-"),SCAN!D190,0)</f>
        <v>0</v>
      </c>
      <c r="I190" s="50">
        <f>IF(AND(SCAN!K190="-",SCAN!Q190="-"),SCAN!E190,0)</f>
        <v>0</v>
      </c>
      <c r="J190" s="50">
        <f>IF(AND(SCAN!K190="-",SCAN!Q190="-"),SCAN!F190,0)</f>
        <v>0</v>
      </c>
      <c r="M190" s="55">
        <f>IF(SCAN!K190&lt;&gt;"-",SCAN!D190,0)</f>
        <v>0</v>
      </c>
      <c r="N190" s="55">
        <f>IF(SCAN!K190&lt;&gt;"-",SCAN!E190,0)</f>
        <v>0</v>
      </c>
      <c r="O190" s="55">
        <f>IF(SCAN!K190&lt;&gt;"-",SCAN!F190,0)</f>
        <v>0</v>
      </c>
      <c r="R190" s="53">
        <f>IF(SCAN!Q190&lt;&gt;"-",SCAN!D190,0)</f>
        <v>0</v>
      </c>
      <c r="S190" s="53">
        <f>IF(SCAN!Q190&lt;&gt;"-",SCAN!E190,0)</f>
        <v>0</v>
      </c>
      <c r="T190" s="53">
        <f>IF(SCAN!Q190&lt;&gt;"-",SCAN!F190,0)</f>
        <v>0</v>
      </c>
    </row>
    <row r="191" spans="8:20" x14ac:dyDescent="0.25">
      <c r="H191" s="50">
        <f>IF(AND(SCAN!K191="-",SCAN!Q191="-"),SCAN!D191,0)</f>
        <v>0</v>
      </c>
      <c r="I191" s="50">
        <f>IF(AND(SCAN!K191="-",SCAN!Q191="-"),SCAN!E191,0)</f>
        <v>0</v>
      </c>
      <c r="J191" s="50">
        <f>IF(AND(SCAN!K191="-",SCAN!Q191="-"),SCAN!F191,0)</f>
        <v>0</v>
      </c>
      <c r="M191" s="55">
        <f>IF(SCAN!K191&lt;&gt;"-",SCAN!D191,0)</f>
        <v>0</v>
      </c>
      <c r="N191" s="55">
        <f>IF(SCAN!K191&lt;&gt;"-",SCAN!E191,0)</f>
        <v>0</v>
      </c>
      <c r="O191" s="55">
        <f>IF(SCAN!K191&lt;&gt;"-",SCAN!F191,0)</f>
        <v>0</v>
      </c>
      <c r="R191" s="53">
        <f>IF(SCAN!Q191&lt;&gt;"-",SCAN!D191,0)</f>
        <v>0</v>
      </c>
      <c r="S191" s="53">
        <f>IF(SCAN!Q191&lt;&gt;"-",SCAN!E191,0)</f>
        <v>0</v>
      </c>
      <c r="T191" s="53">
        <f>IF(SCAN!Q191&lt;&gt;"-",SCAN!F191,0)</f>
        <v>0</v>
      </c>
    </row>
    <row r="192" spans="8:20" x14ac:dyDescent="0.25">
      <c r="H192" s="50">
        <f>IF(AND(SCAN!K192="-",SCAN!Q192="-"),SCAN!D192,0)</f>
        <v>0</v>
      </c>
      <c r="I192" s="50">
        <f>IF(AND(SCAN!K192="-",SCAN!Q192="-"),SCAN!E192,0)</f>
        <v>0</v>
      </c>
      <c r="J192" s="50">
        <f>IF(AND(SCAN!K192="-",SCAN!Q192="-"),SCAN!F192,0)</f>
        <v>0</v>
      </c>
      <c r="M192" s="55">
        <f>IF(SCAN!K192&lt;&gt;"-",SCAN!D192,0)</f>
        <v>0</v>
      </c>
      <c r="N192" s="55">
        <f>IF(SCAN!K192&lt;&gt;"-",SCAN!E192,0)</f>
        <v>0</v>
      </c>
      <c r="O192" s="55">
        <f>IF(SCAN!K192&lt;&gt;"-",SCAN!F192,0)</f>
        <v>0</v>
      </c>
      <c r="R192" s="53">
        <f>IF(SCAN!Q192&lt;&gt;"-",SCAN!D192,0)</f>
        <v>0</v>
      </c>
      <c r="S192" s="53">
        <f>IF(SCAN!Q192&lt;&gt;"-",SCAN!E192,0)</f>
        <v>0</v>
      </c>
      <c r="T192" s="53">
        <f>IF(SCAN!Q192&lt;&gt;"-",SCAN!F192,0)</f>
        <v>0</v>
      </c>
    </row>
    <row r="193" spans="8:20" x14ac:dyDescent="0.25">
      <c r="H193" s="50">
        <f>IF(AND(SCAN!K193="-",SCAN!Q193="-"),SCAN!D193,0)</f>
        <v>0</v>
      </c>
      <c r="I193" s="50">
        <f>IF(AND(SCAN!K193="-",SCAN!Q193="-"),SCAN!E193,0)</f>
        <v>0</v>
      </c>
      <c r="J193" s="50">
        <f>IF(AND(SCAN!K193="-",SCAN!Q193="-"),SCAN!F193,0)</f>
        <v>0</v>
      </c>
      <c r="M193" s="55">
        <f>IF(SCAN!K193&lt;&gt;"-",SCAN!D193,0)</f>
        <v>0</v>
      </c>
      <c r="N193" s="55">
        <f>IF(SCAN!K193&lt;&gt;"-",SCAN!E193,0)</f>
        <v>0</v>
      </c>
      <c r="O193" s="55">
        <f>IF(SCAN!K193&lt;&gt;"-",SCAN!F193,0)</f>
        <v>0</v>
      </c>
      <c r="R193" s="53">
        <f>IF(SCAN!Q193&lt;&gt;"-",SCAN!D193,0)</f>
        <v>0</v>
      </c>
      <c r="S193" s="53">
        <f>IF(SCAN!Q193&lt;&gt;"-",SCAN!E193,0)</f>
        <v>0</v>
      </c>
      <c r="T193" s="53">
        <f>IF(SCAN!Q193&lt;&gt;"-",SCAN!F193,0)</f>
        <v>0</v>
      </c>
    </row>
    <row r="194" spans="8:20" x14ac:dyDescent="0.25">
      <c r="H194" s="50">
        <f>IF(AND(SCAN!K194="-",SCAN!Q194="-"),SCAN!D194,0)</f>
        <v>0</v>
      </c>
      <c r="I194" s="50">
        <f>IF(AND(SCAN!K194="-",SCAN!Q194="-"),SCAN!E194,0)</f>
        <v>0</v>
      </c>
      <c r="J194" s="50">
        <f>IF(AND(SCAN!K194="-",SCAN!Q194="-"),SCAN!F194,0)</f>
        <v>0</v>
      </c>
      <c r="M194" s="55">
        <f>IF(SCAN!K194&lt;&gt;"-",SCAN!D194,0)</f>
        <v>0</v>
      </c>
      <c r="N194" s="55">
        <f>IF(SCAN!K194&lt;&gt;"-",SCAN!E194,0)</f>
        <v>0</v>
      </c>
      <c r="O194" s="55">
        <f>IF(SCAN!K194&lt;&gt;"-",SCAN!F194,0)</f>
        <v>0</v>
      </c>
      <c r="R194" s="53">
        <f>IF(SCAN!Q194&lt;&gt;"-",SCAN!D194,0)</f>
        <v>0</v>
      </c>
      <c r="S194" s="53">
        <f>IF(SCAN!Q194&lt;&gt;"-",SCAN!E194,0)</f>
        <v>0</v>
      </c>
      <c r="T194" s="53">
        <f>IF(SCAN!Q194&lt;&gt;"-",SCAN!F194,0)</f>
        <v>0</v>
      </c>
    </row>
    <row r="195" spans="8:20" x14ac:dyDescent="0.25">
      <c r="H195" s="50">
        <f>IF(AND(SCAN!K195="-",SCAN!Q195="-"),SCAN!D195,0)</f>
        <v>0</v>
      </c>
      <c r="I195" s="50">
        <f>IF(AND(SCAN!K195="-",SCAN!Q195="-"),SCAN!E195,0)</f>
        <v>0</v>
      </c>
      <c r="J195" s="50">
        <f>IF(AND(SCAN!K195="-",SCAN!Q195="-"),SCAN!F195,0)</f>
        <v>0</v>
      </c>
      <c r="M195" s="55">
        <f>IF(SCAN!K195&lt;&gt;"-",SCAN!D195,0)</f>
        <v>0</v>
      </c>
      <c r="N195" s="55">
        <f>IF(SCAN!K195&lt;&gt;"-",SCAN!E195,0)</f>
        <v>0</v>
      </c>
      <c r="O195" s="55">
        <f>IF(SCAN!K195&lt;&gt;"-",SCAN!F195,0)</f>
        <v>0</v>
      </c>
      <c r="R195" s="53">
        <f>IF(SCAN!Q195&lt;&gt;"-",SCAN!D195,0)</f>
        <v>0</v>
      </c>
      <c r="S195" s="53">
        <f>IF(SCAN!Q195&lt;&gt;"-",SCAN!E195,0)</f>
        <v>0</v>
      </c>
      <c r="T195" s="53">
        <f>IF(SCAN!Q195&lt;&gt;"-",SCAN!F195,0)</f>
        <v>0</v>
      </c>
    </row>
    <row r="196" spans="8:20" x14ac:dyDescent="0.25">
      <c r="H196" s="50">
        <f>IF(AND(SCAN!K196="-",SCAN!Q196="-"),SCAN!D196,0)</f>
        <v>0</v>
      </c>
      <c r="I196" s="50">
        <f>IF(AND(SCAN!K196="-",SCAN!Q196="-"),SCAN!E196,0)</f>
        <v>0</v>
      </c>
      <c r="J196" s="50">
        <f>IF(AND(SCAN!K196="-",SCAN!Q196="-"),SCAN!F196,0)</f>
        <v>0</v>
      </c>
      <c r="M196" s="55">
        <f>IF(SCAN!K196&lt;&gt;"-",SCAN!D196,0)</f>
        <v>0</v>
      </c>
      <c r="N196" s="55">
        <f>IF(SCAN!K196&lt;&gt;"-",SCAN!E196,0)</f>
        <v>0</v>
      </c>
      <c r="O196" s="55">
        <f>IF(SCAN!K196&lt;&gt;"-",SCAN!F196,0)</f>
        <v>0</v>
      </c>
      <c r="R196" s="53">
        <f>IF(SCAN!Q196&lt;&gt;"-",SCAN!D196,0)</f>
        <v>0</v>
      </c>
      <c r="S196" s="53">
        <f>IF(SCAN!Q196&lt;&gt;"-",SCAN!E196,0)</f>
        <v>0</v>
      </c>
      <c r="T196" s="53">
        <f>IF(SCAN!Q196&lt;&gt;"-",SCAN!F196,0)</f>
        <v>0</v>
      </c>
    </row>
    <row r="197" spans="8:20" x14ac:dyDescent="0.25">
      <c r="H197" s="50">
        <f>IF(AND(SCAN!K197="-",SCAN!Q197="-"),SCAN!D197,0)</f>
        <v>0</v>
      </c>
      <c r="I197" s="50">
        <f>IF(AND(SCAN!K197="-",SCAN!Q197="-"),SCAN!E197,0)</f>
        <v>0</v>
      </c>
      <c r="J197" s="50">
        <f>IF(AND(SCAN!K197="-",SCAN!Q197="-"),SCAN!F197,0)</f>
        <v>0</v>
      </c>
      <c r="M197" s="55">
        <f>IF(SCAN!K197&lt;&gt;"-",SCAN!D197,0)</f>
        <v>0</v>
      </c>
      <c r="N197" s="55">
        <f>IF(SCAN!K197&lt;&gt;"-",SCAN!E197,0)</f>
        <v>0</v>
      </c>
      <c r="O197" s="55">
        <f>IF(SCAN!K197&lt;&gt;"-",SCAN!F197,0)</f>
        <v>0</v>
      </c>
      <c r="R197" s="53">
        <f>IF(SCAN!Q197&lt;&gt;"-",SCAN!D197,0)</f>
        <v>0</v>
      </c>
      <c r="S197" s="53">
        <f>IF(SCAN!Q197&lt;&gt;"-",SCAN!E197,0)</f>
        <v>0</v>
      </c>
      <c r="T197" s="53">
        <f>IF(SCAN!Q197&lt;&gt;"-",SCAN!F197,0)</f>
        <v>0</v>
      </c>
    </row>
    <row r="198" spans="8:20" x14ac:dyDescent="0.25">
      <c r="H198" s="50">
        <f>IF(AND(SCAN!K198="-",SCAN!Q198="-"),SCAN!D198,0)</f>
        <v>0</v>
      </c>
      <c r="I198" s="50">
        <f>IF(AND(SCAN!K198="-",SCAN!Q198="-"),SCAN!E198,0)</f>
        <v>0</v>
      </c>
      <c r="J198" s="50">
        <f>IF(AND(SCAN!K198="-",SCAN!Q198="-"),SCAN!F198,0)</f>
        <v>0</v>
      </c>
      <c r="M198" s="55">
        <f>IF(SCAN!K198&lt;&gt;"-",SCAN!D198,0)</f>
        <v>0</v>
      </c>
      <c r="N198" s="55">
        <f>IF(SCAN!K198&lt;&gt;"-",SCAN!E198,0)</f>
        <v>0</v>
      </c>
      <c r="O198" s="55">
        <f>IF(SCAN!K198&lt;&gt;"-",SCAN!F198,0)</f>
        <v>0</v>
      </c>
      <c r="R198" s="53">
        <f>IF(SCAN!Q198&lt;&gt;"-",SCAN!D198,0)</f>
        <v>0</v>
      </c>
      <c r="S198" s="53">
        <f>IF(SCAN!Q198&lt;&gt;"-",SCAN!E198,0)</f>
        <v>0</v>
      </c>
      <c r="T198" s="53">
        <f>IF(SCAN!Q198&lt;&gt;"-",SCAN!F198,0)</f>
        <v>0</v>
      </c>
    </row>
    <row r="199" spans="8:20" x14ac:dyDescent="0.25">
      <c r="H199" s="50">
        <f>IF(AND(SCAN!K199="-",SCAN!Q199="-"),SCAN!D199,0)</f>
        <v>0</v>
      </c>
      <c r="I199" s="50">
        <f>IF(AND(SCAN!K199="-",SCAN!Q199="-"),SCAN!E199,0)</f>
        <v>0</v>
      </c>
      <c r="J199" s="50">
        <f>IF(AND(SCAN!K199="-",SCAN!Q199="-"),SCAN!F199,0)</f>
        <v>0</v>
      </c>
      <c r="M199" s="55">
        <f>IF(SCAN!K199&lt;&gt;"-",SCAN!D199,0)</f>
        <v>0</v>
      </c>
      <c r="N199" s="55">
        <f>IF(SCAN!K199&lt;&gt;"-",SCAN!E199,0)</f>
        <v>0</v>
      </c>
      <c r="O199" s="55">
        <f>IF(SCAN!K199&lt;&gt;"-",SCAN!F199,0)</f>
        <v>0</v>
      </c>
      <c r="R199" s="53">
        <f>IF(SCAN!Q199&lt;&gt;"-",SCAN!D199,0)</f>
        <v>0</v>
      </c>
      <c r="S199" s="53">
        <f>IF(SCAN!Q199&lt;&gt;"-",SCAN!E199,0)</f>
        <v>0</v>
      </c>
      <c r="T199" s="53">
        <f>IF(SCAN!Q199&lt;&gt;"-",SCAN!F199,0)</f>
        <v>0</v>
      </c>
    </row>
    <row r="200" spans="8:20" x14ac:dyDescent="0.25">
      <c r="H200" s="50">
        <f>IF(AND(SCAN!K200="-",SCAN!Q200="-"),SCAN!D200,0)</f>
        <v>0</v>
      </c>
      <c r="I200" s="50">
        <f>IF(AND(SCAN!K200="-",SCAN!Q200="-"),SCAN!E200,0)</f>
        <v>0</v>
      </c>
      <c r="J200" s="50">
        <f>IF(AND(SCAN!K200="-",SCAN!Q200="-"),SCAN!F200,0)</f>
        <v>0</v>
      </c>
      <c r="M200" s="55">
        <f>IF(SCAN!K200&lt;&gt;"-",SCAN!D200,0)</f>
        <v>0</v>
      </c>
      <c r="N200" s="55">
        <f>IF(SCAN!K200&lt;&gt;"-",SCAN!E200,0)</f>
        <v>0</v>
      </c>
      <c r="O200" s="55">
        <f>IF(SCAN!K200&lt;&gt;"-",SCAN!F200,0)</f>
        <v>0</v>
      </c>
      <c r="R200" s="53">
        <f>IF(SCAN!Q200&lt;&gt;"-",SCAN!D200,0)</f>
        <v>0</v>
      </c>
      <c r="S200" s="53">
        <f>IF(SCAN!Q200&lt;&gt;"-",SCAN!E200,0)</f>
        <v>0</v>
      </c>
      <c r="T200" s="53">
        <f>IF(SCAN!Q200&lt;&gt;"-",SCAN!F200,0)</f>
        <v>0</v>
      </c>
    </row>
    <row r="201" spans="8:20" x14ac:dyDescent="0.25">
      <c r="H201" s="50">
        <f>IF(AND(SCAN!K201="-",SCAN!Q201="-"),SCAN!D201,0)</f>
        <v>0</v>
      </c>
      <c r="I201" s="50">
        <f>IF(AND(SCAN!K201="-",SCAN!Q201="-"),SCAN!E201,0)</f>
        <v>0</v>
      </c>
      <c r="J201" s="50">
        <f>IF(AND(SCAN!K201="-",SCAN!Q201="-"),SCAN!F201,0)</f>
        <v>0</v>
      </c>
      <c r="M201" s="55">
        <f>IF(SCAN!K201&lt;&gt;"-",SCAN!D201,0)</f>
        <v>0</v>
      </c>
      <c r="N201" s="55">
        <f>IF(SCAN!K201&lt;&gt;"-",SCAN!E201,0)</f>
        <v>0</v>
      </c>
      <c r="O201" s="55">
        <f>IF(SCAN!K201&lt;&gt;"-",SCAN!F201,0)</f>
        <v>0</v>
      </c>
      <c r="R201" s="53">
        <f>IF(SCAN!Q201&lt;&gt;"-",SCAN!D201,0)</f>
        <v>0</v>
      </c>
      <c r="S201" s="53">
        <f>IF(SCAN!Q201&lt;&gt;"-",SCAN!E201,0)</f>
        <v>0</v>
      </c>
      <c r="T201" s="53">
        <f>IF(SCAN!Q201&lt;&gt;"-",SCAN!F201,0)</f>
        <v>0</v>
      </c>
    </row>
    <row r="202" spans="8:20" x14ac:dyDescent="0.25">
      <c r="H202" s="50">
        <f>IF(AND(SCAN!K202="-",SCAN!Q202="-"),SCAN!D202,0)</f>
        <v>0</v>
      </c>
      <c r="I202" s="50">
        <f>IF(AND(SCAN!K202="-",SCAN!Q202="-"),SCAN!E202,0)</f>
        <v>0</v>
      </c>
      <c r="J202" s="50">
        <f>IF(AND(SCAN!K202="-",SCAN!Q202="-"),SCAN!F202,0)</f>
        <v>0</v>
      </c>
      <c r="M202" s="55">
        <f>IF(SCAN!K202&lt;&gt;"-",SCAN!D202,0)</f>
        <v>0</v>
      </c>
      <c r="N202" s="55">
        <f>IF(SCAN!K202&lt;&gt;"-",SCAN!E202,0)</f>
        <v>0</v>
      </c>
      <c r="O202" s="55">
        <f>IF(SCAN!K202&lt;&gt;"-",SCAN!F202,0)</f>
        <v>0</v>
      </c>
      <c r="R202" s="53">
        <f>IF(SCAN!Q202&lt;&gt;"-",SCAN!D202,0)</f>
        <v>0</v>
      </c>
      <c r="S202" s="53">
        <f>IF(SCAN!Q202&lt;&gt;"-",SCAN!E202,0)</f>
        <v>0</v>
      </c>
      <c r="T202" s="53">
        <f>IF(SCAN!Q202&lt;&gt;"-",SCAN!F202,0)</f>
        <v>0</v>
      </c>
    </row>
    <row r="203" spans="8:20" x14ac:dyDescent="0.25">
      <c r="H203" s="50">
        <f>IF(AND(SCAN!K203="-",SCAN!Q203="-"),SCAN!D203,0)</f>
        <v>0</v>
      </c>
      <c r="I203" s="50">
        <f>IF(AND(SCAN!K203="-",SCAN!Q203="-"),SCAN!E203,0)</f>
        <v>0</v>
      </c>
      <c r="J203" s="50">
        <f>IF(AND(SCAN!K203="-",SCAN!Q203="-"),SCAN!F203,0)</f>
        <v>0</v>
      </c>
      <c r="M203" s="55">
        <f>IF(SCAN!K203&lt;&gt;"-",SCAN!D203,0)</f>
        <v>0</v>
      </c>
      <c r="N203" s="55">
        <f>IF(SCAN!K203&lt;&gt;"-",SCAN!E203,0)</f>
        <v>0</v>
      </c>
      <c r="O203" s="55">
        <f>IF(SCAN!K203&lt;&gt;"-",SCAN!F203,0)</f>
        <v>0</v>
      </c>
      <c r="R203" s="53">
        <f>IF(SCAN!Q203&lt;&gt;"-",SCAN!D203,0)</f>
        <v>0</v>
      </c>
      <c r="S203" s="53">
        <f>IF(SCAN!Q203&lt;&gt;"-",SCAN!E203,0)</f>
        <v>0</v>
      </c>
      <c r="T203" s="53">
        <f>IF(SCAN!Q203&lt;&gt;"-",SCAN!F203,0)</f>
        <v>0</v>
      </c>
    </row>
    <row r="204" spans="8:20" x14ac:dyDescent="0.25">
      <c r="H204" s="50">
        <f>IF(AND(SCAN!K204="-",SCAN!Q204="-"),SCAN!D204,0)</f>
        <v>0</v>
      </c>
      <c r="I204" s="50">
        <f>IF(AND(SCAN!K204="-",SCAN!Q204="-"),SCAN!E204,0)</f>
        <v>0</v>
      </c>
      <c r="J204" s="50">
        <f>IF(AND(SCAN!K204="-",SCAN!Q204="-"),SCAN!F204,0)</f>
        <v>0</v>
      </c>
      <c r="M204" s="55">
        <f>IF(SCAN!K204&lt;&gt;"-",SCAN!D204,0)</f>
        <v>0</v>
      </c>
      <c r="N204" s="55">
        <f>IF(SCAN!K204&lt;&gt;"-",SCAN!E204,0)</f>
        <v>0</v>
      </c>
      <c r="O204" s="55">
        <f>IF(SCAN!K204&lt;&gt;"-",SCAN!F204,0)</f>
        <v>0</v>
      </c>
      <c r="R204" s="53">
        <f>IF(SCAN!Q204&lt;&gt;"-",SCAN!D204,0)</f>
        <v>0</v>
      </c>
      <c r="S204" s="53">
        <f>IF(SCAN!Q204&lt;&gt;"-",SCAN!E204,0)</f>
        <v>0</v>
      </c>
      <c r="T204" s="53">
        <f>IF(SCAN!Q204&lt;&gt;"-",SCAN!F204,0)</f>
        <v>0</v>
      </c>
    </row>
    <row r="205" spans="8:20" x14ac:dyDescent="0.25">
      <c r="H205" s="50">
        <f>IF(AND(SCAN!K205="-",SCAN!Q205="-"),SCAN!D205,0)</f>
        <v>0</v>
      </c>
      <c r="I205" s="50">
        <f>IF(AND(SCAN!K205="-",SCAN!Q205="-"),SCAN!E205,0)</f>
        <v>0</v>
      </c>
      <c r="J205" s="50">
        <f>IF(AND(SCAN!K205="-",SCAN!Q205="-"),SCAN!F205,0)</f>
        <v>0</v>
      </c>
      <c r="M205" s="55">
        <f>IF(SCAN!K205&lt;&gt;"-",SCAN!D205,0)</f>
        <v>0</v>
      </c>
      <c r="N205" s="55">
        <f>IF(SCAN!K205&lt;&gt;"-",SCAN!E205,0)</f>
        <v>0</v>
      </c>
      <c r="O205" s="55">
        <f>IF(SCAN!K205&lt;&gt;"-",SCAN!F205,0)</f>
        <v>0</v>
      </c>
      <c r="R205" s="53">
        <f>IF(SCAN!Q205&lt;&gt;"-",SCAN!D205,0)</f>
        <v>0</v>
      </c>
      <c r="S205" s="53">
        <f>IF(SCAN!Q205&lt;&gt;"-",SCAN!E205,0)</f>
        <v>0</v>
      </c>
      <c r="T205" s="53">
        <f>IF(SCAN!Q205&lt;&gt;"-",SCAN!F205,0)</f>
        <v>0</v>
      </c>
    </row>
    <row r="206" spans="8:20" x14ac:dyDescent="0.25">
      <c r="H206" s="50">
        <f>IF(AND(SCAN!K206="-",SCAN!Q206="-"),SCAN!D206,0)</f>
        <v>0</v>
      </c>
      <c r="I206" s="50">
        <f>IF(AND(SCAN!K206="-",SCAN!Q206="-"),SCAN!E206,0)</f>
        <v>0</v>
      </c>
      <c r="J206" s="50">
        <f>IF(AND(SCAN!K206="-",SCAN!Q206="-"),SCAN!F206,0)</f>
        <v>0</v>
      </c>
      <c r="M206" s="55">
        <f>IF(SCAN!K206&lt;&gt;"-",SCAN!D206,0)</f>
        <v>0</v>
      </c>
      <c r="N206" s="55">
        <f>IF(SCAN!K206&lt;&gt;"-",SCAN!E206,0)</f>
        <v>0</v>
      </c>
      <c r="O206" s="55">
        <f>IF(SCAN!K206&lt;&gt;"-",SCAN!F206,0)</f>
        <v>0</v>
      </c>
      <c r="R206" s="53">
        <f>IF(SCAN!Q206&lt;&gt;"-",SCAN!D206,0)</f>
        <v>0</v>
      </c>
      <c r="S206" s="53">
        <f>IF(SCAN!Q206&lt;&gt;"-",SCAN!E206,0)</f>
        <v>0</v>
      </c>
      <c r="T206" s="53">
        <f>IF(SCAN!Q206&lt;&gt;"-",SCAN!F206,0)</f>
        <v>0</v>
      </c>
    </row>
    <row r="207" spans="8:20" x14ac:dyDescent="0.25">
      <c r="H207" s="50">
        <f>IF(AND(SCAN!K207="-",SCAN!Q207="-"),SCAN!D207,0)</f>
        <v>0</v>
      </c>
      <c r="I207" s="50">
        <f>IF(AND(SCAN!K207="-",SCAN!Q207="-"),SCAN!E207,0)</f>
        <v>0</v>
      </c>
      <c r="J207" s="50">
        <f>IF(AND(SCAN!K207="-",SCAN!Q207="-"),SCAN!F207,0)</f>
        <v>0</v>
      </c>
      <c r="M207" s="55">
        <f>IF(SCAN!K207&lt;&gt;"-",SCAN!D207,0)</f>
        <v>0</v>
      </c>
      <c r="N207" s="55">
        <f>IF(SCAN!K207&lt;&gt;"-",SCAN!E207,0)</f>
        <v>0</v>
      </c>
      <c r="O207" s="55">
        <f>IF(SCAN!K207&lt;&gt;"-",SCAN!F207,0)</f>
        <v>0</v>
      </c>
      <c r="R207" s="53">
        <f>IF(SCAN!Q207&lt;&gt;"-",SCAN!D207,0)</f>
        <v>0</v>
      </c>
      <c r="S207" s="53">
        <f>IF(SCAN!Q207&lt;&gt;"-",SCAN!E207,0)</f>
        <v>0</v>
      </c>
      <c r="T207" s="53">
        <f>IF(SCAN!Q207&lt;&gt;"-",SCAN!F207,0)</f>
        <v>0</v>
      </c>
    </row>
    <row r="208" spans="8:20" x14ac:dyDescent="0.25">
      <c r="H208" s="50">
        <f>IF(AND(SCAN!K208="-",SCAN!Q208="-"),SCAN!D208,0)</f>
        <v>0</v>
      </c>
      <c r="I208" s="50">
        <f>IF(AND(SCAN!K208="-",SCAN!Q208="-"),SCAN!E208,0)</f>
        <v>0</v>
      </c>
      <c r="J208" s="50">
        <f>IF(AND(SCAN!K208="-",SCAN!Q208="-"),SCAN!F208,0)</f>
        <v>0</v>
      </c>
      <c r="M208" s="55">
        <f>IF(SCAN!K208&lt;&gt;"-",SCAN!D208,0)</f>
        <v>0</v>
      </c>
      <c r="N208" s="55">
        <f>IF(SCAN!K208&lt;&gt;"-",SCAN!E208,0)</f>
        <v>0</v>
      </c>
      <c r="O208" s="55">
        <f>IF(SCAN!K208&lt;&gt;"-",SCAN!F208,0)</f>
        <v>0</v>
      </c>
      <c r="R208" s="53">
        <f>IF(SCAN!Q208&lt;&gt;"-",SCAN!D208,0)</f>
        <v>0</v>
      </c>
      <c r="S208" s="53">
        <f>IF(SCAN!Q208&lt;&gt;"-",SCAN!E208,0)</f>
        <v>0</v>
      </c>
      <c r="T208" s="53">
        <f>IF(SCAN!Q208&lt;&gt;"-",SCAN!F208,0)</f>
        <v>0</v>
      </c>
    </row>
    <row r="209" spans="8:20" x14ac:dyDescent="0.25">
      <c r="H209" s="50">
        <f>IF(AND(SCAN!K209="-",SCAN!Q209="-"),SCAN!D209,0)</f>
        <v>0</v>
      </c>
      <c r="I209" s="50">
        <f>IF(AND(SCAN!K209="-",SCAN!Q209="-"),SCAN!E209,0)</f>
        <v>0</v>
      </c>
      <c r="J209" s="50">
        <f>IF(AND(SCAN!K209="-",SCAN!Q209="-"),SCAN!F209,0)</f>
        <v>0</v>
      </c>
      <c r="M209" s="55">
        <f>IF(SCAN!K209&lt;&gt;"-",SCAN!D209,0)</f>
        <v>0</v>
      </c>
      <c r="N209" s="55">
        <f>IF(SCAN!K209&lt;&gt;"-",SCAN!E209,0)</f>
        <v>0</v>
      </c>
      <c r="O209" s="55">
        <f>IF(SCAN!K209&lt;&gt;"-",SCAN!F209,0)</f>
        <v>0</v>
      </c>
      <c r="R209" s="53">
        <f>IF(SCAN!Q209&lt;&gt;"-",SCAN!D209,0)</f>
        <v>0</v>
      </c>
      <c r="S209" s="53">
        <f>IF(SCAN!Q209&lt;&gt;"-",SCAN!E209,0)</f>
        <v>0</v>
      </c>
      <c r="T209" s="53">
        <f>IF(SCAN!Q209&lt;&gt;"-",SCAN!F209,0)</f>
        <v>0</v>
      </c>
    </row>
    <row r="210" spans="8:20" x14ac:dyDescent="0.25">
      <c r="H210" s="50">
        <f>IF(AND(SCAN!K210="-",SCAN!Q210="-"),SCAN!D210,0)</f>
        <v>0</v>
      </c>
      <c r="I210" s="50">
        <f>IF(AND(SCAN!K210="-",SCAN!Q210="-"),SCAN!E210,0)</f>
        <v>0</v>
      </c>
      <c r="J210" s="50">
        <f>IF(AND(SCAN!K210="-",SCAN!Q210="-"),SCAN!F210,0)</f>
        <v>0</v>
      </c>
      <c r="M210" s="55">
        <f>IF(SCAN!K210&lt;&gt;"-",SCAN!D210,0)</f>
        <v>0</v>
      </c>
      <c r="N210" s="55">
        <f>IF(SCAN!K210&lt;&gt;"-",SCAN!E210,0)</f>
        <v>0</v>
      </c>
      <c r="O210" s="55">
        <f>IF(SCAN!K210&lt;&gt;"-",SCAN!F210,0)</f>
        <v>0</v>
      </c>
      <c r="R210" s="53">
        <f>IF(SCAN!Q210&lt;&gt;"-",SCAN!D210,0)</f>
        <v>0</v>
      </c>
      <c r="S210" s="53">
        <f>IF(SCAN!Q210&lt;&gt;"-",SCAN!E210,0)</f>
        <v>0</v>
      </c>
      <c r="T210" s="53">
        <f>IF(SCAN!Q210&lt;&gt;"-",SCAN!F210,0)</f>
        <v>0</v>
      </c>
    </row>
    <row r="211" spans="8:20" x14ac:dyDescent="0.25">
      <c r="H211" s="50">
        <f>IF(AND(SCAN!K211="-",SCAN!Q211="-"),SCAN!D211,0)</f>
        <v>0</v>
      </c>
      <c r="I211" s="50">
        <f>IF(AND(SCAN!K211="-",SCAN!Q211="-"),SCAN!E211,0)</f>
        <v>0</v>
      </c>
      <c r="J211" s="50">
        <f>IF(AND(SCAN!K211="-",SCAN!Q211="-"),SCAN!F211,0)</f>
        <v>0</v>
      </c>
      <c r="M211" s="55">
        <f>IF(SCAN!K211&lt;&gt;"-",SCAN!D211,0)</f>
        <v>0</v>
      </c>
      <c r="N211" s="55">
        <f>IF(SCAN!K211&lt;&gt;"-",SCAN!E211,0)</f>
        <v>0</v>
      </c>
      <c r="O211" s="55">
        <f>IF(SCAN!K211&lt;&gt;"-",SCAN!F211,0)</f>
        <v>0</v>
      </c>
      <c r="R211" s="53">
        <f>IF(SCAN!Q211&lt;&gt;"-",SCAN!D211,0)</f>
        <v>0</v>
      </c>
      <c r="S211" s="53">
        <f>IF(SCAN!Q211&lt;&gt;"-",SCAN!E211,0)</f>
        <v>0</v>
      </c>
      <c r="T211" s="53">
        <f>IF(SCAN!Q211&lt;&gt;"-",SCAN!F211,0)</f>
        <v>0</v>
      </c>
    </row>
    <row r="212" spans="8:20" x14ac:dyDescent="0.25">
      <c r="H212" s="50">
        <f>IF(AND(SCAN!K212="-",SCAN!Q212="-"),SCAN!D212,0)</f>
        <v>0</v>
      </c>
      <c r="I212" s="50">
        <f>IF(AND(SCAN!K212="-",SCAN!Q212="-"),SCAN!E212,0)</f>
        <v>0</v>
      </c>
      <c r="J212" s="50">
        <f>IF(AND(SCAN!K212="-",SCAN!Q212="-"),SCAN!F212,0)</f>
        <v>0</v>
      </c>
      <c r="M212" s="55">
        <f>IF(SCAN!K212&lt;&gt;"-",SCAN!D212,0)</f>
        <v>0</v>
      </c>
      <c r="N212" s="55">
        <f>IF(SCAN!K212&lt;&gt;"-",SCAN!E212,0)</f>
        <v>0</v>
      </c>
      <c r="O212" s="55">
        <f>IF(SCAN!K212&lt;&gt;"-",SCAN!F212,0)</f>
        <v>0</v>
      </c>
      <c r="R212" s="53">
        <f>IF(SCAN!Q212&lt;&gt;"-",SCAN!D212,0)</f>
        <v>0</v>
      </c>
      <c r="S212" s="53">
        <f>IF(SCAN!Q212&lt;&gt;"-",SCAN!E212,0)</f>
        <v>0</v>
      </c>
      <c r="T212" s="53">
        <f>IF(SCAN!Q212&lt;&gt;"-",SCAN!F212,0)</f>
        <v>0</v>
      </c>
    </row>
    <row r="213" spans="8:20" x14ac:dyDescent="0.25">
      <c r="H213" s="50">
        <f>IF(AND(SCAN!K213="-",SCAN!Q213="-"),SCAN!D213,0)</f>
        <v>0</v>
      </c>
      <c r="I213" s="50">
        <f>IF(AND(SCAN!K213="-",SCAN!Q213="-"),SCAN!E213,0)</f>
        <v>0</v>
      </c>
      <c r="J213" s="50">
        <f>IF(AND(SCAN!K213="-",SCAN!Q213="-"),SCAN!F213,0)</f>
        <v>0</v>
      </c>
      <c r="M213" s="55">
        <f>IF(SCAN!K213&lt;&gt;"-",SCAN!D213,0)</f>
        <v>0</v>
      </c>
      <c r="N213" s="55">
        <f>IF(SCAN!K213&lt;&gt;"-",SCAN!E213,0)</f>
        <v>0</v>
      </c>
      <c r="O213" s="55">
        <f>IF(SCAN!K213&lt;&gt;"-",SCAN!F213,0)</f>
        <v>0</v>
      </c>
      <c r="R213" s="53">
        <f>IF(SCAN!Q213&lt;&gt;"-",SCAN!D213,0)</f>
        <v>0</v>
      </c>
      <c r="S213" s="53">
        <f>IF(SCAN!Q213&lt;&gt;"-",SCAN!E213,0)</f>
        <v>0</v>
      </c>
      <c r="T213" s="53">
        <f>IF(SCAN!Q213&lt;&gt;"-",SCAN!F213,0)</f>
        <v>0</v>
      </c>
    </row>
    <row r="214" spans="8:20" x14ac:dyDescent="0.25">
      <c r="H214" s="50">
        <f>IF(AND(SCAN!K214="-",SCAN!Q214="-"),SCAN!D214,0)</f>
        <v>0</v>
      </c>
      <c r="I214" s="50">
        <f>IF(AND(SCAN!K214="-",SCAN!Q214="-"),SCAN!E214,0)</f>
        <v>0</v>
      </c>
      <c r="J214" s="50">
        <f>IF(AND(SCAN!K214="-",SCAN!Q214="-"),SCAN!F214,0)</f>
        <v>0</v>
      </c>
      <c r="M214" s="55">
        <f>IF(SCAN!K214&lt;&gt;"-",SCAN!D214,0)</f>
        <v>0</v>
      </c>
      <c r="N214" s="55">
        <f>IF(SCAN!K214&lt;&gt;"-",SCAN!E214,0)</f>
        <v>0</v>
      </c>
      <c r="O214" s="55">
        <f>IF(SCAN!K214&lt;&gt;"-",SCAN!F214,0)</f>
        <v>0</v>
      </c>
      <c r="R214" s="53">
        <f>IF(SCAN!Q214&lt;&gt;"-",SCAN!D214,0)</f>
        <v>0</v>
      </c>
      <c r="S214" s="53">
        <f>IF(SCAN!Q214&lt;&gt;"-",SCAN!E214,0)</f>
        <v>0</v>
      </c>
      <c r="T214" s="53">
        <f>IF(SCAN!Q214&lt;&gt;"-",SCAN!F214,0)</f>
        <v>0</v>
      </c>
    </row>
    <row r="215" spans="8:20" x14ac:dyDescent="0.25">
      <c r="H215" s="50">
        <f>IF(AND(SCAN!K215="-",SCAN!Q215="-"),SCAN!D215,0)</f>
        <v>0</v>
      </c>
      <c r="I215" s="50">
        <f>IF(AND(SCAN!K215="-",SCAN!Q215="-"),SCAN!E215,0)</f>
        <v>0</v>
      </c>
      <c r="J215" s="50">
        <f>IF(AND(SCAN!K215="-",SCAN!Q215="-"),SCAN!F215,0)</f>
        <v>0</v>
      </c>
      <c r="M215" s="55">
        <f>IF(SCAN!K215&lt;&gt;"-",SCAN!D215,0)</f>
        <v>0</v>
      </c>
      <c r="N215" s="55">
        <f>IF(SCAN!K215&lt;&gt;"-",SCAN!E215,0)</f>
        <v>0</v>
      </c>
      <c r="O215" s="55">
        <f>IF(SCAN!K215&lt;&gt;"-",SCAN!F215,0)</f>
        <v>0</v>
      </c>
      <c r="R215" s="53">
        <f>IF(SCAN!Q215&lt;&gt;"-",SCAN!D215,0)</f>
        <v>0</v>
      </c>
      <c r="S215" s="53">
        <f>IF(SCAN!Q215&lt;&gt;"-",SCAN!E215,0)</f>
        <v>0</v>
      </c>
      <c r="T215" s="53">
        <f>IF(SCAN!Q215&lt;&gt;"-",SCAN!F215,0)</f>
        <v>0</v>
      </c>
    </row>
    <row r="216" spans="8:20" x14ac:dyDescent="0.25">
      <c r="H216" s="50">
        <f>IF(AND(SCAN!K216="-",SCAN!Q216="-"),SCAN!D216,0)</f>
        <v>0</v>
      </c>
      <c r="I216" s="50">
        <f>IF(AND(SCAN!K216="-",SCAN!Q216="-"),SCAN!E216,0)</f>
        <v>0</v>
      </c>
      <c r="J216" s="50">
        <f>IF(AND(SCAN!K216="-",SCAN!Q216="-"),SCAN!F216,0)</f>
        <v>0</v>
      </c>
      <c r="M216" s="55">
        <f>IF(SCAN!K216&lt;&gt;"-",SCAN!D216,0)</f>
        <v>0</v>
      </c>
      <c r="N216" s="55">
        <f>IF(SCAN!K216&lt;&gt;"-",SCAN!E216,0)</f>
        <v>0</v>
      </c>
      <c r="O216" s="55">
        <f>IF(SCAN!K216&lt;&gt;"-",SCAN!F216,0)</f>
        <v>0</v>
      </c>
      <c r="R216" s="53">
        <f>IF(SCAN!Q216&lt;&gt;"-",SCAN!D216,0)</f>
        <v>0</v>
      </c>
      <c r="S216" s="53">
        <f>IF(SCAN!Q216&lt;&gt;"-",SCAN!E216,0)</f>
        <v>0</v>
      </c>
      <c r="T216" s="53">
        <f>IF(SCAN!Q216&lt;&gt;"-",SCAN!F216,0)</f>
        <v>0</v>
      </c>
    </row>
    <row r="217" spans="8:20" x14ac:dyDescent="0.25">
      <c r="H217" s="50">
        <f>IF(AND(SCAN!K217="-",SCAN!Q217="-"),SCAN!D217,0)</f>
        <v>0</v>
      </c>
      <c r="I217" s="50">
        <f>IF(AND(SCAN!K217="-",SCAN!Q217="-"),SCAN!E217,0)</f>
        <v>0</v>
      </c>
      <c r="J217" s="50">
        <f>IF(AND(SCAN!K217="-",SCAN!Q217="-"),SCAN!F217,0)</f>
        <v>0</v>
      </c>
      <c r="M217" s="55">
        <f>IF(SCAN!K217&lt;&gt;"-",SCAN!D217,0)</f>
        <v>0</v>
      </c>
      <c r="N217" s="55">
        <f>IF(SCAN!K217&lt;&gt;"-",SCAN!E217,0)</f>
        <v>0</v>
      </c>
      <c r="O217" s="55">
        <f>IF(SCAN!K217&lt;&gt;"-",SCAN!F217,0)</f>
        <v>0</v>
      </c>
      <c r="R217" s="53">
        <f>IF(SCAN!Q217&lt;&gt;"-",SCAN!D217,0)</f>
        <v>0</v>
      </c>
      <c r="S217" s="53">
        <f>IF(SCAN!Q217&lt;&gt;"-",SCAN!E217,0)</f>
        <v>0</v>
      </c>
      <c r="T217" s="53">
        <f>IF(SCAN!Q217&lt;&gt;"-",SCAN!F217,0)</f>
        <v>0</v>
      </c>
    </row>
    <row r="218" spans="8:20" x14ac:dyDescent="0.25">
      <c r="H218" s="50">
        <f>IF(AND(SCAN!K218="-",SCAN!Q218="-"),SCAN!D218,0)</f>
        <v>0</v>
      </c>
      <c r="I218" s="50">
        <f>IF(AND(SCAN!K218="-",SCAN!Q218="-"),SCAN!E218,0)</f>
        <v>0</v>
      </c>
      <c r="J218" s="50">
        <f>IF(AND(SCAN!K218="-",SCAN!Q218="-"),SCAN!F218,0)</f>
        <v>0</v>
      </c>
      <c r="M218" s="55">
        <f>IF(SCAN!K218&lt;&gt;"-",SCAN!D218,0)</f>
        <v>0</v>
      </c>
      <c r="N218" s="55">
        <f>IF(SCAN!K218&lt;&gt;"-",SCAN!E218,0)</f>
        <v>0</v>
      </c>
      <c r="O218" s="55">
        <f>IF(SCAN!K218&lt;&gt;"-",SCAN!F218,0)</f>
        <v>0</v>
      </c>
      <c r="R218" s="53">
        <f>IF(SCAN!Q218&lt;&gt;"-",SCAN!D218,0)</f>
        <v>0</v>
      </c>
      <c r="S218" s="53">
        <f>IF(SCAN!Q218&lt;&gt;"-",SCAN!E218,0)</f>
        <v>0</v>
      </c>
      <c r="T218" s="53">
        <f>IF(SCAN!Q218&lt;&gt;"-",SCAN!F218,0)</f>
        <v>0</v>
      </c>
    </row>
    <row r="219" spans="8:20" x14ac:dyDescent="0.25">
      <c r="H219" s="50">
        <f>IF(AND(SCAN!K219="-",SCAN!Q219="-"),SCAN!D219,0)</f>
        <v>0</v>
      </c>
      <c r="I219" s="50">
        <f>IF(AND(SCAN!K219="-",SCAN!Q219="-"),SCAN!E219,0)</f>
        <v>0</v>
      </c>
      <c r="J219" s="50">
        <f>IF(AND(SCAN!K219="-",SCAN!Q219="-"),SCAN!F219,0)</f>
        <v>0</v>
      </c>
      <c r="M219" s="55">
        <f>IF(SCAN!K219&lt;&gt;"-",SCAN!D219,0)</f>
        <v>0</v>
      </c>
      <c r="N219" s="55">
        <f>IF(SCAN!K219&lt;&gt;"-",SCAN!E219,0)</f>
        <v>0</v>
      </c>
      <c r="O219" s="55">
        <f>IF(SCAN!K219&lt;&gt;"-",SCAN!F219,0)</f>
        <v>0</v>
      </c>
      <c r="R219" s="53">
        <f>IF(SCAN!Q219&lt;&gt;"-",SCAN!D219,0)</f>
        <v>0</v>
      </c>
      <c r="S219" s="53">
        <f>IF(SCAN!Q219&lt;&gt;"-",SCAN!E219,0)</f>
        <v>0</v>
      </c>
      <c r="T219" s="53">
        <f>IF(SCAN!Q219&lt;&gt;"-",SCAN!F219,0)</f>
        <v>0</v>
      </c>
    </row>
    <row r="220" spans="8:20" x14ac:dyDescent="0.25">
      <c r="H220" s="50">
        <f>IF(AND(SCAN!K220="-",SCAN!Q220="-"),SCAN!D220,0)</f>
        <v>0</v>
      </c>
      <c r="I220" s="50">
        <f>IF(AND(SCAN!K220="-",SCAN!Q220="-"),SCAN!E220,0)</f>
        <v>0</v>
      </c>
      <c r="J220" s="50">
        <f>IF(AND(SCAN!K220="-",SCAN!Q220="-"),SCAN!F220,0)</f>
        <v>0</v>
      </c>
      <c r="M220" s="55">
        <f>IF(SCAN!K220&lt;&gt;"-",SCAN!D220,0)</f>
        <v>0</v>
      </c>
      <c r="N220" s="55">
        <f>IF(SCAN!K220&lt;&gt;"-",SCAN!E220,0)</f>
        <v>0</v>
      </c>
      <c r="O220" s="55">
        <f>IF(SCAN!K220&lt;&gt;"-",SCAN!F220,0)</f>
        <v>0</v>
      </c>
      <c r="R220" s="53">
        <f>IF(SCAN!Q220&lt;&gt;"-",SCAN!D220,0)</f>
        <v>0</v>
      </c>
      <c r="S220" s="53">
        <f>IF(SCAN!Q220&lt;&gt;"-",SCAN!E220,0)</f>
        <v>0</v>
      </c>
      <c r="T220" s="53">
        <f>IF(SCAN!Q220&lt;&gt;"-",SCAN!F220,0)</f>
        <v>0</v>
      </c>
    </row>
    <row r="221" spans="8:20" x14ac:dyDescent="0.25">
      <c r="H221" s="50">
        <f>IF(AND(SCAN!K221="-",SCAN!Q221="-"),SCAN!D221,0)</f>
        <v>0</v>
      </c>
      <c r="I221" s="50">
        <f>IF(AND(SCAN!K221="-",SCAN!Q221="-"),SCAN!E221,0)</f>
        <v>0</v>
      </c>
      <c r="J221" s="50">
        <f>IF(AND(SCAN!K221="-",SCAN!Q221="-"),SCAN!F221,0)</f>
        <v>0</v>
      </c>
      <c r="M221" s="55">
        <f>IF(SCAN!K221&lt;&gt;"-",SCAN!D221,0)</f>
        <v>0</v>
      </c>
      <c r="N221" s="55">
        <f>IF(SCAN!K221&lt;&gt;"-",SCAN!E221,0)</f>
        <v>0</v>
      </c>
      <c r="O221" s="55">
        <f>IF(SCAN!K221&lt;&gt;"-",SCAN!F221,0)</f>
        <v>0</v>
      </c>
      <c r="R221" s="53">
        <f>IF(SCAN!Q221&lt;&gt;"-",SCAN!D221,0)</f>
        <v>0</v>
      </c>
      <c r="S221" s="53">
        <f>IF(SCAN!Q221&lt;&gt;"-",SCAN!E221,0)</f>
        <v>0</v>
      </c>
      <c r="T221" s="53">
        <f>IF(SCAN!Q221&lt;&gt;"-",SCAN!F221,0)</f>
        <v>0</v>
      </c>
    </row>
    <row r="222" spans="8:20" x14ac:dyDescent="0.25">
      <c r="H222" s="50">
        <f>IF(AND(SCAN!K222="-",SCAN!Q222="-"),SCAN!D222,0)</f>
        <v>0</v>
      </c>
      <c r="I222" s="50">
        <f>IF(AND(SCAN!K222="-",SCAN!Q222="-"),SCAN!E222,0)</f>
        <v>0</v>
      </c>
      <c r="J222" s="50">
        <f>IF(AND(SCAN!K222="-",SCAN!Q222="-"),SCAN!F222,0)</f>
        <v>0</v>
      </c>
      <c r="M222" s="55">
        <f>IF(SCAN!K222&lt;&gt;"-",SCAN!D222,0)</f>
        <v>0</v>
      </c>
      <c r="N222" s="55">
        <f>IF(SCAN!K222&lt;&gt;"-",SCAN!E222,0)</f>
        <v>0</v>
      </c>
      <c r="O222" s="55">
        <f>IF(SCAN!K222&lt;&gt;"-",SCAN!F222,0)</f>
        <v>0</v>
      </c>
      <c r="R222" s="53">
        <f>IF(SCAN!Q222&lt;&gt;"-",SCAN!D222,0)</f>
        <v>0</v>
      </c>
      <c r="S222" s="53">
        <f>IF(SCAN!Q222&lt;&gt;"-",SCAN!E222,0)</f>
        <v>0</v>
      </c>
      <c r="T222" s="53">
        <f>IF(SCAN!Q222&lt;&gt;"-",SCAN!F222,0)</f>
        <v>0</v>
      </c>
    </row>
    <row r="223" spans="8:20" x14ac:dyDescent="0.25">
      <c r="H223" s="50">
        <f>IF(AND(SCAN!K223="-",SCAN!Q223="-"),SCAN!D223,0)</f>
        <v>0</v>
      </c>
      <c r="I223" s="50">
        <f>IF(AND(SCAN!K223="-",SCAN!Q223="-"),SCAN!E223,0)</f>
        <v>0</v>
      </c>
      <c r="J223" s="50">
        <f>IF(AND(SCAN!K223="-",SCAN!Q223="-"),SCAN!F223,0)</f>
        <v>0</v>
      </c>
      <c r="M223" s="55">
        <f>IF(SCAN!K223&lt;&gt;"-",SCAN!D223,0)</f>
        <v>0</v>
      </c>
      <c r="N223" s="55">
        <f>IF(SCAN!K223&lt;&gt;"-",SCAN!E223,0)</f>
        <v>0</v>
      </c>
      <c r="O223" s="55">
        <f>IF(SCAN!K223&lt;&gt;"-",SCAN!F223,0)</f>
        <v>0</v>
      </c>
      <c r="R223" s="53">
        <f>IF(SCAN!Q223&lt;&gt;"-",SCAN!D223,0)</f>
        <v>0</v>
      </c>
      <c r="S223" s="53">
        <f>IF(SCAN!Q223&lt;&gt;"-",SCAN!E223,0)</f>
        <v>0</v>
      </c>
      <c r="T223" s="53">
        <f>IF(SCAN!Q223&lt;&gt;"-",SCAN!F223,0)</f>
        <v>0</v>
      </c>
    </row>
    <row r="224" spans="8:20" x14ac:dyDescent="0.25">
      <c r="H224" s="50">
        <f>IF(AND(SCAN!K224="-",SCAN!Q224="-"),SCAN!D224,0)</f>
        <v>0</v>
      </c>
      <c r="I224" s="50">
        <f>IF(AND(SCAN!K224="-",SCAN!Q224="-"),SCAN!E224,0)</f>
        <v>0</v>
      </c>
      <c r="J224" s="50">
        <f>IF(AND(SCAN!K224="-",SCAN!Q224="-"),SCAN!F224,0)</f>
        <v>0</v>
      </c>
      <c r="M224" s="55">
        <f>IF(SCAN!K224&lt;&gt;"-",SCAN!D224,0)</f>
        <v>0</v>
      </c>
      <c r="N224" s="55">
        <f>IF(SCAN!K224&lt;&gt;"-",SCAN!E224,0)</f>
        <v>0</v>
      </c>
      <c r="O224" s="55">
        <f>IF(SCAN!K224&lt;&gt;"-",SCAN!F224,0)</f>
        <v>0</v>
      </c>
      <c r="R224" s="53">
        <f>IF(SCAN!Q224&lt;&gt;"-",SCAN!D224,0)</f>
        <v>0</v>
      </c>
      <c r="S224" s="53">
        <f>IF(SCAN!Q224&lt;&gt;"-",SCAN!E224,0)</f>
        <v>0</v>
      </c>
      <c r="T224" s="53">
        <f>IF(SCAN!Q224&lt;&gt;"-",SCAN!F224,0)</f>
        <v>0</v>
      </c>
    </row>
    <row r="225" spans="8:20" x14ac:dyDescent="0.25">
      <c r="H225" s="50">
        <f>IF(AND(SCAN!K225="-",SCAN!Q225="-"),SCAN!D225,0)</f>
        <v>0</v>
      </c>
      <c r="I225" s="50">
        <f>IF(AND(SCAN!K225="-",SCAN!Q225="-"),SCAN!E225,0)</f>
        <v>0</v>
      </c>
      <c r="J225" s="50">
        <f>IF(AND(SCAN!K225="-",SCAN!Q225="-"),SCAN!F225,0)</f>
        <v>0</v>
      </c>
      <c r="M225" s="55">
        <f>IF(SCAN!K225&lt;&gt;"-",SCAN!D225,0)</f>
        <v>0</v>
      </c>
      <c r="N225" s="55">
        <f>IF(SCAN!K225&lt;&gt;"-",SCAN!E225,0)</f>
        <v>0</v>
      </c>
      <c r="O225" s="55">
        <f>IF(SCAN!K225&lt;&gt;"-",SCAN!F225,0)</f>
        <v>0</v>
      </c>
      <c r="R225" s="53">
        <f>IF(SCAN!Q225&lt;&gt;"-",SCAN!D225,0)</f>
        <v>0</v>
      </c>
      <c r="S225" s="53">
        <f>IF(SCAN!Q225&lt;&gt;"-",SCAN!E225,0)</f>
        <v>0</v>
      </c>
      <c r="T225" s="53">
        <f>IF(SCAN!Q225&lt;&gt;"-",SCAN!F225,0)</f>
        <v>0</v>
      </c>
    </row>
    <row r="226" spans="8:20" x14ac:dyDescent="0.25">
      <c r="H226" s="50">
        <f>IF(AND(SCAN!K226="-",SCAN!Q226="-"),SCAN!D226,0)</f>
        <v>0</v>
      </c>
      <c r="I226" s="50">
        <f>IF(AND(SCAN!K226="-",SCAN!Q226="-"),SCAN!E226,0)</f>
        <v>0</v>
      </c>
      <c r="J226" s="50">
        <f>IF(AND(SCAN!K226="-",SCAN!Q226="-"),SCAN!F226,0)</f>
        <v>0</v>
      </c>
      <c r="M226" s="55">
        <f>IF(SCAN!K226&lt;&gt;"-",SCAN!D226,0)</f>
        <v>0</v>
      </c>
      <c r="N226" s="55">
        <f>IF(SCAN!K226&lt;&gt;"-",SCAN!E226,0)</f>
        <v>0</v>
      </c>
      <c r="O226" s="55">
        <f>IF(SCAN!K226&lt;&gt;"-",SCAN!F226,0)</f>
        <v>0</v>
      </c>
      <c r="R226" s="53">
        <f>IF(SCAN!Q226&lt;&gt;"-",SCAN!D226,0)</f>
        <v>0</v>
      </c>
      <c r="S226" s="53">
        <f>IF(SCAN!Q226&lt;&gt;"-",SCAN!E226,0)</f>
        <v>0</v>
      </c>
      <c r="T226" s="53">
        <f>IF(SCAN!Q226&lt;&gt;"-",SCAN!F226,0)</f>
        <v>0</v>
      </c>
    </row>
    <row r="227" spans="8:20" x14ac:dyDescent="0.25">
      <c r="H227" s="50">
        <f>IF(AND(SCAN!K227="-",SCAN!Q227="-"),SCAN!D227,0)</f>
        <v>0</v>
      </c>
      <c r="I227" s="50">
        <f>IF(AND(SCAN!K227="-",SCAN!Q227="-"),SCAN!E227,0)</f>
        <v>0</v>
      </c>
      <c r="J227" s="50">
        <f>IF(AND(SCAN!K227="-",SCAN!Q227="-"),SCAN!F227,0)</f>
        <v>0</v>
      </c>
      <c r="M227" s="55">
        <f>IF(SCAN!K227&lt;&gt;"-",SCAN!D227,0)</f>
        <v>0</v>
      </c>
      <c r="N227" s="55">
        <f>IF(SCAN!K227&lt;&gt;"-",SCAN!E227,0)</f>
        <v>0</v>
      </c>
      <c r="O227" s="55">
        <f>IF(SCAN!K227&lt;&gt;"-",SCAN!F227,0)</f>
        <v>0</v>
      </c>
      <c r="R227" s="53">
        <f>IF(SCAN!Q227&lt;&gt;"-",SCAN!D227,0)</f>
        <v>0</v>
      </c>
      <c r="S227" s="53">
        <f>IF(SCAN!Q227&lt;&gt;"-",SCAN!E227,0)</f>
        <v>0</v>
      </c>
      <c r="T227" s="53">
        <f>IF(SCAN!Q227&lt;&gt;"-",SCAN!F227,0)</f>
        <v>0</v>
      </c>
    </row>
    <row r="228" spans="8:20" x14ac:dyDescent="0.25">
      <c r="H228" s="50">
        <f>IF(AND(SCAN!K228="-",SCAN!Q228="-"),SCAN!D228,0)</f>
        <v>0</v>
      </c>
      <c r="I228" s="50">
        <f>IF(AND(SCAN!K228="-",SCAN!Q228="-"),SCAN!E228,0)</f>
        <v>0</v>
      </c>
      <c r="J228" s="50">
        <f>IF(AND(SCAN!K228="-",SCAN!Q228="-"),SCAN!F228,0)</f>
        <v>0</v>
      </c>
      <c r="M228" s="55">
        <f>IF(SCAN!K228&lt;&gt;"-",SCAN!D228,0)</f>
        <v>0</v>
      </c>
      <c r="N228" s="55">
        <f>IF(SCAN!K228&lt;&gt;"-",SCAN!E228,0)</f>
        <v>0</v>
      </c>
      <c r="O228" s="55">
        <f>IF(SCAN!K228&lt;&gt;"-",SCAN!F228,0)</f>
        <v>0</v>
      </c>
      <c r="R228" s="53">
        <f>IF(SCAN!Q228&lt;&gt;"-",SCAN!D228,0)</f>
        <v>0</v>
      </c>
      <c r="S228" s="53">
        <f>IF(SCAN!Q228&lt;&gt;"-",SCAN!E228,0)</f>
        <v>0</v>
      </c>
      <c r="T228" s="53">
        <f>IF(SCAN!Q228&lt;&gt;"-",SCAN!F228,0)</f>
        <v>0</v>
      </c>
    </row>
    <row r="229" spans="8:20" x14ac:dyDescent="0.25">
      <c r="H229" s="50">
        <f>IF(AND(SCAN!K229="-",SCAN!Q229="-"),SCAN!D229,0)</f>
        <v>0</v>
      </c>
      <c r="I229" s="50">
        <f>IF(AND(SCAN!K229="-",SCAN!Q229="-"),SCAN!E229,0)</f>
        <v>0</v>
      </c>
      <c r="J229" s="50">
        <f>IF(AND(SCAN!K229="-",SCAN!Q229="-"),SCAN!F229,0)</f>
        <v>0</v>
      </c>
      <c r="M229" s="55">
        <f>IF(SCAN!K229&lt;&gt;"-",SCAN!D229,0)</f>
        <v>0</v>
      </c>
      <c r="N229" s="55">
        <f>IF(SCAN!K229&lt;&gt;"-",SCAN!E229,0)</f>
        <v>0</v>
      </c>
      <c r="O229" s="55">
        <f>IF(SCAN!K229&lt;&gt;"-",SCAN!F229,0)</f>
        <v>0</v>
      </c>
      <c r="R229" s="53">
        <f>IF(SCAN!Q229&lt;&gt;"-",SCAN!D229,0)</f>
        <v>0</v>
      </c>
      <c r="S229" s="53">
        <f>IF(SCAN!Q229&lt;&gt;"-",SCAN!E229,0)</f>
        <v>0</v>
      </c>
      <c r="T229" s="53">
        <f>IF(SCAN!Q229&lt;&gt;"-",SCAN!F229,0)</f>
        <v>0</v>
      </c>
    </row>
    <row r="230" spans="8:20" x14ac:dyDescent="0.25">
      <c r="H230" s="50">
        <f>IF(AND(SCAN!K230="-",SCAN!Q230="-"),SCAN!D230,0)</f>
        <v>0</v>
      </c>
      <c r="I230" s="50">
        <f>IF(AND(SCAN!K230="-",SCAN!Q230="-"),SCAN!E230,0)</f>
        <v>0</v>
      </c>
      <c r="J230" s="50">
        <f>IF(AND(SCAN!K230="-",SCAN!Q230="-"),SCAN!F230,0)</f>
        <v>0</v>
      </c>
      <c r="M230" s="55">
        <f>IF(SCAN!K230&lt;&gt;"-",SCAN!D230,0)</f>
        <v>0</v>
      </c>
      <c r="N230" s="55">
        <f>IF(SCAN!K230&lt;&gt;"-",SCAN!E230,0)</f>
        <v>0</v>
      </c>
      <c r="O230" s="55">
        <f>IF(SCAN!K230&lt;&gt;"-",SCAN!F230,0)</f>
        <v>0</v>
      </c>
      <c r="R230" s="53">
        <f>IF(SCAN!Q230&lt;&gt;"-",SCAN!D230,0)</f>
        <v>0</v>
      </c>
      <c r="S230" s="53">
        <f>IF(SCAN!Q230&lt;&gt;"-",SCAN!E230,0)</f>
        <v>0</v>
      </c>
      <c r="T230" s="53">
        <f>IF(SCAN!Q230&lt;&gt;"-",SCAN!F230,0)</f>
        <v>0</v>
      </c>
    </row>
    <row r="231" spans="8:20" x14ac:dyDescent="0.25">
      <c r="H231" s="50">
        <f>IF(AND(SCAN!K231="-",SCAN!Q231="-"),SCAN!D231,0)</f>
        <v>0</v>
      </c>
      <c r="I231" s="50">
        <f>IF(AND(SCAN!K231="-",SCAN!Q231="-"),SCAN!E231,0)</f>
        <v>0</v>
      </c>
      <c r="J231" s="50">
        <f>IF(AND(SCAN!K231="-",SCAN!Q231="-"),SCAN!F231,0)</f>
        <v>0</v>
      </c>
      <c r="M231" s="55">
        <f>IF(SCAN!K231&lt;&gt;"-",SCAN!D231,0)</f>
        <v>0</v>
      </c>
      <c r="N231" s="55">
        <f>IF(SCAN!K231&lt;&gt;"-",SCAN!E231,0)</f>
        <v>0</v>
      </c>
      <c r="O231" s="55">
        <f>IF(SCAN!K231&lt;&gt;"-",SCAN!F231,0)</f>
        <v>0</v>
      </c>
      <c r="R231" s="53">
        <f>IF(SCAN!Q231&lt;&gt;"-",SCAN!D231,0)</f>
        <v>0</v>
      </c>
      <c r="S231" s="53">
        <f>IF(SCAN!Q231&lt;&gt;"-",SCAN!E231,0)</f>
        <v>0</v>
      </c>
      <c r="T231" s="53">
        <f>IF(SCAN!Q231&lt;&gt;"-",SCAN!F231,0)</f>
        <v>0</v>
      </c>
    </row>
    <row r="232" spans="8:20" x14ac:dyDescent="0.25">
      <c r="H232" s="50">
        <f>IF(AND(SCAN!K232="-",SCAN!Q232="-"),SCAN!D232,0)</f>
        <v>0</v>
      </c>
      <c r="I232" s="50">
        <f>IF(AND(SCAN!K232="-",SCAN!Q232="-"),SCAN!E232,0)</f>
        <v>0</v>
      </c>
      <c r="J232" s="50">
        <f>IF(AND(SCAN!K232="-",SCAN!Q232="-"),SCAN!F232,0)</f>
        <v>0</v>
      </c>
      <c r="M232" s="55">
        <f>IF(SCAN!K232&lt;&gt;"-",SCAN!D232,0)</f>
        <v>0</v>
      </c>
      <c r="N232" s="55">
        <f>IF(SCAN!K232&lt;&gt;"-",SCAN!E232,0)</f>
        <v>0</v>
      </c>
      <c r="O232" s="55">
        <f>IF(SCAN!K232&lt;&gt;"-",SCAN!F232,0)</f>
        <v>0</v>
      </c>
      <c r="R232" s="53">
        <f>IF(SCAN!Q232&lt;&gt;"-",SCAN!D232,0)</f>
        <v>0</v>
      </c>
      <c r="S232" s="53">
        <f>IF(SCAN!Q232&lt;&gt;"-",SCAN!E232,0)</f>
        <v>0</v>
      </c>
      <c r="T232" s="53">
        <f>IF(SCAN!Q232&lt;&gt;"-",SCAN!F232,0)</f>
        <v>0</v>
      </c>
    </row>
    <row r="233" spans="8:20" x14ac:dyDescent="0.25">
      <c r="H233" s="50">
        <f>IF(AND(SCAN!K233="-",SCAN!Q233="-"),SCAN!D233,0)</f>
        <v>0</v>
      </c>
      <c r="I233" s="50">
        <f>IF(AND(SCAN!K233="-",SCAN!Q233="-"),SCAN!E233,0)</f>
        <v>0</v>
      </c>
      <c r="J233" s="50">
        <f>IF(AND(SCAN!K233="-",SCAN!Q233="-"),SCAN!F233,0)</f>
        <v>0</v>
      </c>
      <c r="M233" s="55">
        <f>IF(SCAN!K233&lt;&gt;"-",SCAN!D233,0)</f>
        <v>0</v>
      </c>
      <c r="N233" s="55">
        <f>IF(SCAN!K233&lt;&gt;"-",SCAN!E233,0)</f>
        <v>0</v>
      </c>
      <c r="O233" s="55">
        <f>IF(SCAN!K233&lt;&gt;"-",SCAN!F233,0)</f>
        <v>0</v>
      </c>
      <c r="R233" s="53">
        <f>IF(SCAN!Q233&lt;&gt;"-",SCAN!D233,0)</f>
        <v>0</v>
      </c>
      <c r="S233" s="53">
        <f>IF(SCAN!Q233&lt;&gt;"-",SCAN!E233,0)</f>
        <v>0</v>
      </c>
      <c r="T233" s="53">
        <f>IF(SCAN!Q233&lt;&gt;"-",SCAN!F233,0)</f>
        <v>0</v>
      </c>
    </row>
    <row r="234" spans="8:20" x14ac:dyDescent="0.25">
      <c r="H234" s="50">
        <f>IF(AND(SCAN!K234="-",SCAN!Q234="-"),SCAN!D234,0)</f>
        <v>0</v>
      </c>
      <c r="I234" s="50">
        <f>IF(AND(SCAN!K234="-",SCAN!Q234="-"),SCAN!E234,0)</f>
        <v>0</v>
      </c>
      <c r="J234" s="50">
        <f>IF(AND(SCAN!K234="-",SCAN!Q234="-"),SCAN!F234,0)</f>
        <v>0</v>
      </c>
      <c r="M234" s="55">
        <f>IF(SCAN!K234&lt;&gt;"-",SCAN!D234,0)</f>
        <v>0</v>
      </c>
      <c r="N234" s="55">
        <f>IF(SCAN!K234&lt;&gt;"-",SCAN!E234,0)</f>
        <v>0</v>
      </c>
      <c r="O234" s="55">
        <f>IF(SCAN!K234&lt;&gt;"-",SCAN!F234,0)</f>
        <v>0</v>
      </c>
      <c r="R234" s="53">
        <f>IF(SCAN!Q234&lt;&gt;"-",SCAN!D234,0)</f>
        <v>0</v>
      </c>
      <c r="S234" s="53">
        <f>IF(SCAN!Q234&lt;&gt;"-",SCAN!E234,0)</f>
        <v>0</v>
      </c>
      <c r="T234" s="53">
        <f>IF(SCAN!Q234&lt;&gt;"-",SCAN!F234,0)</f>
        <v>0</v>
      </c>
    </row>
    <row r="235" spans="8:20" x14ac:dyDescent="0.25">
      <c r="H235" s="50">
        <f>IF(AND(SCAN!K235="-",SCAN!Q235="-"),SCAN!D235,0)</f>
        <v>0</v>
      </c>
      <c r="I235" s="50">
        <f>IF(AND(SCAN!K235="-",SCAN!Q235="-"),SCAN!E235,0)</f>
        <v>0</v>
      </c>
      <c r="J235" s="50">
        <f>IF(AND(SCAN!K235="-",SCAN!Q235="-"),SCAN!F235,0)</f>
        <v>0</v>
      </c>
      <c r="M235" s="55">
        <f>IF(SCAN!K235&lt;&gt;"-",SCAN!D235,0)</f>
        <v>0</v>
      </c>
      <c r="N235" s="55">
        <f>IF(SCAN!K235&lt;&gt;"-",SCAN!E235,0)</f>
        <v>0</v>
      </c>
      <c r="O235" s="55">
        <f>IF(SCAN!K235&lt;&gt;"-",SCAN!F235,0)</f>
        <v>0</v>
      </c>
      <c r="R235" s="53">
        <f>IF(SCAN!Q235&lt;&gt;"-",SCAN!D235,0)</f>
        <v>0</v>
      </c>
      <c r="S235" s="53">
        <f>IF(SCAN!Q235&lt;&gt;"-",SCAN!E235,0)</f>
        <v>0</v>
      </c>
      <c r="T235" s="53">
        <f>IF(SCAN!Q235&lt;&gt;"-",SCAN!F235,0)</f>
        <v>0</v>
      </c>
    </row>
    <row r="236" spans="8:20" x14ac:dyDescent="0.25">
      <c r="H236" s="50">
        <f>IF(AND(SCAN!K236="-",SCAN!Q236="-"),SCAN!D236,0)</f>
        <v>0</v>
      </c>
      <c r="I236" s="50">
        <f>IF(AND(SCAN!K236="-",SCAN!Q236="-"),SCAN!E236,0)</f>
        <v>0</v>
      </c>
      <c r="J236" s="50">
        <f>IF(AND(SCAN!K236="-",SCAN!Q236="-"),SCAN!F236,0)</f>
        <v>0</v>
      </c>
      <c r="M236" s="55">
        <f>IF(SCAN!K236&lt;&gt;"-",SCAN!D236,0)</f>
        <v>0</v>
      </c>
      <c r="N236" s="55">
        <f>IF(SCAN!K236&lt;&gt;"-",SCAN!E236,0)</f>
        <v>0</v>
      </c>
      <c r="O236" s="55">
        <f>IF(SCAN!K236&lt;&gt;"-",SCAN!F236,0)</f>
        <v>0</v>
      </c>
      <c r="R236" s="53">
        <f>IF(SCAN!Q236&lt;&gt;"-",SCAN!D236,0)</f>
        <v>0</v>
      </c>
      <c r="S236" s="53">
        <f>IF(SCAN!Q236&lt;&gt;"-",SCAN!E236,0)</f>
        <v>0</v>
      </c>
      <c r="T236" s="53">
        <f>IF(SCAN!Q236&lt;&gt;"-",SCAN!F236,0)</f>
        <v>0</v>
      </c>
    </row>
    <row r="237" spans="8:20" x14ac:dyDescent="0.25">
      <c r="H237" s="50">
        <f>IF(AND(SCAN!K237="-",SCAN!Q237="-"),SCAN!D237,0)</f>
        <v>0</v>
      </c>
      <c r="I237" s="50">
        <f>IF(AND(SCAN!K237="-",SCAN!Q237="-"),SCAN!E237,0)</f>
        <v>0</v>
      </c>
      <c r="J237" s="50">
        <f>IF(AND(SCAN!K237="-",SCAN!Q237="-"),SCAN!F237,0)</f>
        <v>0</v>
      </c>
      <c r="M237" s="55">
        <f>IF(SCAN!K237&lt;&gt;"-",SCAN!D237,0)</f>
        <v>0</v>
      </c>
      <c r="N237" s="55">
        <f>IF(SCAN!K237&lt;&gt;"-",SCAN!E237,0)</f>
        <v>0</v>
      </c>
      <c r="O237" s="55">
        <f>IF(SCAN!K237&lt;&gt;"-",SCAN!F237,0)</f>
        <v>0</v>
      </c>
      <c r="R237" s="53">
        <f>IF(SCAN!Q237&lt;&gt;"-",SCAN!D237,0)</f>
        <v>0</v>
      </c>
      <c r="S237" s="53">
        <f>IF(SCAN!Q237&lt;&gt;"-",SCAN!E237,0)</f>
        <v>0</v>
      </c>
      <c r="T237" s="53">
        <f>IF(SCAN!Q237&lt;&gt;"-",SCAN!F237,0)</f>
        <v>0</v>
      </c>
    </row>
    <row r="238" spans="8:20" x14ac:dyDescent="0.25">
      <c r="H238" s="50">
        <f>IF(AND(SCAN!K238="-",SCAN!Q238="-"),SCAN!D238,0)</f>
        <v>0</v>
      </c>
      <c r="I238" s="50">
        <f>IF(AND(SCAN!K238="-",SCAN!Q238="-"),SCAN!E238,0)</f>
        <v>0</v>
      </c>
      <c r="J238" s="50">
        <f>IF(AND(SCAN!K238="-",SCAN!Q238="-"),SCAN!F238,0)</f>
        <v>0</v>
      </c>
      <c r="M238" s="55">
        <f>IF(SCAN!K238&lt;&gt;"-",SCAN!D238,0)</f>
        <v>0</v>
      </c>
      <c r="N238" s="55">
        <f>IF(SCAN!K238&lt;&gt;"-",SCAN!E238,0)</f>
        <v>0</v>
      </c>
      <c r="O238" s="55">
        <f>IF(SCAN!K238&lt;&gt;"-",SCAN!F238,0)</f>
        <v>0</v>
      </c>
      <c r="R238" s="53">
        <f>IF(SCAN!Q238&lt;&gt;"-",SCAN!D238,0)</f>
        <v>0</v>
      </c>
      <c r="S238" s="53">
        <f>IF(SCAN!Q238&lt;&gt;"-",SCAN!E238,0)</f>
        <v>0</v>
      </c>
      <c r="T238" s="53">
        <f>IF(SCAN!Q238&lt;&gt;"-",SCAN!F238,0)</f>
        <v>0</v>
      </c>
    </row>
    <row r="239" spans="8:20" x14ac:dyDescent="0.25">
      <c r="H239" s="50">
        <f>IF(AND(SCAN!K239="-",SCAN!Q239="-"),SCAN!D239,0)</f>
        <v>0</v>
      </c>
      <c r="I239" s="50">
        <f>IF(AND(SCAN!K239="-",SCAN!Q239="-"),SCAN!E239,0)</f>
        <v>0</v>
      </c>
      <c r="J239" s="50">
        <f>IF(AND(SCAN!K239="-",SCAN!Q239="-"),SCAN!F239,0)</f>
        <v>0</v>
      </c>
      <c r="M239" s="55">
        <f>IF(SCAN!K239&lt;&gt;"-",SCAN!D239,0)</f>
        <v>0</v>
      </c>
      <c r="N239" s="55">
        <f>IF(SCAN!K239&lt;&gt;"-",SCAN!E239,0)</f>
        <v>0</v>
      </c>
      <c r="O239" s="55">
        <f>IF(SCAN!K239&lt;&gt;"-",SCAN!F239,0)</f>
        <v>0</v>
      </c>
      <c r="R239" s="53">
        <f>IF(SCAN!Q239&lt;&gt;"-",SCAN!D239,0)</f>
        <v>0</v>
      </c>
      <c r="S239" s="53">
        <f>IF(SCAN!Q239&lt;&gt;"-",SCAN!E239,0)</f>
        <v>0</v>
      </c>
      <c r="T239" s="53">
        <f>IF(SCAN!Q239&lt;&gt;"-",SCAN!F239,0)</f>
        <v>0</v>
      </c>
    </row>
    <row r="240" spans="8:20" x14ac:dyDescent="0.25">
      <c r="H240" s="50">
        <f>IF(AND(SCAN!K240="-",SCAN!Q240="-"),SCAN!D240,0)</f>
        <v>0</v>
      </c>
      <c r="I240" s="50">
        <f>IF(AND(SCAN!K240="-",SCAN!Q240="-"),SCAN!E240,0)</f>
        <v>0</v>
      </c>
      <c r="J240" s="50">
        <f>IF(AND(SCAN!K240="-",SCAN!Q240="-"),SCAN!F240,0)</f>
        <v>0</v>
      </c>
      <c r="M240" s="55">
        <f>IF(SCAN!K240&lt;&gt;"-",SCAN!D240,0)</f>
        <v>0</v>
      </c>
      <c r="N240" s="55">
        <f>IF(SCAN!K240&lt;&gt;"-",SCAN!E240,0)</f>
        <v>0</v>
      </c>
      <c r="O240" s="55">
        <f>IF(SCAN!K240&lt;&gt;"-",SCAN!F240,0)</f>
        <v>0</v>
      </c>
      <c r="R240" s="53">
        <f>IF(SCAN!Q240&lt;&gt;"-",SCAN!D240,0)</f>
        <v>0</v>
      </c>
      <c r="S240" s="53">
        <f>IF(SCAN!Q240&lt;&gt;"-",SCAN!E240,0)</f>
        <v>0</v>
      </c>
      <c r="T240" s="53">
        <f>IF(SCAN!Q240&lt;&gt;"-",SCAN!F240,0)</f>
        <v>0</v>
      </c>
    </row>
    <row r="241" spans="8:20" x14ac:dyDescent="0.25">
      <c r="H241" s="50">
        <f>IF(AND(SCAN!K241="-",SCAN!Q241="-"),SCAN!D241,0)</f>
        <v>0</v>
      </c>
      <c r="I241" s="50">
        <f>IF(AND(SCAN!K241="-",SCAN!Q241="-"),SCAN!E241,0)</f>
        <v>0</v>
      </c>
      <c r="J241" s="50">
        <f>IF(AND(SCAN!K241="-",SCAN!Q241="-"),SCAN!F241,0)</f>
        <v>0</v>
      </c>
      <c r="M241" s="55">
        <f>IF(SCAN!K241&lt;&gt;"-",SCAN!D241,0)</f>
        <v>0</v>
      </c>
      <c r="N241" s="55">
        <f>IF(SCAN!K241&lt;&gt;"-",SCAN!E241,0)</f>
        <v>0</v>
      </c>
      <c r="O241" s="55">
        <f>IF(SCAN!K241&lt;&gt;"-",SCAN!F241,0)</f>
        <v>0</v>
      </c>
      <c r="R241" s="53">
        <f>IF(SCAN!Q241&lt;&gt;"-",SCAN!D241,0)</f>
        <v>0</v>
      </c>
      <c r="S241" s="53">
        <f>IF(SCAN!Q241&lt;&gt;"-",SCAN!E241,0)</f>
        <v>0</v>
      </c>
      <c r="T241" s="53">
        <f>IF(SCAN!Q241&lt;&gt;"-",SCAN!F241,0)</f>
        <v>0</v>
      </c>
    </row>
    <row r="242" spans="8:20" x14ac:dyDescent="0.25">
      <c r="H242" s="50">
        <f>IF(AND(SCAN!K242="-",SCAN!Q242="-"),SCAN!D242,0)</f>
        <v>0</v>
      </c>
      <c r="I242" s="50">
        <f>IF(AND(SCAN!K242="-",SCAN!Q242="-"),SCAN!E242,0)</f>
        <v>0</v>
      </c>
      <c r="J242" s="50">
        <f>IF(AND(SCAN!K242="-",SCAN!Q242="-"),SCAN!F242,0)</f>
        <v>0</v>
      </c>
      <c r="M242" s="55">
        <f>IF(SCAN!K242&lt;&gt;"-",SCAN!D242,0)</f>
        <v>0</v>
      </c>
      <c r="N242" s="55">
        <f>IF(SCAN!K242&lt;&gt;"-",SCAN!E242,0)</f>
        <v>0</v>
      </c>
      <c r="O242" s="55">
        <f>IF(SCAN!K242&lt;&gt;"-",SCAN!F242,0)</f>
        <v>0</v>
      </c>
      <c r="R242" s="53">
        <f>IF(SCAN!Q242&lt;&gt;"-",SCAN!D242,0)</f>
        <v>0</v>
      </c>
      <c r="S242" s="53">
        <f>IF(SCAN!Q242&lt;&gt;"-",SCAN!E242,0)</f>
        <v>0</v>
      </c>
      <c r="T242" s="53">
        <f>IF(SCAN!Q242&lt;&gt;"-",SCAN!F242,0)</f>
        <v>0</v>
      </c>
    </row>
    <row r="243" spans="8:20" x14ac:dyDescent="0.25">
      <c r="H243" s="50">
        <f>IF(AND(SCAN!K243="-",SCAN!Q243="-"),SCAN!D243,0)</f>
        <v>0</v>
      </c>
      <c r="I243" s="50">
        <f>IF(AND(SCAN!K243="-",SCAN!Q243="-"),SCAN!E243,0)</f>
        <v>0</v>
      </c>
      <c r="J243" s="50">
        <f>IF(AND(SCAN!K243="-",SCAN!Q243="-"),SCAN!F243,0)</f>
        <v>0</v>
      </c>
      <c r="M243" s="55">
        <f>IF(SCAN!K243&lt;&gt;"-",SCAN!D243,0)</f>
        <v>0</v>
      </c>
      <c r="N243" s="55">
        <f>IF(SCAN!K243&lt;&gt;"-",SCAN!E243,0)</f>
        <v>0</v>
      </c>
      <c r="O243" s="55">
        <f>IF(SCAN!K243&lt;&gt;"-",SCAN!F243,0)</f>
        <v>0</v>
      </c>
      <c r="R243" s="53">
        <f>IF(SCAN!Q243&lt;&gt;"-",SCAN!D243,0)</f>
        <v>0</v>
      </c>
      <c r="S243" s="53">
        <f>IF(SCAN!Q243&lt;&gt;"-",SCAN!E243,0)</f>
        <v>0</v>
      </c>
      <c r="T243" s="53">
        <f>IF(SCAN!Q243&lt;&gt;"-",SCAN!F243,0)</f>
        <v>0</v>
      </c>
    </row>
    <row r="244" spans="8:20" x14ac:dyDescent="0.25">
      <c r="H244" s="50">
        <f>IF(AND(SCAN!K244="-",SCAN!Q244="-"),SCAN!D244,0)</f>
        <v>0</v>
      </c>
      <c r="I244" s="50">
        <f>IF(AND(SCAN!K244="-",SCAN!Q244="-"),SCAN!E244,0)</f>
        <v>0</v>
      </c>
      <c r="J244" s="50">
        <f>IF(AND(SCAN!K244="-",SCAN!Q244="-"),SCAN!F244,0)</f>
        <v>0</v>
      </c>
      <c r="M244" s="55">
        <f>IF(SCAN!K244&lt;&gt;"-",SCAN!D244,0)</f>
        <v>0</v>
      </c>
      <c r="N244" s="55">
        <f>IF(SCAN!K244&lt;&gt;"-",SCAN!E244,0)</f>
        <v>0</v>
      </c>
      <c r="O244" s="55">
        <f>IF(SCAN!K244&lt;&gt;"-",SCAN!F244,0)</f>
        <v>0</v>
      </c>
      <c r="R244" s="53">
        <f>IF(SCAN!Q244&lt;&gt;"-",SCAN!D244,0)</f>
        <v>0</v>
      </c>
      <c r="S244" s="53">
        <f>IF(SCAN!Q244&lt;&gt;"-",SCAN!E244,0)</f>
        <v>0</v>
      </c>
      <c r="T244" s="53">
        <f>IF(SCAN!Q244&lt;&gt;"-",SCAN!F244,0)</f>
        <v>0</v>
      </c>
    </row>
    <row r="245" spans="8:20" x14ac:dyDescent="0.25">
      <c r="H245" s="50">
        <f>IF(AND(SCAN!K245="-",SCAN!Q245="-"),SCAN!D245,0)</f>
        <v>0</v>
      </c>
      <c r="I245" s="50">
        <f>IF(AND(SCAN!K245="-",SCAN!Q245="-"),SCAN!E245,0)</f>
        <v>0</v>
      </c>
      <c r="J245" s="50">
        <f>IF(AND(SCAN!K245="-",SCAN!Q245="-"),SCAN!F245,0)</f>
        <v>0</v>
      </c>
      <c r="M245" s="55">
        <f>IF(SCAN!K245&lt;&gt;"-",SCAN!D245,0)</f>
        <v>0</v>
      </c>
      <c r="N245" s="55">
        <f>IF(SCAN!K245&lt;&gt;"-",SCAN!E245,0)</f>
        <v>0</v>
      </c>
      <c r="O245" s="55">
        <f>IF(SCAN!K245&lt;&gt;"-",SCAN!F245,0)</f>
        <v>0</v>
      </c>
      <c r="R245" s="53">
        <f>IF(SCAN!Q245&lt;&gt;"-",SCAN!D245,0)</f>
        <v>0</v>
      </c>
      <c r="S245" s="53">
        <f>IF(SCAN!Q245&lt;&gt;"-",SCAN!E245,0)</f>
        <v>0</v>
      </c>
      <c r="T245" s="53">
        <f>IF(SCAN!Q245&lt;&gt;"-",SCAN!F245,0)</f>
        <v>0</v>
      </c>
    </row>
    <row r="246" spans="8:20" x14ac:dyDescent="0.25">
      <c r="H246" s="50">
        <f>IF(AND(SCAN!K246="-",SCAN!Q246="-"),SCAN!D246,0)</f>
        <v>0</v>
      </c>
      <c r="I246" s="50">
        <f>IF(AND(SCAN!K246="-",SCAN!Q246="-"),SCAN!E246,0)</f>
        <v>0</v>
      </c>
      <c r="J246" s="50">
        <f>IF(AND(SCAN!K246="-",SCAN!Q246="-"),SCAN!F246,0)</f>
        <v>0</v>
      </c>
      <c r="M246" s="55">
        <f>IF(SCAN!K246&lt;&gt;"-",SCAN!D246,0)</f>
        <v>0</v>
      </c>
      <c r="N246" s="55">
        <f>IF(SCAN!K246&lt;&gt;"-",SCAN!E246,0)</f>
        <v>0</v>
      </c>
      <c r="O246" s="55">
        <f>IF(SCAN!K246&lt;&gt;"-",SCAN!F246,0)</f>
        <v>0</v>
      </c>
      <c r="R246" s="53">
        <f>IF(SCAN!Q246&lt;&gt;"-",SCAN!D246,0)</f>
        <v>0</v>
      </c>
      <c r="S246" s="53">
        <f>IF(SCAN!Q246&lt;&gt;"-",SCAN!E246,0)</f>
        <v>0</v>
      </c>
      <c r="T246" s="53">
        <f>IF(SCAN!Q246&lt;&gt;"-",SCAN!F246,0)</f>
        <v>0</v>
      </c>
    </row>
    <row r="247" spans="8:20" x14ac:dyDescent="0.25">
      <c r="H247" s="50">
        <f>IF(AND(SCAN!K247="-",SCAN!Q247="-"),SCAN!D247,0)</f>
        <v>0</v>
      </c>
      <c r="I247" s="50">
        <f>IF(AND(SCAN!K247="-",SCAN!Q247="-"),SCAN!E247,0)</f>
        <v>0</v>
      </c>
      <c r="J247" s="50">
        <f>IF(AND(SCAN!K247="-",SCAN!Q247="-"),SCAN!F247,0)</f>
        <v>0</v>
      </c>
      <c r="M247" s="55">
        <f>IF(SCAN!K247&lt;&gt;"-",SCAN!D247,0)</f>
        <v>0</v>
      </c>
      <c r="N247" s="55">
        <f>IF(SCAN!K247&lt;&gt;"-",SCAN!E247,0)</f>
        <v>0</v>
      </c>
      <c r="O247" s="55">
        <f>IF(SCAN!K247&lt;&gt;"-",SCAN!F247,0)</f>
        <v>0</v>
      </c>
      <c r="R247" s="53">
        <f>IF(SCAN!Q247&lt;&gt;"-",SCAN!D247,0)</f>
        <v>0</v>
      </c>
      <c r="S247" s="53">
        <f>IF(SCAN!Q247&lt;&gt;"-",SCAN!E247,0)</f>
        <v>0</v>
      </c>
      <c r="T247" s="53">
        <f>IF(SCAN!Q247&lt;&gt;"-",SCAN!F247,0)</f>
        <v>0</v>
      </c>
    </row>
    <row r="248" spans="8:20" x14ac:dyDescent="0.25">
      <c r="H248" s="50">
        <f>IF(AND(SCAN!K248="-",SCAN!Q248="-"),SCAN!D248,0)</f>
        <v>0</v>
      </c>
      <c r="I248" s="50">
        <f>IF(AND(SCAN!K248="-",SCAN!Q248="-"),SCAN!E248,0)</f>
        <v>0</v>
      </c>
      <c r="J248" s="50">
        <f>IF(AND(SCAN!K248="-",SCAN!Q248="-"),SCAN!F248,0)</f>
        <v>0</v>
      </c>
      <c r="M248" s="55">
        <f>IF(SCAN!K248&lt;&gt;"-",SCAN!D248,0)</f>
        <v>0</v>
      </c>
      <c r="N248" s="55">
        <f>IF(SCAN!K248&lt;&gt;"-",SCAN!E248,0)</f>
        <v>0</v>
      </c>
      <c r="O248" s="55">
        <f>IF(SCAN!K248&lt;&gt;"-",SCAN!F248,0)</f>
        <v>0</v>
      </c>
      <c r="R248" s="53">
        <f>IF(SCAN!Q248&lt;&gt;"-",SCAN!D248,0)</f>
        <v>0</v>
      </c>
      <c r="S248" s="53">
        <f>IF(SCAN!Q248&lt;&gt;"-",SCAN!E248,0)</f>
        <v>0</v>
      </c>
      <c r="T248" s="53">
        <f>IF(SCAN!Q248&lt;&gt;"-",SCAN!F248,0)</f>
        <v>0</v>
      </c>
    </row>
    <row r="249" spans="8:20" x14ac:dyDescent="0.25">
      <c r="H249" s="50">
        <f>IF(AND(SCAN!K249="-",SCAN!Q249="-"),SCAN!D249,0)</f>
        <v>0</v>
      </c>
      <c r="I249" s="50">
        <f>IF(AND(SCAN!K249="-",SCAN!Q249="-"),SCAN!E249,0)</f>
        <v>0</v>
      </c>
      <c r="J249" s="50">
        <f>IF(AND(SCAN!K249="-",SCAN!Q249="-"),SCAN!F249,0)</f>
        <v>0</v>
      </c>
      <c r="M249" s="55">
        <f>IF(SCAN!K249&lt;&gt;"-",SCAN!D249,0)</f>
        <v>0</v>
      </c>
      <c r="N249" s="55">
        <f>IF(SCAN!K249&lt;&gt;"-",SCAN!E249,0)</f>
        <v>0</v>
      </c>
      <c r="O249" s="55">
        <f>IF(SCAN!K249&lt;&gt;"-",SCAN!F249,0)</f>
        <v>0</v>
      </c>
      <c r="R249" s="53">
        <f>IF(SCAN!Q249&lt;&gt;"-",SCAN!D249,0)</f>
        <v>0</v>
      </c>
      <c r="S249" s="53">
        <f>IF(SCAN!Q249&lt;&gt;"-",SCAN!E249,0)</f>
        <v>0</v>
      </c>
      <c r="T249" s="53">
        <f>IF(SCAN!Q249&lt;&gt;"-",SCAN!F249,0)</f>
        <v>0</v>
      </c>
    </row>
    <row r="250" spans="8:20" x14ac:dyDescent="0.25">
      <c r="H250" s="50">
        <f>IF(AND(SCAN!K250="-",SCAN!Q250="-"),SCAN!D250,0)</f>
        <v>0</v>
      </c>
      <c r="I250" s="50">
        <f>IF(AND(SCAN!K250="-",SCAN!Q250="-"),SCAN!E250,0)</f>
        <v>0</v>
      </c>
      <c r="J250" s="50">
        <f>IF(AND(SCAN!K250="-",SCAN!Q250="-"),SCAN!F250,0)</f>
        <v>0</v>
      </c>
      <c r="M250" s="55">
        <f>IF(SCAN!K250&lt;&gt;"-",SCAN!D250,0)</f>
        <v>0</v>
      </c>
      <c r="N250" s="55">
        <f>IF(SCAN!K250&lt;&gt;"-",SCAN!E250,0)</f>
        <v>0</v>
      </c>
      <c r="O250" s="55">
        <f>IF(SCAN!K250&lt;&gt;"-",SCAN!F250,0)</f>
        <v>0</v>
      </c>
      <c r="R250" s="53">
        <f>IF(SCAN!Q250&lt;&gt;"-",SCAN!D250,0)</f>
        <v>0</v>
      </c>
      <c r="S250" s="53">
        <f>IF(SCAN!Q250&lt;&gt;"-",SCAN!E250,0)</f>
        <v>0</v>
      </c>
      <c r="T250" s="53">
        <f>IF(SCAN!Q250&lt;&gt;"-",SCAN!F250,0)</f>
        <v>0</v>
      </c>
    </row>
    <row r="251" spans="8:20" x14ac:dyDescent="0.25">
      <c r="H251" s="50">
        <f>IF(AND(SCAN!K251="-",SCAN!Q251="-"),SCAN!D251,0)</f>
        <v>0</v>
      </c>
      <c r="I251" s="50">
        <f>IF(AND(SCAN!K251="-",SCAN!Q251="-"),SCAN!E251,0)</f>
        <v>0</v>
      </c>
      <c r="J251" s="50">
        <f>IF(AND(SCAN!K251="-",SCAN!Q251="-"),SCAN!F251,0)</f>
        <v>0</v>
      </c>
      <c r="M251" s="55">
        <f>IF(SCAN!K251&lt;&gt;"-",SCAN!D251,0)</f>
        <v>0</v>
      </c>
      <c r="N251" s="55">
        <f>IF(SCAN!K251&lt;&gt;"-",SCAN!E251,0)</f>
        <v>0</v>
      </c>
      <c r="O251" s="55">
        <f>IF(SCAN!K251&lt;&gt;"-",SCAN!F251,0)</f>
        <v>0</v>
      </c>
      <c r="R251" s="53">
        <f>IF(SCAN!Q251&lt;&gt;"-",SCAN!D251,0)</f>
        <v>0</v>
      </c>
      <c r="S251" s="53">
        <f>IF(SCAN!Q251&lt;&gt;"-",SCAN!E251,0)</f>
        <v>0</v>
      </c>
      <c r="T251" s="53">
        <f>IF(SCAN!Q251&lt;&gt;"-",SCAN!F251,0)</f>
        <v>0</v>
      </c>
    </row>
    <row r="252" spans="8:20" x14ac:dyDescent="0.25">
      <c r="H252" s="50">
        <f>IF(AND(SCAN!K252="-",SCAN!Q252="-"),SCAN!D252,0)</f>
        <v>0</v>
      </c>
      <c r="I252" s="50">
        <f>IF(AND(SCAN!K252="-",SCAN!Q252="-"),SCAN!E252,0)</f>
        <v>0</v>
      </c>
      <c r="J252" s="50">
        <f>IF(AND(SCAN!K252="-",SCAN!Q252="-"),SCAN!F252,0)</f>
        <v>0</v>
      </c>
      <c r="M252" s="55">
        <f>IF(SCAN!K252&lt;&gt;"-",SCAN!D252,0)</f>
        <v>0</v>
      </c>
      <c r="N252" s="55">
        <f>IF(SCAN!K252&lt;&gt;"-",SCAN!E252,0)</f>
        <v>0</v>
      </c>
      <c r="O252" s="55">
        <f>IF(SCAN!K252&lt;&gt;"-",SCAN!F252,0)</f>
        <v>0</v>
      </c>
      <c r="R252" s="53">
        <f>IF(SCAN!Q252&lt;&gt;"-",SCAN!D252,0)</f>
        <v>0</v>
      </c>
      <c r="S252" s="53">
        <f>IF(SCAN!Q252&lt;&gt;"-",SCAN!E252,0)</f>
        <v>0</v>
      </c>
      <c r="T252" s="53">
        <f>IF(SCAN!Q252&lt;&gt;"-",SCAN!F252,0)</f>
        <v>0</v>
      </c>
    </row>
    <row r="253" spans="8:20" x14ac:dyDescent="0.25">
      <c r="H253" s="50">
        <f>IF(AND(SCAN!K253="-",SCAN!Q253="-"),SCAN!D253,0)</f>
        <v>0</v>
      </c>
      <c r="I253" s="50">
        <f>IF(AND(SCAN!K253="-",SCAN!Q253="-"),SCAN!E253,0)</f>
        <v>0</v>
      </c>
      <c r="J253" s="50">
        <f>IF(AND(SCAN!K253="-",SCAN!Q253="-"),SCAN!F253,0)</f>
        <v>0</v>
      </c>
      <c r="M253" s="55">
        <f>IF(SCAN!K253&lt;&gt;"-",SCAN!D253,0)</f>
        <v>0</v>
      </c>
      <c r="N253" s="55">
        <f>IF(SCAN!K253&lt;&gt;"-",SCAN!E253,0)</f>
        <v>0</v>
      </c>
      <c r="O253" s="55">
        <f>IF(SCAN!K253&lt;&gt;"-",SCAN!F253,0)</f>
        <v>0</v>
      </c>
      <c r="R253" s="53">
        <f>IF(SCAN!Q253&lt;&gt;"-",SCAN!D253,0)</f>
        <v>0</v>
      </c>
      <c r="S253" s="53">
        <f>IF(SCAN!Q253&lt;&gt;"-",SCAN!E253,0)</f>
        <v>0</v>
      </c>
      <c r="T253" s="53">
        <f>IF(SCAN!Q253&lt;&gt;"-",SCAN!F253,0)</f>
        <v>0</v>
      </c>
    </row>
    <row r="254" spans="8:20" x14ac:dyDescent="0.25">
      <c r="H254" s="50">
        <f>IF(AND(SCAN!K254="-",SCAN!Q254="-"),SCAN!D254,0)</f>
        <v>0</v>
      </c>
      <c r="I254" s="50">
        <f>IF(AND(SCAN!K254="-",SCAN!Q254="-"),SCAN!E254,0)</f>
        <v>0</v>
      </c>
      <c r="J254" s="50">
        <f>IF(AND(SCAN!K254="-",SCAN!Q254="-"),SCAN!F254,0)</f>
        <v>0</v>
      </c>
      <c r="M254" s="55">
        <f>IF(SCAN!K254&lt;&gt;"-",SCAN!D254,0)</f>
        <v>0</v>
      </c>
      <c r="N254" s="55">
        <f>IF(SCAN!K254&lt;&gt;"-",SCAN!E254,0)</f>
        <v>0</v>
      </c>
      <c r="O254" s="55">
        <f>IF(SCAN!K254&lt;&gt;"-",SCAN!F254,0)</f>
        <v>0</v>
      </c>
      <c r="R254" s="53">
        <f>IF(SCAN!Q254&lt;&gt;"-",SCAN!D254,0)</f>
        <v>0</v>
      </c>
      <c r="S254" s="53">
        <f>IF(SCAN!Q254&lt;&gt;"-",SCAN!E254,0)</f>
        <v>0</v>
      </c>
      <c r="T254" s="53">
        <f>IF(SCAN!Q254&lt;&gt;"-",SCAN!F254,0)</f>
        <v>0</v>
      </c>
    </row>
    <row r="255" spans="8:20" x14ac:dyDescent="0.25">
      <c r="H255" s="50">
        <f>IF(AND(SCAN!K255="-",SCAN!Q255="-"),SCAN!D255,0)</f>
        <v>0</v>
      </c>
      <c r="I255" s="50">
        <f>IF(AND(SCAN!K255="-",SCAN!Q255="-"),SCAN!E255,0)</f>
        <v>0</v>
      </c>
      <c r="J255" s="50">
        <f>IF(AND(SCAN!K255="-",SCAN!Q255="-"),SCAN!F255,0)</f>
        <v>0</v>
      </c>
      <c r="M255" s="55">
        <f>IF(SCAN!K255&lt;&gt;"-",SCAN!D255,0)</f>
        <v>0</v>
      </c>
      <c r="N255" s="55">
        <f>IF(SCAN!K255&lt;&gt;"-",SCAN!E255,0)</f>
        <v>0</v>
      </c>
      <c r="O255" s="55">
        <f>IF(SCAN!K255&lt;&gt;"-",SCAN!F255,0)</f>
        <v>0</v>
      </c>
      <c r="R255" s="53">
        <f>IF(SCAN!Q255&lt;&gt;"-",SCAN!D255,0)</f>
        <v>0</v>
      </c>
      <c r="S255" s="53">
        <f>IF(SCAN!Q255&lt;&gt;"-",SCAN!E255,0)</f>
        <v>0</v>
      </c>
      <c r="T255" s="53">
        <f>IF(SCAN!Q255&lt;&gt;"-",SCAN!F255,0)</f>
        <v>0</v>
      </c>
    </row>
    <row r="256" spans="8:20" x14ac:dyDescent="0.25">
      <c r="H256" s="50">
        <f>IF(AND(SCAN!K256="-",SCAN!Q256="-"),SCAN!D256,0)</f>
        <v>0</v>
      </c>
      <c r="I256" s="50">
        <f>IF(AND(SCAN!K256="-",SCAN!Q256="-"),SCAN!E256,0)</f>
        <v>0</v>
      </c>
      <c r="J256" s="50">
        <f>IF(AND(SCAN!K256="-",SCAN!Q256="-"),SCAN!F256,0)</f>
        <v>0</v>
      </c>
      <c r="M256" s="55">
        <f>IF(SCAN!K256&lt;&gt;"-",SCAN!D256,0)</f>
        <v>0</v>
      </c>
      <c r="N256" s="55">
        <f>IF(SCAN!K256&lt;&gt;"-",SCAN!E256,0)</f>
        <v>0</v>
      </c>
      <c r="O256" s="55">
        <f>IF(SCAN!K256&lt;&gt;"-",SCAN!F256,0)</f>
        <v>0</v>
      </c>
      <c r="R256" s="53">
        <f>IF(SCAN!Q256&lt;&gt;"-",SCAN!D256,0)</f>
        <v>0</v>
      </c>
      <c r="S256" s="53">
        <f>IF(SCAN!Q256&lt;&gt;"-",SCAN!E256,0)</f>
        <v>0</v>
      </c>
      <c r="T256" s="53">
        <f>IF(SCAN!Q256&lt;&gt;"-",SCAN!F256,0)</f>
        <v>0</v>
      </c>
    </row>
    <row r="257" spans="8:20" x14ac:dyDescent="0.25">
      <c r="H257" s="50">
        <f>IF(AND(SCAN!K257="-",SCAN!Q257="-"),SCAN!D257,0)</f>
        <v>0</v>
      </c>
      <c r="I257" s="50">
        <f>IF(AND(SCAN!K257="-",SCAN!Q257="-"),SCAN!E257,0)</f>
        <v>0</v>
      </c>
      <c r="J257" s="50">
        <f>IF(AND(SCAN!K257="-",SCAN!Q257="-"),SCAN!F257,0)</f>
        <v>0</v>
      </c>
      <c r="M257" s="55">
        <f>IF(SCAN!K257&lt;&gt;"-",SCAN!D257,0)</f>
        <v>0</v>
      </c>
      <c r="N257" s="55">
        <f>IF(SCAN!K257&lt;&gt;"-",SCAN!E257,0)</f>
        <v>0</v>
      </c>
      <c r="O257" s="55">
        <f>IF(SCAN!K257&lt;&gt;"-",SCAN!F257,0)</f>
        <v>0</v>
      </c>
      <c r="R257" s="53">
        <f>IF(SCAN!Q257&lt;&gt;"-",SCAN!D257,0)</f>
        <v>0</v>
      </c>
      <c r="S257" s="53">
        <f>IF(SCAN!Q257&lt;&gt;"-",SCAN!E257,0)</f>
        <v>0</v>
      </c>
      <c r="T257" s="53">
        <f>IF(SCAN!Q257&lt;&gt;"-",SCAN!F257,0)</f>
        <v>0</v>
      </c>
    </row>
    <row r="258" spans="8:20" x14ac:dyDescent="0.25">
      <c r="H258" s="50">
        <f>IF(AND(SCAN!K258="-",SCAN!Q258="-"),SCAN!D258,0)</f>
        <v>0</v>
      </c>
      <c r="I258" s="50">
        <f>IF(AND(SCAN!K258="-",SCAN!Q258="-"),SCAN!E258,0)</f>
        <v>0</v>
      </c>
      <c r="J258" s="50">
        <f>IF(AND(SCAN!K258="-",SCAN!Q258="-"),SCAN!F258,0)</f>
        <v>0</v>
      </c>
      <c r="M258" s="55">
        <f>IF(SCAN!K258&lt;&gt;"-",SCAN!D258,0)</f>
        <v>0</v>
      </c>
      <c r="N258" s="55">
        <f>IF(SCAN!K258&lt;&gt;"-",SCAN!E258,0)</f>
        <v>0</v>
      </c>
      <c r="O258" s="55">
        <f>IF(SCAN!K258&lt;&gt;"-",SCAN!F258,0)</f>
        <v>0</v>
      </c>
      <c r="R258" s="53">
        <f>IF(SCAN!Q258&lt;&gt;"-",SCAN!D258,0)</f>
        <v>0</v>
      </c>
      <c r="S258" s="53">
        <f>IF(SCAN!Q258&lt;&gt;"-",SCAN!E258,0)</f>
        <v>0</v>
      </c>
      <c r="T258" s="53">
        <f>IF(SCAN!Q258&lt;&gt;"-",SCAN!F258,0)</f>
        <v>0</v>
      </c>
    </row>
    <row r="259" spans="8:20" x14ac:dyDescent="0.25">
      <c r="H259" s="50">
        <f>IF(AND(SCAN!K259="-",SCAN!Q259="-"),SCAN!D259,0)</f>
        <v>0</v>
      </c>
      <c r="I259" s="50">
        <f>IF(AND(SCAN!K259="-",SCAN!Q259="-"),SCAN!E259,0)</f>
        <v>0</v>
      </c>
      <c r="J259" s="50">
        <f>IF(AND(SCAN!K259="-",SCAN!Q259="-"),SCAN!F259,0)</f>
        <v>0</v>
      </c>
      <c r="M259" s="55">
        <f>IF(SCAN!K259&lt;&gt;"-",SCAN!D259,0)</f>
        <v>0</v>
      </c>
      <c r="N259" s="55">
        <f>IF(SCAN!K259&lt;&gt;"-",SCAN!E259,0)</f>
        <v>0</v>
      </c>
      <c r="O259" s="55">
        <f>IF(SCAN!K259&lt;&gt;"-",SCAN!F259,0)</f>
        <v>0</v>
      </c>
      <c r="R259" s="53">
        <f>IF(SCAN!Q259&lt;&gt;"-",SCAN!D259,0)</f>
        <v>0</v>
      </c>
      <c r="S259" s="53">
        <f>IF(SCAN!Q259&lt;&gt;"-",SCAN!E259,0)</f>
        <v>0</v>
      </c>
      <c r="T259" s="53">
        <f>IF(SCAN!Q259&lt;&gt;"-",SCAN!F259,0)</f>
        <v>0</v>
      </c>
    </row>
    <row r="260" spans="8:20" x14ac:dyDescent="0.25">
      <c r="H260" s="50">
        <f>IF(AND(SCAN!K260="-",SCAN!Q260="-"),SCAN!D260,0)</f>
        <v>0</v>
      </c>
      <c r="I260" s="50">
        <f>IF(AND(SCAN!K260="-",SCAN!Q260="-"),SCAN!E260,0)</f>
        <v>0</v>
      </c>
      <c r="J260" s="50">
        <f>IF(AND(SCAN!K260="-",SCAN!Q260="-"),SCAN!F260,0)</f>
        <v>0</v>
      </c>
      <c r="M260" s="55">
        <f>IF(SCAN!K260&lt;&gt;"-",SCAN!D260,0)</f>
        <v>0</v>
      </c>
      <c r="N260" s="55">
        <f>IF(SCAN!K260&lt;&gt;"-",SCAN!E260,0)</f>
        <v>0</v>
      </c>
      <c r="O260" s="55">
        <f>IF(SCAN!K260&lt;&gt;"-",SCAN!F260,0)</f>
        <v>0</v>
      </c>
      <c r="R260" s="53">
        <f>IF(SCAN!Q260&lt;&gt;"-",SCAN!D260,0)</f>
        <v>0</v>
      </c>
      <c r="S260" s="53">
        <f>IF(SCAN!Q260&lt;&gt;"-",SCAN!E260,0)</f>
        <v>0</v>
      </c>
      <c r="T260" s="53">
        <f>IF(SCAN!Q260&lt;&gt;"-",SCAN!F260,0)</f>
        <v>0</v>
      </c>
    </row>
    <row r="261" spans="8:20" x14ac:dyDescent="0.25">
      <c r="H261" s="50">
        <f>IF(AND(SCAN!K261="-",SCAN!Q261="-"),SCAN!D261,0)</f>
        <v>0</v>
      </c>
      <c r="I261" s="50">
        <f>IF(AND(SCAN!K261="-",SCAN!Q261="-"),SCAN!E261,0)</f>
        <v>0</v>
      </c>
      <c r="J261" s="50">
        <f>IF(AND(SCAN!K261="-",SCAN!Q261="-"),SCAN!F261,0)</f>
        <v>0</v>
      </c>
      <c r="M261" s="55">
        <f>IF(SCAN!K261&lt;&gt;"-",SCAN!D261,0)</f>
        <v>0</v>
      </c>
      <c r="N261" s="55">
        <f>IF(SCAN!K261&lt;&gt;"-",SCAN!E261,0)</f>
        <v>0</v>
      </c>
      <c r="O261" s="55">
        <f>IF(SCAN!K261&lt;&gt;"-",SCAN!F261,0)</f>
        <v>0</v>
      </c>
      <c r="R261" s="53">
        <f>IF(SCAN!Q261&lt;&gt;"-",SCAN!D261,0)</f>
        <v>0</v>
      </c>
      <c r="S261" s="53">
        <f>IF(SCAN!Q261&lt;&gt;"-",SCAN!E261,0)</f>
        <v>0</v>
      </c>
      <c r="T261" s="53">
        <f>IF(SCAN!Q261&lt;&gt;"-",SCAN!F261,0)</f>
        <v>0</v>
      </c>
    </row>
    <row r="262" spans="8:20" x14ac:dyDescent="0.25">
      <c r="H262" s="50">
        <f>IF(AND(SCAN!K262="-",SCAN!Q262="-"),SCAN!D262,0)</f>
        <v>0</v>
      </c>
      <c r="I262" s="50">
        <f>IF(AND(SCAN!K262="-",SCAN!Q262="-"),SCAN!E262,0)</f>
        <v>0</v>
      </c>
      <c r="J262" s="50">
        <f>IF(AND(SCAN!K262="-",SCAN!Q262="-"),SCAN!F262,0)</f>
        <v>0</v>
      </c>
      <c r="M262" s="55">
        <f>IF(SCAN!K262&lt;&gt;"-",SCAN!D262,0)</f>
        <v>0</v>
      </c>
      <c r="N262" s="55">
        <f>IF(SCAN!K262&lt;&gt;"-",SCAN!E262,0)</f>
        <v>0</v>
      </c>
      <c r="O262" s="55">
        <f>IF(SCAN!K262&lt;&gt;"-",SCAN!F262,0)</f>
        <v>0</v>
      </c>
      <c r="R262" s="53">
        <f>IF(SCAN!Q262&lt;&gt;"-",SCAN!D262,0)</f>
        <v>0</v>
      </c>
      <c r="S262" s="53">
        <f>IF(SCAN!Q262&lt;&gt;"-",SCAN!E262,0)</f>
        <v>0</v>
      </c>
      <c r="T262" s="53">
        <f>IF(SCAN!Q262&lt;&gt;"-",SCAN!F262,0)</f>
        <v>0</v>
      </c>
    </row>
    <row r="263" spans="8:20" x14ac:dyDescent="0.25">
      <c r="H263" s="50">
        <f>IF(AND(SCAN!K263="-",SCAN!Q263="-"),SCAN!D263,0)</f>
        <v>0</v>
      </c>
      <c r="I263" s="50">
        <f>IF(AND(SCAN!K263="-",SCAN!Q263="-"),SCAN!E263,0)</f>
        <v>0</v>
      </c>
      <c r="J263" s="50">
        <f>IF(AND(SCAN!K263="-",SCAN!Q263="-"),SCAN!F263,0)</f>
        <v>0</v>
      </c>
      <c r="M263" s="55">
        <f>IF(SCAN!K263&lt;&gt;"-",SCAN!D263,0)</f>
        <v>0</v>
      </c>
      <c r="N263" s="55">
        <f>IF(SCAN!K263&lt;&gt;"-",SCAN!E263,0)</f>
        <v>0</v>
      </c>
      <c r="O263" s="55">
        <f>IF(SCAN!K263&lt;&gt;"-",SCAN!F263,0)</f>
        <v>0</v>
      </c>
      <c r="R263" s="53">
        <f>IF(SCAN!Q263&lt;&gt;"-",SCAN!D263,0)</f>
        <v>0</v>
      </c>
      <c r="S263" s="53">
        <f>IF(SCAN!Q263&lt;&gt;"-",SCAN!E263,0)</f>
        <v>0</v>
      </c>
      <c r="T263" s="53">
        <f>IF(SCAN!Q263&lt;&gt;"-",SCAN!F263,0)</f>
        <v>0</v>
      </c>
    </row>
    <row r="264" spans="8:20" x14ac:dyDescent="0.25">
      <c r="H264" s="50">
        <f>IF(AND(SCAN!K264="-",SCAN!Q264="-"),SCAN!D264,0)</f>
        <v>0</v>
      </c>
      <c r="I264" s="50">
        <f>IF(AND(SCAN!K264="-",SCAN!Q264="-"),SCAN!E264,0)</f>
        <v>0</v>
      </c>
      <c r="J264" s="50">
        <f>IF(AND(SCAN!K264="-",SCAN!Q264="-"),SCAN!F264,0)</f>
        <v>0</v>
      </c>
      <c r="M264" s="55">
        <f>IF(SCAN!K264&lt;&gt;"-",SCAN!D264,0)</f>
        <v>0</v>
      </c>
      <c r="N264" s="55">
        <f>IF(SCAN!K264&lt;&gt;"-",SCAN!E264,0)</f>
        <v>0</v>
      </c>
      <c r="O264" s="55">
        <f>IF(SCAN!K264&lt;&gt;"-",SCAN!F264,0)</f>
        <v>0</v>
      </c>
      <c r="R264" s="53">
        <f>IF(SCAN!Q264&lt;&gt;"-",SCAN!D264,0)</f>
        <v>0</v>
      </c>
      <c r="S264" s="53">
        <f>IF(SCAN!Q264&lt;&gt;"-",SCAN!E264,0)</f>
        <v>0</v>
      </c>
      <c r="T264" s="53">
        <f>IF(SCAN!Q264&lt;&gt;"-",SCAN!F264,0)</f>
        <v>0</v>
      </c>
    </row>
    <row r="265" spans="8:20" x14ac:dyDescent="0.25">
      <c r="H265" s="50">
        <f>IF(AND(SCAN!K265="-",SCAN!Q265="-"),SCAN!D265,0)</f>
        <v>0</v>
      </c>
      <c r="I265" s="50">
        <f>IF(AND(SCAN!K265="-",SCAN!Q265="-"),SCAN!E265,0)</f>
        <v>0</v>
      </c>
      <c r="J265" s="50">
        <f>IF(AND(SCAN!K265="-",SCAN!Q265="-"),SCAN!F265,0)</f>
        <v>0</v>
      </c>
      <c r="M265" s="55">
        <f>IF(SCAN!K265&lt;&gt;"-",SCAN!D265,0)</f>
        <v>0</v>
      </c>
      <c r="N265" s="55">
        <f>IF(SCAN!K265&lt;&gt;"-",SCAN!E265,0)</f>
        <v>0</v>
      </c>
      <c r="O265" s="55">
        <f>IF(SCAN!K265&lt;&gt;"-",SCAN!F265,0)</f>
        <v>0</v>
      </c>
      <c r="R265" s="53">
        <f>IF(SCAN!Q265&lt;&gt;"-",SCAN!D265,0)</f>
        <v>0</v>
      </c>
      <c r="S265" s="53">
        <f>IF(SCAN!Q265&lt;&gt;"-",SCAN!E265,0)</f>
        <v>0</v>
      </c>
      <c r="T265" s="53">
        <f>IF(SCAN!Q265&lt;&gt;"-",SCAN!F265,0)</f>
        <v>0</v>
      </c>
    </row>
    <row r="266" spans="8:20" x14ac:dyDescent="0.25">
      <c r="H266" s="50">
        <f>IF(AND(SCAN!K266="-",SCAN!Q266="-"),SCAN!D266,0)</f>
        <v>0</v>
      </c>
      <c r="I266" s="50">
        <f>IF(AND(SCAN!K266="-",SCAN!Q266="-"),SCAN!E266,0)</f>
        <v>0</v>
      </c>
      <c r="J266" s="50">
        <f>IF(AND(SCAN!K266="-",SCAN!Q266="-"),SCAN!F266,0)</f>
        <v>0</v>
      </c>
      <c r="M266" s="55">
        <f>IF(SCAN!K266&lt;&gt;"-",SCAN!D266,0)</f>
        <v>0</v>
      </c>
      <c r="N266" s="55">
        <f>IF(SCAN!K266&lt;&gt;"-",SCAN!E266,0)</f>
        <v>0</v>
      </c>
      <c r="O266" s="55">
        <f>IF(SCAN!K266&lt;&gt;"-",SCAN!F266,0)</f>
        <v>0</v>
      </c>
      <c r="R266" s="53">
        <f>IF(SCAN!Q266&lt;&gt;"-",SCAN!D266,0)</f>
        <v>0</v>
      </c>
      <c r="S266" s="53">
        <f>IF(SCAN!Q266&lt;&gt;"-",SCAN!E266,0)</f>
        <v>0</v>
      </c>
      <c r="T266" s="53">
        <f>IF(SCAN!Q266&lt;&gt;"-",SCAN!F266,0)</f>
        <v>0</v>
      </c>
    </row>
    <row r="267" spans="8:20" x14ac:dyDescent="0.25">
      <c r="H267" s="50">
        <f>IF(AND(SCAN!K267="-",SCAN!Q267="-"),SCAN!D267,0)</f>
        <v>0</v>
      </c>
      <c r="I267" s="50">
        <f>IF(AND(SCAN!K267="-",SCAN!Q267="-"),SCAN!E267,0)</f>
        <v>0</v>
      </c>
      <c r="J267" s="50">
        <f>IF(AND(SCAN!K267="-",SCAN!Q267="-"),SCAN!F267,0)</f>
        <v>0</v>
      </c>
      <c r="M267" s="55">
        <f>IF(SCAN!K267&lt;&gt;"-",SCAN!D267,0)</f>
        <v>0</v>
      </c>
      <c r="N267" s="55">
        <f>IF(SCAN!K267&lt;&gt;"-",SCAN!E267,0)</f>
        <v>0</v>
      </c>
      <c r="O267" s="55">
        <f>IF(SCAN!K267&lt;&gt;"-",SCAN!F267,0)</f>
        <v>0</v>
      </c>
      <c r="R267" s="53">
        <f>IF(SCAN!Q267&lt;&gt;"-",SCAN!D267,0)</f>
        <v>0</v>
      </c>
      <c r="S267" s="53">
        <f>IF(SCAN!Q267&lt;&gt;"-",SCAN!E267,0)</f>
        <v>0</v>
      </c>
      <c r="T267" s="53">
        <f>IF(SCAN!Q267&lt;&gt;"-",SCAN!F267,0)</f>
        <v>0</v>
      </c>
    </row>
    <row r="268" spans="8:20" x14ac:dyDescent="0.25">
      <c r="H268" s="50">
        <f>IF(AND(SCAN!K268="-",SCAN!Q268="-"),SCAN!D268,0)</f>
        <v>0</v>
      </c>
      <c r="I268" s="50">
        <f>IF(AND(SCAN!K268="-",SCAN!Q268="-"),SCAN!E268,0)</f>
        <v>0</v>
      </c>
      <c r="J268" s="50">
        <f>IF(AND(SCAN!K268="-",SCAN!Q268="-"),SCAN!F268,0)</f>
        <v>0</v>
      </c>
      <c r="M268" s="55">
        <f>IF(SCAN!K268&lt;&gt;"-",SCAN!D268,0)</f>
        <v>0</v>
      </c>
      <c r="N268" s="55">
        <f>IF(SCAN!K268&lt;&gt;"-",SCAN!E268,0)</f>
        <v>0</v>
      </c>
      <c r="O268" s="55">
        <f>IF(SCAN!K268&lt;&gt;"-",SCAN!F268,0)</f>
        <v>0</v>
      </c>
      <c r="R268" s="53">
        <f>IF(SCAN!Q268&lt;&gt;"-",SCAN!D268,0)</f>
        <v>0</v>
      </c>
      <c r="S268" s="53">
        <f>IF(SCAN!Q268&lt;&gt;"-",SCAN!E268,0)</f>
        <v>0</v>
      </c>
      <c r="T268" s="53">
        <f>IF(SCAN!Q268&lt;&gt;"-",SCAN!F268,0)</f>
        <v>0</v>
      </c>
    </row>
    <row r="269" spans="8:20" x14ac:dyDescent="0.25">
      <c r="H269" s="50">
        <f>IF(AND(SCAN!K269="-",SCAN!Q269="-"),SCAN!D269,0)</f>
        <v>0</v>
      </c>
      <c r="I269" s="50">
        <f>IF(AND(SCAN!K269="-",SCAN!Q269="-"),SCAN!E269,0)</f>
        <v>0</v>
      </c>
      <c r="J269" s="50">
        <f>IF(AND(SCAN!K269="-",SCAN!Q269="-"),SCAN!F269,0)</f>
        <v>0</v>
      </c>
      <c r="M269" s="55">
        <f>IF(SCAN!K269&lt;&gt;"-",SCAN!D269,0)</f>
        <v>0</v>
      </c>
      <c r="N269" s="55">
        <f>IF(SCAN!K269&lt;&gt;"-",SCAN!E269,0)</f>
        <v>0</v>
      </c>
      <c r="O269" s="55">
        <f>IF(SCAN!K269&lt;&gt;"-",SCAN!F269,0)</f>
        <v>0</v>
      </c>
      <c r="R269" s="53">
        <f>IF(SCAN!Q269&lt;&gt;"-",SCAN!D269,0)</f>
        <v>0</v>
      </c>
      <c r="S269" s="53">
        <f>IF(SCAN!Q269&lt;&gt;"-",SCAN!E269,0)</f>
        <v>0</v>
      </c>
      <c r="T269" s="53">
        <f>IF(SCAN!Q269&lt;&gt;"-",SCAN!F269,0)</f>
        <v>0</v>
      </c>
    </row>
    <row r="270" spans="8:20" x14ac:dyDescent="0.25">
      <c r="H270" s="50">
        <f>IF(AND(SCAN!K270="-",SCAN!Q270="-"),SCAN!D270,0)</f>
        <v>0</v>
      </c>
      <c r="I270" s="50">
        <f>IF(AND(SCAN!K270="-",SCAN!Q270="-"),SCAN!E270,0)</f>
        <v>0</v>
      </c>
      <c r="J270" s="50">
        <f>IF(AND(SCAN!K270="-",SCAN!Q270="-"),SCAN!F270,0)</f>
        <v>0</v>
      </c>
      <c r="M270" s="55">
        <f>IF(SCAN!K270&lt;&gt;"-",SCAN!D270,0)</f>
        <v>0</v>
      </c>
      <c r="N270" s="55">
        <f>IF(SCAN!K270&lt;&gt;"-",SCAN!E270,0)</f>
        <v>0</v>
      </c>
      <c r="O270" s="55">
        <f>IF(SCAN!K270&lt;&gt;"-",SCAN!F270,0)</f>
        <v>0</v>
      </c>
      <c r="R270" s="53">
        <f>IF(SCAN!Q270&lt;&gt;"-",SCAN!D270,0)</f>
        <v>0</v>
      </c>
      <c r="S270" s="53">
        <f>IF(SCAN!Q270&lt;&gt;"-",SCAN!E270,0)</f>
        <v>0</v>
      </c>
      <c r="T270" s="53">
        <f>IF(SCAN!Q270&lt;&gt;"-",SCAN!F270,0)</f>
        <v>0</v>
      </c>
    </row>
    <row r="271" spans="8:20" x14ac:dyDescent="0.25">
      <c r="H271" s="50">
        <f>IF(AND(SCAN!K271="-",SCAN!Q271="-"),SCAN!D271,0)</f>
        <v>0</v>
      </c>
      <c r="I271" s="50">
        <f>IF(AND(SCAN!K271="-",SCAN!Q271="-"),SCAN!E271,0)</f>
        <v>0</v>
      </c>
      <c r="J271" s="50">
        <f>IF(AND(SCAN!K271="-",SCAN!Q271="-"),SCAN!F271,0)</f>
        <v>0</v>
      </c>
      <c r="M271" s="55">
        <f>IF(SCAN!K271&lt;&gt;"-",SCAN!D271,0)</f>
        <v>0</v>
      </c>
      <c r="N271" s="55">
        <f>IF(SCAN!K271&lt;&gt;"-",SCAN!E271,0)</f>
        <v>0</v>
      </c>
      <c r="O271" s="55">
        <f>IF(SCAN!K271&lt;&gt;"-",SCAN!F271,0)</f>
        <v>0</v>
      </c>
      <c r="R271" s="53">
        <f>IF(SCAN!Q271&lt;&gt;"-",SCAN!D271,0)</f>
        <v>0</v>
      </c>
      <c r="S271" s="53">
        <f>IF(SCAN!Q271&lt;&gt;"-",SCAN!E271,0)</f>
        <v>0</v>
      </c>
      <c r="T271" s="53">
        <f>IF(SCAN!Q271&lt;&gt;"-",SCAN!F271,0)</f>
        <v>0</v>
      </c>
    </row>
    <row r="272" spans="8:20" x14ac:dyDescent="0.25">
      <c r="H272" s="50">
        <f>IF(AND(SCAN!K272="-",SCAN!Q272="-"),SCAN!D272,0)</f>
        <v>0</v>
      </c>
      <c r="I272" s="50">
        <f>IF(AND(SCAN!K272="-",SCAN!Q272="-"),SCAN!E272,0)</f>
        <v>0</v>
      </c>
      <c r="J272" s="50">
        <f>IF(AND(SCAN!K272="-",SCAN!Q272="-"),SCAN!F272,0)</f>
        <v>0</v>
      </c>
      <c r="M272" s="55">
        <f>IF(SCAN!K272&lt;&gt;"-",SCAN!D272,0)</f>
        <v>0</v>
      </c>
      <c r="N272" s="55">
        <f>IF(SCAN!K272&lt;&gt;"-",SCAN!E272,0)</f>
        <v>0</v>
      </c>
      <c r="O272" s="55">
        <f>IF(SCAN!K272&lt;&gt;"-",SCAN!F272,0)</f>
        <v>0</v>
      </c>
      <c r="R272" s="53">
        <f>IF(SCAN!Q272&lt;&gt;"-",SCAN!D272,0)</f>
        <v>0</v>
      </c>
      <c r="S272" s="53">
        <f>IF(SCAN!Q272&lt;&gt;"-",SCAN!E272,0)</f>
        <v>0</v>
      </c>
      <c r="T272" s="53">
        <f>IF(SCAN!Q272&lt;&gt;"-",SCAN!F272,0)</f>
        <v>0</v>
      </c>
    </row>
    <row r="273" spans="8:20" x14ac:dyDescent="0.25">
      <c r="H273" s="50">
        <f>IF(AND(SCAN!K273="-",SCAN!Q273="-"),SCAN!D273,0)</f>
        <v>0</v>
      </c>
      <c r="I273" s="50">
        <f>IF(AND(SCAN!K273="-",SCAN!Q273="-"),SCAN!E273,0)</f>
        <v>0</v>
      </c>
      <c r="J273" s="50">
        <f>IF(AND(SCAN!K273="-",SCAN!Q273="-"),SCAN!F273,0)</f>
        <v>0</v>
      </c>
      <c r="M273" s="55">
        <f>IF(SCAN!K273&lt;&gt;"-",SCAN!D273,0)</f>
        <v>0</v>
      </c>
      <c r="N273" s="55">
        <f>IF(SCAN!K273&lt;&gt;"-",SCAN!E273,0)</f>
        <v>0</v>
      </c>
      <c r="O273" s="55">
        <f>IF(SCAN!K273&lt;&gt;"-",SCAN!F273,0)</f>
        <v>0</v>
      </c>
      <c r="R273" s="53">
        <f>IF(SCAN!Q273&lt;&gt;"-",SCAN!D273,0)</f>
        <v>0</v>
      </c>
      <c r="S273" s="53">
        <f>IF(SCAN!Q273&lt;&gt;"-",SCAN!E273,0)</f>
        <v>0</v>
      </c>
      <c r="T273" s="53">
        <f>IF(SCAN!Q273&lt;&gt;"-",SCAN!F273,0)</f>
        <v>0</v>
      </c>
    </row>
    <row r="274" spans="8:20" x14ac:dyDescent="0.25">
      <c r="H274" s="50">
        <f>IF(AND(SCAN!K274="-",SCAN!Q274="-"),SCAN!D274,0)</f>
        <v>0</v>
      </c>
      <c r="I274" s="50">
        <f>IF(AND(SCAN!K274="-",SCAN!Q274="-"),SCAN!E274,0)</f>
        <v>0</v>
      </c>
      <c r="J274" s="50">
        <f>IF(AND(SCAN!K274="-",SCAN!Q274="-"),SCAN!F274,0)</f>
        <v>0</v>
      </c>
      <c r="M274" s="55">
        <f>IF(SCAN!K274&lt;&gt;"-",SCAN!D274,0)</f>
        <v>0</v>
      </c>
      <c r="N274" s="55">
        <f>IF(SCAN!K274&lt;&gt;"-",SCAN!E274,0)</f>
        <v>0</v>
      </c>
      <c r="O274" s="55">
        <f>IF(SCAN!K274&lt;&gt;"-",SCAN!F274,0)</f>
        <v>0</v>
      </c>
      <c r="R274" s="53">
        <f>IF(SCAN!Q274&lt;&gt;"-",SCAN!D274,0)</f>
        <v>0</v>
      </c>
      <c r="S274" s="53">
        <f>IF(SCAN!Q274&lt;&gt;"-",SCAN!E274,0)</f>
        <v>0</v>
      </c>
      <c r="T274" s="53">
        <f>IF(SCAN!Q274&lt;&gt;"-",SCAN!F274,0)</f>
        <v>0</v>
      </c>
    </row>
    <row r="275" spans="8:20" x14ac:dyDescent="0.25">
      <c r="H275" s="50">
        <f>IF(AND(SCAN!K275="-",SCAN!Q275="-"),SCAN!D275,0)</f>
        <v>0</v>
      </c>
      <c r="I275" s="50">
        <f>IF(AND(SCAN!K275="-",SCAN!Q275="-"),SCAN!E275,0)</f>
        <v>0</v>
      </c>
      <c r="J275" s="50">
        <f>IF(AND(SCAN!K275="-",SCAN!Q275="-"),SCAN!F275,0)</f>
        <v>0</v>
      </c>
      <c r="M275" s="55">
        <f>IF(SCAN!K275&lt;&gt;"-",SCAN!D275,0)</f>
        <v>0</v>
      </c>
      <c r="N275" s="55">
        <f>IF(SCAN!K275&lt;&gt;"-",SCAN!E275,0)</f>
        <v>0</v>
      </c>
      <c r="O275" s="55">
        <f>IF(SCAN!K275&lt;&gt;"-",SCAN!F275,0)</f>
        <v>0</v>
      </c>
      <c r="R275" s="53">
        <f>IF(SCAN!Q275&lt;&gt;"-",SCAN!D275,0)</f>
        <v>0</v>
      </c>
      <c r="S275" s="53">
        <f>IF(SCAN!Q275&lt;&gt;"-",SCAN!E275,0)</f>
        <v>0</v>
      </c>
      <c r="T275" s="53">
        <f>IF(SCAN!Q275&lt;&gt;"-",SCAN!F275,0)</f>
        <v>0</v>
      </c>
    </row>
    <row r="276" spans="8:20" x14ac:dyDescent="0.25">
      <c r="H276" s="50">
        <f>IF(AND(SCAN!K276="-",SCAN!Q276="-"),SCAN!D276,0)</f>
        <v>0</v>
      </c>
      <c r="I276" s="50">
        <f>IF(AND(SCAN!K276="-",SCAN!Q276="-"),SCAN!E276,0)</f>
        <v>0</v>
      </c>
      <c r="J276" s="50">
        <f>IF(AND(SCAN!K276="-",SCAN!Q276="-"),SCAN!F276,0)</f>
        <v>0</v>
      </c>
      <c r="M276" s="55">
        <f>IF(SCAN!K276&lt;&gt;"-",SCAN!D276,0)</f>
        <v>0</v>
      </c>
      <c r="N276" s="55">
        <f>IF(SCAN!K276&lt;&gt;"-",SCAN!E276,0)</f>
        <v>0</v>
      </c>
      <c r="O276" s="55">
        <f>IF(SCAN!K276&lt;&gt;"-",SCAN!F276,0)</f>
        <v>0</v>
      </c>
      <c r="R276" s="53">
        <f>IF(SCAN!Q276&lt;&gt;"-",SCAN!D276,0)</f>
        <v>0</v>
      </c>
      <c r="S276" s="53">
        <f>IF(SCAN!Q276&lt;&gt;"-",SCAN!E276,0)</f>
        <v>0</v>
      </c>
      <c r="T276" s="53">
        <f>IF(SCAN!Q276&lt;&gt;"-",SCAN!F276,0)</f>
        <v>0</v>
      </c>
    </row>
    <row r="277" spans="8:20" x14ac:dyDescent="0.25">
      <c r="H277" s="50">
        <f>IF(AND(SCAN!K277="-",SCAN!Q277="-"),SCAN!D277,0)</f>
        <v>0</v>
      </c>
      <c r="I277" s="50">
        <f>IF(AND(SCAN!K277="-",SCAN!Q277="-"),SCAN!E277,0)</f>
        <v>0</v>
      </c>
      <c r="J277" s="50">
        <f>IF(AND(SCAN!K277="-",SCAN!Q277="-"),SCAN!F277,0)</f>
        <v>0</v>
      </c>
      <c r="M277" s="55">
        <f>IF(SCAN!K277&lt;&gt;"-",SCAN!D277,0)</f>
        <v>0</v>
      </c>
      <c r="N277" s="55">
        <f>IF(SCAN!K277&lt;&gt;"-",SCAN!E277,0)</f>
        <v>0</v>
      </c>
      <c r="O277" s="55">
        <f>IF(SCAN!K277&lt;&gt;"-",SCAN!F277,0)</f>
        <v>0</v>
      </c>
      <c r="R277" s="53">
        <f>IF(SCAN!Q277&lt;&gt;"-",SCAN!D277,0)</f>
        <v>0</v>
      </c>
      <c r="S277" s="53">
        <f>IF(SCAN!Q277&lt;&gt;"-",SCAN!E277,0)</f>
        <v>0</v>
      </c>
      <c r="T277" s="53">
        <f>IF(SCAN!Q277&lt;&gt;"-",SCAN!F277,0)</f>
        <v>0</v>
      </c>
    </row>
    <row r="278" spans="8:20" x14ac:dyDescent="0.25">
      <c r="H278" s="50">
        <f>IF(AND(SCAN!K278="-",SCAN!Q278="-"),SCAN!D278,0)</f>
        <v>0</v>
      </c>
      <c r="I278" s="50">
        <f>IF(AND(SCAN!K278="-",SCAN!Q278="-"),SCAN!E278,0)</f>
        <v>0</v>
      </c>
      <c r="J278" s="50">
        <f>IF(AND(SCAN!K278="-",SCAN!Q278="-"),SCAN!F278,0)</f>
        <v>0</v>
      </c>
      <c r="M278" s="55">
        <f>IF(SCAN!K278&lt;&gt;"-",SCAN!D278,0)</f>
        <v>0</v>
      </c>
      <c r="N278" s="55">
        <f>IF(SCAN!K278&lt;&gt;"-",SCAN!E278,0)</f>
        <v>0</v>
      </c>
      <c r="O278" s="55">
        <f>IF(SCAN!K278&lt;&gt;"-",SCAN!F278,0)</f>
        <v>0</v>
      </c>
      <c r="R278" s="53">
        <f>IF(SCAN!Q278&lt;&gt;"-",SCAN!D278,0)</f>
        <v>0</v>
      </c>
      <c r="S278" s="53">
        <f>IF(SCAN!Q278&lt;&gt;"-",SCAN!E278,0)</f>
        <v>0</v>
      </c>
      <c r="T278" s="53">
        <f>IF(SCAN!Q278&lt;&gt;"-",SCAN!F278,0)</f>
        <v>0</v>
      </c>
    </row>
    <row r="279" spans="8:20" x14ac:dyDescent="0.25">
      <c r="H279" s="50">
        <f>IF(AND(SCAN!K279="-",SCAN!Q279="-"),SCAN!D279,0)</f>
        <v>0</v>
      </c>
      <c r="I279" s="50">
        <f>IF(AND(SCAN!K279="-",SCAN!Q279="-"),SCAN!E279,0)</f>
        <v>0</v>
      </c>
      <c r="J279" s="50">
        <f>IF(AND(SCAN!K279="-",SCAN!Q279="-"),SCAN!F279,0)</f>
        <v>0</v>
      </c>
      <c r="M279" s="55">
        <f>IF(SCAN!K279&lt;&gt;"-",SCAN!D279,0)</f>
        <v>0</v>
      </c>
      <c r="N279" s="55">
        <f>IF(SCAN!K279&lt;&gt;"-",SCAN!E279,0)</f>
        <v>0</v>
      </c>
      <c r="O279" s="55">
        <f>IF(SCAN!K279&lt;&gt;"-",SCAN!F279,0)</f>
        <v>0</v>
      </c>
      <c r="R279" s="53">
        <f>IF(SCAN!Q279&lt;&gt;"-",SCAN!D279,0)</f>
        <v>0</v>
      </c>
      <c r="S279" s="53">
        <f>IF(SCAN!Q279&lt;&gt;"-",SCAN!E279,0)</f>
        <v>0</v>
      </c>
      <c r="T279" s="53">
        <f>IF(SCAN!Q279&lt;&gt;"-",SCAN!F279,0)</f>
        <v>0</v>
      </c>
    </row>
    <row r="280" spans="8:20" x14ac:dyDescent="0.25">
      <c r="H280" s="50">
        <f>IF(AND(SCAN!K280="-",SCAN!Q280="-"),SCAN!D280,0)</f>
        <v>0</v>
      </c>
      <c r="I280" s="50">
        <f>IF(AND(SCAN!K280="-",SCAN!Q280="-"),SCAN!E280,0)</f>
        <v>0</v>
      </c>
      <c r="J280" s="50">
        <f>IF(AND(SCAN!K280="-",SCAN!Q280="-"),SCAN!F280,0)</f>
        <v>0</v>
      </c>
      <c r="M280" s="55">
        <f>IF(SCAN!K280&lt;&gt;"-",SCAN!D280,0)</f>
        <v>0</v>
      </c>
      <c r="N280" s="55">
        <f>IF(SCAN!K280&lt;&gt;"-",SCAN!E280,0)</f>
        <v>0</v>
      </c>
      <c r="O280" s="55">
        <f>IF(SCAN!K280&lt;&gt;"-",SCAN!F280,0)</f>
        <v>0</v>
      </c>
      <c r="R280" s="53">
        <f>IF(SCAN!Q280&lt;&gt;"-",SCAN!D280,0)</f>
        <v>0</v>
      </c>
      <c r="S280" s="53">
        <f>IF(SCAN!Q280&lt;&gt;"-",SCAN!E280,0)</f>
        <v>0</v>
      </c>
      <c r="T280" s="53">
        <f>IF(SCAN!Q280&lt;&gt;"-",SCAN!F280,0)</f>
        <v>0</v>
      </c>
    </row>
    <row r="281" spans="8:20" x14ac:dyDescent="0.25">
      <c r="H281" s="50">
        <f>IF(AND(SCAN!K281="-",SCAN!Q281="-"),SCAN!D281,0)</f>
        <v>0</v>
      </c>
      <c r="I281" s="50">
        <f>IF(AND(SCAN!K281="-",SCAN!Q281="-"),SCAN!E281,0)</f>
        <v>0</v>
      </c>
      <c r="J281" s="50">
        <f>IF(AND(SCAN!K281="-",SCAN!Q281="-"),SCAN!F281,0)</f>
        <v>0</v>
      </c>
      <c r="M281" s="55">
        <f>IF(SCAN!K281&lt;&gt;"-",SCAN!D281,0)</f>
        <v>0</v>
      </c>
      <c r="N281" s="55">
        <f>IF(SCAN!K281&lt;&gt;"-",SCAN!E281,0)</f>
        <v>0</v>
      </c>
      <c r="O281" s="55">
        <f>IF(SCAN!K281&lt;&gt;"-",SCAN!F281,0)</f>
        <v>0</v>
      </c>
      <c r="R281" s="53">
        <f>IF(SCAN!Q281&lt;&gt;"-",SCAN!D281,0)</f>
        <v>0</v>
      </c>
      <c r="S281" s="53">
        <f>IF(SCAN!Q281&lt;&gt;"-",SCAN!E281,0)</f>
        <v>0</v>
      </c>
      <c r="T281" s="53">
        <f>IF(SCAN!Q281&lt;&gt;"-",SCAN!F281,0)</f>
        <v>0</v>
      </c>
    </row>
    <row r="282" spans="8:20" x14ac:dyDescent="0.25">
      <c r="H282" s="50">
        <f>IF(AND(SCAN!K282="-",SCAN!Q282="-"),SCAN!D282,0)</f>
        <v>0</v>
      </c>
      <c r="I282" s="50">
        <f>IF(AND(SCAN!K282="-",SCAN!Q282="-"),SCAN!E282,0)</f>
        <v>0</v>
      </c>
      <c r="J282" s="50">
        <f>IF(AND(SCAN!K282="-",SCAN!Q282="-"),SCAN!F282,0)</f>
        <v>0</v>
      </c>
      <c r="M282" s="55">
        <f>IF(SCAN!K282&lt;&gt;"-",SCAN!D282,0)</f>
        <v>0</v>
      </c>
      <c r="N282" s="55">
        <f>IF(SCAN!K282&lt;&gt;"-",SCAN!E282,0)</f>
        <v>0</v>
      </c>
      <c r="O282" s="55">
        <f>IF(SCAN!K282&lt;&gt;"-",SCAN!F282,0)</f>
        <v>0</v>
      </c>
      <c r="R282" s="53">
        <f>IF(SCAN!Q282&lt;&gt;"-",SCAN!D282,0)</f>
        <v>0</v>
      </c>
      <c r="S282" s="53">
        <f>IF(SCAN!Q282&lt;&gt;"-",SCAN!E282,0)</f>
        <v>0</v>
      </c>
      <c r="T282" s="53">
        <f>IF(SCAN!Q282&lt;&gt;"-",SCAN!F282,0)</f>
        <v>0</v>
      </c>
    </row>
    <row r="283" spans="8:20" x14ac:dyDescent="0.25">
      <c r="H283" s="50">
        <f>IF(AND(SCAN!K283="-",SCAN!Q283="-"),SCAN!D283,0)</f>
        <v>0</v>
      </c>
      <c r="I283" s="50">
        <f>IF(AND(SCAN!K283="-",SCAN!Q283="-"),SCAN!E283,0)</f>
        <v>0</v>
      </c>
      <c r="J283" s="50">
        <f>IF(AND(SCAN!K283="-",SCAN!Q283="-"),SCAN!F283,0)</f>
        <v>0</v>
      </c>
      <c r="M283" s="55">
        <f>IF(SCAN!K283&lt;&gt;"-",SCAN!D283,0)</f>
        <v>0</v>
      </c>
      <c r="N283" s="55">
        <f>IF(SCAN!K283&lt;&gt;"-",SCAN!E283,0)</f>
        <v>0</v>
      </c>
      <c r="O283" s="55">
        <f>IF(SCAN!K283&lt;&gt;"-",SCAN!F283,0)</f>
        <v>0</v>
      </c>
      <c r="R283" s="53">
        <f>IF(SCAN!Q283&lt;&gt;"-",SCAN!D283,0)</f>
        <v>0</v>
      </c>
      <c r="S283" s="53">
        <f>IF(SCAN!Q283&lt;&gt;"-",SCAN!E283,0)</f>
        <v>0</v>
      </c>
      <c r="T283" s="53">
        <f>IF(SCAN!Q283&lt;&gt;"-",SCAN!F283,0)</f>
        <v>0</v>
      </c>
    </row>
    <row r="284" spans="8:20" x14ac:dyDescent="0.25">
      <c r="H284" s="50">
        <f>IF(AND(SCAN!K284="-",SCAN!Q284="-"),SCAN!D284,0)</f>
        <v>0</v>
      </c>
      <c r="I284" s="50">
        <f>IF(AND(SCAN!K284="-",SCAN!Q284="-"),SCAN!E284,0)</f>
        <v>0</v>
      </c>
      <c r="J284" s="50">
        <f>IF(AND(SCAN!K284="-",SCAN!Q284="-"),SCAN!F284,0)</f>
        <v>0</v>
      </c>
      <c r="M284" s="55">
        <f>IF(SCAN!K284&lt;&gt;"-",SCAN!D284,0)</f>
        <v>0</v>
      </c>
      <c r="N284" s="55">
        <f>IF(SCAN!K284&lt;&gt;"-",SCAN!E284,0)</f>
        <v>0</v>
      </c>
      <c r="O284" s="55">
        <f>IF(SCAN!K284&lt;&gt;"-",SCAN!F284,0)</f>
        <v>0</v>
      </c>
      <c r="R284" s="53">
        <f>IF(SCAN!Q284&lt;&gt;"-",SCAN!D284,0)</f>
        <v>0</v>
      </c>
      <c r="S284" s="53">
        <f>IF(SCAN!Q284&lt;&gt;"-",SCAN!E284,0)</f>
        <v>0</v>
      </c>
      <c r="T284" s="53">
        <f>IF(SCAN!Q284&lt;&gt;"-",SCAN!F284,0)</f>
        <v>0</v>
      </c>
    </row>
    <row r="285" spans="8:20" x14ac:dyDescent="0.25">
      <c r="H285" s="50">
        <f>IF(AND(SCAN!K285="-",SCAN!Q285="-"),SCAN!D285,0)</f>
        <v>0</v>
      </c>
      <c r="I285" s="50">
        <f>IF(AND(SCAN!K285="-",SCAN!Q285="-"),SCAN!E285,0)</f>
        <v>0</v>
      </c>
      <c r="J285" s="50">
        <f>IF(AND(SCAN!K285="-",SCAN!Q285="-"),SCAN!F285,0)</f>
        <v>0</v>
      </c>
      <c r="M285" s="55">
        <f>IF(SCAN!K285&lt;&gt;"-",SCAN!D285,0)</f>
        <v>0</v>
      </c>
      <c r="N285" s="55">
        <f>IF(SCAN!K285&lt;&gt;"-",SCAN!E285,0)</f>
        <v>0</v>
      </c>
      <c r="O285" s="55">
        <f>IF(SCAN!K285&lt;&gt;"-",SCAN!F285,0)</f>
        <v>0</v>
      </c>
      <c r="R285" s="53">
        <f>IF(SCAN!Q285&lt;&gt;"-",SCAN!D285,0)</f>
        <v>0</v>
      </c>
      <c r="S285" s="53">
        <f>IF(SCAN!Q285&lt;&gt;"-",SCAN!E285,0)</f>
        <v>0</v>
      </c>
      <c r="T285" s="53">
        <f>IF(SCAN!Q285&lt;&gt;"-",SCAN!F285,0)</f>
        <v>0</v>
      </c>
    </row>
    <row r="286" spans="8:20" x14ac:dyDescent="0.25">
      <c r="H286" s="50">
        <f>IF(AND(SCAN!K286="-",SCAN!Q286="-"),SCAN!D286,0)</f>
        <v>0</v>
      </c>
      <c r="I286" s="50">
        <f>IF(AND(SCAN!K286="-",SCAN!Q286="-"),SCAN!E286,0)</f>
        <v>0</v>
      </c>
      <c r="J286" s="50">
        <f>IF(AND(SCAN!K286="-",SCAN!Q286="-"),SCAN!F286,0)</f>
        <v>0</v>
      </c>
      <c r="M286" s="55">
        <f>IF(SCAN!K286&lt;&gt;"-",SCAN!D286,0)</f>
        <v>0</v>
      </c>
      <c r="N286" s="55">
        <f>IF(SCAN!K286&lt;&gt;"-",SCAN!E286,0)</f>
        <v>0</v>
      </c>
      <c r="O286" s="55">
        <f>IF(SCAN!K286&lt;&gt;"-",SCAN!F286,0)</f>
        <v>0</v>
      </c>
      <c r="R286" s="53">
        <f>IF(SCAN!Q286&lt;&gt;"-",SCAN!D286,0)</f>
        <v>0</v>
      </c>
      <c r="S286" s="53">
        <f>IF(SCAN!Q286&lt;&gt;"-",SCAN!E286,0)</f>
        <v>0</v>
      </c>
      <c r="T286" s="53">
        <f>IF(SCAN!Q286&lt;&gt;"-",SCAN!F286,0)</f>
        <v>0</v>
      </c>
    </row>
    <row r="287" spans="8:20" x14ac:dyDescent="0.25">
      <c r="H287" s="50">
        <f>IF(AND(SCAN!K287="-",SCAN!Q287="-"),SCAN!D287,0)</f>
        <v>0</v>
      </c>
      <c r="I287" s="50">
        <f>IF(AND(SCAN!K287="-",SCAN!Q287="-"),SCAN!E287,0)</f>
        <v>0</v>
      </c>
      <c r="J287" s="50">
        <f>IF(AND(SCAN!K287="-",SCAN!Q287="-"),SCAN!F287,0)</f>
        <v>0</v>
      </c>
      <c r="M287" s="55">
        <f>IF(SCAN!K287&lt;&gt;"-",SCAN!D287,0)</f>
        <v>0</v>
      </c>
      <c r="N287" s="55">
        <f>IF(SCAN!K287&lt;&gt;"-",SCAN!E287,0)</f>
        <v>0</v>
      </c>
      <c r="O287" s="55">
        <f>IF(SCAN!K287&lt;&gt;"-",SCAN!F287,0)</f>
        <v>0</v>
      </c>
      <c r="R287" s="53">
        <f>IF(SCAN!Q287&lt;&gt;"-",SCAN!D287,0)</f>
        <v>0</v>
      </c>
      <c r="S287" s="53">
        <f>IF(SCAN!Q287&lt;&gt;"-",SCAN!E287,0)</f>
        <v>0</v>
      </c>
      <c r="T287" s="53">
        <f>IF(SCAN!Q287&lt;&gt;"-",SCAN!F287,0)</f>
        <v>0</v>
      </c>
    </row>
    <row r="288" spans="8:20" x14ac:dyDescent="0.25">
      <c r="H288" s="50">
        <f>IF(AND(SCAN!K288="-",SCAN!Q288="-"),SCAN!D288,0)</f>
        <v>0</v>
      </c>
      <c r="I288" s="50">
        <f>IF(AND(SCAN!K288="-",SCAN!Q288="-"),SCAN!E288,0)</f>
        <v>0</v>
      </c>
      <c r="J288" s="50">
        <f>IF(AND(SCAN!K288="-",SCAN!Q288="-"),SCAN!F288,0)</f>
        <v>0</v>
      </c>
      <c r="M288" s="55">
        <f>IF(SCAN!K288&lt;&gt;"-",SCAN!D288,0)</f>
        <v>0</v>
      </c>
      <c r="N288" s="55">
        <f>IF(SCAN!K288&lt;&gt;"-",SCAN!E288,0)</f>
        <v>0</v>
      </c>
      <c r="O288" s="55">
        <f>IF(SCAN!K288&lt;&gt;"-",SCAN!F288,0)</f>
        <v>0</v>
      </c>
      <c r="R288" s="53">
        <f>IF(SCAN!Q288&lt;&gt;"-",SCAN!D288,0)</f>
        <v>0</v>
      </c>
      <c r="S288" s="53">
        <f>IF(SCAN!Q288&lt;&gt;"-",SCAN!E288,0)</f>
        <v>0</v>
      </c>
      <c r="T288" s="53">
        <f>IF(SCAN!Q288&lt;&gt;"-",SCAN!F288,0)</f>
        <v>0</v>
      </c>
    </row>
    <row r="289" spans="8:20" x14ac:dyDescent="0.25">
      <c r="H289" s="50">
        <f>IF(AND(SCAN!K289="-",SCAN!Q289="-"),SCAN!D289,0)</f>
        <v>0</v>
      </c>
      <c r="I289" s="50">
        <f>IF(AND(SCAN!K289="-",SCAN!Q289="-"),SCAN!E289,0)</f>
        <v>0</v>
      </c>
      <c r="J289" s="50">
        <f>IF(AND(SCAN!K289="-",SCAN!Q289="-"),SCAN!F289,0)</f>
        <v>0</v>
      </c>
      <c r="M289" s="55">
        <f>IF(SCAN!K289&lt;&gt;"-",SCAN!D289,0)</f>
        <v>0</v>
      </c>
      <c r="N289" s="55">
        <f>IF(SCAN!K289&lt;&gt;"-",SCAN!E289,0)</f>
        <v>0</v>
      </c>
      <c r="O289" s="55">
        <f>IF(SCAN!K289&lt;&gt;"-",SCAN!F289,0)</f>
        <v>0</v>
      </c>
      <c r="R289" s="53">
        <f>IF(SCAN!Q289&lt;&gt;"-",SCAN!D289,0)</f>
        <v>0</v>
      </c>
      <c r="S289" s="53">
        <f>IF(SCAN!Q289&lt;&gt;"-",SCAN!E289,0)</f>
        <v>0</v>
      </c>
      <c r="T289" s="53">
        <f>IF(SCAN!Q289&lt;&gt;"-",SCAN!F289,0)</f>
        <v>0</v>
      </c>
    </row>
    <row r="290" spans="8:20" x14ac:dyDescent="0.25">
      <c r="H290" s="50">
        <f>IF(AND(SCAN!K290="-",SCAN!Q290="-"),SCAN!D290,0)</f>
        <v>0</v>
      </c>
      <c r="I290" s="50">
        <f>IF(AND(SCAN!K290="-",SCAN!Q290="-"),SCAN!E290,0)</f>
        <v>0</v>
      </c>
      <c r="J290" s="50">
        <f>IF(AND(SCAN!K290="-",SCAN!Q290="-"),SCAN!F290,0)</f>
        <v>0</v>
      </c>
      <c r="M290" s="55">
        <f>IF(SCAN!K290&lt;&gt;"-",SCAN!D290,0)</f>
        <v>0</v>
      </c>
      <c r="N290" s="55">
        <f>IF(SCAN!K290&lt;&gt;"-",SCAN!E290,0)</f>
        <v>0</v>
      </c>
      <c r="O290" s="55">
        <f>IF(SCAN!K290&lt;&gt;"-",SCAN!F290,0)</f>
        <v>0</v>
      </c>
      <c r="R290" s="53">
        <f>IF(SCAN!Q290&lt;&gt;"-",SCAN!D290,0)</f>
        <v>0</v>
      </c>
      <c r="S290" s="53">
        <f>IF(SCAN!Q290&lt;&gt;"-",SCAN!E290,0)</f>
        <v>0</v>
      </c>
      <c r="T290" s="53">
        <f>IF(SCAN!Q290&lt;&gt;"-",SCAN!F290,0)</f>
        <v>0</v>
      </c>
    </row>
    <row r="291" spans="8:20" x14ac:dyDescent="0.25">
      <c r="H291" s="50">
        <f>IF(AND(SCAN!K291="-",SCAN!Q291="-"),SCAN!D291,0)</f>
        <v>0</v>
      </c>
      <c r="I291" s="50">
        <f>IF(AND(SCAN!K291="-",SCAN!Q291="-"),SCAN!E291,0)</f>
        <v>0</v>
      </c>
      <c r="J291" s="50">
        <f>IF(AND(SCAN!K291="-",SCAN!Q291="-"),SCAN!F291,0)</f>
        <v>0</v>
      </c>
      <c r="M291" s="55">
        <f>IF(SCAN!K291&lt;&gt;"-",SCAN!D291,0)</f>
        <v>0</v>
      </c>
      <c r="N291" s="55">
        <f>IF(SCAN!K291&lt;&gt;"-",SCAN!E291,0)</f>
        <v>0</v>
      </c>
      <c r="O291" s="55">
        <f>IF(SCAN!K291&lt;&gt;"-",SCAN!F291,0)</f>
        <v>0</v>
      </c>
      <c r="R291" s="53">
        <f>IF(SCAN!Q291&lt;&gt;"-",SCAN!D291,0)</f>
        <v>0</v>
      </c>
      <c r="S291" s="53">
        <f>IF(SCAN!Q291&lt;&gt;"-",SCAN!E291,0)</f>
        <v>0</v>
      </c>
      <c r="T291" s="53">
        <f>IF(SCAN!Q291&lt;&gt;"-",SCAN!F291,0)</f>
        <v>0</v>
      </c>
    </row>
    <row r="292" spans="8:20" x14ac:dyDescent="0.25">
      <c r="H292" s="50">
        <f>IF(AND(SCAN!K292="-",SCAN!Q292="-"),SCAN!D292,0)</f>
        <v>0</v>
      </c>
      <c r="I292" s="50">
        <f>IF(AND(SCAN!K292="-",SCAN!Q292="-"),SCAN!E292,0)</f>
        <v>0</v>
      </c>
      <c r="J292" s="50">
        <f>IF(AND(SCAN!K292="-",SCAN!Q292="-"),SCAN!F292,0)</f>
        <v>0</v>
      </c>
      <c r="M292" s="55">
        <f>IF(SCAN!K292&lt;&gt;"-",SCAN!D292,0)</f>
        <v>0</v>
      </c>
      <c r="N292" s="55">
        <f>IF(SCAN!K292&lt;&gt;"-",SCAN!E292,0)</f>
        <v>0</v>
      </c>
      <c r="O292" s="55">
        <f>IF(SCAN!K292&lt;&gt;"-",SCAN!F292,0)</f>
        <v>0</v>
      </c>
      <c r="R292" s="53">
        <f>IF(SCAN!Q292&lt;&gt;"-",SCAN!D292,0)</f>
        <v>0</v>
      </c>
      <c r="S292" s="53">
        <f>IF(SCAN!Q292&lt;&gt;"-",SCAN!E292,0)</f>
        <v>0</v>
      </c>
      <c r="T292" s="53">
        <f>IF(SCAN!Q292&lt;&gt;"-",SCAN!F292,0)</f>
        <v>0</v>
      </c>
    </row>
    <row r="293" spans="8:20" x14ac:dyDescent="0.25">
      <c r="H293" s="50">
        <f>IF(AND(SCAN!K293="-",SCAN!Q293="-"),SCAN!D293,0)</f>
        <v>0</v>
      </c>
      <c r="I293" s="50">
        <f>IF(AND(SCAN!K293="-",SCAN!Q293="-"),SCAN!E293,0)</f>
        <v>0</v>
      </c>
      <c r="J293" s="50">
        <f>IF(AND(SCAN!K293="-",SCAN!Q293="-"),SCAN!F293,0)</f>
        <v>0</v>
      </c>
      <c r="M293" s="55">
        <f>IF(SCAN!K293&lt;&gt;"-",SCAN!D293,0)</f>
        <v>0</v>
      </c>
      <c r="N293" s="55">
        <f>IF(SCAN!K293&lt;&gt;"-",SCAN!E293,0)</f>
        <v>0</v>
      </c>
      <c r="O293" s="55">
        <f>IF(SCAN!K293&lt;&gt;"-",SCAN!F293,0)</f>
        <v>0</v>
      </c>
      <c r="R293" s="53">
        <f>IF(SCAN!Q293&lt;&gt;"-",SCAN!D293,0)</f>
        <v>0</v>
      </c>
      <c r="S293" s="53">
        <f>IF(SCAN!Q293&lt;&gt;"-",SCAN!E293,0)</f>
        <v>0</v>
      </c>
      <c r="T293" s="53">
        <f>IF(SCAN!Q293&lt;&gt;"-",SCAN!F293,0)</f>
        <v>0</v>
      </c>
    </row>
    <row r="294" spans="8:20" x14ac:dyDescent="0.25">
      <c r="H294" s="50">
        <f>IF(AND(SCAN!K294="-",SCAN!Q294="-"),SCAN!D294,0)</f>
        <v>0</v>
      </c>
      <c r="I294" s="50">
        <f>IF(AND(SCAN!K294="-",SCAN!Q294="-"),SCAN!E294,0)</f>
        <v>0</v>
      </c>
      <c r="J294" s="50">
        <f>IF(AND(SCAN!K294="-",SCAN!Q294="-"),SCAN!F294,0)</f>
        <v>0</v>
      </c>
      <c r="M294" s="55">
        <f>IF(SCAN!K294&lt;&gt;"-",SCAN!D294,0)</f>
        <v>0</v>
      </c>
      <c r="N294" s="55">
        <f>IF(SCAN!K294&lt;&gt;"-",SCAN!E294,0)</f>
        <v>0</v>
      </c>
      <c r="O294" s="55">
        <f>IF(SCAN!K294&lt;&gt;"-",SCAN!F294,0)</f>
        <v>0</v>
      </c>
      <c r="R294" s="53">
        <f>IF(SCAN!Q294&lt;&gt;"-",SCAN!D294,0)</f>
        <v>0</v>
      </c>
      <c r="S294" s="53">
        <f>IF(SCAN!Q294&lt;&gt;"-",SCAN!E294,0)</f>
        <v>0</v>
      </c>
      <c r="T294" s="53">
        <f>IF(SCAN!Q294&lt;&gt;"-",SCAN!F294,0)</f>
        <v>0</v>
      </c>
    </row>
    <row r="295" spans="8:20" x14ac:dyDescent="0.25">
      <c r="H295" s="50">
        <f>IF(AND(SCAN!K295="-",SCAN!Q295="-"),SCAN!D295,0)</f>
        <v>0</v>
      </c>
      <c r="I295" s="50">
        <f>IF(AND(SCAN!K295="-",SCAN!Q295="-"),SCAN!E295,0)</f>
        <v>0</v>
      </c>
      <c r="J295" s="50">
        <f>IF(AND(SCAN!K295="-",SCAN!Q295="-"),SCAN!F295,0)</f>
        <v>0</v>
      </c>
      <c r="M295" s="55">
        <f>IF(SCAN!K295&lt;&gt;"-",SCAN!D295,0)</f>
        <v>0</v>
      </c>
      <c r="N295" s="55">
        <f>IF(SCAN!K295&lt;&gt;"-",SCAN!E295,0)</f>
        <v>0</v>
      </c>
      <c r="O295" s="55">
        <f>IF(SCAN!K295&lt;&gt;"-",SCAN!F295,0)</f>
        <v>0</v>
      </c>
      <c r="R295" s="53">
        <f>IF(SCAN!Q295&lt;&gt;"-",SCAN!D295,0)</f>
        <v>0</v>
      </c>
      <c r="S295" s="53">
        <f>IF(SCAN!Q295&lt;&gt;"-",SCAN!E295,0)</f>
        <v>0</v>
      </c>
      <c r="T295" s="53">
        <f>IF(SCAN!Q295&lt;&gt;"-",SCAN!F295,0)</f>
        <v>0</v>
      </c>
    </row>
    <row r="296" spans="8:20" x14ac:dyDescent="0.25">
      <c r="H296" s="50">
        <f>IF(AND(SCAN!K296="-",SCAN!Q296="-"),SCAN!D296,0)</f>
        <v>0</v>
      </c>
      <c r="I296" s="50">
        <f>IF(AND(SCAN!K296="-",SCAN!Q296="-"),SCAN!E296,0)</f>
        <v>0</v>
      </c>
      <c r="J296" s="50">
        <f>IF(AND(SCAN!K296="-",SCAN!Q296="-"),SCAN!F296,0)</f>
        <v>0</v>
      </c>
      <c r="M296" s="55">
        <f>IF(SCAN!K296&lt;&gt;"-",SCAN!D296,0)</f>
        <v>0</v>
      </c>
      <c r="N296" s="55">
        <f>IF(SCAN!K296&lt;&gt;"-",SCAN!E296,0)</f>
        <v>0</v>
      </c>
      <c r="O296" s="55">
        <f>IF(SCAN!K296&lt;&gt;"-",SCAN!F296,0)</f>
        <v>0</v>
      </c>
      <c r="R296" s="53">
        <f>IF(SCAN!Q296&lt;&gt;"-",SCAN!D296,0)</f>
        <v>0</v>
      </c>
      <c r="S296" s="53">
        <f>IF(SCAN!Q296&lt;&gt;"-",SCAN!E296,0)</f>
        <v>0</v>
      </c>
      <c r="T296" s="53">
        <f>IF(SCAN!Q296&lt;&gt;"-",SCAN!F296,0)</f>
        <v>0</v>
      </c>
    </row>
    <row r="297" spans="8:20" x14ac:dyDescent="0.25">
      <c r="H297" s="50">
        <f>IF(AND(SCAN!K297="-",SCAN!Q297="-"),SCAN!D297,0)</f>
        <v>0</v>
      </c>
      <c r="I297" s="50">
        <f>IF(AND(SCAN!K297="-",SCAN!Q297="-"),SCAN!E297,0)</f>
        <v>0</v>
      </c>
      <c r="J297" s="50">
        <f>IF(AND(SCAN!K297="-",SCAN!Q297="-"),SCAN!F297,0)</f>
        <v>0</v>
      </c>
      <c r="M297" s="55">
        <f>IF(SCAN!K297&lt;&gt;"-",SCAN!D297,0)</f>
        <v>0</v>
      </c>
      <c r="N297" s="55">
        <f>IF(SCAN!K297&lt;&gt;"-",SCAN!E297,0)</f>
        <v>0</v>
      </c>
      <c r="O297" s="55">
        <f>IF(SCAN!K297&lt;&gt;"-",SCAN!F297,0)</f>
        <v>0</v>
      </c>
      <c r="R297" s="53">
        <f>IF(SCAN!Q297&lt;&gt;"-",SCAN!D297,0)</f>
        <v>0</v>
      </c>
      <c r="S297" s="53">
        <f>IF(SCAN!Q297&lt;&gt;"-",SCAN!E297,0)</f>
        <v>0</v>
      </c>
      <c r="T297" s="53">
        <f>IF(SCAN!Q297&lt;&gt;"-",SCAN!F297,0)</f>
        <v>0</v>
      </c>
    </row>
    <row r="298" spans="8:20" x14ac:dyDescent="0.25">
      <c r="H298" s="50">
        <f>IF(AND(SCAN!K298="-",SCAN!Q298="-"),SCAN!D298,0)</f>
        <v>0</v>
      </c>
      <c r="I298" s="50">
        <f>IF(AND(SCAN!K298="-",SCAN!Q298="-"),SCAN!E298,0)</f>
        <v>0</v>
      </c>
      <c r="J298" s="50">
        <f>IF(AND(SCAN!K298="-",SCAN!Q298="-"),SCAN!F298,0)</f>
        <v>0</v>
      </c>
      <c r="M298" s="55">
        <f>IF(SCAN!K298&lt;&gt;"-",SCAN!D298,0)</f>
        <v>0</v>
      </c>
      <c r="N298" s="55">
        <f>IF(SCAN!K298&lt;&gt;"-",SCAN!E298,0)</f>
        <v>0</v>
      </c>
      <c r="O298" s="55">
        <f>IF(SCAN!K298&lt;&gt;"-",SCAN!F298,0)</f>
        <v>0</v>
      </c>
      <c r="R298" s="53">
        <f>IF(SCAN!Q298&lt;&gt;"-",SCAN!D298,0)</f>
        <v>0</v>
      </c>
      <c r="S298" s="53">
        <f>IF(SCAN!Q298&lt;&gt;"-",SCAN!E298,0)</f>
        <v>0</v>
      </c>
      <c r="T298" s="53">
        <f>IF(SCAN!Q298&lt;&gt;"-",SCAN!F298,0)</f>
        <v>0</v>
      </c>
    </row>
    <row r="299" spans="8:20" x14ac:dyDescent="0.25">
      <c r="H299" s="50">
        <f>IF(AND(SCAN!K299="-",SCAN!Q299="-"),SCAN!D299,0)</f>
        <v>0</v>
      </c>
      <c r="I299" s="50">
        <f>IF(AND(SCAN!K299="-",SCAN!Q299="-"),SCAN!E299,0)</f>
        <v>0</v>
      </c>
      <c r="J299" s="50">
        <f>IF(AND(SCAN!K299="-",SCAN!Q299="-"),SCAN!F299,0)</f>
        <v>0</v>
      </c>
      <c r="M299" s="55">
        <f>IF(SCAN!K299&lt;&gt;"-",SCAN!D299,0)</f>
        <v>0</v>
      </c>
      <c r="N299" s="55">
        <f>IF(SCAN!K299&lt;&gt;"-",SCAN!E299,0)</f>
        <v>0</v>
      </c>
      <c r="O299" s="55">
        <f>IF(SCAN!K299&lt;&gt;"-",SCAN!F299,0)</f>
        <v>0</v>
      </c>
      <c r="R299" s="53">
        <f>IF(SCAN!Q299&lt;&gt;"-",SCAN!D299,0)</f>
        <v>0</v>
      </c>
      <c r="S299" s="53">
        <f>IF(SCAN!Q299&lt;&gt;"-",SCAN!E299,0)</f>
        <v>0</v>
      </c>
      <c r="T299" s="53">
        <f>IF(SCAN!Q299&lt;&gt;"-",SCAN!F299,0)</f>
        <v>0</v>
      </c>
    </row>
    <row r="300" spans="8:20" x14ac:dyDescent="0.25">
      <c r="H300" s="50">
        <f>IF(AND(SCAN!K300="-",SCAN!Q300="-"),SCAN!D300,0)</f>
        <v>0</v>
      </c>
      <c r="I300" s="50">
        <f>IF(AND(SCAN!K300="-",SCAN!Q300="-"),SCAN!E300,0)</f>
        <v>0</v>
      </c>
      <c r="J300" s="50">
        <f>IF(AND(SCAN!K300="-",SCAN!Q300="-"),SCAN!F300,0)</f>
        <v>0</v>
      </c>
      <c r="M300" s="55">
        <f>IF(SCAN!K300&lt;&gt;"-",SCAN!D300,0)</f>
        <v>0</v>
      </c>
      <c r="N300" s="55">
        <f>IF(SCAN!K300&lt;&gt;"-",SCAN!E300,0)</f>
        <v>0</v>
      </c>
      <c r="O300" s="55">
        <f>IF(SCAN!K300&lt;&gt;"-",SCAN!F300,0)</f>
        <v>0</v>
      </c>
      <c r="R300" s="53">
        <f>IF(SCAN!Q300&lt;&gt;"-",SCAN!D300,0)</f>
        <v>0</v>
      </c>
      <c r="S300" s="53">
        <f>IF(SCAN!Q300&lt;&gt;"-",SCAN!E300,0)</f>
        <v>0</v>
      </c>
      <c r="T300" s="53">
        <f>IF(SCAN!Q300&lt;&gt;"-",SCAN!F300,0)</f>
        <v>0</v>
      </c>
    </row>
    <row r="301" spans="8:20" x14ac:dyDescent="0.25">
      <c r="H301" s="50">
        <f>IF(AND(SCAN!K301="-",SCAN!Q301="-"),SCAN!D301,0)</f>
        <v>0</v>
      </c>
      <c r="I301" s="50">
        <f>IF(AND(SCAN!K301="-",SCAN!Q301="-"),SCAN!E301,0)</f>
        <v>0</v>
      </c>
      <c r="J301" s="50">
        <f>IF(AND(SCAN!K301="-",SCAN!Q301="-"),SCAN!F301,0)</f>
        <v>0</v>
      </c>
      <c r="M301" s="55">
        <f>IF(SCAN!K301&lt;&gt;"-",SCAN!D301,0)</f>
        <v>0</v>
      </c>
      <c r="N301" s="55">
        <f>IF(SCAN!K301&lt;&gt;"-",SCAN!E301,0)</f>
        <v>0</v>
      </c>
      <c r="O301" s="55">
        <f>IF(SCAN!K301&lt;&gt;"-",SCAN!F301,0)</f>
        <v>0</v>
      </c>
      <c r="R301" s="53">
        <f>IF(SCAN!Q301&lt;&gt;"-",SCAN!D301,0)</f>
        <v>0</v>
      </c>
      <c r="S301" s="53">
        <f>IF(SCAN!Q301&lt;&gt;"-",SCAN!E301,0)</f>
        <v>0</v>
      </c>
      <c r="T301" s="53">
        <f>IF(SCAN!Q301&lt;&gt;"-",SCAN!F301,0)</f>
        <v>0</v>
      </c>
    </row>
    <row r="302" spans="8:20" x14ac:dyDescent="0.25">
      <c r="H302" s="50">
        <f>IF(AND(SCAN!K302="-",SCAN!Q302="-"),SCAN!D302,0)</f>
        <v>0</v>
      </c>
      <c r="I302" s="50">
        <f>IF(AND(SCAN!K302="-",SCAN!Q302="-"),SCAN!E302,0)</f>
        <v>0</v>
      </c>
      <c r="J302" s="50">
        <f>IF(AND(SCAN!K302="-",SCAN!Q302="-"),SCAN!F302,0)</f>
        <v>0</v>
      </c>
      <c r="M302" s="55">
        <f>IF(SCAN!K302&lt;&gt;"-",SCAN!D302,0)</f>
        <v>0</v>
      </c>
      <c r="N302" s="55">
        <f>IF(SCAN!K302&lt;&gt;"-",SCAN!E302,0)</f>
        <v>0</v>
      </c>
      <c r="O302" s="55">
        <f>IF(SCAN!K302&lt;&gt;"-",SCAN!F302,0)</f>
        <v>0</v>
      </c>
      <c r="R302" s="53">
        <f>IF(SCAN!Q302&lt;&gt;"-",SCAN!D302,0)</f>
        <v>0</v>
      </c>
      <c r="S302" s="53">
        <f>IF(SCAN!Q302&lt;&gt;"-",SCAN!E302,0)</f>
        <v>0</v>
      </c>
      <c r="T302" s="53">
        <f>IF(SCAN!Q302&lt;&gt;"-",SCAN!F302,0)</f>
        <v>0</v>
      </c>
    </row>
    <row r="303" spans="8:20" x14ac:dyDescent="0.25">
      <c r="H303" s="50">
        <f>IF(AND(SCAN!K303="-",SCAN!Q303="-"),SCAN!D303,0)</f>
        <v>0</v>
      </c>
      <c r="I303" s="50">
        <f>IF(AND(SCAN!K303="-",SCAN!Q303="-"),SCAN!E303,0)</f>
        <v>0</v>
      </c>
      <c r="J303" s="50">
        <f>IF(AND(SCAN!K303="-",SCAN!Q303="-"),SCAN!F303,0)</f>
        <v>0</v>
      </c>
      <c r="M303" s="55">
        <f>IF(SCAN!K303&lt;&gt;"-",SCAN!D303,0)</f>
        <v>0</v>
      </c>
      <c r="N303" s="55">
        <f>IF(SCAN!K303&lt;&gt;"-",SCAN!E303,0)</f>
        <v>0</v>
      </c>
      <c r="O303" s="55">
        <f>IF(SCAN!K303&lt;&gt;"-",SCAN!F303,0)</f>
        <v>0</v>
      </c>
      <c r="R303" s="53">
        <f>IF(SCAN!Q303&lt;&gt;"-",SCAN!D303,0)</f>
        <v>0</v>
      </c>
      <c r="S303" s="53">
        <f>IF(SCAN!Q303&lt;&gt;"-",SCAN!E303,0)</f>
        <v>0</v>
      </c>
      <c r="T303" s="53">
        <f>IF(SCAN!Q303&lt;&gt;"-",SCAN!F303,0)</f>
        <v>0</v>
      </c>
    </row>
    <row r="304" spans="8:20" x14ac:dyDescent="0.25">
      <c r="H304" s="50">
        <f>IF(AND(SCAN!K304="-",SCAN!Q304="-"),SCAN!D304,0)</f>
        <v>0</v>
      </c>
      <c r="I304" s="50">
        <f>IF(AND(SCAN!K304="-",SCAN!Q304="-"),SCAN!E304,0)</f>
        <v>0</v>
      </c>
      <c r="J304" s="50">
        <f>IF(AND(SCAN!K304="-",SCAN!Q304="-"),SCAN!F304,0)</f>
        <v>0</v>
      </c>
      <c r="M304" s="55">
        <f>IF(SCAN!K304&lt;&gt;"-",SCAN!D304,0)</f>
        <v>0</v>
      </c>
      <c r="N304" s="55">
        <f>IF(SCAN!K304&lt;&gt;"-",SCAN!E304,0)</f>
        <v>0</v>
      </c>
      <c r="O304" s="55">
        <f>IF(SCAN!K304&lt;&gt;"-",SCAN!F304,0)</f>
        <v>0</v>
      </c>
      <c r="R304" s="53">
        <f>IF(SCAN!Q304&lt;&gt;"-",SCAN!D304,0)</f>
        <v>0</v>
      </c>
      <c r="S304" s="53">
        <f>IF(SCAN!Q304&lt;&gt;"-",SCAN!E304,0)</f>
        <v>0</v>
      </c>
      <c r="T304" s="53">
        <f>IF(SCAN!Q304&lt;&gt;"-",SCAN!F304,0)</f>
        <v>0</v>
      </c>
    </row>
    <row r="305" spans="8:20" x14ac:dyDescent="0.25">
      <c r="H305" s="50">
        <f>IF(AND(SCAN!K305="-",SCAN!Q305="-"),SCAN!D305,0)</f>
        <v>0</v>
      </c>
      <c r="I305" s="50">
        <f>IF(AND(SCAN!K305="-",SCAN!Q305="-"),SCAN!E305,0)</f>
        <v>0</v>
      </c>
      <c r="J305" s="50">
        <f>IF(AND(SCAN!K305="-",SCAN!Q305="-"),SCAN!F305,0)</f>
        <v>0</v>
      </c>
      <c r="M305" s="55">
        <f>IF(SCAN!K305&lt;&gt;"-",SCAN!D305,0)</f>
        <v>0</v>
      </c>
      <c r="N305" s="55">
        <f>IF(SCAN!K305&lt;&gt;"-",SCAN!E305,0)</f>
        <v>0</v>
      </c>
      <c r="O305" s="55">
        <f>IF(SCAN!K305&lt;&gt;"-",SCAN!F305,0)</f>
        <v>0</v>
      </c>
      <c r="R305" s="53">
        <f>IF(SCAN!Q305&lt;&gt;"-",SCAN!D305,0)</f>
        <v>0</v>
      </c>
      <c r="S305" s="53">
        <f>IF(SCAN!Q305&lt;&gt;"-",SCAN!E305,0)</f>
        <v>0</v>
      </c>
      <c r="T305" s="53">
        <f>IF(SCAN!Q305&lt;&gt;"-",SCAN!F305,0)</f>
        <v>0</v>
      </c>
    </row>
    <row r="306" spans="8:20" x14ac:dyDescent="0.25">
      <c r="H306" s="50">
        <f>IF(AND(SCAN!K306="-",SCAN!Q306="-"),SCAN!D306,0)</f>
        <v>0</v>
      </c>
      <c r="I306" s="50">
        <f>IF(AND(SCAN!K306="-",SCAN!Q306="-"),SCAN!E306,0)</f>
        <v>0</v>
      </c>
      <c r="J306" s="50">
        <f>IF(AND(SCAN!K306="-",SCAN!Q306="-"),SCAN!F306,0)</f>
        <v>0</v>
      </c>
      <c r="M306" s="55">
        <f>IF(SCAN!K306&lt;&gt;"-",SCAN!D306,0)</f>
        <v>0</v>
      </c>
      <c r="N306" s="55">
        <f>IF(SCAN!K306&lt;&gt;"-",SCAN!E306,0)</f>
        <v>0</v>
      </c>
      <c r="O306" s="55">
        <f>IF(SCAN!K306&lt;&gt;"-",SCAN!F306,0)</f>
        <v>0</v>
      </c>
      <c r="R306" s="53">
        <f>IF(SCAN!Q306&lt;&gt;"-",SCAN!D306,0)</f>
        <v>0</v>
      </c>
      <c r="S306" s="53">
        <f>IF(SCAN!Q306&lt;&gt;"-",SCAN!E306,0)</f>
        <v>0</v>
      </c>
      <c r="T306" s="53">
        <f>IF(SCAN!Q306&lt;&gt;"-",SCAN!F306,0)</f>
        <v>0</v>
      </c>
    </row>
    <row r="307" spans="8:20" x14ac:dyDescent="0.25">
      <c r="H307" s="50">
        <f>IF(AND(SCAN!K307="-",SCAN!Q307="-"),SCAN!D307,0)</f>
        <v>0</v>
      </c>
      <c r="I307" s="50">
        <f>IF(AND(SCAN!K307="-",SCAN!Q307="-"),SCAN!E307,0)</f>
        <v>0</v>
      </c>
      <c r="J307" s="50">
        <f>IF(AND(SCAN!K307="-",SCAN!Q307="-"),SCAN!F307,0)</f>
        <v>0</v>
      </c>
      <c r="M307" s="55">
        <f>IF(SCAN!K307&lt;&gt;"-",SCAN!D307,0)</f>
        <v>0</v>
      </c>
      <c r="N307" s="55">
        <f>IF(SCAN!K307&lt;&gt;"-",SCAN!E307,0)</f>
        <v>0</v>
      </c>
      <c r="O307" s="55">
        <f>IF(SCAN!K307&lt;&gt;"-",SCAN!F307,0)</f>
        <v>0</v>
      </c>
      <c r="R307" s="53">
        <f>IF(SCAN!Q307&lt;&gt;"-",SCAN!D307,0)</f>
        <v>0</v>
      </c>
      <c r="S307" s="53">
        <f>IF(SCAN!Q307&lt;&gt;"-",SCAN!E307,0)</f>
        <v>0</v>
      </c>
      <c r="T307" s="53">
        <f>IF(SCAN!Q307&lt;&gt;"-",SCAN!F307,0)</f>
        <v>0</v>
      </c>
    </row>
    <row r="308" spans="8:20" x14ac:dyDescent="0.25">
      <c r="H308" s="50">
        <f>IF(AND(SCAN!K308="-",SCAN!Q308="-"),SCAN!D308,0)</f>
        <v>0</v>
      </c>
      <c r="I308" s="50">
        <f>IF(AND(SCAN!K308="-",SCAN!Q308="-"),SCAN!E308,0)</f>
        <v>0</v>
      </c>
      <c r="J308" s="50">
        <f>IF(AND(SCAN!K308="-",SCAN!Q308="-"),SCAN!F308,0)</f>
        <v>0</v>
      </c>
      <c r="M308" s="55">
        <f>IF(SCAN!K308&lt;&gt;"-",SCAN!D308,0)</f>
        <v>0</v>
      </c>
      <c r="N308" s="55">
        <f>IF(SCAN!K308&lt;&gt;"-",SCAN!E308,0)</f>
        <v>0</v>
      </c>
      <c r="O308" s="55">
        <f>IF(SCAN!K308&lt;&gt;"-",SCAN!F308,0)</f>
        <v>0</v>
      </c>
      <c r="R308" s="53">
        <f>IF(SCAN!Q308&lt;&gt;"-",SCAN!D308,0)</f>
        <v>0</v>
      </c>
      <c r="S308" s="53">
        <f>IF(SCAN!Q308&lt;&gt;"-",SCAN!E308,0)</f>
        <v>0</v>
      </c>
      <c r="T308" s="53">
        <f>IF(SCAN!Q308&lt;&gt;"-",SCAN!F308,0)</f>
        <v>0</v>
      </c>
    </row>
    <row r="309" spans="8:20" x14ac:dyDescent="0.25">
      <c r="H309" s="50">
        <f>IF(AND(SCAN!K309="-",SCAN!Q309="-"),SCAN!D309,0)</f>
        <v>0</v>
      </c>
      <c r="I309" s="50">
        <f>IF(AND(SCAN!K309="-",SCAN!Q309="-"),SCAN!E309,0)</f>
        <v>0</v>
      </c>
      <c r="J309" s="50">
        <f>IF(AND(SCAN!K309="-",SCAN!Q309="-"),SCAN!F309,0)</f>
        <v>0</v>
      </c>
      <c r="M309" s="55">
        <f>IF(SCAN!K309&lt;&gt;"-",SCAN!D309,0)</f>
        <v>0</v>
      </c>
      <c r="N309" s="55">
        <f>IF(SCAN!K309&lt;&gt;"-",SCAN!E309,0)</f>
        <v>0</v>
      </c>
      <c r="O309" s="55">
        <f>IF(SCAN!K309&lt;&gt;"-",SCAN!F309,0)</f>
        <v>0</v>
      </c>
      <c r="R309" s="53">
        <f>IF(SCAN!Q309&lt;&gt;"-",SCAN!D309,0)</f>
        <v>0</v>
      </c>
      <c r="S309" s="53">
        <f>IF(SCAN!Q309&lt;&gt;"-",SCAN!E309,0)</f>
        <v>0</v>
      </c>
      <c r="T309" s="53">
        <f>IF(SCAN!Q309&lt;&gt;"-",SCAN!F309,0)</f>
        <v>0</v>
      </c>
    </row>
    <row r="310" spans="8:20" x14ac:dyDescent="0.25">
      <c r="H310" s="50">
        <f>IF(AND(SCAN!K310="-",SCAN!Q310="-"),SCAN!D310,0)</f>
        <v>0</v>
      </c>
      <c r="I310" s="50">
        <f>IF(AND(SCAN!K310="-",SCAN!Q310="-"),SCAN!E310,0)</f>
        <v>0</v>
      </c>
      <c r="J310" s="50">
        <f>IF(AND(SCAN!K310="-",SCAN!Q310="-"),SCAN!F310,0)</f>
        <v>0</v>
      </c>
      <c r="M310" s="55">
        <f>IF(SCAN!K310&lt;&gt;"-",SCAN!D310,0)</f>
        <v>0</v>
      </c>
      <c r="N310" s="55">
        <f>IF(SCAN!K310&lt;&gt;"-",SCAN!E310,0)</f>
        <v>0</v>
      </c>
      <c r="O310" s="55">
        <f>IF(SCAN!K310&lt;&gt;"-",SCAN!F310,0)</f>
        <v>0</v>
      </c>
      <c r="R310" s="53">
        <f>IF(SCAN!Q310&lt;&gt;"-",SCAN!D310,0)</f>
        <v>0</v>
      </c>
      <c r="S310" s="53">
        <f>IF(SCAN!Q310&lt;&gt;"-",SCAN!E310,0)</f>
        <v>0</v>
      </c>
      <c r="T310" s="53">
        <f>IF(SCAN!Q310&lt;&gt;"-",SCAN!F310,0)</f>
        <v>0</v>
      </c>
    </row>
    <row r="311" spans="8:20" x14ac:dyDescent="0.25">
      <c r="H311" s="50">
        <f>IF(AND(SCAN!K311="-",SCAN!Q311="-"),SCAN!D311,0)</f>
        <v>0</v>
      </c>
      <c r="I311" s="50">
        <f>IF(AND(SCAN!K311="-",SCAN!Q311="-"),SCAN!E311,0)</f>
        <v>0</v>
      </c>
      <c r="J311" s="50">
        <f>IF(AND(SCAN!K311="-",SCAN!Q311="-"),SCAN!F311,0)</f>
        <v>0</v>
      </c>
      <c r="M311" s="55">
        <f>IF(SCAN!K311&lt;&gt;"-",SCAN!D311,0)</f>
        <v>0</v>
      </c>
      <c r="N311" s="55">
        <f>IF(SCAN!K311&lt;&gt;"-",SCAN!E311,0)</f>
        <v>0</v>
      </c>
      <c r="O311" s="55">
        <f>IF(SCAN!K311&lt;&gt;"-",SCAN!F311,0)</f>
        <v>0</v>
      </c>
      <c r="R311" s="53">
        <f>IF(SCAN!Q311&lt;&gt;"-",SCAN!D311,0)</f>
        <v>0</v>
      </c>
      <c r="S311" s="53">
        <f>IF(SCAN!Q311&lt;&gt;"-",SCAN!E311,0)</f>
        <v>0</v>
      </c>
      <c r="T311" s="53">
        <f>IF(SCAN!Q311&lt;&gt;"-",SCAN!F311,0)</f>
        <v>0</v>
      </c>
    </row>
    <row r="312" spans="8:20" x14ac:dyDescent="0.25">
      <c r="H312" s="50">
        <f>IF(AND(SCAN!K312="-",SCAN!Q312="-"),SCAN!D312,0)</f>
        <v>0</v>
      </c>
      <c r="I312" s="50">
        <f>IF(AND(SCAN!K312="-",SCAN!Q312="-"),SCAN!E312,0)</f>
        <v>0</v>
      </c>
      <c r="J312" s="50">
        <f>IF(AND(SCAN!K312="-",SCAN!Q312="-"),SCAN!F312,0)</f>
        <v>0</v>
      </c>
      <c r="M312" s="55">
        <f>IF(SCAN!K312&lt;&gt;"-",SCAN!D312,0)</f>
        <v>0</v>
      </c>
      <c r="N312" s="55">
        <f>IF(SCAN!K312&lt;&gt;"-",SCAN!E312,0)</f>
        <v>0</v>
      </c>
      <c r="O312" s="55">
        <f>IF(SCAN!K312&lt;&gt;"-",SCAN!F312,0)</f>
        <v>0</v>
      </c>
      <c r="R312" s="53">
        <f>IF(SCAN!Q312&lt;&gt;"-",SCAN!D312,0)</f>
        <v>0</v>
      </c>
      <c r="S312" s="53">
        <f>IF(SCAN!Q312&lt;&gt;"-",SCAN!E312,0)</f>
        <v>0</v>
      </c>
      <c r="T312" s="53">
        <f>IF(SCAN!Q312&lt;&gt;"-",SCAN!F312,0)</f>
        <v>0</v>
      </c>
    </row>
    <row r="313" spans="8:20" x14ac:dyDescent="0.25">
      <c r="H313" s="50">
        <f>IF(AND(SCAN!K313="-",SCAN!Q313="-"),SCAN!D313,0)</f>
        <v>0</v>
      </c>
      <c r="I313" s="50">
        <f>IF(AND(SCAN!K313="-",SCAN!Q313="-"),SCAN!E313,0)</f>
        <v>0</v>
      </c>
      <c r="J313" s="50">
        <f>IF(AND(SCAN!K313="-",SCAN!Q313="-"),SCAN!F313,0)</f>
        <v>0</v>
      </c>
      <c r="M313" s="55">
        <f>IF(SCAN!K313&lt;&gt;"-",SCAN!D313,0)</f>
        <v>0</v>
      </c>
      <c r="N313" s="55">
        <f>IF(SCAN!K313&lt;&gt;"-",SCAN!E313,0)</f>
        <v>0</v>
      </c>
      <c r="O313" s="55">
        <f>IF(SCAN!K313&lt;&gt;"-",SCAN!F313,0)</f>
        <v>0</v>
      </c>
      <c r="R313" s="53">
        <f>IF(SCAN!Q313&lt;&gt;"-",SCAN!D313,0)</f>
        <v>0</v>
      </c>
      <c r="S313" s="53">
        <f>IF(SCAN!Q313&lt;&gt;"-",SCAN!E313,0)</f>
        <v>0</v>
      </c>
      <c r="T313" s="53">
        <f>IF(SCAN!Q313&lt;&gt;"-",SCAN!F313,0)</f>
        <v>0</v>
      </c>
    </row>
    <row r="314" spans="8:20" x14ac:dyDescent="0.25">
      <c r="H314" s="50">
        <f>IF(AND(SCAN!K314="-",SCAN!Q314="-"),SCAN!D314,0)</f>
        <v>0</v>
      </c>
      <c r="I314" s="50">
        <f>IF(AND(SCAN!K314="-",SCAN!Q314="-"),SCAN!E314,0)</f>
        <v>0</v>
      </c>
      <c r="J314" s="50">
        <f>IF(AND(SCAN!K314="-",SCAN!Q314="-"),SCAN!F314,0)</f>
        <v>0</v>
      </c>
      <c r="M314" s="55">
        <f>IF(SCAN!K314&lt;&gt;"-",SCAN!D314,0)</f>
        <v>0</v>
      </c>
      <c r="N314" s="55">
        <f>IF(SCAN!K314&lt;&gt;"-",SCAN!E314,0)</f>
        <v>0</v>
      </c>
      <c r="O314" s="55">
        <f>IF(SCAN!K314&lt;&gt;"-",SCAN!F314,0)</f>
        <v>0</v>
      </c>
      <c r="R314" s="53">
        <f>IF(SCAN!Q314&lt;&gt;"-",SCAN!D314,0)</f>
        <v>0</v>
      </c>
      <c r="S314" s="53">
        <f>IF(SCAN!Q314&lt;&gt;"-",SCAN!E314,0)</f>
        <v>0</v>
      </c>
      <c r="T314" s="53">
        <f>IF(SCAN!Q314&lt;&gt;"-",SCAN!F314,0)</f>
        <v>0</v>
      </c>
    </row>
    <row r="315" spans="8:20" x14ac:dyDescent="0.25">
      <c r="H315" s="50">
        <f>IF(AND(SCAN!K315="-",SCAN!Q315="-"),SCAN!D315,0)</f>
        <v>0</v>
      </c>
      <c r="I315" s="50">
        <f>IF(AND(SCAN!K315="-",SCAN!Q315="-"),SCAN!E315,0)</f>
        <v>0</v>
      </c>
      <c r="J315" s="50">
        <f>IF(AND(SCAN!K315="-",SCAN!Q315="-"),SCAN!F315,0)</f>
        <v>0</v>
      </c>
      <c r="M315" s="55">
        <f>IF(SCAN!K315&lt;&gt;"-",SCAN!D315,0)</f>
        <v>0</v>
      </c>
      <c r="N315" s="55">
        <f>IF(SCAN!K315&lt;&gt;"-",SCAN!E315,0)</f>
        <v>0</v>
      </c>
      <c r="O315" s="55">
        <f>IF(SCAN!K315&lt;&gt;"-",SCAN!F315,0)</f>
        <v>0</v>
      </c>
      <c r="R315" s="53">
        <f>IF(SCAN!Q315&lt;&gt;"-",SCAN!D315,0)</f>
        <v>0</v>
      </c>
      <c r="S315" s="53">
        <f>IF(SCAN!Q315&lt;&gt;"-",SCAN!E315,0)</f>
        <v>0</v>
      </c>
      <c r="T315" s="53">
        <f>IF(SCAN!Q315&lt;&gt;"-",SCAN!F315,0)</f>
        <v>0</v>
      </c>
    </row>
    <row r="316" spans="8:20" x14ac:dyDescent="0.25">
      <c r="H316" s="50">
        <f>IF(AND(SCAN!K316="-",SCAN!Q316="-"),SCAN!D316,0)</f>
        <v>0</v>
      </c>
      <c r="I316" s="50">
        <f>IF(AND(SCAN!K316="-",SCAN!Q316="-"),SCAN!E316,0)</f>
        <v>0</v>
      </c>
      <c r="J316" s="50">
        <f>IF(AND(SCAN!K316="-",SCAN!Q316="-"),SCAN!F316,0)</f>
        <v>0</v>
      </c>
      <c r="M316" s="55">
        <f>IF(SCAN!K316&lt;&gt;"-",SCAN!D316,0)</f>
        <v>0</v>
      </c>
      <c r="N316" s="55">
        <f>IF(SCAN!K316&lt;&gt;"-",SCAN!E316,0)</f>
        <v>0</v>
      </c>
      <c r="O316" s="55">
        <f>IF(SCAN!K316&lt;&gt;"-",SCAN!F316,0)</f>
        <v>0</v>
      </c>
      <c r="R316" s="53">
        <f>IF(SCAN!Q316&lt;&gt;"-",SCAN!D316,0)</f>
        <v>0</v>
      </c>
      <c r="S316" s="53">
        <f>IF(SCAN!Q316&lt;&gt;"-",SCAN!E316,0)</f>
        <v>0</v>
      </c>
      <c r="T316" s="53">
        <f>IF(SCAN!Q316&lt;&gt;"-",SCAN!F316,0)</f>
        <v>0</v>
      </c>
    </row>
    <row r="317" spans="8:20" x14ac:dyDescent="0.25">
      <c r="H317" s="50">
        <f>IF(AND(SCAN!K317="-",SCAN!Q317="-"),SCAN!D317,0)</f>
        <v>0</v>
      </c>
      <c r="I317" s="50">
        <f>IF(AND(SCAN!K317="-",SCAN!Q317="-"),SCAN!E317,0)</f>
        <v>0</v>
      </c>
      <c r="J317" s="50">
        <f>IF(AND(SCAN!K317="-",SCAN!Q317="-"),SCAN!F317,0)</f>
        <v>0</v>
      </c>
      <c r="M317" s="55">
        <f>IF(SCAN!K317&lt;&gt;"-",SCAN!D317,0)</f>
        <v>0</v>
      </c>
      <c r="N317" s="55">
        <f>IF(SCAN!K317&lt;&gt;"-",SCAN!E317,0)</f>
        <v>0</v>
      </c>
      <c r="O317" s="55">
        <f>IF(SCAN!K317&lt;&gt;"-",SCAN!F317,0)</f>
        <v>0</v>
      </c>
      <c r="R317" s="53">
        <f>IF(SCAN!Q317&lt;&gt;"-",SCAN!D317,0)</f>
        <v>0</v>
      </c>
      <c r="S317" s="53">
        <f>IF(SCAN!Q317&lt;&gt;"-",SCAN!E317,0)</f>
        <v>0</v>
      </c>
      <c r="T317" s="53">
        <f>IF(SCAN!Q317&lt;&gt;"-",SCAN!F317,0)</f>
        <v>0</v>
      </c>
    </row>
    <row r="318" spans="8:20" x14ac:dyDescent="0.25">
      <c r="H318" s="50">
        <f>IF(AND(SCAN!K318="-",SCAN!Q318="-"),SCAN!D318,0)</f>
        <v>0</v>
      </c>
      <c r="I318" s="50">
        <f>IF(AND(SCAN!K318="-",SCAN!Q318="-"),SCAN!E318,0)</f>
        <v>0</v>
      </c>
      <c r="J318" s="50">
        <f>IF(AND(SCAN!K318="-",SCAN!Q318="-"),SCAN!F318,0)</f>
        <v>0</v>
      </c>
      <c r="M318" s="55">
        <f>IF(SCAN!K318&lt;&gt;"-",SCAN!D318,0)</f>
        <v>0</v>
      </c>
      <c r="N318" s="55">
        <f>IF(SCAN!K318&lt;&gt;"-",SCAN!E318,0)</f>
        <v>0</v>
      </c>
      <c r="O318" s="55">
        <f>IF(SCAN!K318&lt;&gt;"-",SCAN!F318,0)</f>
        <v>0</v>
      </c>
      <c r="R318" s="53">
        <f>IF(SCAN!Q318&lt;&gt;"-",SCAN!D318,0)</f>
        <v>0</v>
      </c>
      <c r="S318" s="53">
        <f>IF(SCAN!Q318&lt;&gt;"-",SCAN!E318,0)</f>
        <v>0</v>
      </c>
      <c r="T318" s="53">
        <f>IF(SCAN!Q318&lt;&gt;"-",SCAN!F318,0)</f>
        <v>0</v>
      </c>
    </row>
    <row r="319" spans="8:20" x14ac:dyDescent="0.25">
      <c r="H319" s="50">
        <f>IF(AND(SCAN!K319="-",SCAN!Q319="-"),SCAN!D319,0)</f>
        <v>0</v>
      </c>
      <c r="I319" s="50">
        <f>IF(AND(SCAN!K319="-",SCAN!Q319="-"),SCAN!E319,0)</f>
        <v>0</v>
      </c>
      <c r="J319" s="50">
        <f>IF(AND(SCAN!K319="-",SCAN!Q319="-"),SCAN!F319,0)</f>
        <v>0</v>
      </c>
      <c r="M319" s="55">
        <f>IF(SCAN!K319&lt;&gt;"-",SCAN!D319,0)</f>
        <v>0</v>
      </c>
      <c r="N319" s="55">
        <f>IF(SCAN!K319&lt;&gt;"-",SCAN!E319,0)</f>
        <v>0</v>
      </c>
      <c r="O319" s="55">
        <f>IF(SCAN!K319&lt;&gt;"-",SCAN!F319,0)</f>
        <v>0</v>
      </c>
      <c r="R319" s="53">
        <f>IF(SCAN!Q319&lt;&gt;"-",SCAN!D319,0)</f>
        <v>0</v>
      </c>
      <c r="S319" s="53">
        <f>IF(SCAN!Q319&lt;&gt;"-",SCAN!E319,0)</f>
        <v>0</v>
      </c>
      <c r="T319" s="53">
        <f>IF(SCAN!Q319&lt;&gt;"-",SCAN!F319,0)</f>
        <v>0</v>
      </c>
    </row>
    <row r="320" spans="8:20" x14ac:dyDescent="0.25">
      <c r="H320" s="50">
        <f>IF(AND(SCAN!K320="-",SCAN!Q320="-"),SCAN!D320,0)</f>
        <v>0</v>
      </c>
      <c r="I320" s="50">
        <f>IF(AND(SCAN!K320="-",SCAN!Q320="-"),SCAN!E320,0)</f>
        <v>0</v>
      </c>
      <c r="J320" s="50">
        <f>IF(AND(SCAN!K320="-",SCAN!Q320="-"),SCAN!F320,0)</f>
        <v>0</v>
      </c>
      <c r="M320" s="55">
        <f>IF(SCAN!K320&lt;&gt;"-",SCAN!D320,0)</f>
        <v>0</v>
      </c>
      <c r="N320" s="55">
        <f>IF(SCAN!K320&lt;&gt;"-",SCAN!E320,0)</f>
        <v>0</v>
      </c>
      <c r="O320" s="55">
        <f>IF(SCAN!K320&lt;&gt;"-",SCAN!F320,0)</f>
        <v>0</v>
      </c>
      <c r="R320" s="53">
        <f>IF(SCAN!Q320&lt;&gt;"-",SCAN!D320,0)</f>
        <v>0</v>
      </c>
      <c r="S320" s="53">
        <f>IF(SCAN!Q320&lt;&gt;"-",SCAN!E320,0)</f>
        <v>0</v>
      </c>
      <c r="T320" s="53">
        <f>IF(SCAN!Q320&lt;&gt;"-",SCAN!F320,0)</f>
        <v>0</v>
      </c>
    </row>
    <row r="321" spans="8:20" x14ac:dyDescent="0.25">
      <c r="H321" s="50">
        <f>IF(AND(SCAN!K321="-",SCAN!Q321="-"),SCAN!D321,0)</f>
        <v>0</v>
      </c>
      <c r="I321" s="50">
        <f>IF(AND(SCAN!K321="-",SCAN!Q321="-"),SCAN!E321,0)</f>
        <v>0</v>
      </c>
      <c r="J321" s="50">
        <f>IF(AND(SCAN!K321="-",SCAN!Q321="-"),SCAN!F321,0)</f>
        <v>0</v>
      </c>
      <c r="M321" s="55">
        <f>IF(SCAN!K321&lt;&gt;"-",SCAN!D321,0)</f>
        <v>0</v>
      </c>
      <c r="N321" s="55">
        <f>IF(SCAN!K321&lt;&gt;"-",SCAN!E321,0)</f>
        <v>0</v>
      </c>
      <c r="O321" s="55">
        <f>IF(SCAN!K321&lt;&gt;"-",SCAN!F321,0)</f>
        <v>0</v>
      </c>
      <c r="R321" s="53">
        <f>IF(SCAN!Q321&lt;&gt;"-",SCAN!D321,0)</f>
        <v>0</v>
      </c>
      <c r="S321" s="53">
        <f>IF(SCAN!Q321&lt;&gt;"-",SCAN!E321,0)</f>
        <v>0</v>
      </c>
      <c r="T321" s="53">
        <f>IF(SCAN!Q321&lt;&gt;"-",SCAN!F321,0)</f>
        <v>0</v>
      </c>
    </row>
    <row r="322" spans="8:20" x14ac:dyDescent="0.25">
      <c r="H322" s="50">
        <f>IF(AND(SCAN!K322="-",SCAN!Q322="-"),SCAN!D322,0)</f>
        <v>0</v>
      </c>
      <c r="I322" s="50">
        <f>IF(AND(SCAN!K322="-",SCAN!Q322="-"),SCAN!E322,0)</f>
        <v>0</v>
      </c>
      <c r="J322" s="50">
        <f>IF(AND(SCAN!K322="-",SCAN!Q322="-"),SCAN!F322,0)</f>
        <v>0</v>
      </c>
      <c r="M322" s="55">
        <f>IF(SCAN!K322&lt;&gt;"-",SCAN!D322,0)</f>
        <v>0</v>
      </c>
      <c r="N322" s="55">
        <f>IF(SCAN!K322&lt;&gt;"-",SCAN!E322,0)</f>
        <v>0</v>
      </c>
      <c r="O322" s="55">
        <f>IF(SCAN!K322&lt;&gt;"-",SCAN!F322,0)</f>
        <v>0</v>
      </c>
      <c r="R322" s="53">
        <f>IF(SCAN!Q322&lt;&gt;"-",SCAN!D322,0)</f>
        <v>0</v>
      </c>
      <c r="S322" s="53">
        <f>IF(SCAN!Q322&lt;&gt;"-",SCAN!E322,0)</f>
        <v>0</v>
      </c>
      <c r="T322" s="53">
        <f>IF(SCAN!Q322&lt;&gt;"-",SCAN!F322,0)</f>
        <v>0</v>
      </c>
    </row>
    <row r="323" spans="8:20" x14ac:dyDescent="0.25">
      <c r="H323" s="50">
        <f>IF(AND(SCAN!K323="-",SCAN!Q323="-"),SCAN!D323,0)</f>
        <v>0</v>
      </c>
      <c r="I323" s="50">
        <f>IF(AND(SCAN!K323="-",SCAN!Q323="-"),SCAN!E323,0)</f>
        <v>0</v>
      </c>
      <c r="J323" s="50">
        <f>IF(AND(SCAN!K323="-",SCAN!Q323="-"),SCAN!F323,0)</f>
        <v>0</v>
      </c>
      <c r="M323" s="55">
        <f>IF(SCAN!K323&lt;&gt;"-",SCAN!D323,0)</f>
        <v>0</v>
      </c>
      <c r="N323" s="55">
        <f>IF(SCAN!K323&lt;&gt;"-",SCAN!E323,0)</f>
        <v>0</v>
      </c>
      <c r="O323" s="55">
        <f>IF(SCAN!K323&lt;&gt;"-",SCAN!F323,0)</f>
        <v>0</v>
      </c>
      <c r="R323" s="53">
        <f>IF(SCAN!Q323&lt;&gt;"-",SCAN!D323,0)</f>
        <v>0</v>
      </c>
      <c r="S323" s="53">
        <f>IF(SCAN!Q323&lt;&gt;"-",SCAN!E323,0)</f>
        <v>0</v>
      </c>
      <c r="T323" s="53">
        <f>IF(SCAN!Q323&lt;&gt;"-",SCAN!F323,0)</f>
        <v>0</v>
      </c>
    </row>
    <row r="324" spans="8:20" x14ac:dyDescent="0.25">
      <c r="H324" s="50">
        <f>IF(AND(SCAN!K324="-",SCAN!Q324="-"),SCAN!D324,0)</f>
        <v>0</v>
      </c>
      <c r="I324" s="50">
        <f>IF(AND(SCAN!K324="-",SCAN!Q324="-"),SCAN!E324,0)</f>
        <v>0</v>
      </c>
      <c r="J324" s="50">
        <f>IF(AND(SCAN!K324="-",SCAN!Q324="-"),SCAN!F324,0)</f>
        <v>0</v>
      </c>
      <c r="M324" s="55">
        <f>IF(SCAN!K324&lt;&gt;"-",SCAN!D324,0)</f>
        <v>0</v>
      </c>
      <c r="N324" s="55">
        <f>IF(SCAN!K324&lt;&gt;"-",SCAN!E324,0)</f>
        <v>0</v>
      </c>
      <c r="O324" s="55">
        <f>IF(SCAN!K324&lt;&gt;"-",SCAN!F324,0)</f>
        <v>0</v>
      </c>
      <c r="R324" s="53">
        <f>IF(SCAN!Q324&lt;&gt;"-",SCAN!D324,0)</f>
        <v>0</v>
      </c>
      <c r="S324" s="53">
        <f>IF(SCAN!Q324&lt;&gt;"-",SCAN!E324,0)</f>
        <v>0</v>
      </c>
      <c r="T324" s="53">
        <f>IF(SCAN!Q324&lt;&gt;"-",SCAN!F324,0)</f>
        <v>0</v>
      </c>
    </row>
    <row r="325" spans="8:20" x14ac:dyDescent="0.25">
      <c r="H325" s="50">
        <f>IF(AND(SCAN!K325="-",SCAN!Q325="-"),SCAN!D325,0)</f>
        <v>0</v>
      </c>
      <c r="I325" s="50">
        <f>IF(AND(SCAN!K325="-",SCAN!Q325="-"),SCAN!E325,0)</f>
        <v>0</v>
      </c>
      <c r="J325" s="50">
        <f>IF(AND(SCAN!K325="-",SCAN!Q325="-"),SCAN!F325,0)</f>
        <v>0</v>
      </c>
      <c r="M325" s="55">
        <f>IF(SCAN!K325&lt;&gt;"-",SCAN!D325,0)</f>
        <v>0</v>
      </c>
      <c r="N325" s="55">
        <f>IF(SCAN!K325&lt;&gt;"-",SCAN!E325,0)</f>
        <v>0</v>
      </c>
      <c r="O325" s="55">
        <f>IF(SCAN!K325&lt;&gt;"-",SCAN!F325,0)</f>
        <v>0</v>
      </c>
      <c r="R325" s="53">
        <f>IF(SCAN!Q325&lt;&gt;"-",SCAN!D325,0)</f>
        <v>0</v>
      </c>
      <c r="S325" s="53">
        <f>IF(SCAN!Q325&lt;&gt;"-",SCAN!E325,0)</f>
        <v>0</v>
      </c>
      <c r="T325" s="53">
        <f>IF(SCAN!Q325&lt;&gt;"-",SCAN!F325,0)</f>
        <v>0</v>
      </c>
    </row>
    <row r="326" spans="8:20" x14ac:dyDescent="0.25">
      <c r="H326" s="50">
        <f>IF(AND(SCAN!K326="-",SCAN!Q326="-"),SCAN!D326,0)</f>
        <v>0</v>
      </c>
      <c r="I326" s="50">
        <f>IF(AND(SCAN!K326="-",SCAN!Q326="-"),SCAN!E326,0)</f>
        <v>0</v>
      </c>
      <c r="J326" s="50">
        <f>IF(AND(SCAN!K326="-",SCAN!Q326="-"),SCAN!F326,0)</f>
        <v>0</v>
      </c>
      <c r="M326" s="55">
        <f>IF(SCAN!K326&lt;&gt;"-",SCAN!D326,0)</f>
        <v>0</v>
      </c>
      <c r="N326" s="55">
        <f>IF(SCAN!K326&lt;&gt;"-",SCAN!E326,0)</f>
        <v>0</v>
      </c>
      <c r="O326" s="55">
        <f>IF(SCAN!K326&lt;&gt;"-",SCAN!F326,0)</f>
        <v>0</v>
      </c>
      <c r="R326" s="53">
        <f>IF(SCAN!Q326&lt;&gt;"-",SCAN!D326,0)</f>
        <v>0</v>
      </c>
      <c r="S326" s="53">
        <f>IF(SCAN!Q326&lt;&gt;"-",SCAN!E326,0)</f>
        <v>0</v>
      </c>
      <c r="T326" s="53">
        <f>IF(SCAN!Q326&lt;&gt;"-",SCAN!F326,0)</f>
        <v>0</v>
      </c>
    </row>
    <row r="327" spans="8:20" x14ac:dyDescent="0.25">
      <c r="H327" s="50">
        <f>IF(AND(SCAN!K327="-",SCAN!Q327="-"),SCAN!D327,0)</f>
        <v>0</v>
      </c>
      <c r="I327" s="50">
        <f>IF(AND(SCAN!K327="-",SCAN!Q327="-"),SCAN!E327,0)</f>
        <v>0</v>
      </c>
      <c r="J327" s="50">
        <f>IF(AND(SCAN!K327="-",SCAN!Q327="-"),SCAN!F327,0)</f>
        <v>0</v>
      </c>
      <c r="M327" s="55">
        <f>IF(SCAN!K327&lt;&gt;"-",SCAN!D327,0)</f>
        <v>0</v>
      </c>
      <c r="N327" s="55">
        <f>IF(SCAN!K327&lt;&gt;"-",SCAN!E327,0)</f>
        <v>0</v>
      </c>
      <c r="O327" s="55">
        <f>IF(SCAN!K327&lt;&gt;"-",SCAN!F327,0)</f>
        <v>0</v>
      </c>
      <c r="R327" s="53">
        <f>IF(SCAN!Q327&lt;&gt;"-",SCAN!D327,0)</f>
        <v>0</v>
      </c>
      <c r="S327" s="53">
        <f>IF(SCAN!Q327&lt;&gt;"-",SCAN!E327,0)</f>
        <v>0</v>
      </c>
      <c r="T327" s="53">
        <f>IF(SCAN!Q327&lt;&gt;"-",SCAN!F327,0)</f>
        <v>0</v>
      </c>
    </row>
    <row r="328" spans="8:20" x14ac:dyDescent="0.25">
      <c r="H328" s="50">
        <f>IF(AND(SCAN!K328="-",SCAN!Q328="-"),SCAN!D328,0)</f>
        <v>0</v>
      </c>
      <c r="I328" s="50">
        <f>IF(AND(SCAN!K328="-",SCAN!Q328="-"),SCAN!E328,0)</f>
        <v>0</v>
      </c>
      <c r="J328" s="50">
        <f>IF(AND(SCAN!K328="-",SCAN!Q328="-"),SCAN!F328,0)</f>
        <v>0</v>
      </c>
      <c r="M328" s="55">
        <f>IF(SCAN!K328&lt;&gt;"-",SCAN!D328,0)</f>
        <v>0</v>
      </c>
      <c r="N328" s="55">
        <f>IF(SCAN!K328&lt;&gt;"-",SCAN!E328,0)</f>
        <v>0</v>
      </c>
      <c r="O328" s="55">
        <f>IF(SCAN!K328&lt;&gt;"-",SCAN!F328,0)</f>
        <v>0</v>
      </c>
      <c r="R328" s="53">
        <f>IF(SCAN!Q328&lt;&gt;"-",SCAN!D328,0)</f>
        <v>0</v>
      </c>
      <c r="S328" s="53">
        <f>IF(SCAN!Q328&lt;&gt;"-",SCAN!E328,0)</f>
        <v>0</v>
      </c>
      <c r="T328" s="53">
        <f>IF(SCAN!Q328&lt;&gt;"-",SCAN!F328,0)</f>
        <v>0</v>
      </c>
    </row>
    <row r="329" spans="8:20" x14ac:dyDescent="0.25">
      <c r="H329" s="50">
        <f>IF(AND(SCAN!K329="-",SCAN!Q329="-"),SCAN!D329,0)</f>
        <v>0</v>
      </c>
      <c r="I329" s="50">
        <f>IF(AND(SCAN!K329="-",SCAN!Q329="-"),SCAN!E329,0)</f>
        <v>0</v>
      </c>
      <c r="J329" s="50">
        <f>IF(AND(SCAN!K329="-",SCAN!Q329="-"),SCAN!F329,0)</f>
        <v>0</v>
      </c>
      <c r="M329" s="55">
        <f>IF(SCAN!K329&lt;&gt;"-",SCAN!D329,0)</f>
        <v>0</v>
      </c>
      <c r="N329" s="55">
        <f>IF(SCAN!K329&lt;&gt;"-",SCAN!E329,0)</f>
        <v>0</v>
      </c>
      <c r="O329" s="55">
        <f>IF(SCAN!K329&lt;&gt;"-",SCAN!F329,0)</f>
        <v>0</v>
      </c>
      <c r="R329" s="53">
        <f>IF(SCAN!Q329&lt;&gt;"-",SCAN!D329,0)</f>
        <v>0</v>
      </c>
      <c r="S329" s="53">
        <f>IF(SCAN!Q329&lt;&gt;"-",SCAN!E329,0)</f>
        <v>0</v>
      </c>
      <c r="T329" s="53">
        <f>IF(SCAN!Q329&lt;&gt;"-",SCAN!F329,0)</f>
        <v>0</v>
      </c>
    </row>
    <row r="330" spans="8:20" x14ac:dyDescent="0.25">
      <c r="H330" s="50">
        <f>IF(AND(SCAN!K330="-",SCAN!Q330="-"),SCAN!D330,0)</f>
        <v>0</v>
      </c>
      <c r="I330" s="50">
        <f>IF(AND(SCAN!K330="-",SCAN!Q330="-"),SCAN!E330,0)</f>
        <v>0</v>
      </c>
      <c r="J330" s="50">
        <f>IF(AND(SCAN!K330="-",SCAN!Q330="-"),SCAN!F330,0)</f>
        <v>0</v>
      </c>
      <c r="M330" s="55">
        <f>IF(SCAN!K330&lt;&gt;"-",SCAN!D330,0)</f>
        <v>0</v>
      </c>
      <c r="N330" s="55">
        <f>IF(SCAN!K330&lt;&gt;"-",SCAN!E330,0)</f>
        <v>0</v>
      </c>
      <c r="O330" s="55">
        <f>IF(SCAN!K330&lt;&gt;"-",SCAN!F330,0)</f>
        <v>0</v>
      </c>
      <c r="R330" s="53">
        <f>IF(SCAN!Q330&lt;&gt;"-",SCAN!D330,0)</f>
        <v>0</v>
      </c>
      <c r="S330" s="53">
        <f>IF(SCAN!Q330&lt;&gt;"-",SCAN!E330,0)</f>
        <v>0</v>
      </c>
      <c r="T330" s="53">
        <f>IF(SCAN!Q330&lt;&gt;"-",SCAN!F330,0)</f>
        <v>0</v>
      </c>
    </row>
    <row r="331" spans="8:20" x14ac:dyDescent="0.25">
      <c r="H331" s="50">
        <f>IF(AND(SCAN!K331="-",SCAN!Q331="-"),SCAN!D331,0)</f>
        <v>0</v>
      </c>
      <c r="I331" s="50">
        <f>IF(AND(SCAN!K331="-",SCAN!Q331="-"),SCAN!E331,0)</f>
        <v>0</v>
      </c>
      <c r="J331" s="50">
        <f>IF(AND(SCAN!K331="-",SCAN!Q331="-"),SCAN!F331,0)</f>
        <v>0</v>
      </c>
      <c r="M331" s="55">
        <f>IF(SCAN!K331&lt;&gt;"-",SCAN!D331,0)</f>
        <v>0</v>
      </c>
      <c r="N331" s="55">
        <f>IF(SCAN!K331&lt;&gt;"-",SCAN!E331,0)</f>
        <v>0</v>
      </c>
      <c r="O331" s="55">
        <f>IF(SCAN!K331&lt;&gt;"-",SCAN!F331,0)</f>
        <v>0</v>
      </c>
      <c r="R331" s="53">
        <f>IF(SCAN!Q331&lt;&gt;"-",SCAN!D331,0)</f>
        <v>0</v>
      </c>
      <c r="S331" s="53">
        <f>IF(SCAN!Q331&lt;&gt;"-",SCAN!E331,0)</f>
        <v>0</v>
      </c>
      <c r="T331" s="53">
        <f>IF(SCAN!Q331&lt;&gt;"-",SCAN!F331,0)</f>
        <v>0</v>
      </c>
    </row>
    <row r="332" spans="8:20" x14ac:dyDescent="0.25">
      <c r="H332" s="50">
        <f>IF(AND(SCAN!K332="-",SCAN!Q332="-"),SCAN!D332,0)</f>
        <v>0</v>
      </c>
      <c r="I332" s="50">
        <f>IF(AND(SCAN!K332="-",SCAN!Q332="-"),SCAN!E332,0)</f>
        <v>0</v>
      </c>
      <c r="J332" s="50">
        <f>IF(AND(SCAN!K332="-",SCAN!Q332="-"),SCAN!F332,0)</f>
        <v>0</v>
      </c>
      <c r="M332" s="55">
        <f>IF(SCAN!K332&lt;&gt;"-",SCAN!D332,0)</f>
        <v>0</v>
      </c>
      <c r="N332" s="55">
        <f>IF(SCAN!K332&lt;&gt;"-",SCAN!E332,0)</f>
        <v>0</v>
      </c>
      <c r="O332" s="55">
        <f>IF(SCAN!K332&lt;&gt;"-",SCAN!F332,0)</f>
        <v>0</v>
      </c>
      <c r="R332" s="53">
        <f>IF(SCAN!Q332&lt;&gt;"-",SCAN!D332,0)</f>
        <v>0</v>
      </c>
      <c r="S332" s="53">
        <f>IF(SCAN!Q332&lt;&gt;"-",SCAN!E332,0)</f>
        <v>0</v>
      </c>
      <c r="T332" s="53">
        <f>IF(SCAN!Q332&lt;&gt;"-",SCAN!F332,0)</f>
        <v>0</v>
      </c>
    </row>
    <row r="333" spans="8:20" x14ac:dyDescent="0.25">
      <c r="H333" s="50">
        <f>IF(AND(SCAN!K333="-",SCAN!Q333="-"),SCAN!D333,0)</f>
        <v>0</v>
      </c>
      <c r="I333" s="50">
        <f>IF(AND(SCAN!K333="-",SCAN!Q333="-"),SCAN!E333,0)</f>
        <v>0</v>
      </c>
      <c r="J333" s="50">
        <f>IF(AND(SCAN!K333="-",SCAN!Q333="-"),SCAN!F333,0)</f>
        <v>0</v>
      </c>
      <c r="M333" s="55">
        <f>IF(SCAN!K333&lt;&gt;"-",SCAN!D333,0)</f>
        <v>0</v>
      </c>
      <c r="N333" s="55">
        <f>IF(SCAN!K333&lt;&gt;"-",SCAN!E333,0)</f>
        <v>0</v>
      </c>
      <c r="O333" s="55">
        <f>IF(SCAN!K333&lt;&gt;"-",SCAN!F333,0)</f>
        <v>0</v>
      </c>
      <c r="R333" s="53">
        <f>IF(SCAN!Q333&lt;&gt;"-",SCAN!D333,0)</f>
        <v>0</v>
      </c>
      <c r="S333" s="53">
        <f>IF(SCAN!Q333&lt;&gt;"-",SCAN!E333,0)</f>
        <v>0</v>
      </c>
      <c r="T333" s="53">
        <f>IF(SCAN!Q333&lt;&gt;"-",SCAN!F333,0)</f>
        <v>0</v>
      </c>
    </row>
    <row r="334" spans="8:20" x14ac:dyDescent="0.25">
      <c r="H334" s="50">
        <f>IF(AND(SCAN!K334="-",SCAN!Q334="-"),SCAN!D334,0)</f>
        <v>0</v>
      </c>
      <c r="I334" s="50">
        <f>IF(AND(SCAN!K334="-",SCAN!Q334="-"),SCAN!E334,0)</f>
        <v>0</v>
      </c>
      <c r="J334" s="50">
        <f>IF(AND(SCAN!K334="-",SCAN!Q334="-"),SCAN!F334,0)</f>
        <v>0</v>
      </c>
      <c r="M334" s="55">
        <f>IF(SCAN!K334&lt;&gt;"-",SCAN!D334,0)</f>
        <v>0</v>
      </c>
      <c r="N334" s="55">
        <f>IF(SCAN!K334&lt;&gt;"-",SCAN!E334,0)</f>
        <v>0</v>
      </c>
      <c r="O334" s="55">
        <f>IF(SCAN!K334&lt;&gt;"-",SCAN!F334,0)</f>
        <v>0</v>
      </c>
      <c r="R334" s="53">
        <f>IF(SCAN!Q334&lt;&gt;"-",SCAN!D334,0)</f>
        <v>0</v>
      </c>
      <c r="S334" s="53">
        <f>IF(SCAN!Q334&lt;&gt;"-",SCAN!E334,0)</f>
        <v>0</v>
      </c>
      <c r="T334" s="53">
        <f>IF(SCAN!Q334&lt;&gt;"-",SCAN!F334,0)</f>
        <v>0</v>
      </c>
    </row>
    <row r="335" spans="8:20" x14ac:dyDescent="0.25">
      <c r="H335" s="50">
        <f>IF(AND(SCAN!K335="-",SCAN!Q335="-"),SCAN!D335,0)</f>
        <v>0</v>
      </c>
      <c r="I335" s="50">
        <f>IF(AND(SCAN!K335="-",SCAN!Q335="-"),SCAN!E335,0)</f>
        <v>0</v>
      </c>
      <c r="J335" s="50">
        <f>IF(AND(SCAN!K335="-",SCAN!Q335="-"),SCAN!F335,0)</f>
        <v>0</v>
      </c>
      <c r="M335" s="55">
        <f>IF(SCAN!K335&lt;&gt;"-",SCAN!D335,0)</f>
        <v>0</v>
      </c>
      <c r="N335" s="55">
        <f>IF(SCAN!K335&lt;&gt;"-",SCAN!E335,0)</f>
        <v>0</v>
      </c>
      <c r="O335" s="55">
        <f>IF(SCAN!K335&lt;&gt;"-",SCAN!F335,0)</f>
        <v>0</v>
      </c>
      <c r="R335" s="53">
        <f>IF(SCAN!Q335&lt;&gt;"-",SCAN!D335,0)</f>
        <v>0</v>
      </c>
      <c r="S335" s="53">
        <f>IF(SCAN!Q335&lt;&gt;"-",SCAN!E335,0)</f>
        <v>0</v>
      </c>
      <c r="T335" s="53">
        <f>IF(SCAN!Q335&lt;&gt;"-",SCAN!F335,0)</f>
        <v>0</v>
      </c>
    </row>
    <row r="336" spans="8:20" x14ac:dyDescent="0.25">
      <c r="H336" s="50">
        <f>IF(AND(SCAN!K336="-",SCAN!Q336="-"),SCAN!D336,0)</f>
        <v>0</v>
      </c>
      <c r="I336" s="50">
        <f>IF(AND(SCAN!K336="-",SCAN!Q336="-"),SCAN!E336,0)</f>
        <v>0</v>
      </c>
      <c r="J336" s="50">
        <f>IF(AND(SCAN!K336="-",SCAN!Q336="-"),SCAN!F336,0)</f>
        <v>0</v>
      </c>
      <c r="M336" s="55">
        <f>IF(SCAN!K336&lt;&gt;"-",SCAN!D336,0)</f>
        <v>0</v>
      </c>
      <c r="N336" s="55">
        <f>IF(SCAN!K336&lt;&gt;"-",SCAN!E336,0)</f>
        <v>0</v>
      </c>
      <c r="O336" s="55">
        <f>IF(SCAN!K336&lt;&gt;"-",SCAN!F336,0)</f>
        <v>0</v>
      </c>
      <c r="R336" s="53">
        <f>IF(SCAN!Q336&lt;&gt;"-",SCAN!D336,0)</f>
        <v>0</v>
      </c>
      <c r="S336" s="53">
        <f>IF(SCAN!Q336&lt;&gt;"-",SCAN!E336,0)</f>
        <v>0</v>
      </c>
      <c r="T336" s="53">
        <f>IF(SCAN!Q336&lt;&gt;"-",SCAN!F336,0)</f>
        <v>0</v>
      </c>
    </row>
    <row r="337" spans="8:20" x14ac:dyDescent="0.25">
      <c r="H337" s="50">
        <f>IF(AND(SCAN!K337="-",SCAN!Q337="-"),SCAN!D337,0)</f>
        <v>0</v>
      </c>
      <c r="I337" s="50">
        <f>IF(AND(SCAN!K337="-",SCAN!Q337="-"),SCAN!E337,0)</f>
        <v>0</v>
      </c>
      <c r="J337" s="50">
        <f>IF(AND(SCAN!K337="-",SCAN!Q337="-"),SCAN!F337,0)</f>
        <v>0</v>
      </c>
      <c r="M337" s="55">
        <f>IF(SCAN!K337&lt;&gt;"-",SCAN!D337,0)</f>
        <v>0</v>
      </c>
      <c r="N337" s="55">
        <f>IF(SCAN!K337&lt;&gt;"-",SCAN!E337,0)</f>
        <v>0</v>
      </c>
      <c r="O337" s="55">
        <f>IF(SCAN!K337&lt;&gt;"-",SCAN!F337,0)</f>
        <v>0</v>
      </c>
      <c r="R337" s="53">
        <f>IF(SCAN!Q337&lt;&gt;"-",SCAN!D337,0)</f>
        <v>0</v>
      </c>
      <c r="S337" s="53">
        <f>IF(SCAN!Q337&lt;&gt;"-",SCAN!E337,0)</f>
        <v>0</v>
      </c>
      <c r="T337" s="53">
        <f>IF(SCAN!Q337&lt;&gt;"-",SCAN!F337,0)</f>
        <v>0</v>
      </c>
    </row>
    <row r="338" spans="8:20" x14ac:dyDescent="0.25">
      <c r="H338" s="50">
        <f>IF(AND(SCAN!K338="-",SCAN!Q338="-"),SCAN!D338,0)</f>
        <v>0</v>
      </c>
      <c r="I338" s="50">
        <f>IF(AND(SCAN!K338="-",SCAN!Q338="-"),SCAN!E338,0)</f>
        <v>0</v>
      </c>
      <c r="J338" s="50">
        <f>IF(AND(SCAN!K338="-",SCAN!Q338="-"),SCAN!F338,0)</f>
        <v>0</v>
      </c>
      <c r="M338" s="55">
        <f>IF(SCAN!K338&lt;&gt;"-",SCAN!D338,0)</f>
        <v>0</v>
      </c>
      <c r="N338" s="55">
        <f>IF(SCAN!K338&lt;&gt;"-",SCAN!E338,0)</f>
        <v>0</v>
      </c>
      <c r="O338" s="55">
        <f>IF(SCAN!K338&lt;&gt;"-",SCAN!F338,0)</f>
        <v>0</v>
      </c>
      <c r="R338" s="53">
        <f>IF(SCAN!Q338&lt;&gt;"-",SCAN!D338,0)</f>
        <v>0</v>
      </c>
      <c r="S338" s="53">
        <f>IF(SCAN!Q338&lt;&gt;"-",SCAN!E338,0)</f>
        <v>0</v>
      </c>
      <c r="T338" s="53">
        <f>IF(SCAN!Q338&lt;&gt;"-",SCAN!F338,0)</f>
        <v>0</v>
      </c>
    </row>
    <row r="339" spans="8:20" x14ac:dyDescent="0.25">
      <c r="H339" s="50">
        <f>IF(AND(SCAN!K339="-",SCAN!Q339="-"),SCAN!D339,0)</f>
        <v>0</v>
      </c>
      <c r="I339" s="50">
        <f>IF(AND(SCAN!K339="-",SCAN!Q339="-"),SCAN!E339,0)</f>
        <v>0</v>
      </c>
      <c r="J339" s="50">
        <f>IF(AND(SCAN!K339="-",SCAN!Q339="-"),SCAN!F339,0)</f>
        <v>0</v>
      </c>
      <c r="M339" s="55">
        <f>IF(SCAN!K339&lt;&gt;"-",SCAN!D339,0)</f>
        <v>0</v>
      </c>
      <c r="N339" s="55">
        <f>IF(SCAN!K339&lt;&gt;"-",SCAN!E339,0)</f>
        <v>0</v>
      </c>
      <c r="O339" s="55">
        <f>IF(SCAN!K339&lt;&gt;"-",SCAN!F339,0)</f>
        <v>0</v>
      </c>
      <c r="R339" s="53">
        <f>IF(SCAN!Q339&lt;&gt;"-",SCAN!D339,0)</f>
        <v>0</v>
      </c>
      <c r="S339" s="53">
        <f>IF(SCAN!Q339&lt;&gt;"-",SCAN!E339,0)</f>
        <v>0</v>
      </c>
      <c r="T339" s="53">
        <f>IF(SCAN!Q339&lt;&gt;"-",SCAN!F339,0)</f>
        <v>0</v>
      </c>
    </row>
    <row r="340" spans="8:20" x14ac:dyDescent="0.25">
      <c r="H340" s="50">
        <f>IF(AND(SCAN!K340="-",SCAN!Q340="-"),SCAN!D340,0)</f>
        <v>0</v>
      </c>
      <c r="I340" s="50">
        <f>IF(AND(SCAN!K340="-",SCAN!Q340="-"),SCAN!E340,0)</f>
        <v>0</v>
      </c>
      <c r="J340" s="50">
        <f>IF(AND(SCAN!K340="-",SCAN!Q340="-"),SCAN!F340,0)</f>
        <v>0</v>
      </c>
      <c r="M340" s="55">
        <f>IF(SCAN!K340&lt;&gt;"-",SCAN!D340,0)</f>
        <v>0</v>
      </c>
      <c r="N340" s="55">
        <f>IF(SCAN!K340&lt;&gt;"-",SCAN!E340,0)</f>
        <v>0</v>
      </c>
      <c r="O340" s="55">
        <f>IF(SCAN!K340&lt;&gt;"-",SCAN!F340,0)</f>
        <v>0</v>
      </c>
      <c r="R340" s="53">
        <f>IF(SCAN!Q340&lt;&gt;"-",SCAN!D340,0)</f>
        <v>0</v>
      </c>
      <c r="S340" s="53">
        <f>IF(SCAN!Q340&lt;&gt;"-",SCAN!E340,0)</f>
        <v>0</v>
      </c>
      <c r="T340" s="53">
        <f>IF(SCAN!Q340&lt;&gt;"-",SCAN!F340,0)</f>
        <v>0</v>
      </c>
    </row>
    <row r="341" spans="8:20" x14ac:dyDescent="0.25">
      <c r="H341" s="50">
        <f>IF(AND(SCAN!K341="-",SCAN!Q341="-"),SCAN!D341,0)</f>
        <v>0</v>
      </c>
      <c r="I341" s="50">
        <f>IF(AND(SCAN!K341="-",SCAN!Q341="-"),SCAN!E341,0)</f>
        <v>0</v>
      </c>
      <c r="J341" s="50">
        <f>IF(AND(SCAN!K341="-",SCAN!Q341="-"),SCAN!F341,0)</f>
        <v>0</v>
      </c>
      <c r="M341" s="55">
        <f>IF(SCAN!K341&lt;&gt;"-",SCAN!D341,0)</f>
        <v>0</v>
      </c>
      <c r="N341" s="55">
        <f>IF(SCAN!K341&lt;&gt;"-",SCAN!E341,0)</f>
        <v>0</v>
      </c>
      <c r="O341" s="55">
        <f>IF(SCAN!K341&lt;&gt;"-",SCAN!F341,0)</f>
        <v>0</v>
      </c>
      <c r="R341" s="53">
        <f>IF(SCAN!Q341&lt;&gt;"-",SCAN!D341,0)</f>
        <v>0</v>
      </c>
      <c r="S341" s="53">
        <f>IF(SCAN!Q341&lt;&gt;"-",SCAN!E341,0)</f>
        <v>0</v>
      </c>
      <c r="T341" s="53">
        <f>IF(SCAN!Q341&lt;&gt;"-",SCAN!F341,0)</f>
        <v>0</v>
      </c>
    </row>
    <row r="342" spans="8:20" x14ac:dyDescent="0.25">
      <c r="H342" s="50">
        <f>IF(AND(SCAN!K342="-",SCAN!Q342="-"),SCAN!D342,0)</f>
        <v>0</v>
      </c>
      <c r="I342" s="50">
        <f>IF(AND(SCAN!K342="-",SCAN!Q342="-"),SCAN!E342,0)</f>
        <v>0</v>
      </c>
      <c r="J342" s="50">
        <f>IF(AND(SCAN!K342="-",SCAN!Q342="-"),SCAN!F342,0)</f>
        <v>0</v>
      </c>
      <c r="M342" s="55">
        <f>IF(SCAN!K342&lt;&gt;"-",SCAN!D342,0)</f>
        <v>0</v>
      </c>
      <c r="N342" s="55">
        <f>IF(SCAN!K342&lt;&gt;"-",SCAN!E342,0)</f>
        <v>0</v>
      </c>
      <c r="O342" s="55">
        <f>IF(SCAN!K342&lt;&gt;"-",SCAN!F342,0)</f>
        <v>0</v>
      </c>
      <c r="R342" s="53">
        <f>IF(SCAN!Q342&lt;&gt;"-",SCAN!D342,0)</f>
        <v>0</v>
      </c>
      <c r="S342" s="53">
        <f>IF(SCAN!Q342&lt;&gt;"-",SCAN!E342,0)</f>
        <v>0</v>
      </c>
      <c r="T342" s="53">
        <f>IF(SCAN!Q342&lt;&gt;"-",SCAN!F342,0)</f>
        <v>0</v>
      </c>
    </row>
    <row r="343" spans="8:20" x14ac:dyDescent="0.25">
      <c r="H343" s="50">
        <f>IF(AND(SCAN!K343="-",SCAN!Q343="-"),SCAN!D343,0)</f>
        <v>0</v>
      </c>
      <c r="I343" s="50">
        <f>IF(AND(SCAN!K343="-",SCAN!Q343="-"),SCAN!E343,0)</f>
        <v>0</v>
      </c>
      <c r="J343" s="50">
        <f>IF(AND(SCAN!K343="-",SCAN!Q343="-"),SCAN!F343,0)</f>
        <v>0</v>
      </c>
      <c r="M343" s="55">
        <f>IF(SCAN!K343&lt;&gt;"-",SCAN!D343,0)</f>
        <v>0</v>
      </c>
      <c r="N343" s="55">
        <f>IF(SCAN!K343&lt;&gt;"-",SCAN!E343,0)</f>
        <v>0</v>
      </c>
      <c r="O343" s="55">
        <f>IF(SCAN!K343&lt;&gt;"-",SCAN!F343,0)</f>
        <v>0</v>
      </c>
      <c r="R343" s="53">
        <f>IF(SCAN!Q343&lt;&gt;"-",SCAN!D343,0)</f>
        <v>0</v>
      </c>
      <c r="S343" s="53">
        <f>IF(SCAN!Q343&lt;&gt;"-",SCAN!E343,0)</f>
        <v>0</v>
      </c>
      <c r="T343" s="53">
        <f>IF(SCAN!Q343&lt;&gt;"-",SCAN!F343,0)</f>
        <v>0</v>
      </c>
    </row>
    <row r="344" spans="8:20" x14ac:dyDescent="0.25">
      <c r="H344" s="50">
        <f>IF(AND(SCAN!K344="-",SCAN!Q344="-"),SCAN!D344,0)</f>
        <v>0</v>
      </c>
      <c r="I344" s="50">
        <f>IF(AND(SCAN!K344="-",SCAN!Q344="-"),SCAN!E344,0)</f>
        <v>0</v>
      </c>
      <c r="J344" s="50">
        <f>IF(AND(SCAN!K344="-",SCAN!Q344="-"),SCAN!F344,0)</f>
        <v>0</v>
      </c>
      <c r="M344" s="55">
        <f>IF(SCAN!K344&lt;&gt;"-",SCAN!D344,0)</f>
        <v>0</v>
      </c>
      <c r="N344" s="55">
        <f>IF(SCAN!K344&lt;&gt;"-",SCAN!E344,0)</f>
        <v>0</v>
      </c>
      <c r="O344" s="55">
        <f>IF(SCAN!K344&lt;&gt;"-",SCAN!F344,0)</f>
        <v>0</v>
      </c>
      <c r="R344" s="53">
        <f>IF(SCAN!Q344&lt;&gt;"-",SCAN!D344,0)</f>
        <v>0</v>
      </c>
      <c r="S344" s="53">
        <f>IF(SCAN!Q344&lt;&gt;"-",SCAN!E344,0)</f>
        <v>0</v>
      </c>
      <c r="T344" s="53">
        <f>IF(SCAN!Q344&lt;&gt;"-",SCAN!F344,0)</f>
        <v>0</v>
      </c>
    </row>
    <row r="345" spans="8:20" x14ac:dyDescent="0.25">
      <c r="H345" s="50">
        <f>IF(AND(SCAN!K345="-",SCAN!Q345="-"),SCAN!D345,0)</f>
        <v>0</v>
      </c>
      <c r="I345" s="50">
        <f>IF(AND(SCAN!K345="-",SCAN!Q345="-"),SCAN!E345,0)</f>
        <v>0</v>
      </c>
      <c r="J345" s="50">
        <f>IF(AND(SCAN!K345="-",SCAN!Q345="-"),SCAN!F345,0)</f>
        <v>0</v>
      </c>
      <c r="M345" s="55">
        <f>IF(SCAN!K345&lt;&gt;"-",SCAN!D345,0)</f>
        <v>0</v>
      </c>
      <c r="N345" s="55">
        <f>IF(SCAN!K345&lt;&gt;"-",SCAN!E345,0)</f>
        <v>0</v>
      </c>
      <c r="O345" s="55">
        <f>IF(SCAN!K345&lt;&gt;"-",SCAN!F345,0)</f>
        <v>0</v>
      </c>
      <c r="R345" s="53">
        <f>IF(SCAN!Q345&lt;&gt;"-",SCAN!D345,0)</f>
        <v>0</v>
      </c>
      <c r="S345" s="53">
        <f>IF(SCAN!Q345&lt;&gt;"-",SCAN!E345,0)</f>
        <v>0</v>
      </c>
      <c r="T345" s="53">
        <f>IF(SCAN!Q345&lt;&gt;"-",SCAN!F345,0)</f>
        <v>0</v>
      </c>
    </row>
    <row r="346" spans="8:20" x14ac:dyDescent="0.25">
      <c r="H346" s="50">
        <f>IF(AND(SCAN!K346="-",SCAN!Q346="-"),SCAN!D346,0)</f>
        <v>0</v>
      </c>
      <c r="I346" s="50">
        <f>IF(AND(SCAN!K346="-",SCAN!Q346="-"),SCAN!E346,0)</f>
        <v>0</v>
      </c>
      <c r="J346" s="50">
        <f>IF(AND(SCAN!K346="-",SCAN!Q346="-"),SCAN!F346,0)</f>
        <v>0</v>
      </c>
      <c r="M346" s="55">
        <f>IF(SCAN!K346&lt;&gt;"-",SCAN!D346,0)</f>
        <v>0</v>
      </c>
      <c r="N346" s="55">
        <f>IF(SCAN!K346&lt;&gt;"-",SCAN!E346,0)</f>
        <v>0</v>
      </c>
      <c r="O346" s="55">
        <f>IF(SCAN!K346&lt;&gt;"-",SCAN!F346,0)</f>
        <v>0</v>
      </c>
      <c r="R346" s="53">
        <f>IF(SCAN!Q346&lt;&gt;"-",SCAN!D346,0)</f>
        <v>0</v>
      </c>
      <c r="S346" s="53">
        <f>IF(SCAN!Q346&lt;&gt;"-",SCAN!E346,0)</f>
        <v>0</v>
      </c>
      <c r="T346" s="53">
        <f>IF(SCAN!Q346&lt;&gt;"-",SCAN!F346,0)</f>
        <v>0</v>
      </c>
    </row>
    <row r="347" spans="8:20" x14ac:dyDescent="0.25">
      <c r="H347" s="50">
        <f>IF(AND(SCAN!K347="-",SCAN!Q347="-"),SCAN!D347,0)</f>
        <v>0</v>
      </c>
      <c r="I347" s="50">
        <f>IF(AND(SCAN!K347="-",SCAN!Q347="-"),SCAN!E347,0)</f>
        <v>0</v>
      </c>
      <c r="J347" s="50">
        <f>IF(AND(SCAN!K347="-",SCAN!Q347="-"),SCAN!F347,0)</f>
        <v>0</v>
      </c>
      <c r="M347" s="55">
        <f>IF(SCAN!K347&lt;&gt;"-",SCAN!D347,0)</f>
        <v>0</v>
      </c>
      <c r="N347" s="55">
        <f>IF(SCAN!K347&lt;&gt;"-",SCAN!E347,0)</f>
        <v>0</v>
      </c>
      <c r="O347" s="55">
        <f>IF(SCAN!K347&lt;&gt;"-",SCAN!F347,0)</f>
        <v>0</v>
      </c>
      <c r="R347" s="53">
        <f>IF(SCAN!Q347&lt;&gt;"-",SCAN!D347,0)</f>
        <v>0</v>
      </c>
      <c r="S347" s="53">
        <f>IF(SCAN!Q347&lt;&gt;"-",SCAN!E347,0)</f>
        <v>0</v>
      </c>
      <c r="T347" s="53">
        <f>IF(SCAN!Q347&lt;&gt;"-",SCAN!F347,0)</f>
        <v>0</v>
      </c>
    </row>
    <row r="348" spans="8:20" x14ac:dyDescent="0.25">
      <c r="H348" s="50">
        <f>IF(AND(SCAN!K348="-",SCAN!Q348="-"),SCAN!D348,0)</f>
        <v>0</v>
      </c>
      <c r="I348" s="50">
        <f>IF(AND(SCAN!K348="-",SCAN!Q348="-"),SCAN!E348,0)</f>
        <v>0</v>
      </c>
      <c r="J348" s="50">
        <f>IF(AND(SCAN!K348="-",SCAN!Q348="-"),SCAN!F348,0)</f>
        <v>0</v>
      </c>
      <c r="M348" s="55">
        <f>IF(SCAN!K348&lt;&gt;"-",SCAN!D348,0)</f>
        <v>0</v>
      </c>
      <c r="N348" s="55">
        <f>IF(SCAN!K348&lt;&gt;"-",SCAN!E348,0)</f>
        <v>0</v>
      </c>
      <c r="O348" s="55">
        <f>IF(SCAN!K348&lt;&gt;"-",SCAN!F348,0)</f>
        <v>0</v>
      </c>
      <c r="R348" s="53">
        <f>IF(SCAN!Q348&lt;&gt;"-",SCAN!D348,0)</f>
        <v>0</v>
      </c>
      <c r="S348" s="53">
        <f>IF(SCAN!Q348&lt;&gt;"-",SCAN!E348,0)</f>
        <v>0</v>
      </c>
      <c r="T348" s="53">
        <f>IF(SCAN!Q348&lt;&gt;"-",SCAN!F348,0)</f>
        <v>0</v>
      </c>
    </row>
    <row r="349" spans="8:20" x14ac:dyDescent="0.25">
      <c r="H349" s="50">
        <f>IF(AND(SCAN!K349="-",SCAN!Q349="-"),SCAN!D349,0)</f>
        <v>0</v>
      </c>
      <c r="I349" s="50">
        <f>IF(AND(SCAN!K349="-",SCAN!Q349="-"),SCAN!E349,0)</f>
        <v>0</v>
      </c>
      <c r="J349" s="50">
        <f>IF(AND(SCAN!K349="-",SCAN!Q349="-"),SCAN!F349,0)</f>
        <v>0</v>
      </c>
      <c r="M349" s="55">
        <f>IF(SCAN!K349&lt;&gt;"-",SCAN!D349,0)</f>
        <v>0</v>
      </c>
      <c r="N349" s="55">
        <f>IF(SCAN!K349&lt;&gt;"-",SCAN!E349,0)</f>
        <v>0</v>
      </c>
      <c r="O349" s="55">
        <f>IF(SCAN!K349&lt;&gt;"-",SCAN!F349,0)</f>
        <v>0</v>
      </c>
      <c r="R349" s="53">
        <f>IF(SCAN!Q349&lt;&gt;"-",SCAN!D349,0)</f>
        <v>0</v>
      </c>
      <c r="S349" s="53">
        <f>IF(SCAN!Q349&lt;&gt;"-",SCAN!E349,0)</f>
        <v>0</v>
      </c>
      <c r="T349" s="53">
        <f>IF(SCAN!Q349&lt;&gt;"-",SCAN!F349,0)</f>
        <v>0</v>
      </c>
    </row>
    <row r="350" spans="8:20" x14ac:dyDescent="0.25">
      <c r="H350" s="50">
        <f>IF(AND(SCAN!K350="-",SCAN!Q350="-"),SCAN!D350,0)</f>
        <v>0</v>
      </c>
      <c r="I350" s="50">
        <f>IF(AND(SCAN!K350="-",SCAN!Q350="-"),SCAN!E350,0)</f>
        <v>0</v>
      </c>
      <c r="J350" s="50">
        <f>IF(AND(SCAN!K350="-",SCAN!Q350="-"),SCAN!F350,0)</f>
        <v>0</v>
      </c>
      <c r="M350" s="55">
        <f>IF(SCAN!K350&lt;&gt;"-",SCAN!D350,0)</f>
        <v>0</v>
      </c>
      <c r="N350" s="55">
        <f>IF(SCAN!K350&lt;&gt;"-",SCAN!E350,0)</f>
        <v>0</v>
      </c>
      <c r="O350" s="55">
        <f>IF(SCAN!K350&lt;&gt;"-",SCAN!F350,0)</f>
        <v>0</v>
      </c>
      <c r="R350" s="53">
        <f>IF(SCAN!Q350&lt;&gt;"-",SCAN!D350,0)</f>
        <v>0</v>
      </c>
      <c r="S350" s="53">
        <f>IF(SCAN!Q350&lt;&gt;"-",SCAN!E350,0)</f>
        <v>0</v>
      </c>
      <c r="T350" s="53">
        <f>IF(SCAN!Q350&lt;&gt;"-",SCAN!F350,0)</f>
        <v>0</v>
      </c>
    </row>
    <row r="351" spans="8:20" x14ac:dyDescent="0.25">
      <c r="H351" s="50">
        <f>IF(AND(SCAN!K351="-",SCAN!Q351="-"),SCAN!D351,0)</f>
        <v>0</v>
      </c>
      <c r="I351" s="50">
        <f>IF(AND(SCAN!K351="-",SCAN!Q351="-"),SCAN!E351,0)</f>
        <v>0</v>
      </c>
      <c r="J351" s="50">
        <f>IF(AND(SCAN!K351="-",SCAN!Q351="-"),SCAN!F351,0)</f>
        <v>0</v>
      </c>
      <c r="M351" s="55">
        <f>IF(SCAN!K351&lt;&gt;"-",SCAN!D351,0)</f>
        <v>0</v>
      </c>
      <c r="N351" s="55">
        <f>IF(SCAN!K351&lt;&gt;"-",SCAN!E351,0)</f>
        <v>0</v>
      </c>
      <c r="O351" s="55">
        <f>IF(SCAN!K351&lt;&gt;"-",SCAN!F351,0)</f>
        <v>0</v>
      </c>
      <c r="R351" s="53">
        <f>IF(SCAN!Q351&lt;&gt;"-",SCAN!D351,0)</f>
        <v>0</v>
      </c>
      <c r="S351" s="53">
        <f>IF(SCAN!Q351&lt;&gt;"-",SCAN!E351,0)</f>
        <v>0</v>
      </c>
      <c r="T351" s="53">
        <f>IF(SCAN!Q351&lt;&gt;"-",SCAN!F351,0)</f>
        <v>0</v>
      </c>
    </row>
    <row r="352" spans="8:20" x14ac:dyDescent="0.25">
      <c r="H352" s="50">
        <f>IF(AND(SCAN!K352="-",SCAN!Q352="-"),SCAN!D352,0)</f>
        <v>0</v>
      </c>
      <c r="I352" s="50">
        <f>IF(AND(SCAN!K352="-",SCAN!Q352="-"),SCAN!E352,0)</f>
        <v>0</v>
      </c>
      <c r="J352" s="50">
        <f>IF(AND(SCAN!K352="-",SCAN!Q352="-"),SCAN!F352,0)</f>
        <v>0</v>
      </c>
      <c r="M352" s="55">
        <f>IF(SCAN!K352&lt;&gt;"-",SCAN!D352,0)</f>
        <v>0</v>
      </c>
      <c r="N352" s="55">
        <f>IF(SCAN!K352&lt;&gt;"-",SCAN!E352,0)</f>
        <v>0</v>
      </c>
      <c r="O352" s="55">
        <f>IF(SCAN!K352&lt;&gt;"-",SCAN!F352,0)</f>
        <v>0</v>
      </c>
      <c r="R352" s="53">
        <f>IF(SCAN!Q352&lt;&gt;"-",SCAN!D352,0)</f>
        <v>0</v>
      </c>
      <c r="S352" s="53">
        <f>IF(SCAN!Q352&lt;&gt;"-",SCAN!E352,0)</f>
        <v>0</v>
      </c>
      <c r="T352" s="53">
        <f>IF(SCAN!Q352&lt;&gt;"-",SCAN!F352,0)</f>
        <v>0</v>
      </c>
    </row>
    <row r="353" spans="8:20" x14ac:dyDescent="0.25">
      <c r="H353" s="50">
        <f>IF(AND(SCAN!K353="-",SCAN!Q353="-"),SCAN!D353,0)</f>
        <v>0</v>
      </c>
      <c r="I353" s="50">
        <f>IF(AND(SCAN!K353="-",SCAN!Q353="-"),SCAN!E353,0)</f>
        <v>0</v>
      </c>
      <c r="J353" s="50">
        <f>IF(AND(SCAN!K353="-",SCAN!Q353="-"),SCAN!F353,0)</f>
        <v>0</v>
      </c>
      <c r="M353" s="55">
        <f>IF(SCAN!K353&lt;&gt;"-",SCAN!D353,0)</f>
        <v>0</v>
      </c>
      <c r="N353" s="55">
        <f>IF(SCAN!K353&lt;&gt;"-",SCAN!E353,0)</f>
        <v>0</v>
      </c>
      <c r="O353" s="55">
        <f>IF(SCAN!K353&lt;&gt;"-",SCAN!F353,0)</f>
        <v>0</v>
      </c>
      <c r="R353" s="53">
        <f>IF(SCAN!Q353&lt;&gt;"-",SCAN!D353,0)</f>
        <v>0</v>
      </c>
      <c r="S353" s="53">
        <f>IF(SCAN!Q353&lt;&gt;"-",SCAN!E353,0)</f>
        <v>0</v>
      </c>
      <c r="T353" s="53">
        <f>IF(SCAN!Q353&lt;&gt;"-",SCAN!F353,0)</f>
        <v>0</v>
      </c>
    </row>
    <row r="354" spans="8:20" x14ac:dyDescent="0.25">
      <c r="H354" s="50">
        <f>IF(AND(SCAN!K354="-",SCAN!Q354="-"),SCAN!D354,0)</f>
        <v>0</v>
      </c>
      <c r="I354" s="50">
        <f>IF(AND(SCAN!K354="-",SCAN!Q354="-"),SCAN!E354,0)</f>
        <v>0</v>
      </c>
      <c r="J354" s="50">
        <f>IF(AND(SCAN!K354="-",SCAN!Q354="-"),SCAN!F354,0)</f>
        <v>0</v>
      </c>
      <c r="M354" s="55">
        <f>IF(SCAN!K354&lt;&gt;"-",SCAN!D354,0)</f>
        <v>0</v>
      </c>
      <c r="N354" s="55">
        <f>IF(SCAN!K354&lt;&gt;"-",SCAN!E354,0)</f>
        <v>0</v>
      </c>
      <c r="O354" s="55">
        <f>IF(SCAN!K354&lt;&gt;"-",SCAN!F354,0)</f>
        <v>0</v>
      </c>
      <c r="R354" s="53">
        <f>IF(SCAN!Q354&lt;&gt;"-",SCAN!D354,0)</f>
        <v>0</v>
      </c>
      <c r="S354" s="53">
        <f>IF(SCAN!Q354&lt;&gt;"-",SCAN!E354,0)</f>
        <v>0</v>
      </c>
      <c r="T354" s="53">
        <f>IF(SCAN!Q354&lt;&gt;"-",SCAN!F354,0)</f>
        <v>0</v>
      </c>
    </row>
    <row r="355" spans="8:20" x14ac:dyDescent="0.25">
      <c r="H355" s="50">
        <f>IF(AND(SCAN!K355="-",SCAN!Q355="-"),SCAN!D355,0)</f>
        <v>0</v>
      </c>
      <c r="I355" s="50">
        <f>IF(AND(SCAN!K355="-",SCAN!Q355="-"),SCAN!E355,0)</f>
        <v>0</v>
      </c>
      <c r="J355" s="50">
        <f>IF(AND(SCAN!K355="-",SCAN!Q355="-"),SCAN!F355,0)</f>
        <v>0</v>
      </c>
      <c r="M355" s="55">
        <f>IF(SCAN!K355&lt;&gt;"-",SCAN!D355,0)</f>
        <v>0</v>
      </c>
      <c r="N355" s="55">
        <f>IF(SCAN!K355&lt;&gt;"-",SCAN!E355,0)</f>
        <v>0</v>
      </c>
      <c r="O355" s="55">
        <f>IF(SCAN!K355&lt;&gt;"-",SCAN!F355,0)</f>
        <v>0</v>
      </c>
      <c r="R355" s="53">
        <f>IF(SCAN!Q355&lt;&gt;"-",SCAN!D355,0)</f>
        <v>0</v>
      </c>
      <c r="S355" s="53">
        <f>IF(SCAN!Q355&lt;&gt;"-",SCAN!E355,0)</f>
        <v>0</v>
      </c>
      <c r="T355" s="53">
        <f>IF(SCAN!Q355&lt;&gt;"-",SCAN!F355,0)</f>
        <v>0</v>
      </c>
    </row>
    <row r="356" spans="8:20" x14ac:dyDescent="0.25">
      <c r="H356" s="50">
        <f>IF(AND(SCAN!K356="-",SCAN!Q356="-"),SCAN!D356,0)</f>
        <v>0</v>
      </c>
      <c r="I356" s="50">
        <f>IF(AND(SCAN!K356="-",SCAN!Q356="-"),SCAN!E356,0)</f>
        <v>0</v>
      </c>
      <c r="J356" s="50">
        <f>IF(AND(SCAN!K356="-",SCAN!Q356="-"),SCAN!F356,0)</f>
        <v>0</v>
      </c>
      <c r="M356" s="55">
        <f>IF(SCAN!K356&lt;&gt;"-",SCAN!D356,0)</f>
        <v>0</v>
      </c>
      <c r="N356" s="55">
        <f>IF(SCAN!K356&lt;&gt;"-",SCAN!E356,0)</f>
        <v>0</v>
      </c>
      <c r="O356" s="55">
        <f>IF(SCAN!K356&lt;&gt;"-",SCAN!F356,0)</f>
        <v>0</v>
      </c>
      <c r="R356" s="53">
        <f>IF(SCAN!Q356&lt;&gt;"-",SCAN!D356,0)</f>
        <v>0</v>
      </c>
      <c r="S356" s="53">
        <f>IF(SCAN!Q356&lt;&gt;"-",SCAN!E356,0)</f>
        <v>0</v>
      </c>
      <c r="T356" s="53">
        <f>IF(SCAN!Q356&lt;&gt;"-",SCAN!F356,0)</f>
        <v>0</v>
      </c>
    </row>
    <row r="357" spans="8:20" x14ac:dyDescent="0.25">
      <c r="H357" s="50">
        <f>IF(AND(SCAN!K357="-",SCAN!Q357="-"),SCAN!D357,0)</f>
        <v>0</v>
      </c>
      <c r="I357" s="50">
        <f>IF(AND(SCAN!K357="-",SCAN!Q357="-"),SCAN!E357,0)</f>
        <v>0</v>
      </c>
      <c r="J357" s="50">
        <f>IF(AND(SCAN!K357="-",SCAN!Q357="-"),SCAN!F357,0)</f>
        <v>0</v>
      </c>
      <c r="M357" s="55">
        <f>IF(SCAN!K357&lt;&gt;"-",SCAN!D357,0)</f>
        <v>0</v>
      </c>
      <c r="N357" s="55">
        <f>IF(SCAN!K357&lt;&gt;"-",SCAN!E357,0)</f>
        <v>0</v>
      </c>
      <c r="O357" s="55">
        <f>IF(SCAN!K357&lt;&gt;"-",SCAN!F357,0)</f>
        <v>0</v>
      </c>
      <c r="R357" s="53">
        <f>IF(SCAN!Q357&lt;&gt;"-",SCAN!D357,0)</f>
        <v>0</v>
      </c>
      <c r="S357" s="53">
        <f>IF(SCAN!Q357&lt;&gt;"-",SCAN!E357,0)</f>
        <v>0</v>
      </c>
      <c r="T357" s="53">
        <f>IF(SCAN!Q357&lt;&gt;"-",SCAN!F357,0)</f>
        <v>0</v>
      </c>
    </row>
    <row r="358" spans="8:20" x14ac:dyDescent="0.25">
      <c r="H358" s="50">
        <f>IF(AND(SCAN!K358="-",SCAN!Q358="-"),SCAN!D358,0)</f>
        <v>0</v>
      </c>
      <c r="I358" s="50">
        <f>IF(AND(SCAN!K358="-",SCAN!Q358="-"),SCAN!E358,0)</f>
        <v>0</v>
      </c>
      <c r="J358" s="50">
        <f>IF(AND(SCAN!K358="-",SCAN!Q358="-"),SCAN!F358,0)</f>
        <v>0</v>
      </c>
      <c r="M358" s="55">
        <f>IF(SCAN!K358&lt;&gt;"-",SCAN!D358,0)</f>
        <v>0</v>
      </c>
      <c r="N358" s="55">
        <f>IF(SCAN!K358&lt;&gt;"-",SCAN!E358,0)</f>
        <v>0</v>
      </c>
      <c r="O358" s="55">
        <f>IF(SCAN!K358&lt;&gt;"-",SCAN!F358,0)</f>
        <v>0</v>
      </c>
      <c r="R358" s="53">
        <f>IF(SCAN!Q358&lt;&gt;"-",SCAN!D358,0)</f>
        <v>0</v>
      </c>
      <c r="S358" s="53">
        <f>IF(SCAN!Q358&lt;&gt;"-",SCAN!E358,0)</f>
        <v>0</v>
      </c>
      <c r="T358" s="53">
        <f>IF(SCAN!Q358&lt;&gt;"-",SCAN!F358,0)</f>
        <v>0</v>
      </c>
    </row>
    <row r="359" spans="8:20" x14ac:dyDescent="0.25">
      <c r="H359" s="50">
        <f>IF(AND(SCAN!K359="-",SCAN!Q359="-"),SCAN!D359,0)</f>
        <v>0</v>
      </c>
      <c r="I359" s="50">
        <f>IF(AND(SCAN!K359="-",SCAN!Q359="-"),SCAN!E359,0)</f>
        <v>0</v>
      </c>
      <c r="J359" s="50">
        <f>IF(AND(SCAN!K359="-",SCAN!Q359="-"),SCAN!F359,0)</f>
        <v>0</v>
      </c>
      <c r="M359" s="55">
        <f>IF(SCAN!K359&lt;&gt;"-",SCAN!D359,0)</f>
        <v>0</v>
      </c>
      <c r="N359" s="55">
        <f>IF(SCAN!K359&lt;&gt;"-",SCAN!E359,0)</f>
        <v>0</v>
      </c>
      <c r="O359" s="55">
        <f>IF(SCAN!K359&lt;&gt;"-",SCAN!F359,0)</f>
        <v>0</v>
      </c>
      <c r="R359" s="53">
        <f>IF(SCAN!Q359&lt;&gt;"-",SCAN!D359,0)</f>
        <v>0</v>
      </c>
      <c r="S359" s="53">
        <f>IF(SCAN!Q359&lt;&gt;"-",SCAN!E359,0)</f>
        <v>0</v>
      </c>
      <c r="T359" s="53">
        <f>IF(SCAN!Q359&lt;&gt;"-",SCAN!F359,0)</f>
        <v>0</v>
      </c>
    </row>
    <row r="360" spans="8:20" x14ac:dyDescent="0.25">
      <c r="H360" s="50">
        <f>IF(AND(SCAN!K360="-",SCAN!Q360="-"),SCAN!D360,0)</f>
        <v>0</v>
      </c>
      <c r="I360" s="50">
        <f>IF(AND(SCAN!K360="-",SCAN!Q360="-"),SCAN!E360,0)</f>
        <v>0</v>
      </c>
      <c r="J360" s="50">
        <f>IF(AND(SCAN!K360="-",SCAN!Q360="-"),SCAN!F360,0)</f>
        <v>0</v>
      </c>
      <c r="M360" s="55">
        <f>IF(SCAN!K360&lt;&gt;"-",SCAN!D360,0)</f>
        <v>0</v>
      </c>
      <c r="N360" s="55">
        <f>IF(SCAN!K360&lt;&gt;"-",SCAN!E360,0)</f>
        <v>0</v>
      </c>
      <c r="O360" s="55">
        <f>IF(SCAN!K360&lt;&gt;"-",SCAN!F360,0)</f>
        <v>0</v>
      </c>
      <c r="R360" s="53">
        <f>IF(SCAN!Q360&lt;&gt;"-",SCAN!D360,0)</f>
        <v>0</v>
      </c>
      <c r="S360" s="53">
        <f>IF(SCAN!Q360&lt;&gt;"-",SCAN!E360,0)</f>
        <v>0</v>
      </c>
      <c r="T360" s="53">
        <f>IF(SCAN!Q360&lt;&gt;"-",SCAN!F360,0)</f>
        <v>0</v>
      </c>
    </row>
    <row r="361" spans="8:20" x14ac:dyDescent="0.25">
      <c r="H361" s="50">
        <f>IF(AND(SCAN!K361="-",SCAN!Q361="-"),SCAN!D361,0)</f>
        <v>0</v>
      </c>
      <c r="I361" s="50">
        <f>IF(AND(SCAN!K361="-",SCAN!Q361="-"),SCAN!E361,0)</f>
        <v>0</v>
      </c>
      <c r="J361" s="50">
        <f>IF(AND(SCAN!K361="-",SCAN!Q361="-"),SCAN!F361,0)</f>
        <v>0</v>
      </c>
      <c r="M361" s="55">
        <f>IF(SCAN!K361&lt;&gt;"-",SCAN!D361,0)</f>
        <v>0</v>
      </c>
      <c r="N361" s="55">
        <f>IF(SCAN!K361&lt;&gt;"-",SCAN!E361,0)</f>
        <v>0</v>
      </c>
      <c r="O361" s="55">
        <f>IF(SCAN!K361&lt;&gt;"-",SCAN!F361,0)</f>
        <v>0</v>
      </c>
      <c r="R361" s="53">
        <f>IF(SCAN!Q361&lt;&gt;"-",SCAN!D361,0)</f>
        <v>0</v>
      </c>
      <c r="S361" s="53">
        <f>IF(SCAN!Q361&lt;&gt;"-",SCAN!E361,0)</f>
        <v>0</v>
      </c>
      <c r="T361" s="53">
        <f>IF(SCAN!Q361&lt;&gt;"-",SCAN!F361,0)</f>
        <v>0</v>
      </c>
    </row>
    <row r="362" spans="8:20" x14ac:dyDescent="0.25">
      <c r="H362" s="50">
        <f>IF(AND(SCAN!K362="-",SCAN!Q362="-"),SCAN!D362,0)</f>
        <v>0</v>
      </c>
      <c r="I362" s="50">
        <f>IF(AND(SCAN!K362="-",SCAN!Q362="-"),SCAN!E362,0)</f>
        <v>0</v>
      </c>
      <c r="J362" s="50">
        <f>IF(AND(SCAN!K362="-",SCAN!Q362="-"),SCAN!F362,0)</f>
        <v>0</v>
      </c>
      <c r="M362" s="55">
        <f>IF(SCAN!K362&lt;&gt;"-",SCAN!D362,0)</f>
        <v>0</v>
      </c>
      <c r="N362" s="55">
        <f>IF(SCAN!K362&lt;&gt;"-",SCAN!E362,0)</f>
        <v>0</v>
      </c>
      <c r="O362" s="55">
        <f>IF(SCAN!K362&lt;&gt;"-",SCAN!F362,0)</f>
        <v>0</v>
      </c>
      <c r="R362" s="53">
        <f>IF(SCAN!Q362&lt;&gt;"-",SCAN!D362,0)</f>
        <v>0</v>
      </c>
      <c r="S362" s="53">
        <f>IF(SCAN!Q362&lt;&gt;"-",SCAN!E362,0)</f>
        <v>0</v>
      </c>
      <c r="T362" s="53">
        <f>IF(SCAN!Q362&lt;&gt;"-",SCAN!F362,0)</f>
        <v>0</v>
      </c>
    </row>
    <row r="363" spans="8:20" x14ac:dyDescent="0.25">
      <c r="H363" s="50">
        <f>IF(AND(SCAN!K363="-",SCAN!Q363="-"),SCAN!D363,0)</f>
        <v>0</v>
      </c>
      <c r="I363" s="50">
        <f>IF(AND(SCAN!K363="-",SCAN!Q363="-"),SCAN!E363,0)</f>
        <v>0</v>
      </c>
      <c r="J363" s="50">
        <f>IF(AND(SCAN!K363="-",SCAN!Q363="-"),SCAN!F363,0)</f>
        <v>0</v>
      </c>
      <c r="M363" s="55">
        <f>IF(SCAN!K363&lt;&gt;"-",SCAN!D363,0)</f>
        <v>0</v>
      </c>
      <c r="N363" s="55">
        <f>IF(SCAN!K363&lt;&gt;"-",SCAN!E363,0)</f>
        <v>0</v>
      </c>
      <c r="O363" s="55">
        <f>IF(SCAN!K363&lt;&gt;"-",SCAN!F363,0)</f>
        <v>0</v>
      </c>
      <c r="R363" s="53">
        <f>IF(SCAN!Q363&lt;&gt;"-",SCAN!D363,0)</f>
        <v>0</v>
      </c>
      <c r="S363" s="53">
        <f>IF(SCAN!Q363&lt;&gt;"-",SCAN!E363,0)</f>
        <v>0</v>
      </c>
      <c r="T363" s="53">
        <f>IF(SCAN!Q363&lt;&gt;"-",SCAN!F363,0)</f>
        <v>0</v>
      </c>
    </row>
    <row r="364" spans="8:20" x14ac:dyDescent="0.25">
      <c r="H364" s="50">
        <f>IF(AND(SCAN!K364="-",SCAN!Q364="-"),SCAN!D364,0)</f>
        <v>0</v>
      </c>
      <c r="I364" s="50">
        <f>IF(AND(SCAN!K364="-",SCAN!Q364="-"),SCAN!E364,0)</f>
        <v>0</v>
      </c>
      <c r="J364" s="50">
        <f>IF(AND(SCAN!K364="-",SCAN!Q364="-"),SCAN!F364,0)</f>
        <v>0</v>
      </c>
      <c r="M364" s="55">
        <f>IF(SCAN!K364&lt;&gt;"-",SCAN!D364,0)</f>
        <v>0</v>
      </c>
      <c r="N364" s="55">
        <f>IF(SCAN!K364&lt;&gt;"-",SCAN!E364,0)</f>
        <v>0</v>
      </c>
      <c r="O364" s="55">
        <f>IF(SCAN!K364&lt;&gt;"-",SCAN!F364,0)</f>
        <v>0</v>
      </c>
      <c r="R364" s="53">
        <f>IF(SCAN!Q364&lt;&gt;"-",SCAN!D364,0)</f>
        <v>0</v>
      </c>
      <c r="S364" s="53">
        <f>IF(SCAN!Q364&lt;&gt;"-",SCAN!E364,0)</f>
        <v>0</v>
      </c>
      <c r="T364" s="53">
        <f>IF(SCAN!Q364&lt;&gt;"-",SCAN!F364,0)</f>
        <v>0</v>
      </c>
    </row>
    <row r="365" spans="8:20" x14ac:dyDescent="0.25">
      <c r="H365" s="50">
        <f>IF(AND(SCAN!K365="-",SCAN!Q365="-"),SCAN!D365,0)</f>
        <v>0</v>
      </c>
      <c r="I365" s="50">
        <f>IF(AND(SCAN!K365="-",SCAN!Q365="-"),SCAN!E365,0)</f>
        <v>0</v>
      </c>
      <c r="J365" s="50">
        <f>IF(AND(SCAN!K365="-",SCAN!Q365="-"),SCAN!F365,0)</f>
        <v>0</v>
      </c>
      <c r="M365" s="55">
        <f>IF(SCAN!K365&lt;&gt;"-",SCAN!D365,0)</f>
        <v>0</v>
      </c>
      <c r="N365" s="55">
        <f>IF(SCAN!K365&lt;&gt;"-",SCAN!E365,0)</f>
        <v>0</v>
      </c>
      <c r="O365" s="55">
        <f>IF(SCAN!K365&lt;&gt;"-",SCAN!F365,0)</f>
        <v>0</v>
      </c>
      <c r="R365" s="53">
        <f>IF(SCAN!Q365&lt;&gt;"-",SCAN!D365,0)</f>
        <v>0</v>
      </c>
      <c r="S365" s="53">
        <f>IF(SCAN!Q365&lt;&gt;"-",SCAN!E365,0)</f>
        <v>0</v>
      </c>
      <c r="T365" s="53">
        <f>IF(SCAN!Q365&lt;&gt;"-",SCAN!F365,0)</f>
        <v>0</v>
      </c>
    </row>
    <row r="366" spans="8:20" x14ac:dyDescent="0.25">
      <c r="H366" s="50">
        <f>IF(AND(SCAN!K366="-",SCAN!Q366="-"),SCAN!D366,0)</f>
        <v>0</v>
      </c>
      <c r="I366" s="50">
        <f>IF(AND(SCAN!K366="-",SCAN!Q366="-"),SCAN!E366,0)</f>
        <v>0</v>
      </c>
      <c r="J366" s="50">
        <f>IF(AND(SCAN!K366="-",SCAN!Q366="-"),SCAN!F366,0)</f>
        <v>0</v>
      </c>
      <c r="M366" s="55">
        <f>IF(SCAN!K366&lt;&gt;"-",SCAN!D366,0)</f>
        <v>0</v>
      </c>
      <c r="N366" s="55">
        <f>IF(SCAN!K366&lt;&gt;"-",SCAN!E366,0)</f>
        <v>0</v>
      </c>
      <c r="O366" s="55">
        <f>IF(SCAN!K366&lt;&gt;"-",SCAN!F366,0)</f>
        <v>0</v>
      </c>
      <c r="R366" s="53">
        <f>IF(SCAN!Q366&lt;&gt;"-",SCAN!D366,0)</f>
        <v>0</v>
      </c>
      <c r="S366" s="53">
        <f>IF(SCAN!Q366&lt;&gt;"-",SCAN!E366,0)</f>
        <v>0</v>
      </c>
      <c r="T366" s="53">
        <f>IF(SCAN!Q366&lt;&gt;"-",SCAN!F366,0)</f>
        <v>0</v>
      </c>
    </row>
    <row r="367" spans="8:20" x14ac:dyDescent="0.25">
      <c r="H367" s="50">
        <f>IF(AND(SCAN!K367="-",SCAN!Q367="-"),SCAN!D367,0)</f>
        <v>0</v>
      </c>
      <c r="I367" s="50">
        <f>IF(AND(SCAN!K367="-",SCAN!Q367="-"),SCAN!E367,0)</f>
        <v>0</v>
      </c>
      <c r="J367" s="50">
        <f>IF(AND(SCAN!K367="-",SCAN!Q367="-"),SCAN!F367,0)</f>
        <v>0</v>
      </c>
      <c r="M367" s="55">
        <f>IF(SCAN!K367&lt;&gt;"-",SCAN!D367,0)</f>
        <v>0</v>
      </c>
      <c r="N367" s="55">
        <f>IF(SCAN!K367&lt;&gt;"-",SCAN!E367,0)</f>
        <v>0</v>
      </c>
      <c r="O367" s="55">
        <f>IF(SCAN!K367&lt;&gt;"-",SCAN!F367,0)</f>
        <v>0</v>
      </c>
      <c r="R367" s="53">
        <f>IF(SCAN!Q367&lt;&gt;"-",SCAN!D367,0)</f>
        <v>0</v>
      </c>
      <c r="S367" s="53">
        <f>IF(SCAN!Q367&lt;&gt;"-",SCAN!E367,0)</f>
        <v>0</v>
      </c>
      <c r="T367" s="53">
        <f>IF(SCAN!Q367&lt;&gt;"-",SCAN!F367,0)</f>
        <v>0</v>
      </c>
    </row>
    <row r="368" spans="8:20" x14ac:dyDescent="0.25">
      <c r="H368" s="50">
        <f>IF(AND(SCAN!K368="-",SCAN!Q368="-"),SCAN!D368,0)</f>
        <v>0</v>
      </c>
      <c r="I368" s="50">
        <f>IF(AND(SCAN!K368="-",SCAN!Q368="-"),SCAN!E368,0)</f>
        <v>0</v>
      </c>
      <c r="J368" s="50">
        <f>IF(AND(SCAN!K368="-",SCAN!Q368="-"),SCAN!F368,0)</f>
        <v>0</v>
      </c>
      <c r="M368" s="55">
        <f>IF(SCAN!K368&lt;&gt;"-",SCAN!D368,0)</f>
        <v>0</v>
      </c>
      <c r="N368" s="55">
        <f>IF(SCAN!K368&lt;&gt;"-",SCAN!E368,0)</f>
        <v>0</v>
      </c>
      <c r="O368" s="55">
        <f>IF(SCAN!K368&lt;&gt;"-",SCAN!F368,0)</f>
        <v>0</v>
      </c>
      <c r="R368" s="53">
        <f>IF(SCAN!Q368&lt;&gt;"-",SCAN!D368,0)</f>
        <v>0</v>
      </c>
      <c r="S368" s="53">
        <f>IF(SCAN!Q368&lt;&gt;"-",SCAN!E368,0)</f>
        <v>0</v>
      </c>
      <c r="T368" s="53">
        <f>IF(SCAN!Q368&lt;&gt;"-",SCAN!F368,0)</f>
        <v>0</v>
      </c>
    </row>
    <row r="369" spans="8:20" x14ac:dyDescent="0.25">
      <c r="H369" s="50">
        <f>IF(AND(SCAN!K369="-",SCAN!Q369="-"),SCAN!D369,0)</f>
        <v>0</v>
      </c>
      <c r="I369" s="50">
        <f>IF(AND(SCAN!K369="-",SCAN!Q369="-"),SCAN!E369,0)</f>
        <v>0</v>
      </c>
      <c r="J369" s="50">
        <f>IF(AND(SCAN!K369="-",SCAN!Q369="-"),SCAN!F369,0)</f>
        <v>0</v>
      </c>
      <c r="M369" s="55">
        <f>IF(SCAN!K369&lt;&gt;"-",SCAN!D369,0)</f>
        <v>0</v>
      </c>
      <c r="N369" s="55">
        <f>IF(SCAN!K369&lt;&gt;"-",SCAN!E369,0)</f>
        <v>0</v>
      </c>
      <c r="O369" s="55">
        <f>IF(SCAN!K369&lt;&gt;"-",SCAN!F369,0)</f>
        <v>0</v>
      </c>
      <c r="R369" s="53">
        <f>IF(SCAN!Q369&lt;&gt;"-",SCAN!D369,0)</f>
        <v>0</v>
      </c>
      <c r="S369" s="53">
        <f>IF(SCAN!Q369&lt;&gt;"-",SCAN!E369,0)</f>
        <v>0</v>
      </c>
      <c r="T369" s="53">
        <f>IF(SCAN!Q369&lt;&gt;"-",SCAN!F369,0)</f>
        <v>0</v>
      </c>
    </row>
    <row r="370" spans="8:20" x14ac:dyDescent="0.25">
      <c r="H370" s="50">
        <f>IF(AND(SCAN!K370="-",SCAN!Q370="-"),SCAN!D370,0)</f>
        <v>0</v>
      </c>
      <c r="I370" s="50">
        <f>IF(AND(SCAN!K370="-",SCAN!Q370="-"),SCAN!E370,0)</f>
        <v>0</v>
      </c>
      <c r="J370" s="50">
        <f>IF(AND(SCAN!K370="-",SCAN!Q370="-"),SCAN!F370,0)</f>
        <v>0</v>
      </c>
      <c r="M370" s="55">
        <f>IF(SCAN!K370&lt;&gt;"-",SCAN!D370,0)</f>
        <v>0</v>
      </c>
      <c r="N370" s="55">
        <f>IF(SCAN!K370&lt;&gt;"-",SCAN!E370,0)</f>
        <v>0</v>
      </c>
      <c r="O370" s="55">
        <f>IF(SCAN!K370&lt;&gt;"-",SCAN!F370,0)</f>
        <v>0</v>
      </c>
      <c r="R370" s="53">
        <f>IF(SCAN!Q370&lt;&gt;"-",SCAN!D370,0)</f>
        <v>0</v>
      </c>
      <c r="S370" s="53">
        <f>IF(SCAN!Q370&lt;&gt;"-",SCAN!E370,0)</f>
        <v>0</v>
      </c>
      <c r="T370" s="53">
        <f>IF(SCAN!Q370&lt;&gt;"-",SCAN!F370,0)</f>
        <v>0</v>
      </c>
    </row>
    <row r="371" spans="8:20" x14ac:dyDescent="0.25">
      <c r="H371" s="50">
        <f>IF(AND(SCAN!K371="-",SCAN!Q371="-"),SCAN!D371,0)</f>
        <v>0</v>
      </c>
      <c r="I371" s="50">
        <f>IF(AND(SCAN!K371="-",SCAN!Q371="-"),SCAN!E371,0)</f>
        <v>0</v>
      </c>
      <c r="J371" s="50">
        <f>IF(AND(SCAN!K371="-",SCAN!Q371="-"),SCAN!F371,0)</f>
        <v>0</v>
      </c>
      <c r="M371" s="55">
        <f>IF(SCAN!K371&lt;&gt;"-",SCAN!D371,0)</f>
        <v>0</v>
      </c>
      <c r="N371" s="55">
        <f>IF(SCAN!K371&lt;&gt;"-",SCAN!E371,0)</f>
        <v>0</v>
      </c>
      <c r="O371" s="55">
        <f>IF(SCAN!K371&lt;&gt;"-",SCAN!F371,0)</f>
        <v>0</v>
      </c>
      <c r="R371" s="53">
        <f>IF(SCAN!Q371&lt;&gt;"-",SCAN!D371,0)</f>
        <v>0</v>
      </c>
      <c r="S371" s="53">
        <f>IF(SCAN!Q371&lt;&gt;"-",SCAN!E371,0)</f>
        <v>0</v>
      </c>
      <c r="T371" s="53">
        <f>IF(SCAN!Q371&lt;&gt;"-",SCAN!F371,0)</f>
        <v>0</v>
      </c>
    </row>
    <row r="372" spans="8:20" x14ac:dyDescent="0.25">
      <c r="H372" s="50">
        <f>IF(AND(SCAN!K372="-",SCAN!Q372="-"),SCAN!D372,0)</f>
        <v>0</v>
      </c>
      <c r="I372" s="50">
        <f>IF(AND(SCAN!K372="-",SCAN!Q372="-"),SCAN!E372,0)</f>
        <v>0</v>
      </c>
      <c r="J372" s="50">
        <f>IF(AND(SCAN!K372="-",SCAN!Q372="-"),SCAN!F372,0)</f>
        <v>0</v>
      </c>
      <c r="M372" s="55">
        <f>IF(SCAN!K372&lt;&gt;"-",SCAN!D372,0)</f>
        <v>0</v>
      </c>
      <c r="N372" s="55">
        <f>IF(SCAN!K372&lt;&gt;"-",SCAN!E372,0)</f>
        <v>0</v>
      </c>
      <c r="O372" s="55">
        <f>IF(SCAN!K372&lt;&gt;"-",SCAN!F372,0)</f>
        <v>0</v>
      </c>
      <c r="R372" s="53">
        <f>IF(SCAN!Q372&lt;&gt;"-",SCAN!D372,0)</f>
        <v>0</v>
      </c>
      <c r="S372" s="53">
        <f>IF(SCAN!Q372&lt;&gt;"-",SCAN!E372,0)</f>
        <v>0</v>
      </c>
      <c r="T372" s="53">
        <f>IF(SCAN!Q372&lt;&gt;"-",SCAN!F372,0)</f>
        <v>0</v>
      </c>
    </row>
    <row r="373" spans="8:20" x14ac:dyDescent="0.25">
      <c r="H373" s="50">
        <f>IF(AND(SCAN!K373="-",SCAN!Q373="-"),SCAN!D373,0)</f>
        <v>0</v>
      </c>
      <c r="I373" s="50">
        <f>IF(AND(SCAN!K373="-",SCAN!Q373="-"),SCAN!E373,0)</f>
        <v>0</v>
      </c>
      <c r="J373" s="50">
        <f>IF(AND(SCAN!K373="-",SCAN!Q373="-"),SCAN!F373,0)</f>
        <v>0</v>
      </c>
      <c r="M373" s="55">
        <f>IF(SCAN!K373&lt;&gt;"-",SCAN!D373,0)</f>
        <v>0</v>
      </c>
      <c r="N373" s="55">
        <f>IF(SCAN!K373&lt;&gt;"-",SCAN!E373,0)</f>
        <v>0</v>
      </c>
      <c r="O373" s="55">
        <f>IF(SCAN!K373&lt;&gt;"-",SCAN!F373,0)</f>
        <v>0</v>
      </c>
      <c r="R373" s="53">
        <f>IF(SCAN!Q373&lt;&gt;"-",SCAN!D373,0)</f>
        <v>0</v>
      </c>
      <c r="S373" s="53">
        <f>IF(SCAN!Q373&lt;&gt;"-",SCAN!E373,0)</f>
        <v>0</v>
      </c>
      <c r="T373" s="53">
        <f>IF(SCAN!Q373&lt;&gt;"-",SCAN!F373,0)</f>
        <v>0</v>
      </c>
    </row>
    <row r="374" spans="8:20" x14ac:dyDescent="0.25">
      <c r="H374" s="50">
        <f>IF(AND(SCAN!K374="-",SCAN!Q374="-"),SCAN!D374,0)</f>
        <v>0</v>
      </c>
      <c r="I374" s="50">
        <f>IF(AND(SCAN!K374="-",SCAN!Q374="-"),SCAN!E374,0)</f>
        <v>0</v>
      </c>
      <c r="J374" s="50">
        <f>IF(AND(SCAN!K374="-",SCAN!Q374="-"),SCAN!F374,0)</f>
        <v>0</v>
      </c>
      <c r="M374" s="55">
        <f>IF(SCAN!K374&lt;&gt;"-",SCAN!D374,0)</f>
        <v>0</v>
      </c>
      <c r="N374" s="55">
        <f>IF(SCAN!K374&lt;&gt;"-",SCAN!E374,0)</f>
        <v>0</v>
      </c>
      <c r="O374" s="55">
        <f>IF(SCAN!K374&lt;&gt;"-",SCAN!F374,0)</f>
        <v>0</v>
      </c>
      <c r="R374" s="53">
        <f>IF(SCAN!Q374&lt;&gt;"-",SCAN!D374,0)</f>
        <v>0</v>
      </c>
      <c r="S374" s="53">
        <f>IF(SCAN!Q374&lt;&gt;"-",SCAN!E374,0)</f>
        <v>0</v>
      </c>
      <c r="T374" s="53">
        <f>IF(SCAN!Q374&lt;&gt;"-",SCAN!F374,0)</f>
        <v>0</v>
      </c>
    </row>
    <row r="375" spans="8:20" x14ac:dyDescent="0.25">
      <c r="H375" s="50">
        <f>IF(AND(SCAN!K375="-",SCAN!Q375="-"),SCAN!D375,0)</f>
        <v>0</v>
      </c>
      <c r="I375" s="50">
        <f>IF(AND(SCAN!K375="-",SCAN!Q375="-"),SCAN!E375,0)</f>
        <v>0</v>
      </c>
      <c r="J375" s="50">
        <f>IF(AND(SCAN!K375="-",SCAN!Q375="-"),SCAN!F375,0)</f>
        <v>0</v>
      </c>
      <c r="M375" s="55">
        <f>IF(SCAN!K375&lt;&gt;"-",SCAN!D375,0)</f>
        <v>0</v>
      </c>
      <c r="N375" s="55">
        <f>IF(SCAN!K375&lt;&gt;"-",SCAN!E375,0)</f>
        <v>0</v>
      </c>
      <c r="O375" s="55">
        <f>IF(SCAN!K375&lt;&gt;"-",SCAN!F375,0)</f>
        <v>0</v>
      </c>
      <c r="R375" s="53">
        <f>IF(SCAN!Q375&lt;&gt;"-",SCAN!D375,0)</f>
        <v>0</v>
      </c>
      <c r="S375" s="53">
        <f>IF(SCAN!Q375&lt;&gt;"-",SCAN!E375,0)</f>
        <v>0</v>
      </c>
      <c r="T375" s="53">
        <f>IF(SCAN!Q375&lt;&gt;"-",SCAN!F375,0)</f>
        <v>0</v>
      </c>
    </row>
    <row r="376" spans="8:20" x14ac:dyDescent="0.25">
      <c r="H376" s="50">
        <f>IF(AND(SCAN!K376="-",SCAN!Q376="-"),SCAN!D376,0)</f>
        <v>0</v>
      </c>
      <c r="I376" s="50">
        <f>IF(AND(SCAN!K376="-",SCAN!Q376="-"),SCAN!E376,0)</f>
        <v>0</v>
      </c>
      <c r="J376" s="50">
        <f>IF(AND(SCAN!K376="-",SCAN!Q376="-"),SCAN!F376,0)</f>
        <v>0</v>
      </c>
      <c r="M376" s="55">
        <f>IF(SCAN!K376&lt;&gt;"-",SCAN!D376,0)</f>
        <v>0</v>
      </c>
      <c r="N376" s="55">
        <f>IF(SCAN!K376&lt;&gt;"-",SCAN!E376,0)</f>
        <v>0</v>
      </c>
      <c r="O376" s="55">
        <f>IF(SCAN!K376&lt;&gt;"-",SCAN!F376,0)</f>
        <v>0</v>
      </c>
      <c r="R376" s="53">
        <f>IF(SCAN!Q376&lt;&gt;"-",SCAN!D376,0)</f>
        <v>0</v>
      </c>
      <c r="S376" s="53">
        <f>IF(SCAN!Q376&lt;&gt;"-",SCAN!E376,0)</f>
        <v>0</v>
      </c>
      <c r="T376" s="53">
        <f>IF(SCAN!Q376&lt;&gt;"-",SCAN!F376,0)</f>
        <v>0</v>
      </c>
    </row>
    <row r="377" spans="8:20" x14ac:dyDescent="0.25">
      <c r="H377" s="50">
        <f>IF(AND(SCAN!K377="-",SCAN!Q377="-"),SCAN!D377,0)</f>
        <v>0</v>
      </c>
      <c r="I377" s="50">
        <f>IF(AND(SCAN!K377="-",SCAN!Q377="-"),SCAN!E377,0)</f>
        <v>0</v>
      </c>
      <c r="J377" s="50">
        <f>IF(AND(SCAN!K377="-",SCAN!Q377="-"),SCAN!F377,0)</f>
        <v>0</v>
      </c>
      <c r="M377" s="55">
        <f>IF(SCAN!K377&lt;&gt;"-",SCAN!D377,0)</f>
        <v>0</v>
      </c>
      <c r="N377" s="55">
        <f>IF(SCAN!K377&lt;&gt;"-",SCAN!E377,0)</f>
        <v>0</v>
      </c>
      <c r="O377" s="55">
        <f>IF(SCAN!K377&lt;&gt;"-",SCAN!F377,0)</f>
        <v>0</v>
      </c>
      <c r="R377" s="53">
        <f>IF(SCAN!Q377&lt;&gt;"-",SCAN!D377,0)</f>
        <v>0</v>
      </c>
      <c r="S377" s="53">
        <f>IF(SCAN!Q377&lt;&gt;"-",SCAN!E377,0)</f>
        <v>0</v>
      </c>
      <c r="T377" s="53">
        <f>IF(SCAN!Q377&lt;&gt;"-",SCAN!F377,0)</f>
        <v>0</v>
      </c>
    </row>
    <row r="378" spans="8:20" x14ac:dyDescent="0.25">
      <c r="H378" s="50">
        <f>IF(AND(SCAN!K378="-",SCAN!Q378="-"),SCAN!D378,0)</f>
        <v>0</v>
      </c>
      <c r="I378" s="50">
        <f>IF(AND(SCAN!K378="-",SCAN!Q378="-"),SCAN!E378,0)</f>
        <v>0</v>
      </c>
      <c r="J378" s="50">
        <f>IF(AND(SCAN!K378="-",SCAN!Q378="-"),SCAN!F378,0)</f>
        <v>0</v>
      </c>
      <c r="M378" s="55">
        <f>IF(SCAN!K378&lt;&gt;"-",SCAN!D378,0)</f>
        <v>0</v>
      </c>
      <c r="N378" s="55">
        <f>IF(SCAN!K378&lt;&gt;"-",SCAN!E378,0)</f>
        <v>0</v>
      </c>
      <c r="O378" s="55">
        <f>IF(SCAN!K378&lt;&gt;"-",SCAN!F378,0)</f>
        <v>0</v>
      </c>
      <c r="R378" s="53">
        <f>IF(SCAN!Q378&lt;&gt;"-",SCAN!D378,0)</f>
        <v>0</v>
      </c>
      <c r="S378" s="53">
        <f>IF(SCAN!Q378&lt;&gt;"-",SCAN!E378,0)</f>
        <v>0</v>
      </c>
      <c r="T378" s="53">
        <f>IF(SCAN!Q378&lt;&gt;"-",SCAN!F378,0)</f>
        <v>0</v>
      </c>
    </row>
    <row r="379" spans="8:20" x14ac:dyDescent="0.25">
      <c r="H379" s="50">
        <f>IF(AND(SCAN!K379="-",SCAN!Q379="-"),SCAN!D379,0)</f>
        <v>0</v>
      </c>
      <c r="I379" s="50">
        <f>IF(AND(SCAN!K379="-",SCAN!Q379="-"),SCAN!E379,0)</f>
        <v>0</v>
      </c>
      <c r="J379" s="50">
        <f>IF(AND(SCAN!K379="-",SCAN!Q379="-"),SCAN!F379,0)</f>
        <v>0</v>
      </c>
      <c r="M379" s="55">
        <f>IF(SCAN!K379&lt;&gt;"-",SCAN!D379,0)</f>
        <v>0</v>
      </c>
      <c r="N379" s="55">
        <f>IF(SCAN!K379&lt;&gt;"-",SCAN!E379,0)</f>
        <v>0</v>
      </c>
      <c r="O379" s="55">
        <f>IF(SCAN!K379&lt;&gt;"-",SCAN!F379,0)</f>
        <v>0</v>
      </c>
      <c r="R379" s="53">
        <f>IF(SCAN!Q379&lt;&gt;"-",SCAN!D379,0)</f>
        <v>0</v>
      </c>
      <c r="S379" s="53">
        <f>IF(SCAN!Q379&lt;&gt;"-",SCAN!E379,0)</f>
        <v>0</v>
      </c>
      <c r="T379" s="53">
        <f>IF(SCAN!Q379&lt;&gt;"-",SCAN!F379,0)</f>
        <v>0</v>
      </c>
    </row>
    <row r="380" spans="8:20" x14ac:dyDescent="0.25">
      <c r="H380" s="50">
        <f>IF(AND(SCAN!K380="-",SCAN!Q380="-"),SCAN!D380,0)</f>
        <v>0</v>
      </c>
      <c r="I380" s="50">
        <f>IF(AND(SCAN!K380="-",SCAN!Q380="-"),SCAN!E380,0)</f>
        <v>0</v>
      </c>
      <c r="J380" s="50">
        <f>IF(AND(SCAN!K380="-",SCAN!Q380="-"),SCAN!F380,0)</f>
        <v>0</v>
      </c>
      <c r="M380" s="55">
        <f>IF(SCAN!K380&lt;&gt;"-",SCAN!D380,0)</f>
        <v>0</v>
      </c>
      <c r="N380" s="55">
        <f>IF(SCAN!K380&lt;&gt;"-",SCAN!E380,0)</f>
        <v>0</v>
      </c>
      <c r="O380" s="55">
        <f>IF(SCAN!K380&lt;&gt;"-",SCAN!F380,0)</f>
        <v>0</v>
      </c>
      <c r="R380" s="53">
        <f>IF(SCAN!Q380&lt;&gt;"-",SCAN!D380,0)</f>
        <v>0</v>
      </c>
      <c r="S380" s="53">
        <f>IF(SCAN!Q380&lt;&gt;"-",SCAN!E380,0)</f>
        <v>0</v>
      </c>
      <c r="T380" s="53">
        <f>IF(SCAN!Q380&lt;&gt;"-",SCAN!F380,0)</f>
        <v>0</v>
      </c>
    </row>
    <row r="381" spans="8:20" x14ac:dyDescent="0.25">
      <c r="H381" s="50">
        <f>IF(AND(SCAN!K381="-",SCAN!Q381="-"),SCAN!D381,0)</f>
        <v>0</v>
      </c>
      <c r="I381" s="50">
        <f>IF(AND(SCAN!K381="-",SCAN!Q381="-"),SCAN!E381,0)</f>
        <v>0</v>
      </c>
      <c r="J381" s="50">
        <f>IF(AND(SCAN!K381="-",SCAN!Q381="-"),SCAN!F381,0)</f>
        <v>0</v>
      </c>
      <c r="M381" s="55">
        <f>IF(SCAN!K381&lt;&gt;"-",SCAN!D381,0)</f>
        <v>0</v>
      </c>
      <c r="N381" s="55">
        <f>IF(SCAN!K381&lt;&gt;"-",SCAN!E381,0)</f>
        <v>0</v>
      </c>
      <c r="O381" s="55">
        <f>IF(SCAN!K381&lt;&gt;"-",SCAN!F381,0)</f>
        <v>0</v>
      </c>
      <c r="R381" s="53">
        <f>IF(SCAN!Q381&lt;&gt;"-",SCAN!D381,0)</f>
        <v>0</v>
      </c>
      <c r="S381" s="53">
        <f>IF(SCAN!Q381&lt;&gt;"-",SCAN!E381,0)</f>
        <v>0</v>
      </c>
      <c r="T381" s="53">
        <f>IF(SCAN!Q381&lt;&gt;"-",SCAN!F381,0)</f>
        <v>0</v>
      </c>
    </row>
    <row r="382" spans="8:20" x14ac:dyDescent="0.25">
      <c r="H382" s="50">
        <f>IF(AND(SCAN!K382="-",SCAN!Q382="-"),SCAN!D382,0)</f>
        <v>0</v>
      </c>
      <c r="I382" s="50">
        <f>IF(AND(SCAN!K382="-",SCAN!Q382="-"),SCAN!E382,0)</f>
        <v>0</v>
      </c>
      <c r="J382" s="50">
        <f>IF(AND(SCAN!K382="-",SCAN!Q382="-"),SCAN!F382,0)</f>
        <v>0</v>
      </c>
      <c r="M382" s="55">
        <f>IF(SCAN!K382&lt;&gt;"-",SCAN!D382,0)</f>
        <v>0</v>
      </c>
      <c r="N382" s="55">
        <f>IF(SCAN!K382&lt;&gt;"-",SCAN!E382,0)</f>
        <v>0</v>
      </c>
      <c r="O382" s="55">
        <f>IF(SCAN!K382&lt;&gt;"-",SCAN!F382,0)</f>
        <v>0</v>
      </c>
      <c r="R382" s="53">
        <f>IF(SCAN!Q382&lt;&gt;"-",SCAN!D382,0)</f>
        <v>0</v>
      </c>
      <c r="S382" s="53">
        <f>IF(SCAN!Q382&lt;&gt;"-",SCAN!E382,0)</f>
        <v>0</v>
      </c>
      <c r="T382" s="53">
        <f>IF(SCAN!Q382&lt;&gt;"-",SCAN!F382,0)</f>
        <v>0</v>
      </c>
    </row>
    <row r="383" spans="8:20" x14ac:dyDescent="0.25">
      <c r="H383" s="50">
        <f>IF(AND(SCAN!K383="-",SCAN!Q383="-"),SCAN!D383,0)</f>
        <v>0</v>
      </c>
      <c r="I383" s="50">
        <f>IF(AND(SCAN!K383="-",SCAN!Q383="-"),SCAN!E383,0)</f>
        <v>0</v>
      </c>
      <c r="J383" s="50">
        <f>IF(AND(SCAN!K383="-",SCAN!Q383="-"),SCAN!F383,0)</f>
        <v>0</v>
      </c>
      <c r="M383" s="55">
        <f>IF(SCAN!K383&lt;&gt;"-",SCAN!D383,0)</f>
        <v>0</v>
      </c>
      <c r="N383" s="55">
        <f>IF(SCAN!K383&lt;&gt;"-",SCAN!E383,0)</f>
        <v>0</v>
      </c>
      <c r="O383" s="55">
        <f>IF(SCAN!K383&lt;&gt;"-",SCAN!F383,0)</f>
        <v>0</v>
      </c>
      <c r="R383" s="53">
        <f>IF(SCAN!Q383&lt;&gt;"-",SCAN!D383,0)</f>
        <v>0</v>
      </c>
      <c r="S383" s="53">
        <f>IF(SCAN!Q383&lt;&gt;"-",SCAN!E383,0)</f>
        <v>0</v>
      </c>
      <c r="T383" s="53">
        <f>IF(SCAN!Q383&lt;&gt;"-",SCAN!F383,0)</f>
        <v>0</v>
      </c>
    </row>
    <row r="384" spans="8:20" x14ac:dyDescent="0.25">
      <c r="H384" s="50">
        <f>IF(AND(SCAN!K384="-",SCAN!Q384="-"),SCAN!D384,0)</f>
        <v>0</v>
      </c>
      <c r="I384" s="50">
        <f>IF(AND(SCAN!K384="-",SCAN!Q384="-"),SCAN!E384,0)</f>
        <v>0</v>
      </c>
      <c r="J384" s="50">
        <f>IF(AND(SCAN!K384="-",SCAN!Q384="-"),SCAN!F384,0)</f>
        <v>0</v>
      </c>
      <c r="M384" s="55">
        <f>IF(SCAN!K384&lt;&gt;"-",SCAN!D384,0)</f>
        <v>0</v>
      </c>
      <c r="N384" s="55">
        <f>IF(SCAN!K384&lt;&gt;"-",SCAN!E384,0)</f>
        <v>0</v>
      </c>
      <c r="O384" s="55">
        <f>IF(SCAN!K384&lt;&gt;"-",SCAN!F384,0)</f>
        <v>0</v>
      </c>
      <c r="R384" s="53">
        <f>IF(SCAN!Q384&lt;&gt;"-",SCAN!D384,0)</f>
        <v>0</v>
      </c>
      <c r="S384" s="53">
        <f>IF(SCAN!Q384&lt;&gt;"-",SCAN!E384,0)</f>
        <v>0</v>
      </c>
      <c r="T384" s="53">
        <f>IF(SCAN!Q384&lt;&gt;"-",SCAN!F384,0)</f>
        <v>0</v>
      </c>
    </row>
    <row r="385" spans="8:20" x14ac:dyDescent="0.25">
      <c r="H385" s="50">
        <f>IF(AND(SCAN!K385="-",SCAN!Q385="-"),SCAN!D385,0)</f>
        <v>0</v>
      </c>
      <c r="I385" s="50">
        <f>IF(AND(SCAN!K385="-",SCAN!Q385="-"),SCAN!E385,0)</f>
        <v>0</v>
      </c>
      <c r="J385" s="50">
        <f>IF(AND(SCAN!K385="-",SCAN!Q385="-"),SCAN!F385,0)</f>
        <v>0</v>
      </c>
      <c r="M385" s="55">
        <f>IF(SCAN!K385&lt;&gt;"-",SCAN!D385,0)</f>
        <v>0</v>
      </c>
      <c r="N385" s="55">
        <f>IF(SCAN!K385&lt;&gt;"-",SCAN!E385,0)</f>
        <v>0</v>
      </c>
      <c r="O385" s="55">
        <f>IF(SCAN!K385&lt;&gt;"-",SCAN!F385,0)</f>
        <v>0</v>
      </c>
      <c r="R385" s="53">
        <f>IF(SCAN!Q385&lt;&gt;"-",SCAN!D385,0)</f>
        <v>0</v>
      </c>
      <c r="S385" s="53">
        <f>IF(SCAN!Q385&lt;&gt;"-",SCAN!E385,0)</f>
        <v>0</v>
      </c>
      <c r="T385" s="53">
        <f>IF(SCAN!Q385&lt;&gt;"-",SCAN!F385,0)</f>
        <v>0</v>
      </c>
    </row>
    <row r="386" spans="8:20" x14ac:dyDescent="0.25">
      <c r="H386" s="50">
        <f>IF(AND(SCAN!K386="-",SCAN!Q386="-"),SCAN!D386,0)</f>
        <v>0</v>
      </c>
      <c r="I386" s="50">
        <f>IF(AND(SCAN!K386="-",SCAN!Q386="-"),SCAN!E386,0)</f>
        <v>0</v>
      </c>
      <c r="J386" s="50">
        <f>IF(AND(SCAN!K386="-",SCAN!Q386="-"),SCAN!F386,0)</f>
        <v>0</v>
      </c>
      <c r="M386" s="55">
        <f>IF(SCAN!K386&lt;&gt;"-",SCAN!D386,0)</f>
        <v>0</v>
      </c>
      <c r="N386" s="55">
        <f>IF(SCAN!K386&lt;&gt;"-",SCAN!E386,0)</f>
        <v>0</v>
      </c>
      <c r="O386" s="55">
        <f>IF(SCAN!K386&lt;&gt;"-",SCAN!F386,0)</f>
        <v>0</v>
      </c>
      <c r="R386" s="53">
        <f>IF(SCAN!Q386&lt;&gt;"-",SCAN!D386,0)</f>
        <v>0</v>
      </c>
      <c r="S386" s="53">
        <f>IF(SCAN!Q386&lt;&gt;"-",SCAN!E386,0)</f>
        <v>0</v>
      </c>
      <c r="T386" s="53">
        <f>IF(SCAN!Q386&lt;&gt;"-",SCAN!F386,0)</f>
        <v>0</v>
      </c>
    </row>
    <row r="387" spans="8:20" x14ac:dyDescent="0.25">
      <c r="H387" s="50">
        <f>IF(AND(SCAN!K387="-",SCAN!Q387="-"),SCAN!D387,0)</f>
        <v>0</v>
      </c>
      <c r="I387" s="50">
        <f>IF(AND(SCAN!K387="-",SCAN!Q387="-"),SCAN!E387,0)</f>
        <v>0</v>
      </c>
      <c r="J387" s="50">
        <f>IF(AND(SCAN!K387="-",SCAN!Q387="-"),SCAN!F387,0)</f>
        <v>0</v>
      </c>
      <c r="M387" s="55">
        <f>IF(SCAN!K387&lt;&gt;"-",SCAN!D387,0)</f>
        <v>0</v>
      </c>
      <c r="N387" s="55">
        <f>IF(SCAN!K387&lt;&gt;"-",SCAN!E387,0)</f>
        <v>0</v>
      </c>
      <c r="O387" s="55">
        <f>IF(SCAN!K387&lt;&gt;"-",SCAN!F387,0)</f>
        <v>0</v>
      </c>
      <c r="R387" s="53">
        <f>IF(SCAN!Q387&lt;&gt;"-",SCAN!D387,0)</f>
        <v>0</v>
      </c>
      <c r="S387" s="53">
        <f>IF(SCAN!Q387&lt;&gt;"-",SCAN!E387,0)</f>
        <v>0</v>
      </c>
      <c r="T387" s="53">
        <f>IF(SCAN!Q387&lt;&gt;"-",SCAN!F387,0)</f>
        <v>0</v>
      </c>
    </row>
    <row r="388" spans="8:20" x14ac:dyDescent="0.25">
      <c r="H388" s="50">
        <f>IF(AND(SCAN!K388="-",SCAN!Q388="-"),SCAN!D388,0)</f>
        <v>0</v>
      </c>
      <c r="I388" s="50">
        <f>IF(AND(SCAN!K388="-",SCAN!Q388="-"),SCAN!E388,0)</f>
        <v>0</v>
      </c>
      <c r="J388" s="50">
        <f>IF(AND(SCAN!K388="-",SCAN!Q388="-"),SCAN!F388,0)</f>
        <v>0</v>
      </c>
      <c r="M388" s="55">
        <f>IF(SCAN!K388&lt;&gt;"-",SCAN!D388,0)</f>
        <v>0</v>
      </c>
      <c r="N388" s="55">
        <f>IF(SCAN!K388&lt;&gt;"-",SCAN!E388,0)</f>
        <v>0</v>
      </c>
      <c r="O388" s="55">
        <f>IF(SCAN!K388&lt;&gt;"-",SCAN!F388,0)</f>
        <v>0</v>
      </c>
      <c r="R388" s="53">
        <f>IF(SCAN!Q388&lt;&gt;"-",SCAN!D388,0)</f>
        <v>0</v>
      </c>
      <c r="S388" s="53">
        <f>IF(SCAN!Q388&lt;&gt;"-",SCAN!E388,0)</f>
        <v>0</v>
      </c>
      <c r="T388" s="53">
        <f>IF(SCAN!Q388&lt;&gt;"-",SCAN!F388,0)</f>
        <v>0</v>
      </c>
    </row>
    <row r="389" spans="8:20" x14ac:dyDescent="0.25">
      <c r="H389" s="50">
        <f>IF(AND(SCAN!K389="-",SCAN!Q389="-"),SCAN!D389,0)</f>
        <v>0</v>
      </c>
      <c r="I389" s="50">
        <f>IF(AND(SCAN!K389="-",SCAN!Q389="-"),SCAN!E389,0)</f>
        <v>0</v>
      </c>
      <c r="J389" s="50">
        <f>IF(AND(SCAN!K389="-",SCAN!Q389="-"),SCAN!F389,0)</f>
        <v>0</v>
      </c>
      <c r="M389" s="55">
        <f>IF(SCAN!K389&lt;&gt;"-",SCAN!D389,0)</f>
        <v>0</v>
      </c>
      <c r="N389" s="55">
        <f>IF(SCAN!K389&lt;&gt;"-",SCAN!E389,0)</f>
        <v>0</v>
      </c>
      <c r="O389" s="55">
        <f>IF(SCAN!K389&lt;&gt;"-",SCAN!F389,0)</f>
        <v>0</v>
      </c>
      <c r="R389" s="53">
        <f>IF(SCAN!Q389&lt;&gt;"-",SCAN!D389,0)</f>
        <v>0</v>
      </c>
      <c r="S389" s="53">
        <f>IF(SCAN!Q389&lt;&gt;"-",SCAN!E389,0)</f>
        <v>0</v>
      </c>
      <c r="T389" s="53">
        <f>IF(SCAN!Q389&lt;&gt;"-",SCAN!F389,0)</f>
        <v>0</v>
      </c>
    </row>
    <row r="390" spans="8:20" x14ac:dyDescent="0.25">
      <c r="H390" s="50">
        <f>IF(AND(SCAN!K390="-",SCAN!Q390="-"),SCAN!D390,0)</f>
        <v>0</v>
      </c>
      <c r="I390" s="50">
        <f>IF(AND(SCAN!K390="-",SCAN!Q390="-"),SCAN!E390,0)</f>
        <v>0</v>
      </c>
      <c r="J390" s="50">
        <f>IF(AND(SCAN!K390="-",SCAN!Q390="-"),SCAN!F390,0)</f>
        <v>0</v>
      </c>
      <c r="M390" s="55">
        <f>IF(SCAN!K390&lt;&gt;"-",SCAN!D390,0)</f>
        <v>0</v>
      </c>
      <c r="N390" s="55">
        <f>IF(SCAN!K390&lt;&gt;"-",SCAN!E390,0)</f>
        <v>0</v>
      </c>
      <c r="O390" s="55">
        <f>IF(SCAN!K390&lt;&gt;"-",SCAN!F390,0)</f>
        <v>0</v>
      </c>
      <c r="R390" s="53">
        <f>IF(SCAN!Q390&lt;&gt;"-",SCAN!D390,0)</f>
        <v>0</v>
      </c>
      <c r="S390" s="53">
        <f>IF(SCAN!Q390&lt;&gt;"-",SCAN!E390,0)</f>
        <v>0</v>
      </c>
      <c r="T390" s="53">
        <f>IF(SCAN!Q390&lt;&gt;"-",SCAN!F390,0)</f>
        <v>0</v>
      </c>
    </row>
    <row r="391" spans="8:20" x14ac:dyDescent="0.25">
      <c r="H391" s="50">
        <f>IF(AND(SCAN!K391="-",SCAN!Q391="-"),SCAN!D391,0)</f>
        <v>0</v>
      </c>
      <c r="I391" s="50">
        <f>IF(AND(SCAN!K391="-",SCAN!Q391="-"),SCAN!E391,0)</f>
        <v>0</v>
      </c>
      <c r="J391" s="50">
        <f>IF(AND(SCAN!K391="-",SCAN!Q391="-"),SCAN!F391,0)</f>
        <v>0</v>
      </c>
      <c r="M391" s="55">
        <f>IF(SCAN!K391&lt;&gt;"-",SCAN!D391,0)</f>
        <v>0</v>
      </c>
      <c r="N391" s="55">
        <f>IF(SCAN!K391&lt;&gt;"-",SCAN!E391,0)</f>
        <v>0</v>
      </c>
      <c r="O391" s="55">
        <f>IF(SCAN!K391&lt;&gt;"-",SCAN!F391,0)</f>
        <v>0</v>
      </c>
      <c r="R391" s="53">
        <f>IF(SCAN!Q391&lt;&gt;"-",SCAN!D391,0)</f>
        <v>0</v>
      </c>
      <c r="S391" s="53">
        <f>IF(SCAN!Q391&lt;&gt;"-",SCAN!E391,0)</f>
        <v>0</v>
      </c>
      <c r="T391" s="53">
        <f>IF(SCAN!Q391&lt;&gt;"-",SCAN!F391,0)</f>
        <v>0</v>
      </c>
    </row>
    <row r="392" spans="8:20" x14ac:dyDescent="0.25">
      <c r="H392" s="50">
        <f>IF(AND(SCAN!K392="-",SCAN!Q392="-"),SCAN!D392,0)</f>
        <v>0</v>
      </c>
      <c r="I392" s="50">
        <f>IF(AND(SCAN!K392="-",SCAN!Q392="-"),SCAN!E392,0)</f>
        <v>0</v>
      </c>
      <c r="J392" s="50">
        <f>IF(AND(SCAN!K392="-",SCAN!Q392="-"),SCAN!F392,0)</f>
        <v>0</v>
      </c>
      <c r="M392" s="55">
        <f>IF(SCAN!K392&lt;&gt;"-",SCAN!D392,0)</f>
        <v>0</v>
      </c>
      <c r="N392" s="55">
        <f>IF(SCAN!K392&lt;&gt;"-",SCAN!E392,0)</f>
        <v>0</v>
      </c>
      <c r="O392" s="55">
        <f>IF(SCAN!K392&lt;&gt;"-",SCAN!F392,0)</f>
        <v>0</v>
      </c>
      <c r="R392" s="53">
        <f>IF(SCAN!Q392&lt;&gt;"-",SCAN!D392,0)</f>
        <v>0</v>
      </c>
      <c r="S392" s="53">
        <f>IF(SCAN!Q392&lt;&gt;"-",SCAN!E392,0)</f>
        <v>0</v>
      </c>
      <c r="T392" s="53">
        <f>IF(SCAN!Q392&lt;&gt;"-",SCAN!F392,0)</f>
        <v>0</v>
      </c>
    </row>
    <row r="393" spans="8:20" x14ac:dyDescent="0.25">
      <c r="H393" s="50">
        <f>IF(AND(SCAN!K393="-",SCAN!Q393="-"),SCAN!D393,0)</f>
        <v>0</v>
      </c>
      <c r="I393" s="50">
        <f>IF(AND(SCAN!K393="-",SCAN!Q393="-"),SCAN!E393,0)</f>
        <v>0</v>
      </c>
      <c r="J393" s="50">
        <f>IF(AND(SCAN!K393="-",SCAN!Q393="-"),SCAN!F393,0)</f>
        <v>0</v>
      </c>
      <c r="M393" s="55">
        <f>IF(SCAN!K393&lt;&gt;"-",SCAN!D393,0)</f>
        <v>0</v>
      </c>
      <c r="N393" s="55">
        <f>IF(SCAN!K393&lt;&gt;"-",SCAN!E393,0)</f>
        <v>0</v>
      </c>
      <c r="O393" s="55">
        <f>IF(SCAN!K393&lt;&gt;"-",SCAN!F393,0)</f>
        <v>0</v>
      </c>
      <c r="R393" s="53">
        <f>IF(SCAN!Q393&lt;&gt;"-",SCAN!D393,0)</f>
        <v>0</v>
      </c>
      <c r="S393" s="53">
        <f>IF(SCAN!Q393&lt;&gt;"-",SCAN!E393,0)</f>
        <v>0</v>
      </c>
      <c r="T393" s="53">
        <f>IF(SCAN!Q393&lt;&gt;"-",SCAN!F393,0)</f>
        <v>0</v>
      </c>
    </row>
    <row r="394" spans="8:20" x14ac:dyDescent="0.25">
      <c r="H394" s="50">
        <f>IF(AND(SCAN!K394="-",SCAN!Q394="-"),SCAN!D394,0)</f>
        <v>0</v>
      </c>
      <c r="I394" s="50">
        <f>IF(AND(SCAN!K394="-",SCAN!Q394="-"),SCAN!E394,0)</f>
        <v>0</v>
      </c>
      <c r="J394" s="50">
        <f>IF(AND(SCAN!K394="-",SCAN!Q394="-"),SCAN!F394,0)</f>
        <v>0</v>
      </c>
      <c r="M394" s="55">
        <f>IF(SCAN!K394&lt;&gt;"-",SCAN!D394,0)</f>
        <v>0</v>
      </c>
      <c r="N394" s="55">
        <f>IF(SCAN!K394&lt;&gt;"-",SCAN!E394,0)</f>
        <v>0</v>
      </c>
      <c r="O394" s="55">
        <f>IF(SCAN!K394&lt;&gt;"-",SCAN!F394,0)</f>
        <v>0</v>
      </c>
      <c r="R394" s="53">
        <f>IF(SCAN!Q394&lt;&gt;"-",SCAN!D394,0)</f>
        <v>0</v>
      </c>
      <c r="S394" s="53">
        <f>IF(SCAN!Q394&lt;&gt;"-",SCAN!E394,0)</f>
        <v>0</v>
      </c>
      <c r="T394" s="53">
        <f>IF(SCAN!Q394&lt;&gt;"-",SCAN!F394,0)</f>
        <v>0</v>
      </c>
    </row>
    <row r="395" spans="8:20" x14ac:dyDescent="0.25">
      <c r="H395" s="50">
        <f>IF(AND(SCAN!K395="-",SCAN!Q395="-"),SCAN!D395,0)</f>
        <v>0</v>
      </c>
      <c r="I395" s="50">
        <f>IF(AND(SCAN!K395="-",SCAN!Q395="-"),SCAN!E395,0)</f>
        <v>0</v>
      </c>
      <c r="J395" s="50">
        <f>IF(AND(SCAN!K395="-",SCAN!Q395="-"),SCAN!F395,0)</f>
        <v>0</v>
      </c>
      <c r="M395" s="55">
        <f>IF(SCAN!K395&lt;&gt;"-",SCAN!D395,0)</f>
        <v>0</v>
      </c>
      <c r="N395" s="55">
        <f>IF(SCAN!K395&lt;&gt;"-",SCAN!E395,0)</f>
        <v>0</v>
      </c>
      <c r="O395" s="55">
        <f>IF(SCAN!K395&lt;&gt;"-",SCAN!F395,0)</f>
        <v>0</v>
      </c>
      <c r="R395" s="53">
        <f>IF(SCAN!Q395&lt;&gt;"-",SCAN!D395,0)</f>
        <v>0</v>
      </c>
      <c r="S395" s="53">
        <f>IF(SCAN!Q395&lt;&gt;"-",SCAN!E395,0)</f>
        <v>0</v>
      </c>
      <c r="T395" s="53">
        <f>IF(SCAN!Q395&lt;&gt;"-",SCAN!F395,0)</f>
        <v>0</v>
      </c>
    </row>
    <row r="396" spans="8:20" x14ac:dyDescent="0.25">
      <c r="H396" s="50">
        <f>IF(AND(SCAN!K396="-",SCAN!Q396="-"),SCAN!D396,0)</f>
        <v>0</v>
      </c>
      <c r="I396" s="50">
        <f>IF(AND(SCAN!K396="-",SCAN!Q396="-"),SCAN!E396,0)</f>
        <v>0</v>
      </c>
      <c r="J396" s="50">
        <f>IF(AND(SCAN!K396="-",SCAN!Q396="-"),SCAN!F396,0)</f>
        <v>0</v>
      </c>
      <c r="M396" s="55">
        <f>IF(SCAN!K396&lt;&gt;"-",SCAN!D396,0)</f>
        <v>0</v>
      </c>
      <c r="N396" s="55">
        <f>IF(SCAN!K396&lt;&gt;"-",SCAN!E396,0)</f>
        <v>0</v>
      </c>
      <c r="O396" s="55">
        <f>IF(SCAN!K396&lt;&gt;"-",SCAN!F396,0)</f>
        <v>0</v>
      </c>
      <c r="R396" s="53">
        <f>IF(SCAN!Q396&lt;&gt;"-",SCAN!D396,0)</f>
        <v>0</v>
      </c>
      <c r="S396" s="53">
        <f>IF(SCAN!Q396&lt;&gt;"-",SCAN!E396,0)</f>
        <v>0</v>
      </c>
      <c r="T396" s="53">
        <f>IF(SCAN!Q396&lt;&gt;"-",SCAN!F396,0)</f>
        <v>0</v>
      </c>
    </row>
    <row r="397" spans="8:20" x14ac:dyDescent="0.25">
      <c r="H397" s="50">
        <f>IF(AND(SCAN!K397="-",SCAN!Q397="-"),SCAN!D397,0)</f>
        <v>0</v>
      </c>
      <c r="I397" s="50">
        <f>IF(AND(SCAN!K397="-",SCAN!Q397="-"),SCAN!E397,0)</f>
        <v>0</v>
      </c>
      <c r="J397" s="50">
        <f>IF(AND(SCAN!K397="-",SCAN!Q397="-"),SCAN!F397,0)</f>
        <v>0</v>
      </c>
      <c r="M397" s="55">
        <f>IF(SCAN!K397&lt;&gt;"-",SCAN!D397,0)</f>
        <v>0</v>
      </c>
      <c r="N397" s="55">
        <f>IF(SCAN!K397&lt;&gt;"-",SCAN!E397,0)</f>
        <v>0</v>
      </c>
      <c r="O397" s="55">
        <f>IF(SCAN!K397&lt;&gt;"-",SCAN!F397,0)</f>
        <v>0</v>
      </c>
      <c r="R397" s="53">
        <f>IF(SCAN!Q397&lt;&gt;"-",SCAN!D397,0)</f>
        <v>0</v>
      </c>
      <c r="S397" s="53">
        <f>IF(SCAN!Q397&lt;&gt;"-",SCAN!E397,0)</f>
        <v>0</v>
      </c>
      <c r="T397" s="53">
        <f>IF(SCAN!Q397&lt;&gt;"-",SCAN!F397,0)</f>
        <v>0</v>
      </c>
    </row>
    <row r="398" spans="8:20" x14ac:dyDescent="0.25">
      <c r="H398" s="50">
        <f>IF(AND(SCAN!K398="-",SCAN!Q398="-"),SCAN!D398,0)</f>
        <v>0</v>
      </c>
      <c r="I398" s="50">
        <f>IF(AND(SCAN!K398="-",SCAN!Q398="-"),SCAN!E398,0)</f>
        <v>0</v>
      </c>
      <c r="J398" s="50">
        <f>IF(AND(SCAN!K398="-",SCAN!Q398="-"),SCAN!F398,0)</f>
        <v>0</v>
      </c>
      <c r="M398" s="55">
        <f>IF(SCAN!K398&lt;&gt;"-",SCAN!D398,0)</f>
        <v>0</v>
      </c>
      <c r="N398" s="55">
        <f>IF(SCAN!K398&lt;&gt;"-",SCAN!E398,0)</f>
        <v>0</v>
      </c>
      <c r="O398" s="55">
        <f>IF(SCAN!K398&lt;&gt;"-",SCAN!F398,0)</f>
        <v>0</v>
      </c>
      <c r="R398" s="53">
        <f>IF(SCAN!Q398&lt;&gt;"-",SCAN!D398,0)</f>
        <v>0</v>
      </c>
      <c r="S398" s="53">
        <f>IF(SCAN!Q398&lt;&gt;"-",SCAN!E398,0)</f>
        <v>0</v>
      </c>
      <c r="T398" s="53">
        <f>IF(SCAN!Q398&lt;&gt;"-",SCAN!F398,0)</f>
        <v>0</v>
      </c>
    </row>
    <row r="399" spans="8:20" x14ac:dyDescent="0.25">
      <c r="H399" s="50">
        <f>IF(AND(SCAN!K399="-",SCAN!Q399="-"),SCAN!D399,0)</f>
        <v>0</v>
      </c>
      <c r="I399" s="50">
        <f>IF(AND(SCAN!K399="-",SCAN!Q399="-"),SCAN!E399,0)</f>
        <v>0</v>
      </c>
      <c r="J399" s="50">
        <f>IF(AND(SCAN!K399="-",SCAN!Q399="-"),SCAN!F399,0)</f>
        <v>0</v>
      </c>
      <c r="M399" s="55">
        <f>IF(SCAN!K399&lt;&gt;"-",SCAN!D399,0)</f>
        <v>0</v>
      </c>
      <c r="N399" s="55">
        <f>IF(SCAN!K399&lt;&gt;"-",SCAN!E399,0)</f>
        <v>0</v>
      </c>
      <c r="O399" s="55">
        <f>IF(SCAN!K399&lt;&gt;"-",SCAN!F399,0)</f>
        <v>0</v>
      </c>
      <c r="R399" s="53">
        <f>IF(SCAN!Q399&lt;&gt;"-",SCAN!D399,0)</f>
        <v>0</v>
      </c>
      <c r="S399" s="53">
        <f>IF(SCAN!Q399&lt;&gt;"-",SCAN!E399,0)</f>
        <v>0</v>
      </c>
      <c r="T399" s="53">
        <f>IF(SCAN!Q399&lt;&gt;"-",SCAN!F399,0)</f>
        <v>0</v>
      </c>
    </row>
    <row r="400" spans="8:20" x14ac:dyDescent="0.25">
      <c r="H400" s="50">
        <f>IF(AND(SCAN!K400="-",SCAN!Q400="-"),SCAN!D400,0)</f>
        <v>0</v>
      </c>
      <c r="I400" s="50">
        <f>IF(AND(SCAN!K400="-",SCAN!Q400="-"),SCAN!E400,0)</f>
        <v>0</v>
      </c>
      <c r="J400" s="50">
        <f>IF(AND(SCAN!K400="-",SCAN!Q400="-"),SCAN!F400,0)</f>
        <v>0</v>
      </c>
      <c r="M400" s="55">
        <f>IF(SCAN!K400&lt;&gt;"-",SCAN!D400,0)</f>
        <v>0</v>
      </c>
      <c r="N400" s="55">
        <f>IF(SCAN!K400&lt;&gt;"-",SCAN!E400,0)</f>
        <v>0</v>
      </c>
      <c r="O400" s="55">
        <f>IF(SCAN!K400&lt;&gt;"-",SCAN!F400,0)</f>
        <v>0</v>
      </c>
      <c r="R400" s="53">
        <f>IF(SCAN!Q400&lt;&gt;"-",SCAN!D400,0)</f>
        <v>0</v>
      </c>
      <c r="S400" s="53">
        <f>IF(SCAN!Q400&lt;&gt;"-",SCAN!E400,0)</f>
        <v>0</v>
      </c>
      <c r="T400" s="53">
        <f>IF(SCAN!Q400&lt;&gt;"-",SCAN!F400,0)</f>
        <v>0</v>
      </c>
    </row>
    <row r="401" spans="8:20" x14ac:dyDescent="0.25">
      <c r="H401" s="50">
        <f>IF(AND(SCAN!K401="-",SCAN!Q401="-"),SCAN!D401,0)</f>
        <v>0</v>
      </c>
      <c r="I401" s="50">
        <f>IF(AND(SCAN!K401="-",SCAN!Q401="-"),SCAN!E401,0)</f>
        <v>0</v>
      </c>
      <c r="J401" s="50">
        <f>IF(AND(SCAN!K401="-",SCAN!Q401="-"),SCAN!F401,0)</f>
        <v>0</v>
      </c>
      <c r="M401" s="55">
        <f>IF(SCAN!K401&lt;&gt;"-",SCAN!D401,0)</f>
        <v>0</v>
      </c>
      <c r="N401" s="55">
        <f>IF(SCAN!K401&lt;&gt;"-",SCAN!E401,0)</f>
        <v>0</v>
      </c>
      <c r="O401" s="55">
        <f>IF(SCAN!K401&lt;&gt;"-",SCAN!F401,0)</f>
        <v>0</v>
      </c>
      <c r="R401" s="53">
        <f>IF(SCAN!Q401&lt;&gt;"-",SCAN!D401,0)</f>
        <v>0</v>
      </c>
      <c r="S401" s="53">
        <f>IF(SCAN!Q401&lt;&gt;"-",SCAN!E401,0)</f>
        <v>0</v>
      </c>
      <c r="T401" s="53">
        <f>IF(SCAN!Q401&lt;&gt;"-",SCAN!F401,0)</f>
        <v>0</v>
      </c>
    </row>
    <row r="402" spans="8:20" x14ac:dyDescent="0.25">
      <c r="H402" s="50">
        <f>IF(AND(SCAN!K402="-",SCAN!Q402="-"),SCAN!D402,0)</f>
        <v>0</v>
      </c>
      <c r="I402" s="50">
        <f>IF(AND(SCAN!K402="-",SCAN!Q402="-"),SCAN!E402,0)</f>
        <v>0</v>
      </c>
      <c r="J402" s="50">
        <f>IF(AND(SCAN!K402="-",SCAN!Q402="-"),SCAN!F402,0)</f>
        <v>0</v>
      </c>
      <c r="M402" s="55">
        <f>IF(SCAN!K402&lt;&gt;"-",SCAN!D402,0)</f>
        <v>0</v>
      </c>
      <c r="N402" s="55">
        <f>IF(SCAN!K402&lt;&gt;"-",SCAN!E402,0)</f>
        <v>0</v>
      </c>
      <c r="O402" s="55">
        <f>IF(SCAN!K402&lt;&gt;"-",SCAN!F402,0)</f>
        <v>0</v>
      </c>
      <c r="R402" s="53">
        <f>IF(SCAN!Q402&lt;&gt;"-",SCAN!D402,0)</f>
        <v>0</v>
      </c>
      <c r="S402" s="53">
        <f>IF(SCAN!Q402&lt;&gt;"-",SCAN!E402,0)</f>
        <v>0</v>
      </c>
      <c r="T402" s="53">
        <f>IF(SCAN!Q402&lt;&gt;"-",SCAN!F402,0)</f>
        <v>0</v>
      </c>
    </row>
    <row r="403" spans="8:20" x14ac:dyDescent="0.25">
      <c r="H403" s="50">
        <f>IF(AND(SCAN!K403="-",SCAN!Q403="-"),SCAN!D403,0)</f>
        <v>0</v>
      </c>
      <c r="I403" s="50">
        <f>IF(AND(SCAN!K403="-",SCAN!Q403="-"),SCAN!E403,0)</f>
        <v>0</v>
      </c>
      <c r="J403" s="50">
        <f>IF(AND(SCAN!K403="-",SCAN!Q403="-"),SCAN!F403,0)</f>
        <v>0</v>
      </c>
      <c r="M403" s="55">
        <f>IF(SCAN!K403&lt;&gt;"-",SCAN!D403,0)</f>
        <v>0</v>
      </c>
      <c r="N403" s="55">
        <f>IF(SCAN!K403&lt;&gt;"-",SCAN!E403,0)</f>
        <v>0</v>
      </c>
      <c r="O403" s="55">
        <f>IF(SCAN!K403&lt;&gt;"-",SCAN!F403,0)</f>
        <v>0</v>
      </c>
      <c r="R403" s="53">
        <f>IF(SCAN!Q403&lt;&gt;"-",SCAN!D403,0)</f>
        <v>0</v>
      </c>
      <c r="S403" s="53">
        <f>IF(SCAN!Q403&lt;&gt;"-",SCAN!E403,0)</f>
        <v>0</v>
      </c>
      <c r="T403" s="53">
        <f>IF(SCAN!Q403&lt;&gt;"-",SCAN!F403,0)</f>
        <v>0</v>
      </c>
    </row>
    <row r="404" spans="8:20" x14ac:dyDescent="0.25">
      <c r="H404" s="50">
        <f>IF(AND(SCAN!K404="-",SCAN!Q404="-"),SCAN!D404,0)</f>
        <v>0</v>
      </c>
      <c r="I404" s="50">
        <f>IF(AND(SCAN!K404="-",SCAN!Q404="-"),SCAN!E404,0)</f>
        <v>0</v>
      </c>
      <c r="J404" s="50">
        <f>IF(AND(SCAN!K404="-",SCAN!Q404="-"),SCAN!F404,0)</f>
        <v>0</v>
      </c>
      <c r="M404" s="55">
        <f>IF(SCAN!K404&lt;&gt;"-",SCAN!D404,0)</f>
        <v>0</v>
      </c>
      <c r="N404" s="55">
        <f>IF(SCAN!K404&lt;&gt;"-",SCAN!E404,0)</f>
        <v>0</v>
      </c>
      <c r="O404" s="55">
        <f>IF(SCAN!K404&lt;&gt;"-",SCAN!F404,0)</f>
        <v>0</v>
      </c>
      <c r="R404" s="53">
        <f>IF(SCAN!Q404&lt;&gt;"-",SCAN!D404,0)</f>
        <v>0</v>
      </c>
      <c r="S404" s="53">
        <f>IF(SCAN!Q404&lt;&gt;"-",SCAN!E404,0)</f>
        <v>0</v>
      </c>
      <c r="T404" s="53">
        <f>IF(SCAN!Q404&lt;&gt;"-",SCAN!F404,0)</f>
        <v>0</v>
      </c>
    </row>
    <row r="405" spans="8:20" x14ac:dyDescent="0.25">
      <c r="H405" s="50">
        <f>IF(AND(SCAN!K405="-",SCAN!Q405="-"),SCAN!D405,0)</f>
        <v>0</v>
      </c>
      <c r="I405" s="50">
        <f>IF(AND(SCAN!K405="-",SCAN!Q405="-"),SCAN!E405,0)</f>
        <v>0</v>
      </c>
      <c r="J405" s="50">
        <f>IF(AND(SCAN!K405="-",SCAN!Q405="-"),SCAN!F405,0)</f>
        <v>0</v>
      </c>
      <c r="M405" s="55">
        <f>IF(SCAN!K405&lt;&gt;"-",SCAN!D405,0)</f>
        <v>0</v>
      </c>
      <c r="N405" s="55">
        <f>IF(SCAN!K405&lt;&gt;"-",SCAN!E405,0)</f>
        <v>0</v>
      </c>
      <c r="O405" s="55">
        <f>IF(SCAN!K405&lt;&gt;"-",SCAN!F405,0)</f>
        <v>0</v>
      </c>
      <c r="R405" s="53">
        <f>IF(SCAN!Q405&lt;&gt;"-",SCAN!D405,0)</f>
        <v>0</v>
      </c>
      <c r="S405" s="53">
        <f>IF(SCAN!Q405&lt;&gt;"-",SCAN!E405,0)</f>
        <v>0</v>
      </c>
      <c r="T405" s="53">
        <f>IF(SCAN!Q405&lt;&gt;"-",SCAN!F405,0)</f>
        <v>0</v>
      </c>
    </row>
    <row r="406" spans="8:20" x14ac:dyDescent="0.25">
      <c r="H406" s="50">
        <f>IF(AND(SCAN!K406="-",SCAN!Q406="-"),SCAN!D406,0)</f>
        <v>0</v>
      </c>
      <c r="I406" s="50">
        <f>IF(AND(SCAN!K406="-",SCAN!Q406="-"),SCAN!E406,0)</f>
        <v>0</v>
      </c>
      <c r="J406" s="50">
        <f>IF(AND(SCAN!K406="-",SCAN!Q406="-"),SCAN!F406,0)</f>
        <v>0</v>
      </c>
      <c r="M406" s="55">
        <f>IF(SCAN!K406&lt;&gt;"-",SCAN!D406,0)</f>
        <v>0</v>
      </c>
      <c r="N406" s="55">
        <f>IF(SCAN!K406&lt;&gt;"-",SCAN!E406,0)</f>
        <v>0</v>
      </c>
      <c r="O406" s="55">
        <f>IF(SCAN!K406&lt;&gt;"-",SCAN!F406,0)</f>
        <v>0</v>
      </c>
      <c r="R406" s="53">
        <f>IF(SCAN!Q406&lt;&gt;"-",SCAN!D406,0)</f>
        <v>0</v>
      </c>
      <c r="S406" s="53">
        <f>IF(SCAN!Q406&lt;&gt;"-",SCAN!E406,0)</f>
        <v>0</v>
      </c>
      <c r="T406" s="53">
        <f>IF(SCAN!Q406&lt;&gt;"-",SCAN!F406,0)</f>
        <v>0</v>
      </c>
    </row>
    <row r="407" spans="8:20" x14ac:dyDescent="0.25">
      <c r="H407" s="50">
        <f>IF(AND(SCAN!K407="-",SCAN!Q407="-"),SCAN!D407,0)</f>
        <v>0</v>
      </c>
      <c r="I407" s="50">
        <f>IF(AND(SCAN!K407="-",SCAN!Q407="-"),SCAN!E407,0)</f>
        <v>0</v>
      </c>
      <c r="J407" s="50">
        <f>IF(AND(SCAN!K407="-",SCAN!Q407="-"),SCAN!F407,0)</f>
        <v>0</v>
      </c>
      <c r="M407" s="55">
        <f>IF(SCAN!K407&lt;&gt;"-",SCAN!D407,0)</f>
        <v>0</v>
      </c>
      <c r="N407" s="55">
        <f>IF(SCAN!K407&lt;&gt;"-",SCAN!E407,0)</f>
        <v>0</v>
      </c>
      <c r="O407" s="55">
        <f>IF(SCAN!K407&lt;&gt;"-",SCAN!F407,0)</f>
        <v>0</v>
      </c>
      <c r="R407" s="53">
        <f>IF(SCAN!Q407&lt;&gt;"-",SCAN!D407,0)</f>
        <v>0</v>
      </c>
      <c r="S407" s="53">
        <f>IF(SCAN!Q407&lt;&gt;"-",SCAN!E407,0)</f>
        <v>0</v>
      </c>
      <c r="T407" s="53">
        <f>IF(SCAN!Q407&lt;&gt;"-",SCAN!F407,0)</f>
        <v>0</v>
      </c>
    </row>
    <row r="408" spans="8:20" x14ac:dyDescent="0.25">
      <c r="H408" s="50">
        <f>IF(AND(SCAN!K408="-",SCAN!Q408="-"),SCAN!D408,0)</f>
        <v>0</v>
      </c>
      <c r="I408" s="50">
        <f>IF(AND(SCAN!K408="-",SCAN!Q408="-"),SCAN!E408,0)</f>
        <v>0</v>
      </c>
      <c r="J408" s="50">
        <f>IF(AND(SCAN!K408="-",SCAN!Q408="-"),SCAN!F408,0)</f>
        <v>0</v>
      </c>
      <c r="M408" s="55">
        <f>IF(SCAN!K408&lt;&gt;"-",SCAN!D408,0)</f>
        <v>0</v>
      </c>
      <c r="N408" s="55">
        <f>IF(SCAN!K408&lt;&gt;"-",SCAN!E408,0)</f>
        <v>0</v>
      </c>
      <c r="O408" s="55">
        <f>IF(SCAN!K408&lt;&gt;"-",SCAN!F408,0)</f>
        <v>0</v>
      </c>
      <c r="R408" s="53">
        <f>IF(SCAN!Q408&lt;&gt;"-",SCAN!D408,0)</f>
        <v>0</v>
      </c>
      <c r="S408" s="53">
        <f>IF(SCAN!Q408&lt;&gt;"-",SCAN!E408,0)</f>
        <v>0</v>
      </c>
      <c r="T408" s="53">
        <f>IF(SCAN!Q408&lt;&gt;"-",SCAN!F408,0)</f>
        <v>0</v>
      </c>
    </row>
    <row r="409" spans="8:20" x14ac:dyDescent="0.25">
      <c r="H409" s="50">
        <f>IF(AND(SCAN!K409="-",SCAN!Q409="-"),SCAN!D409,0)</f>
        <v>0</v>
      </c>
      <c r="I409" s="50">
        <f>IF(AND(SCAN!K409="-",SCAN!Q409="-"),SCAN!E409,0)</f>
        <v>0</v>
      </c>
      <c r="J409" s="50">
        <f>IF(AND(SCAN!K409="-",SCAN!Q409="-"),SCAN!F409,0)</f>
        <v>0</v>
      </c>
      <c r="M409" s="55">
        <f>IF(SCAN!K409&lt;&gt;"-",SCAN!D409,0)</f>
        <v>0</v>
      </c>
      <c r="N409" s="55">
        <f>IF(SCAN!K409&lt;&gt;"-",SCAN!E409,0)</f>
        <v>0</v>
      </c>
      <c r="O409" s="55">
        <f>IF(SCAN!K409&lt;&gt;"-",SCAN!F409,0)</f>
        <v>0</v>
      </c>
      <c r="R409" s="53">
        <f>IF(SCAN!Q409&lt;&gt;"-",SCAN!D409,0)</f>
        <v>0</v>
      </c>
      <c r="S409" s="53">
        <f>IF(SCAN!Q409&lt;&gt;"-",SCAN!E409,0)</f>
        <v>0</v>
      </c>
      <c r="T409" s="53">
        <f>IF(SCAN!Q409&lt;&gt;"-",SCAN!F409,0)</f>
        <v>0</v>
      </c>
    </row>
    <row r="410" spans="8:20" x14ac:dyDescent="0.25">
      <c r="H410" s="50">
        <f>IF(AND(SCAN!K410="-",SCAN!Q410="-"),SCAN!D410,0)</f>
        <v>0</v>
      </c>
      <c r="I410" s="50">
        <f>IF(AND(SCAN!K410="-",SCAN!Q410="-"),SCAN!E410,0)</f>
        <v>0</v>
      </c>
      <c r="J410" s="50">
        <f>IF(AND(SCAN!K410="-",SCAN!Q410="-"),SCAN!F410,0)</f>
        <v>0</v>
      </c>
      <c r="M410" s="55">
        <f>IF(SCAN!K410&lt;&gt;"-",SCAN!D410,0)</f>
        <v>0</v>
      </c>
      <c r="N410" s="55">
        <f>IF(SCAN!K410&lt;&gt;"-",SCAN!E410,0)</f>
        <v>0</v>
      </c>
      <c r="O410" s="55">
        <f>IF(SCAN!K410&lt;&gt;"-",SCAN!F410,0)</f>
        <v>0</v>
      </c>
      <c r="R410" s="53">
        <f>IF(SCAN!Q410&lt;&gt;"-",SCAN!D410,0)</f>
        <v>0</v>
      </c>
      <c r="S410" s="53">
        <f>IF(SCAN!Q410&lt;&gt;"-",SCAN!E410,0)</f>
        <v>0</v>
      </c>
      <c r="T410" s="53">
        <f>IF(SCAN!Q410&lt;&gt;"-",SCAN!F410,0)</f>
        <v>0</v>
      </c>
    </row>
    <row r="411" spans="8:20" x14ac:dyDescent="0.25">
      <c r="H411" s="50">
        <f>IF(AND(SCAN!K411="-",SCAN!Q411="-"),SCAN!D411,0)</f>
        <v>0</v>
      </c>
      <c r="I411" s="50">
        <f>IF(AND(SCAN!K411="-",SCAN!Q411="-"),SCAN!E411,0)</f>
        <v>0</v>
      </c>
      <c r="J411" s="50">
        <f>IF(AND(SCAN!K411="-",SCAN!Q411="-"),SCAN!F411,0)</f>
        <v>0</v>
      </c>
      <c r="M411" s="55">
        <f>IF(SCAN!K411&lt;&gt;"-",SCAN!D411,0)</f>
        <v>0</v>
      </c>
      <c r="N411" s="55">
        <f>IF(SCAN!K411&lt;&gt;"-",SCAN!E411,0)</f>
        <v>0</v>
      </c>
      <c r="O411" s="55">
        <f>IF(SCAN!K411&lt;&gt;"-",SCAN!F411,0)</f>
        <v>0</v>
      </c>
      <c r="R411" s="53">
        <f>IF(SCAN!Q411&lt;&gt;"-",SCAN!D411,0)</f>
        <v>0</v>
      </c>
      <c r="S411" s="53">
        <f>IF(SCAN!Q411&lt;&gt;"-",SCAN!E411,0)</f>
        <v>0</v>
      </c>
      <c r="T411" s="53">
        <f>IF(SCAN!Q411&lt;&gt;"-",SCAN!F411,0)</f>
        <v>0</v>
      </c>
    </row>
    <row r="412" spans="8:20" x14ac:dyDescent="0.25">
      <c r="H412" s="50">
        <f>IF(AND(SCAN!K412="-",SCAN!Q412="-"),SCAN!D412,0)</f>
        <v>0</v>
      </c>
      <c r="I412" s="50">
        <f>IF(AND(SCAN!K412="-",SCAN!Q412="-"),SCAN!E412,0)</f>
        <v>0</v>
      </c>
      <c r="J412" s="50">
        <f>IF(AND(SCAN!K412="-",SCAN!Q412="-"),SCAN!F412,0)</f>
        <v>0</v>
      </c>
      <c r="M412" s="55">
        <f>IF(SCAN!K412&lt;&gt;"-",SCAN!D412,0)</f>
        <v>0</v>
      </c>
      <c r="N412" s="55">
        <f>IF(SCAN!K412&lt;&gt;"-",SCAN!E412,0)</f>
        <v>0</v>
      </c>
      <c r="O412" s="55">
        <f>IF(SCAN!K412&lt;&gt;"-",SCAN!F412,0)</f>
        <v>0</v>
      </c>
      <c r="R412" s="53">
        <f>IF(SCAN!Q412&lt;&gt;"-",SCAN!D412,0)</f>
        <v>0</v>
      </c>
      <c r="S412" s="53">
        <f>IF(SCAN!Q412&lt;&gt;"-",SCAN!E412,0)</f>
        <v>0</v>
      </c>
      <c r="T412" s="53">
        <f>IF(SCAN!Q412&lt;&gt;"-",SCAN!F412,0)</f>
        <v>0</v>
      </c>
    </row>
    <row r="413" spans="8:20" x14ac:dyDescent="0.25">
      <c r="H413" s="50">
        <f>IF(AND(SCAN!K413="-",SCAN!Q413="-"),SCAN!D413,0)</f>
        <v>0</v>
      </c>
      <c r="I413" s="50">
        <f>IF(AND(SCAN!K413="-",SCAN!Q413="-"),SCAN!E413,0)</f>
        <v>0</v>
      </c>
      <c r="J413" s="50">
        <f>IF(AND(SCAN!K413="-",SCAN!Q413="-"),SCAN!F413,0)</f>
        <v>0</v>
      </c>
      <c r="M413" s="55">
        <f>IF(SCAN!K413&lt;&gt;"-",SCAN!D413,0)</f>
        <v>0</v>
      </c>
      <c r="N413" s="55">
        <f>IF(SCAN!K413&lt;&gt;"-",SCAN!E413,0)</f>
        <v>0</v>
      </c>
      <c r="O413" s="55">
        <f>IF(SCAN!K413&lt;&gt;"-",SCAN!F413,0)</f>
        <v>0</v>
      </c>
      <c r="R413" s="53">
        <f>IF(SCAN!Q413&lt;&gt;"-",SCAN!D413,0)</f>
        <v>0</v>
      </c>
      <c r="S413" s="53">
        <f>IF(SCAN!Q413&lt;&gt;"-",SCAN!E413,0)</f>
        <v>0</v>
      </c>
      <c r="T413" s="53">
        <f>IF(SCAN!Q413&lt;&gt;"-",SCAN!F413,0)</f>
        <v>0</v>
      </c>
    </row>
    <row r="414" spans="8:20" x14ac:dyDescent="0.25">
      <c r="H414" s="50">
        <f>IF(AND(SCAN!K414="-",SCAN!Q414="-"),SCAN!D414,0)</f>
        <v>0</v>
      </c>
      <c r="I414" s="50">
        <f>IF(AND(SCAN!K414="-",SCAN!Q414="-"),SCAN!E414,0)</f>
        <v>0</v>
      </c>
      <c r="J414" s="50">
        <f>IF(AND(SCAN!K414="-",SCAN!Q414="-"),SCAN!F414,0)</f>
        <v>0</v>
      </c>
      <c r="M414" s="55">
        <f>IF(SCAN!K414&lt;&gt;"-",SCAN!D414,0)</f>
        <v>0</v>
      </c>
      <c r="N414" s="55">
        <f>IF(SCAN!K414&lt;&gt;"-",SCAN!E414,0)</f>
        <v>0</v>
      </c>
      <c r="O414" s="55">
        <f>IF(SCAN!K414&lt;&gt;"-",SCAN!F414,0)</f>
        <v>0</v>
      </c>
      <c r="R414" s="53">
        <f>IF(SCAN!Q414&lt;&gt;"-",SCAN!D414,0)</f>
        <v>0</v>
      </c>
      <c r="S414" s="53">
        <f>IF(SCAN!Q414&lt;&gt;"-",SCAN!E414,0)</f>
        <v>0</v>
      </c>
      <c r="T414" s="53">
        <f>IF(SCAN!Q414&lt;&gt;"-",SCAN!F414,0)</f>
        <v>0</v>
      </c>
    </row>
    <row r="415" spans="8:20" x14ac:dyDescent="0.25">
      <c r="H415" s="50">
        <f>IF(AND(SCAN!K415="-",SCAN!Q415="-"),SCAN!D415,0)</f>
        <v>0</v>
      </c>
      <c r="I415" s="50">
        <f>IF(AND(SCAN!K415="-",SCAN!Q415="-"),SCAN!E415,0)</f>
        <v>0</v>
      </c>
      <c r="J415" s="50">
        <f>IF(AND(SCAN!K415="-",SCAN!Q415="-"),SCAN!F415,0)</f>
        <v>0</v>
      </c>
      <c r="M415" s="55">
        <f>IF(SCAN!K415&lt;&gt;"-",SCAN!D415,0)</f>
        <v>0</v>
      </c>
      <c r="N415" s="55">
        <f>IF(SCAN!K415&lt;&gt;"-",SCAN!E415,0)</f>
        <v>0</v>
      </c>
      <c r="O415" s="55">
        <f>IF(SCAN!K415&lt;&gt;"-",SCAN!F415,0)</f>
        <v>0</v>
      </c>
      <c r="R415" s="53">
        <f>IF(SCAN!Q415&lt;&gt;"-",SCAN!D415,0)</f>
        <v>0</v>
      </c>
      <c r="S415" s="53">
        <f>IF(SCAN!Q415&lt;&gt;"-",SCAN!E415,0)</f>
        <v>0</v>
      </c>
      <c r="T415" s="53">
        <f>IF(SCAN!Q415&lt;&gt;"-",SCAN!F415,0)</f>
        <v>0</v>
      </c>
    </row>
    <row r="416" spans="8:20" x14ac:dyDescent="0.25">
      <c r="H416" s="50">
        <f>IF(AND(SCAN!K416="-",SCAN!Q416="-"),SCAN!D416,0)</f>
        <v>0</v>
      </c>
      <c r="I416" s="50">
        <f>IF(AND(SCAN!K416="-",SCAN!Q416="-"),SCAN!E416,0)</f>
        <v>0</v>
      </c>
      <c r="J416" s="50">
        <f>IF(AND(SCAN!K416="-",SCAN!Q416="-"),SCAN!F416,0)</f>
        <v>0</v>
      </c>
      <c r="M416" s="55">
        <f>IF(SCAN!K416&lt;&gt;"-",SCAN!D416,0)</f>
        <v>0</v>
      </c>
      <c r="N416" s="55">
        <f>IF(SCAN!K416&lt;&gt;"-",SCAN!E416,0)</f>
        <v>0</v>
      </c>
      <c r="O416" s="55">
        <f>IF(SCAN!K416&lt;&gt;"-",SCAN!F416,0)</f>
        <v>0</v>
      </c>
      <c r="R416" s="53">
        <f>IF(SCAN!Q416&lt;&gt;"-",SCAN!D416,0)</f>
        <v>0</v>
      </c>
      <c r="S416" s="53">
        <f>IF(SCAN!Q416&lt;&gt;"-",SCAN!E416,0)</f>
        <v>0</v>
      </c>
      <c r="T416" s="53">
        <f>IF(SCAN!Q416&lt;&gt;"-",SCAN!F416,0)</f>
        <v>0</v>
      </c>
    </row>
    <row r="417" spans="8:20" x14ac:dyDescent="0.25">
      <c r="H417" s="50">
        <f>IF(AND(SCAN!K417="-",SCAN!Q417="-"),SCAN!D417,0)</f>
        <v>0</v>
      </c>
      <c r="I417" s="50">
        <f>IF(AND(SCAN!K417="-",SCAN!Q417="-"),SCAN!E417,0)</f>
        <v>0</v>
      </c>
      <c r="J417" s="50">
        <f>IF(AND(SCAN!K417="-",SCAN!Q417="-"),SCAN!F417,0)</f>
        <v>0</v>
      </c>
      <c r="M417" s="55">
        <f>IF(SCAN!K417&lt;&gt;"-",SCAN!D417,0)</f>
        <v>0</v>
      </c>
      <c r="N417" s="55">
        <f>IF(SCAN!K417&lt;&gt;"-",SCAN!E417,0)</f>
        <v>0</v>
      </c>
      <c r="O417" s="55">
        <f>IF(SCAN!K417&lt;&gt;"-",SCAN!F417,0)</f>
        <v>0</v>
      </c>
      <c r="R417" s="53">
        <f>IF(SCAN!Q417&lt;&gt;"-",SCAN!D417,0)</f>
        <v>0</v>
      </c>
      <c r="S417" s="53">
        <f>IF(SCAN!Q417&lt;&gt;"-",SCAN!E417,0)</f>
        <v>0</v>
      </c>
      <c r="T417" s="53">
        <f>IF(SCAN!Q417&lt;&gt;"-",SCAN!F417,0)</f>
        <v>0</v>
      </c>
    </row>
    <row r="418" spans="8:20" x14ac:dyDescent="0.25">
      <c r="H418" s="50">
        <f>IF(AND(SCAN!K418="-",SCAN!Q418="-"),SCAN!D418,0)</f>
        <v>0</v>
      </c>
      <c r="I418" s="50">
        <f>IF(AND(SCAN!K418="-",SCAN!Q418="-"),SCAN!E418,0)</f>
        <v>0</v>
      </c>
      <c r="J418" s="50">
        <f>IF(AND(SCAN!K418="-",SCAN!Q418="-"),SCAN!F418,0)</f>
        <v>0</v>
      </c>
      <c r="M418" s="55">
        <f>IF(SCAN!K418&lt;&gt;"-",SCAN!D418,0)</f>
        <v>0</v>
      </c>
      <c r="N418" s="55">
        <f>IF(SCAN!K418&lt;&gt;"-",SCAN!E418,0)</f>
        <v>0</v>
      </c>
      <c r="O418" s="55">
        <f>IF(SCAN!K418&lt;&gt;"-",SCAN!F418,0)</f>
        <v>0</v>
      </c>
      <c r="R418" s="53">
        <f>IF(SCAN!Q418&lt;&gt;"-",SCAN!D418,0)</f>
        <v>0</v>
      </c>
      <c r="S418" s="53">
        <f>IF(SCAN!Q418&lt;&gt;"-",SCAN!E418,0)</f>
        <v>0</v>
      </c>
      <c r="T418" s="53">
        <f>IF(SCAN!Q418&lt;&gt;"-",SCAN!F418,0)</f>
        <v>0</v>
      </c>
    </row>
    <row r="419" spans="8:20" x14ac:dyDescent="0.25">
      <c r="H419" s="50">
        <f>IF(AND(SCAN!K419="-",SCAN!Q419="-"),SCAN!D419,0)</f>
        <v>0</v>
      </c>
      <c r="I419" s="50">
        <f>IF(AND(SCAN!K419="-",SCAN!Q419="-"),SCAN!E419,0)</f>
        <v>0</v>
      </c>
      <c r="J419" s="50">
        <f>IF(AND(SCAN!K419="-",SCAN!Q419="-"),SCAN!F419,0)</f>
        <v>0</v>
      </c>
      <c r="M419" s="55">
        <f>IF(SCAN!K419&lt;&gt;"-",SCAN!D419,0)</f>
        <v>0</v>
      </c>
      <c r="N419" s="55">
        <f>IF(SCAN!K419&lt;&gt;"-",SCAN!E419,0)</f>
        <v>0</v>
      </c>
      <c r="O419" s="55">
        <f>IF(SCAN!K419&lt;&gt;"-",SCAN!F419,0)</f>
        <v>0</v>
      </c>
      <c r="R419" s="53">
        <f>IF(SCAN!Q419&lt;&gt;"-",SCAN!D419,0)</f>
        <v>0</v>
      </c>
      <c r="S419" s="53">
        <f>IF(SCAN!Q419&lt;&gt;"-",SCAN!E419,0)</f>
        <v>0</v>
      </c>
      <c r="T419" s="53">
        <f>IF(SCAN!Q419&lt;&gt;"-",SCAN!F419,0)</f>
        <v>0</v>
      </c>
    </row>
    <row r="420" spans="8:20" x14ac:dyDescent="0.25">
      <c r="H420" s="50">
        <f>IF(AND(SCAN!K420="-",SCAN!Q420="-"),SCAN!D420,0)</f>
        <v>0</v>
      </c>
      <c r="I420" s="50">
        <f>IF(AND(SCAN!K420="-",SCAN!Q420="-"),SCAN!E420,0)</f>
        <v>0</v>
      </c>
      <c r="J420" s="50">
        <f>IF(AND(SCAN!K420="-",SCAN!Q420="-"),SCAN!F420,0)</f>
        <v>0</v>
      </c>
      <c r="M420" s="55">
        <f>IF(SCAN!K420&lt;&gt;"-",SCAN!D420,0)</f>
        <v>0</v>
      </c>
      <c r="N420" s="55">
        <f>IF(SCAN!K420&lt;&gt;"-",SCAN!E420,0)</f>
        <v>0</v>
      </c>
      <c r="O420" s="55">
        <f>IF(SCAN!K420&lt;&gt;"-",SCAN!F420,0)</f>
        <v>0</v>
      </c>
      <c r="R420" s="53">
        <f>IF(SCAN!Q420&lt;&gt;"-",SCAN!D420,0)</f>
        <v>0</v>
      </c>
      <c r="S420" s="53">
        <f>IF(SCAN!Q420&lt;&gt;"-",SCAN!E420,0)</f>
        <v>0</v>
      </c>
      <c r="T420" s="53">
        <f>IF(SCAN!Q420&lt;&gt;"-",SCAN!F420,0)</f>
        <v>0</v>
      </c>
    </row>
    <row r="421" spans="8:20" x14ac:dyDescent="0.25">
      <c r="H421" s="50">
        <f>IF(AND(SCAN!K421="-",SCAN!Q421="-"),SCAN!D421,0)</f>
        <v>0</v>
      </c>
      <c r="I421" s="50">
        <f>IF(AND(SCAN!K421="-",SCAN!Q421="-"),SCAN!E421,0)</f>
        <v>0</v>
      </c>
      <c r="J421" s="50">
        <f>IF(AND(SCAN!K421="-",SCAN!Q421="-"),SCAN!F421,0)</f>
        <v>0</v>
      </c>
      <c r="M421" s="55">
        <f>IF(SCAN!K421&lt;&gt;"-",SCAN!D421,0)</f>
        <v>0</v>
      </c>
      <c r="N421" s="55">
        <f>IF(SCAN!K421&lt;&gt;"-",SCAN!E421,0)</f>
        <v>0</v>
      </c>
      <c r="O421" s="55">
        <f>IF(SCAN!K421&lt;&gt;"-",SCAN!F421,0)</f>
        <v>0</v>
      </c>
      <c r="R421" s="53">
        <f>IF(SCAN!Q421&lt;&gt;"-",SCAN!D421,0)</f>
        <v>0</v>
      </c>
      <c r="S421" s="53">
        <f>IF(SCAN!Q421&lt;&gt;"-",SCAN!E421,0)</f>
        <v>0</v>
      </c>
      <c r="T421" s="53">
        <f>IF(SCAN!Q421&lt;&gt;"-",SCAN!F421,0)</f>
        <v>0</v>
      </c>
    </row>
    <row r="422" spans="8:20" x14ac:dyDescent="0.25">
      <c r="H422" s="50">
        <f>IF(AND(SCAN!K422="-",SCAN!Q422="-"),SCAN!D422,0)</f>
        <v>0</v>
      </c>
      <c r="I422" s="50">
        <f>IF(AND(SCAN!K422="-",SCAN!Q422="-"),SCAN!E422,0)</f>
        <v>0</v>
      </c>
      <c r="J422" s="50">
        <f>IF(AND(SCAN!K422="-",SCAN!Q422="-"),SCAN!F422,0)</f>
        <v>0</v>
      </c>
      <c r="M422" s="55">
        <f>IF(SCAN!K422&lt;&gt;"-",SCAN!D422,0)</f>
        <v>0</v>
      </c>
      <c r="N422" s="55">
        <f>IF(SCAN!K422&lt;&gt;"-",SCAN!E422,0)</f>
        <v>0</v>
      </c>
      <c r="O422" s="55">
        <f>IF(SCAN!K422&lt;&gt;"-",SCAN!F422,0)</f>
        <v>0</v>
      </c>
      <c r="R422" s="53">
        <f>IF(SCAN!Q422&lt;&gt;"-",SCAN!D422,0)</f>
        <v>0</v>
      </c>
      <c r="S422" s="53">
        <f>IF(SCAN!Q422&lt;&gt;"-",SCAN!E422,0)</f>
        <v>0</v>
      </c>
      <c r="T422" s="53">
        <f>IF(SCAN!Q422&lt;&gt;"-",SCAN!F422,0)</f>
        <v>0</v>
      </c>
    </row>
    <row r="423" spans="8:20" x14ac:dyDescent="0.25">
      <c r="H423" s="50">
        <f>IF(AND(SCAN!K423="-",SCAN!Q423="-"),SCAN!D423,0)</f>
        <v>0</v>
      </c>
      <c r="I423" s="50">
        <f>IF(AND(SCAN!K423="-",SCAN!Q423="-"),SCAN!E423,0)</f>
        <v>0</v>
      </c>
      <c r="J423" s="50">
        <f>IF(AND(SCAN!K423="-",SCAN!Q423="-"),SCAN!F423,0)</f>
        <v>0</v>
      </c>
      <c r="M423" s="55">
        <f>IF(SCAN!K423&lt;&gt;"-",SCAN!D423,0)</f>
        <v>0</v>
      </c>
      <c r="N423" s="55">
        <f>IF(SCAN!K423&lt;&gt;"-",SCAN!E423,0)</f>
        <v>0</v>
      </c>
      <c r="O423" s="55">
        <f>IF(SCAN!K423&lt;&gt;"-",SCAN!F423,0)</f>
        <v>0</v>
      </c>
      <c r="R423" s="53">
        <f>IF(SCAN!Q423&lt;&gt;"-",SCAN!D423,0)</f>
        <v>0</v>
      </c>
      <c r="S423" s="53">
        <f>IF(SCAN!Q423&lt;&gt;"-",SCAN!E423,0)</f>
        <v>0</v>
      </c>
      <c r="T423" s="53">
        <f>IF(SCAN!Q423&lt;&gt;"-",SCAN!F423,0)</f>
        <v>0</v>
      </c>
    </row>
    <row r="424" spans="8:20" x14ac:dyDescent="0.25">
      <c r="H424" s="50">
        <f>IF(AND(SCAN!K424="-",SCAN!Q424="-"),SCAN!D424,0)</f>
        <v>0</v>
      </c>
      <c r="I424" s="50">
        <f>IF(AND(SCAN!K424="-",SCAN!Q424="-"),SCAN!E424,0)</f>
        <v>0</v>
      </c>
      <c r="J424" s="50">
        <f>IF(AND(SCAN!K424="-",SCAN!Q424="-"),SCAN!F424,0)</f>
        <v>0</v>
      </c>
      <c r="M424" s="55">
        <f>IF(SCAN!K424&lt;&gt;"-",SCAN!D424,0)</f>
        <v>0</v>
      </c>
      <c r="N424" s="55">
        <f>IF(SCAN!K424&lt;&gt;"-",SCAN!E424,0)</f>
        <v>0</v>
      </c>
      <c r="O424" s="55">
        <f>IF(SCAN!K424&lt;&gt;"-",SCAN!F424,0)</f>
        <v>0</v>
      </c>
      <c r="R424" s="53">
        <f>IF(SCAN!Q424&lt;&gt;"-",SCAN!D424,0)</f>
        <v>0</v>
      </c>
      <c r="S424" s="53">
        <f>IF(SCAN!Q424&lt;&gt;"-",SCAN!E424,0)</f>
        <v>0</v>
      </c>
      <c r="T424" s="53">
        <f>IF(SCAN!Q424&lt;&gt;"-",SCAN!F424,0)</f>
        <v>0</v>
      </c>
    </row>
    <row r="425" spans="8:20" x14ac:dyDescent="0.25">
      <c r="H425" s="50">
        <f>IF(AND(SCAN!K425="-",SCAN!Q425="-"),SCAN!D425,0)</f>
        <v>0</v>
      </c>
      <c r="I425" s="50">
        <f>IF(AND(SCAN!K425="-",SCAN!Q425="-"),SCAN!E425,0)</f>
        <v>0</v>
      </c>
      <c r="J425" s="50">
        <f>IF(AND(SCAN!K425="-",SCAN!Q425="-"),SCAN!F425,0)</f>
        <v>0</v>
      </c>
      <c r="M425" s="55">
        <f>IF(SCAN!K425&lt;&gt;"-",SCAN!D425,0)</f>
        <v>0</v>
      </c>
      <c r="N425" s="55">
        <f>IF(SCAN!K425&lt;&gt;"-",SCAN!E425,0)</f>
        <v>0</v>
      </c>
      <c r="O425" s="55">
        <f>IF(SCAN!K425&lt;&gt;"-",SCAN!F425,0)</f>
        <v>0</v>
      </c>
      <c r="R425" s="53">
        <f>IF(SCAN!Q425&lt;&gt;"-",SCAN!D425,0)</f>
        <v>0</v>
      </c>
      <c r="S425" s="53">
        <f>IF(SCAN!Q425&lt;&gt;"-",SCAN!E425,0)</f>
        <v>0</v>
      </c>
      <c r="T425" s="53">
        <f>IF(SCAN!Q425&lt;&gt;"-",SCAN!F425,0)</f>
        <v>0</v>
      </c>
    </row>
    <row r="426" spans="8:20" x14ac:dyDescent="0.25">
      <c r="H426" s="50">
        <f>IF(AND(SCAN!K426="-",SCAN!Q426="-"),SCAN!D426,0)</f>
        <v>0</v>
      </c>
      <c r="I426" s="50">
        <f>IF(AND(SCAN!K426="-",SCAN!Q426="-"),SCAN!E426,0)</f>
        <v>0</v>
      </c>
      <c r="J426" s="50">
        <f>IF(AND(SCAN!K426="-",SCAN!Q426="-"),SCAN!F426,0)</f>
        <v>0</v>
      </c>
      <c r="M426" s="55">
        <f>IF(SCAN!K426&lt;&gt;"-",SCAN!D426,0)</f>
        <v>0</v>
      </c>
      <c r="N426" s="55">
        <f>IF(SCAN!K426&lt;&gt;"-",SCAN!E426,0)</f>
        <v>0</v>
      </c>
      <c r="O426" s="55">
        <f>IF(SCAN!K426&lt;&gt;"-",SCAN!F426,0)</f>
        <v>0</v>
      </c>
      <c r="R426" s="53">
        <f>IF(SCAN!Q426&lt;&gt;"-",SCAN!D426,0)</f>
        <v>0</v>
      </c>
      <c r="S426" s="53">
        <f>IF(SCAN!Q426&lt;&gt;"-",SCAN!E426,0)</f>
        <v>0</v>
      </c>
      <c r="T426" s="53">
        <f>IF(SCAN!Q426&lt;&gt;"-",SCAN!F426,0)</f>
        <v>0</v>
      </c>
    </row>
    <row r="427" spans="8:20" x14ac:dyDescent="0.25">
      <c r="H427" s="50">
        <f>IF(AND(SCAN!K427="-",SCAN!Q427="-"),SCAN!D427,0)</f>
        <v>0</v>
      </c>
      <c r="I427" s="50">
        <f>IF(AND(SCAN!K427="-",SCAN!Q427="-"),SCAN!E427,0)</f>
        <v>0</v>
      </c>
      <c r="J427" s="50">
        <f>IF(AND(SCAN!K427="-",SCAN!Q427="-"),SCAN!F427,0)</f>
        <v>0</v>
      </c>
      <c r="M427" s="55">
        <f>IF(SCAN!K427&lt;&gt;"-",SCAN!D427,0)</f>
        <v>0</v>
      </c>
      <c r="N427" s="55">
        <f>IF(SCAN!K427&lt;&gt;"-",SCAN!E427,0)</f>
        <v>0</v>
      </c>
      <c r="O427" s="55">
        <f>IF(SCAN!K427&lt;&gt;"-",SCAN!F427,0)</f>
        <v>0</v>
      </c>
      <c r="R427" s="53">
        <f>IF(SCAN!Q427&lt;&gt;"-",SCAN!D427,0)</f>
        <v>0</v>
      </c>
      <c r="S427" s="53">
        <f>IF(SCAN!Q427&lt;&gt;"-",SCAN!E427,0)</f>
        <v>0</v>
      </c>
      <c r="T427" s="53">
        <f>IF(SCAN!Q427&lt;&gt;"-",SCAN!F427,0)</f>
        <v>0</v>
      </c>
    </row>
    <row r="428" spans="8:20" x14ac:dyDescent="0.25">
      <c r="H428" s="50">
        <f>IF(AND(SCAN!K428="-",SCAN!Q428="-"),SCAN!D428,0)</f>
        <v>0</v>
      </c>
      <c r="I428" s="50">
        <f>IF(AND(SCAN!K428="-",SCAN!Q428="-"),SCAN!E428,0)</f>
        <v>0</v>
      </c>
      <c r="J428" s="50">
        <f>IF(AND(SCAN!K428="-",SCAN!Q428="-"),SCAN!F428,0)</f>
        <v>0</v>
      </c>
      <c r="M428" s="55">
        <f>IF(SCAN!K428&lt;&gt;"-",SCAN!D428,0)</f>
        <v>0</v>
      </c>
      <c r="N428" s="55">
        <f>IF(SCAN!K428&lt;&gt;"-",SCAN!E428,0)</f>
        <v>0</v>
      </c>
      <c r="O428" s="55">
        <f>IF(SCAN!K428&lt;&gt;"-",SCAN!F428,0)</f>
        <v>0</v>
      </c>
      <c r="R428" s="53">
        <f>IF(SCAN!Q428&lt;&gt;"-",SCAN!D428,0)</f>
        <v>0</v>
      </c>
      <c r="S428" s="53">
        <f>IF(SCAN!Q428&lt;&gt;"-",SCAN!E428,0)</f>
        <v>0</v>
      </c>
      <c r="T428" s="53">
        <f>IF(SCAN!Q428&lt;&gt;"-",SCAN!F428,0)</f>
        <v>0</v>
      </c>
    </row>
    <row r="429" spans="8:20" x14ac:dyDescent="0.25">
      <c r="H429" s="50">
        <f>IF(AND(SCAN!K429="-",SCAN!Q429="-"),SCAN!D429,0)</f>
        <v>0</v>
      </c>
      <c r="I429" s="50">
        <f>IF(AND(SCAN!K429="-",SCAN!Q429="-"),SCAN!E429,0)</f>
        <v>0</v>
      </c>
      <c r="J429" s="50">
        <f>IF(AND(SCAN!K429="-",SCAN!Q429="-"),SCAN!F429,0)</f>
        <v>0</v>
      </c>
      <c r="M429" s="55">
        <f>IF(SCAN!K429&lt;&gt;"-",SCAN!D429,0)</f>
        <v>0</v>
      </c>
      <c r="N429" s="55">
        <f>IF(SCAN!K429&lt;&gt;"-",SCAN!E429,0)</f>
        <v>0</v>
      </c>
      <c r="O429" s="55">
        <f>IF(SCAN!K429&lt;&gt;"-",SCAN!F429,0)</f>
        <v>0</v>
      </c>
      <c r="R429" s="53">
        <f>IF(SCAN!Q429&lt;&gt;"-",SCAN!D429,0)</f>
        <v>0</v>
      </c>
      <c r="S429" s="53">
        <f>IF(SCAN!Q429&lt;&gt;"-",SCAN!E429,0)</f>
        <v>0</v>
      </c>
      <c r="T429" s="53">
        <f>IF(SCAN!Q429&lt;&gt;"-",SCAN!F429,0)</f>
        <v>0</v>
      </c>
    </row>
    <row r="430" spans="8:20" x14ac:dyDescent="0.25">
      <c r="H430" s="50">
        <f>IF(AND(SCAN!K430="-",SCAN!Q430="-"),SCAN!D430,0)</f>
        <v>0</v>
      </c>
      <c r="I430" s="50">
        <f>IF(AND(SCAN!K430="-",SCAN!Q430="-"),SCAN!E430,0)</f>
        <v>0</v>
      </c>
      <c r="J430" s="50">
        <f>IF(AND(SCAN!K430="-",SCAN!Q430="-"),SCAN!F430,0)</f>
        <v>0</v>
      </c>
      <c r="M430" s="55">
        <f>IF(SCAN!K430&lt;&gt;"-",SCAN!D430,0)</f>
        <v>0</v>
      </c>
      <c r="N430" s="55">
        <f>IF(SCAN!K430&lt;&gt;"-",SCAN!E430,0)</f>
        <v>0</v>
      </c>
      <c r="O430" s="55">
        <f>IF(SCAN!K430&lt;&gt;"-",SCAN!F430,0)</f>
        <v>0</v>
      </c>
      <c r="R430" s="53">
        <f>IF(SCAN!Q430&lt;&gt;"-",SCAN!D430,0)</f>
        <v>0</v>
      </c>
      <c r="S430" s="53">
        <f>IF(SCAN!Q430&lt;&gt;"-",SCAN!E430,0)</f>
        <v>0</v>
      </c>
      <c r="T430" s="53">
        <f>IF(SCAN!Q430&lt;&gt;"-",SCAN!F430,0)</f>
        <v>0</v>
      </c>
    </row>
    <row r="431" spans="8:20" x14ac:dyDescent="0.25">
      <c r="H431" s="50">
        <f>IF(AND(SCAN!K431="-",SCAN!Q431="-"),SCAN!D431,0)</f>
        <v>0</v>
      </c>
      <c r="I431" s="50">
        <f>IF(AND(SCAN!K431="-",SCAN!Q431="-"),SCAN!E431,0)</f>
        <v>0</v>
      </c>
      <c r="J431" s="50">
        <f>IF(AND(SCAN!K431="-",SCAN!Q431="-"),SCAN!F431,0)</f>
        <v>0</v>
      </c>
      <c r="M431" s="55">
        <f>IF(SCAN!K431&lt;&gt;"-",SCAN!D431,0)</f>
        <v>0</v>
      </c>
      <c r="N431" s="55">
        <f>IF(SCAN!K431&lt;&gt;"-",SCAN!E431,0)</f>
        <v>0</v>
      </c>
      <c r="O431" s="55">
        <f>IF(SCAN!K431&lt;&gt;"-",SCAN!F431,0)</f>
        <v>0</v>
      </c>
      <c r="R431" s="53">
        <f>IF(SCAN!Q431&lt;&gt;"-",SCAN!D431,0)</f>
        <v>0</v>
      </c>
      <c r="S431" s="53">
        <f>IF(SCAN!Q431&lt;&gt;"-",SCAN!E431,0)</f>
        <v>0</v>
      </c>
      <c r="T431" s="53">
        <f>IF(SCAN!Q431&lt;&gt;"-",SCAN!F431,0)</f>
        <v>0</v>
      </c>
    </row>
    <row r="432" spans="8:20" x14ac:dyDescent="0.25">
      <c r="H432" s="50">
        <f>IF(AND(SCAN!K432="-",SCAN!Q432="-"),SCAN!D432,0)</f>
        <v>0</v>
      </c>
      <c r="I432" s="50">
        <f>IF(AND(SCAN!K432="-",SCAN!Q432="-"),SCAN!E432,0)</f>
        <v>0</v>
      </c>
      <c r="J432" s="50">
        <f>IF(AND(SCAN!K432="-",SCAN!Q432="-"),SCAN!F432,0)</f>
        <v>0</v>
      </c>
      <c r="M432" s="55">
        <f>IF(SCAN!K432&lt;&gt;"-",SCAN!D432,0)</f>
        <v>0</v>
      </c>
      <c r="N432" s="55">
        <f>IF(SCAN!K432&lt;&gt;"-",SCAN!E432,0)</f>
        <v>0</v>
      </c>
      <c r="O432" s="55">
        <f>IF(SCAN!K432&lt;&gt;"-",SCAN!F432,0)</f>
        <v>0</v>
      </c>
      <c r="R432" s="53">
        <f>IF(SCAN!Q432&lt;&gt;"-",SCAN!D432,0)</f>
        <v>0</v>
      </c>
      <c r="S432" s="53">
        <f>IF(SCAN!Q432&lt;&gt;"-",SCAN!E432,0)</f>
        <v>0</v>
      </c>
      <c r="T432" s="53">
        <f>IF(SCAN!Q432&lt;&gt;"-",SCAN!F432,0)</f>
        <v>0</v>
      </c>
    </row>
    <row r="433" spans="8:20" x14ac:dyDescent="0.25">
      <c r="H433" s="50">
        <f>IF(AND(SCAN!K433="-",SCAN!Q433="-"),SCAN!D433,0)</f>
        <v>0</v>
      </c>
      <c r="I433" s="50">
        <f>IF(AND(SCAN!K433="-",SCAN!Q433="-"),SCAN!E433,0)</f>
        <v>0</v>
      </c>
      <c r="J433" s="50">
        <f>IF(AND(SCAN!K433="-",SCAN!Q433="-"),SCAN!F433,0)</f>
        <v>0</v>
      </c>
      <c r="M433" s="55">
        <f>IF(SCAN!K433&lt;&gt;"-",SCAN!D433,0)</f>
        <v>0</v>
      </c>
      <c r="N433" s="55">
        <f>IF(SCAN!K433&lt;&gt;"-",SCAN!E433,0)</f>
        <v>0</v>
      </c>
      <c r="O433" s="55">
        <f>IF(SCAN!K433&lt;&gt;"-",SCAN!F433,0)</f>
        <v>0</v>
      </c>
      <c r="R433" s="53">
        <f>IF(SCAN!Q433&lt;&gt;"-",SCAN!D433,0)</f>
        <v>0</v>
      </c>
      <c r="S433" s="53">
        <f>IF(SCAN!Q433&lt;&gt;"-",SCAN!E433,0)</f>
        <v>0</v>
      </c>
      <c r="T433" s="53">
        <f>IF(SCAN!Q433&lt;&gt;"-",SCAN!F433,0)</f>
        <v>0</v>
      </c>
    </row>
    <row r="434" spans="8:20" x14ac:dyDescent="0.25">
      <c r="H434" s="50">
        <f>IF(AND(SCAN!K434="-",SCAN!Q434="-"),SCAN!D434,0)</f>
        <v>0</v>
      </c>
      <c r="I434" s="50">
        <f>IF(AND(SCAN!K434="-",SCAN!Q434="-"),SCAN!E434,0)</f>
        <v>0</v>
      </c>
      <c r="J434" s="50">
        <f>IF(AND(SCAN!K434="-",SCAN!Q434="-"),SCAN!F434,0)</f>
        <v>0</v>
      </c>
      <c r="M434" s="55">
        <f>IF(SCAN!K434&lt;&gt;"-",SCAN!D434,0)</f>
        <v>0</v>
      </c>
      <c r="N434" s="55">
        <f>IF(SCAN!K434&lt;&gt;"-",SCAN!E434,0)</f>
        <v>0</v>
      </c>
      <c r="O434" s="55">
        <f>IF(SCAN!K434&lt;&gt;"-",SCAN!F434,0)</f>
        <v>0</v>
      </c>
      <c r="R434" s="53">
        <f>IF(SCAN!Q434&lt;&gt;"-",SCAN!D434,0)</f>
        <v>0</v>
      </c>
      <c r="S434" s="53">
        <f>IF(SCAN!Q434&lt;&gt;"-",SCAN!E434,0)</f>
        <v>0</v>
      </c>
      <c r="T434" s="53">
        <f>IF(SCAN!Q434&lt;&gt;"-",SCAN!F434,0)</f>
        <v>0</v>
      </c>
    </row>
    <row r="435" spans="8:20" x14ac:dyDescent="0.25">
      <c r="H435" s="50">
        <f>IF(AND(SCAN!K435="-",SCAN!Q435="-"),SCAN!D435,0)</f>
        <v>0</v>
      </c>
      <c r="I435" s="50">
        <f>IF(AND(SCAN!K435="-",SCAN!Q435="-"),SCAN!E435,0)</f>
        <v>0</v>
      </c>
      <c r="J435" s="50">
        <f>IF(AND(SCAN!K435="-",SCAN!Q435="-"),SCAN!F435,0)</f>
        <v>0</v>
      </c>
      <c r="M435" s="55">
        <f>IF(SCAN!K435&lt;&gt;"-",SCAN!D435,0)</f>
        <v>0</v>
      </c>
      <c r="N435" s="55">
        <f>IF(SCAN!K435&lt;&gt;"-",SCAN!E435,0)</f>
        <v>0</v>
      </c>
      <c r="O435" s="55">
        <f>IF(SCAN!K435&lt;&gt;"-",SCAN!F435,0)</f>
        <v>0</v>
      </c>
      <c r="R435" s="53">
        <f>IF(SCAN!Q435&lt;&gt;"-",SCAN!D435,0)</f>
        <v>0</v>
      </c>
      <c r="S435" s="53">
        <f>IF(SCAN!Q435&lt;&gt;"-",SCAN!E435,0)</f>
        <v>0</v>
      </c>
      <c r="T435" s="53">
        <f>IF(SCAN!Q435&lt;&gt;"-",SCAN!F435,0)</f>
        <v>0</v>
      </c>
    </row>
    <row r="436" spans="8:20" x14ac:dyDescent="0.25">
      <c r="H436" s="50">
        <f>IF(AND(SCAN!K436="-",SCAN!Q436="-"),SCAN!D436,0)</f>
        <v>0</v>
      </c>
      <c r="I436" s="50">
        <f>IF(AND(SCAN!K436="-",SCAN!Q436="-"),SCAN!E436,0)</f>
        <v>0</v>
      </c>
      <c r="J436" s="50">
        <f>IF(AND(SCAN!K436="-",SCAN!Q436="-"),SCAN!F436,0)</f>
        <v>0</v>
      </c>
      <c r="M436" s="55">
        <f>IF(SCAN!K436&lt;&gt;"-",SCAN!D436,0)</f>
        <v>0</v>
      </c>
      <c r="N436" s="55">
        <f>IF(SCAN!K436&lt;&gt;"-",SCAN!E436,0)</f>
        <v>0</v>
      </c>
      <c r="O436" s="55">
        <f>IF(SCAN!K436&lt;&gt;"-",SCAN!F436,0)</f>
        <v>0</v>
      </c>
      <c r="R436" s="53">
        <f>IF(SCAN!Q436&lt;&gt;"-",SCAN!D436,0)</f>
        <v>0</v>
      </c>
      <c r="S436" s="53">
        <f>IF(SCAN!Q436&lt;&gt;"-",SCAN!E436,0)</f>
        <v>0</v>
      </c>
      <c r="T436" s="53">
        <f>IF(SCAN!Q436&lt;&gt;"-",SCAN!F436,0)</f>
        <v>0</v>
      </c>
    </row>
    <row r="437" spans="8:20" x14ac:dyDescent="0.25">
      <c r="H437" s="50">
        <f>IF(AND(SCAN!K437="-",SCAN!Q437="-"),SCAN!D437,0)</f>
        <v>0</v>
      </c>
      <c r="I437" s="50">
        <f>IF(AND(SCAN!K437="-",SCAN!Q437="-"),SCAN!E437,0)</f>
        <v>0</v>
      </c>
      <c r="J437" s="50">
        <f>IF(AND(SCAN!K437="-",SCAN!Q437="-"),SCAN!F437,0)</f>
        <v>0</v>
      </c>
      <c r="M437" s="55">
        <f>IF(SCAN!K437&lt;&gt;"-",SCAN!D437,0)</f>
        <v>0</v>
      </c>
      <c r="N437" s="55">
        <f>IF(SCAN!K437&lt;&gt;"-",SCAN!E437,0)</f>
        <v>0</v>
      </c>
      <c r="O437" s="55">
        <f>IF(SCAN!K437&lt;&gt;"-",SCAN!F437,0)</f>
        <v>0</v>
      </c>
      <c r="R437" s="53">
        <f>IF(SCAN!Q437&lt;&gt;"-",SCAN!D437,0)</f>
        <v>0</v>
      </c>
      <c r="S437" s="53">
        <f>IF(SCAN!Q437&lt;&gt;"-",SCAN!E437,0)</f>
        <v>0</v>
      </c>
      <c r="T437" s="53">
        <f>IF(SCAN!Q437&lt;&gt;"-",SCAN!F437,0)</f>
        <v>0</v>
      </c>
    </row>
    <row r="438" spans="8:20" x14ac:dyDescent="0.25">
      <c r="H438" s="50">
        <f>IF(AND(SCAN!K438="-",SCAN!Q438="-"),SCAN!D438,0)</f>
        <v>0</v>
      </c>
      <c r="I438" s="50">
        <f>IF(AND(SCAN!K438="-",SCAN!Q438="-"),SCAN!E438,0)</f>
        <v>0</v>
      </c>
      <c r="J438" s="50">
        <f>IF(AND(SCAN!K438="-",SCAN!Q438="-"),SCAN!F438,0)</f>
        <v>0</v>
      </c>
      <c r="M438" s="55">
        <f>IF(SCAN!K438&lt;&gt;"-",SCAN!D438,0)</f>
        <v>0</v>
      </c>
      <c r="N438" s="55">
        <f>IF(SCAN!K438&lt;&gt;"-",SCAN!E438,0)</f>
        <v>0</v>
      </c>
      <c r="O438" s="55">
        <f>IF(SCAN!K438&lt;&gt;"-",SCAN!F438,0)</f>
        <v>0</v>
      </c>
      <c r="R438" s="53">
        <f>IF(SCAN!Q438&lt;&gt;"-",SCAN!D438,0)</f>
        <v>0</v>
      </c>
      <c r="S438" s="53">
        <f>IF(SCAN!Q438&lt;&gt;"-",SCAN!E438,0)</f>
        <v>0</v>
      </c>
      <c r="T438" s="53">
        <f>IF(SCAN!Q438&lt;&gt;"-",SCAN!F438,0)</f>
        <v>0</v>
      </c>
    </row>
    <row r="439" spans="8:20" x14ac:dyDescent="0.25">
      <c r="H439" s="50">
        <f>IF(AND(SCAN!K439="-",SCAN!Q439="-"),SCAN!D439,0)</f>
        <v>0</v>
      </c>
      <c r="I439" s="50">
        <f>IF(AND(SCAN!K439="-",SCAN!Q439="-"),SCAN!E439,0)</f>
        <v>0</v>
      </c>
      <c r="J439" s="50">
        <f>IF(AND(SCAN!K439="-",SCAN!Q439="-"),SCAN!F439,0)</f>
        <v>0</v>
      </c>
      <c r="M439" s="55">
        <f>IF(SCAN!K439&lt;&gt;"-",SCAN!D439,0)</f>
        <v>0</v>
      </c>
      <c r="N439" s="55">
        <f>IF(SCAN!K439&lt;&gt;"-",SCAN!E439,0)</f>
        <v>0</v>
      </c>
      <c r="O439" s="55">
        <f>IF(SCAN!K439&lt;&gt;"-",SCAN!F439,0)</f>
        <v>0</v>
      </c>
      <c r="R439" s="53">
        <f>IF(SCAN!Q439&lt;&gt;"-",SCAN!D439,0)</f>
        <v>0</v>
      </c>
      <c r="S439" s="53">
        <f>IF(SCAN!Q439&lt;&gt;"-",SCAN!E439,0)</f>
        <v>0</v>
      </c>
      <c r="T439" s="53">
        <f>IF(SCAN!Q439&lt;&gt;"-",SCAN!F439,0)</f>
        <v>0</v>
      </c>
    </row>
    <row r="440" spans="8:20" x14ac:dyDescent="0.25">
      <c r="H440" s="50">
        <f>IF(AND(SCAN!K440="-",SCAN!Q440="-"),SCAN!D440,0)</f>
        <v>0</v>
      </c>
      <c r="I440" s="50">
        <f>IF(AND(SCAN!K440="-",SCAN!Q440="-"),SCAN!E440,0)</f>
        <v>0</v>
      </c>
      <c r="J440" s="50">
        <f>IF(AND(SCAN!K440="-",SCAN!Q440="-"),SCAN!F440,0)</f>
        <v>0</v>
      </c>
      <c r="M440" s="55">
        <f>IF(SCAN!K440&lt;&gt;"-",SCAN!D440,0)</f>
        <v>0</v>
      </c>
      <c r="N440" s="55">
        <f>IF(SCAN!K440&lt;&gt;"-",SCAN!E440,0)</f>
        <v>0</v>
      </c>
      <c r="O440" s="55">
        <f>IF(SCAN!K440&lt;&gt;"-",SCAN!F440,0)</f>
        <v>0</v>
      </c>
      <c r="R440" s="53">
        <f>IF(SCAN!Q440&lt;&gt;"-",SCAN!D440,0)</f>
        <v>0</v>
      </c>
      <c r="S440" s="53">
        <f>IF(SCAN!Q440&lt;&gt;"-",SCAN!E440,0)</f>
        <v>0</v>
      </c>
      <c r="T440" s="53">
        <f>IF(SCAN!Q440&lt;&gt;"-",SCAN!F440,0)</f>
        <v>0</v>
      </c>
    </row>
    <row r="441" spans="8:20" x14ac:dyDescent="0.25">
      <c r="H441" s="50">
        <f>IF(AND(SCAN!K441="-",SCAN!Q441="-"),SCAN!D441,0)</f>
        <v>0</v>
      </c>
      <c r="I441" s="50">
        <f>IF(AND(SCAN!K441="-",SCAN!Q441="-"),SCAN!E441,0)</f>
        <v>0</v>
      </c>
      <c r="J441" s="50">
        <f>IF(AND(SCAN!K441="-",SCAN!Q441="-"),SCAN!F441,0)</f>
        <v>0</v>
      </c>
      <c r="M441" s="55">
        <f>IF(SCAN!K441&lt;&gt;"-",SCAN!D441,0)</f>
        <v>0</v>
      </c>
      <c r="N441" s="55">
        <f>IF(SCAN!K441&lt;&gt;"-",SCAN!E441,0)</f>
        <v>0</v>
      </c>
      <c r="O441" s="55">
        <f>IF(SCAN!K441&lt;&gt;"-",SCAN!F441,0)</f>
        <v>0</v>
      </c>
      <c r="R441" s="53">
        <f>IF(SCAN!Q441&lt;&gt;"-",SCAN!D441,0)</f>
        <v>0</v>
      </c>
      <c r="S441" s="53">
        <f>IF(SCAN!Q441&lt;&gt;"-",SCAN!E441,0)</f>
        <v>0</v>
      </c>
      <c r="T441" s="53">
        <f>IF(SCAN!Q441&lt;&gt;"-",SCAN!F441,0)</f>
        <v>0</v>
      </c>
    </row>
    <row r="442" spans="8:20" x14ac:dyDescent="0.25">
      <c r="H442" s="50">
        <f>IF(AND(SCAN!K442="-",SCAN!Q442="-"),SCAN!D442,0)</f>
        <v>0</v>
      </c>
      <c r="I442" s="50">
        <f>IF(AND(SCAN!K442="-",SCAN!Q442="-"),SCAN!E442,0)</f>
        <v>0</v>
      </c>
      <c r="J442" s="50">
        <f>IF(AND(SCAN!K442="-",SCAN!Q442="-"),SCAN!F442,0)</f>
        <v>0</v>
      </c>
      <c r="M442" s="55">
        <f>IF(SCAN!K442&lt;&gt;"-",SCAN!D442,0)</f>
        <v>0</v>
      </c>
      <c r="N442" s="55">
        <f>IF(SCAN!K442&lt;&gt;"-",SCAN!E442,0)</f>
        <v>0</v>
      </c>
      <c r="O442" s="55">
        <f>IF(SCAN!K442&lt;&gt;"-",SCAN!F442,0)</f>
        <v>0</v>
      </c>
      <c r="R442" s="53">
        <f>IF(SCAN!Q442&lt;&gt;"-",SCAN!D442,0)</f>
        <v>0</v>
      </c>
      <c r="S442" s="53">
        <f>IF(SCAN!Q442&lt;&gt;"-",SCAN!E442,0)</f>
        <v>0</v>
      </c>
      <c r="T442" s="53">
        <f>IF(SCAN!Q442&lt;&gt;"-",SCAN!F442,0)</f>
        <v>0</v>
      </c>
    </row>
    <row r="443" spans="8:20" x14ac:dyDescent="0.25">
      <c r="H443" s="50">
        <f>IF(AND(SCAN!K443="-",SCAN!Q443="-"),SCAN!D443,0)</f>
        <v>0</v>
      </c>
      <c r="I443" s="50">
        <f>IF(AND(SCAN!K443="-",SCAN!Q443="-"),SCAN!E443,0)</f>
        <v>0</v>
      </c>
      <c r="J443" s="50">
        <f>IF(AND(SCAN!K443="-",SCAN!Q443="-"),SCAN!F443,0)</f>
        <v>0</v>
      </c>
      <c r="M443" s="55">
        <f>IF(SCAN!K443&lt;&gt;"-",SCAN!D443,0)</f>
        <v>0</v>
      </c>
      <c r="N443" s="55">
        <f>IF(SCAN!K443&lt;&gt;"-",SCAN!E443,0)</f>
        <v>0</v>
      </c>
      <c r="O443" s="55">
        <f>IF(SCAN!K443&lt;&gt;"-",SCAN!F443,0)</f>
        <v>0</v>
      </c>
      <c r="R443" s="53">
        <f>IF(SCAN!Q443&lt;&gt;"-",SCAN!D443,0)</f>
        <v>0</v>
      </c>
      <c r="S443" s="53">
        <f>IF(SCAN!Q443&lt;&gt;"-",SCAN!E443,0)</f>
        <v>0</v>
      </c>
      <c r="T443" s="53">
        <f>IF(SCAN!Q443&lt;&gt;"-",SCAN!F443,0)</f>
        <v>0</v>
      </c>
    </row>
    <row r="444" spans="8:20" x14ac:dyDescent="0.25">
      <c r="H444" s="50">
        <f>IF(AND(SCAN!K444="-",SCAN!Q444="-"),SCAN!D444,0)</f>
        <v>0</v>
      </c>
      <c r="I444" s="50">
        <f>IF(AND(SCAN!K444="-",SCAN!Q444="-"),SCAN!E444,0)</f>
        <v>0</v>
      </c>
      <c r="J444" s="50">
        <f>IF(AND(SCAN!K444="-",SCAN!Q444="-"),SCAN!F444,0)</f>
        <v>0</v>
      </c>
      <c r="M444" s="55">
        <f>IF(SCAN!K444&lt;&gt;"-",SCAN!D444,0)</f>
        <v>0</v>
      </c>
      <c r="N444" s="55">
        <f>IF(SCAN!K444&lt;&gt;"-",SCAN!E444,0)</f>
        <v>0</v>
      </c>
      <c r="O444" s="55">
        <f>IF(SCAN!K444&lt;&gt;"-",SCAN!F444,0)</f>
        <v>0</v>
      </c>
      <c r="R444" s="53">
        <f>IF(SCAN!Q444&lt;&gt;"-",SCAN!D444,0)</f>
        <v>0</v>
      </c>
      <c r="S444" s="53">
        <f>IF(SCAN!Q444&lt;&gt;"-",SCAN!E444,0)</f>
        <v>0</v>
      </c>
      <c r="T444" s="53">
        <f>IF(SCAN!Q444&lt;&gt;"-",SCAN!F444,0)</f>
        <v>0</v>
      </c>
    </row>
    <row r="445" spans="8:20" x14ac:dyDescent="0.25">
      <c r="H445" s="50">
        <f>IF(AND(SCAN!K445="-",SCAN!Q445="-"),SCAN!D445,0)</f>
        <v>0</v>
      </c>
      <c r="I445" s="50">
        <f>IF(AND(SCAN!K445="-",SCAN!Q445="-"),SCAN!E445,0)</f>
        <v>0</v>
      </c>
      <c r="J445" s="50">
        <f>IF(AND(SCAN!K445="-",SCAN!Q445="-"),SCAN!F445,0)</f>
        <v>0</v>
      </c>
      <c r="M445" s="55">
        <f>IF(SCAN!K445&lt;&gt;"-",SCAN!D445,0)</f>
        <v>0</v>
      </c>
      <c r="N445" s="55">
        <f>IF(SCAN!K445&lt;&gt;"-",SCAN!E445,0)</f>
        <v>0</v>
      </c>
      <c r="O445" s="55">
        <f>IF(SCAN!K445&lt;&gt;"-",SCAN!F445,0)</f>
        <v>0</v>
      </c>
      <c r="R445" s="53">
        <f>IF(SCAN!Q445&lt;&gt;"-",SCAN!D445,0)</f>
        <v>0</v>
      </c>
      <c r="S445" s="53">
        <f>IF(SCAN!Q445&lt;&gt;"-",SCAN!E445,0)</f>
        <v>0</v>
      </c>
      <c r="T445" s="53">
        <f>IF(SCAN!Q445&lt;&gt;"-",SCAN!F445,0)</f>
        <v>0</v>
      </c>
    </row>
    <row r="446" spans="8:20" x14ac:dyDescent="0.25">
      <c r="H446" s="50">
        <f>IF(AND(SCAN!K446="-",SCAN!Q446="-"),SCAN!D446,0)</f>
        <v>0</v>
      </c>
      <c r="I446" s="50">
        <f>IF(AND(SCAN!K446="-",SCAN!Q446="-"),SCAN!E446,0)</f>
        <v>0</v>
      </c>
      <c r="J446" s="50">
        <f>IF(AND(SCAN!K446="-",SCAN!Q446="-"),SCAN!F446,0)</f>
        <v>0</v>
      </c>
      <c r="M446" s="55">
        <f>IF(SCAN!K446&lt;&gt;"-",SCAN!D446,0)</f>
        <v>0</v>
      </c>
      <c r="N446" s="55">
        <f>IF(SCAN!K446&lt;&gt;"-",SCAN!E446,0)</f>
        <v>0</v>
      </c>
      <c r="O446" s="55">
        <f>IF(SCAN!K446&lt;&gt;"-",SCAN!F446,0)</f>
        <v>0</v>
      </c>
      <c r="R446" s="53">
        <f>IF(SCAN!Q446&lt;&gt;"-",SCAN!D446,0)</f>
        <v>0</v>
      </c>
      <c r="S446" s="53">
        <f>IF(SCAN!Q446&lt;&gt;"-",SCAN!E446,0)</f>
        <v>0</v>
      </c>
      <c r="T446" s="53">
        <f>IF(SCAN!Q446&lt;&gt;"-",SCAN!F446,0)</f>
        <v>0</v>
      </c>
    </row>
    <row r="447" spans="8:20" x14ac:dyDescent="0.25">
      <c r="H447" s="50">
        <f>IF(AND(SCAN!K447="-",SCAN!Q447="-"),SCAN!D447,0)</f>
        <v>0</v>
      </c>
      <c r="I447" s="50">
        <f>IF(AND(SCAN!K447="-",SCAN!Q447="-"),SCAN!E447,0)</f>
        <v>0</v>
      </c>
      <c r="J447" s="50">
        <f>IF(AND(SCAN!K447="-",SCAN!Q447="-"),SCAN!F447,0)</f>
        <v>0</v>
      </c>
      <c r="M447" s="55">
        <f>IF(SCAN!K447&lt;&gt;"-",SCAN!D447,0)</f>
        <v>0</v>
      </c>
      <c r="N447" s="55">
        <f>IF(SCAN!K447&lt;&gt;"-",SCAN!E447,0)</f>
        <v>0</v>
      </c>
      <c r="O447" s="55">
        <f>IF(SCAN!K447&lt;&gt;"-",SCAN!F447,0)</f>
        <v>0</v>
      </c>
      <c r="R447" s="53">
        <f>IF(SCAN!Q447&lt;&gt;"-",SCAN!D447,0)</f>
        <v>0</v>
      </c>
      <c r="S447" s="53">
        <f>IF(SCAN!Q447&lt;&gt;"-",SCAN!E447,0)</f>
        <v>0</v>
      </c>
      <c r="T447" s="53">
        <f>IF(SCAN!Q447&lt;&gt;"-",SCAN!F447,0)</f>
        <v>0</v>
      </c>
    </row>
    <row r="448" spans="8:20" x14ac:dyDescent="0.25">
      <c r="H448" s="50">
        <f>IF(AND(SCAN!K448="-",SCAN!Q448="-"),SCAN!D448,0)</f>
        <v>0</v>
      </c>
      <c r="I448" s="50">
        <f>IF(AND(SCAN!K448="-",SCAN!Q448="-"),SCAN!E448,0)</f>
        <v>0</v>
      </c>
      <c r="J448" s="50">
        <f>IF(AND(SCAN!K448="-",SCAN!Q448="-"),SCAN!F448,0)</f>
        <v>0</v>
      </c>
      <c r="M448" s="55">
        <f>IF(SCAN!K448&lt;&gt;"-",SCAN!D448,0)</f>
        <v>0</v>
      </c>
      <c r="N448" s="55">
        <f>IF(SCAN!K448&lt;&gt;"-",SCAN!E448,0)</f>
        <v>0</v>
      </c>
      <c r="O448" s="55">
        <f>IF(SCAN!K448&lt;&gt;"-",SCAN!F448,0)</f>
        <v>0</v>
      </c>
      <c r="R448" s="53">
        <f>IF(SCAN!Q448&lt;&gt;"-",SCAN!D448,0)</f>
        <v>0</v>
      </c>
      <c r="S448" s="53">
        <f>IF(SCAN!Q448&lt;&gt;"-",SCAN!E448,0)</f>
        <v>0</v>
      </c>
      <c r="T448" s="53">
        <f>IF(SCAN!Q448&lt;&gt;"-",SCAN!F448,0)</f>
        <v>0</v>
      </c>
    </row>
    <row r="449" spans="8:20" x14ac:dyDescent="0.25">
      <c r="H449" s="50">
        <f>IF(AND(SCAN!K449="-",SCAN!Q449="-"),SCAN!D449,0)</f>
        <v>0</v>
      </c>
      <c r="I449" s="50">
        <f>IF(AND(SCAN!K449="-",SCAN!Q449="-"),SCAN!E449,0)</f>
        <v>0</v>
      </c>
      <c r="J449" s="50">
        <f>IF(AND(SCAN!K449="-",SCAN!Q449="-"),SCAN!F449,0)</f>
        <v>0</v>
      </c>
      <c r="M449" s="55">
        <f>IF(SCAN!K449&lt;&gt;"-",SCAN!D449,0)</f>
        <v>0</v>
      </c>
      <c r="N449" s="55">
        <f>IF(SCAN!K449&lt;&gt;"-",SCAN!E449,0)</f>
        <v>0</v>
      </c>
      <c r="O449" s="55">
        <f>IF(SCAN!K449&lt;&gt;"-",SCAN!F449,0)</f>
        <v>0</v>
      </c>
      <c r="R449" s="53">
        <f>IF(SCAN!Q449&lt;&gt;"-",SCAN!D449,0)</f>
        <v>0</v>
      </c>
      <c r="S449" s="53">
        <f>IF(SCAN!Q449&lt;&gt;"-",SCAN!E449,0)</f>
        <v>0</v>
      </c>
      <c r="T449" s="53">
        <f>IF(SCAN!Q449&lt;&gt;"-",SCAN!F449,0)</f>
        <v>0</v>
      </c>
    </row>
    <row r="450" spans="8:20" x14ac:dyDescent="0.25">
      <c r="H450" s="50">
        <f>IF(AND(SCAN!K450="-",SCAN!Q450="-"),SCAN!D450,0)</f>
        <v>0</v>
      </c>
      <c r="I450" s="50">
        <f>IF(AND(SCAN!K450="-",SCAN!Q450="-"),SCAN!E450,0)</f>
        <v>0</v>
      </c>
      <c r="J450" s="50">
        <f>IF(AND(SCAN!K450="-",SCAN!Q450="-"),SCAN!F450,0)</f>
        <v>0</v>
      </c>
      <c r="M450" s="55">
        <f>IF(SCAN!K450&lt;&gt;"-",SCAN!D450,0)</f>
        <v>0</v>
      </c>
      <c r="N450" s="55">
        <f>IF(SCAN!K450&lt;&gt;"-",SCAN!E450,0)</f>
        <v>0</v>
      </c>
      <c r="O450" s="55">
        <f>IF(SCAN!K450&lt;&gt;"-",SCAN!F450,0)</f>
        <v>0</v>
      </c>
      <c r="R450" s="53">
        <f>IF(SCAN!Q450&lt;&gt;"-",SCAN!D450,0)</f>
        <v>0</v>
      </c>
      <c r="S450" s="53">
        <f>IF(SCAN!Q450&lt;&gt;"-",SCAN!E450,0)</f>
        <v>0</v>
      </c>
      <c r="T450" s="53">
        <f>IF(SCAN!Q450&lt;&gt;"-",SCAN!F450,0)</f>
        <v>0</v>
      </c>
    </row>
    <row r="451" spans="8:20" x14ac:dyDescent="0.25">
      <c r="H451" s="50">
        <f>IF(AND(SCAN!K451="-",SCAN!Q451="-"),SCAN!D451,0)</f>
        <v>0</v>
      </c>
      <c r="I451" s="50">
        <f>IF(AND(SCAN!K451="-",SCAN!Q451="-"),SCAN!E451,0)</f>
        <v>0</v>
      </c>
      <c r="J451" s="50">
        <f>IF(AND(SCAN!K451="-",SCAN!Q451="-"),SCAN!F451,0)</f>
        <v>0</v>
      </c>
      <c r="M451" s="55">
        <f>IF(SCAN!K451&lt;&gt;"-",SCAN!D451,0)</f>
        <v>0</v>
      </c>
      <c r="N451" s="55">
        <f>IF(SCAN!K451&lt;&gt;"-",SCAN!E451,0)</f>
        <v>0</v>
      </c>
      <c r="O451" s="55">
        <f>IF(SCAN!K451&lt;&gt;"-",SCAN!F451,0)</f>
        <v>0</v>
      </c>
      <c r="R451" s="53">
        <f>IF(SCAN!Q451&lt;&gt;"-",SCAN!D451,0)</f>
        <v>0</v>
      </c>
      <c r="S451" s="53">
        <f>IF(SCAN!Q451&lt;&gt;"-",SCAN!E451,0)</f>
        <v>0</v>
      </c>
      <c r="T451" s="53">
        <f>IF(SCAN!Q451&lt;&gt;"-",SCAN!F451,0)</f>
        <v>0</v>
      </c>
    </row>
    <row r="452" spans="8:20" x14ac:dyDescent="0.25">
      <c r="H452" s="50">
        <f>IF(AND(SCAN!K452="-",SCAN!Q452="-"),SCAN!D452,0)</f>
        <v>0</v>
      </c>
      <c r="I452" s="50">
        <f>IF(AND(SCAN!K452="-",SCAN!Q452="-"),SCAN!E452,0)</f>
        <v>0</v>
      </c>
      <c r="J452" s="50">
        <f>IF(AND(SCAN!K452="-",SCAN!Q452="-"),SCAN!F452,0)</f>
        <v>0</v>
      </c>
      <c r="M452" s="55">
        <f>IF(SCAN!K452&lt;&gt;"-",SCAN!D452,0)</f>
        <v>0</v>
      </c>
      <c r="N452" s="55">
        <f>IF(SCAN!K452&lt;&gt;"-",SCAN!E452,0)</f>
        <v>0</v>
      </c>
      <c r="O452" s="55">
        <f>IF(SCAN!K452&lt;&gt;"-",SCAN!F452,0)</f>
        <v>0</v>
      </c>
      <c r="R452" s="53">
        <f>IF(SCAN!Q452&lt;&gt;"-",SCAN!D452,0)</f>
        <v>0</v>
      </c>
      <c r="S452" s="53">
        <f>IF(SCAN!Q452&lt;&gt;"-",SCAN!E452,0)</f>
        <v>0</v>
      </c>
      <c r="T452" s="53">
        <f>IF(SCAN!Q452&lt;&gt;"-",SCAN!F452,0)</f>
        <v>0</v>
      </c>
    </row>
    <row r="453" spans="8:20" x14ac:dyDescent="0.25">
      <c r="H453" s="50">
        <f>IF(AND(SCAN!K453="-",SCAN!Q453="-"),SCAN!D453,0)</f>
        <v>0</v>
      </c>
      <c r="I453" s="50">
        <f>IF(AND(SCAN!K453="-",SCAN!Q453="-"),SCAN!E453,0)</f>
        <v>0</v>
      </c>
      <c r="J453" s="50">
        <f>IF(AND(SCAN!K453="-",SCAN!Q453="-"),SCAN!F453,0)</f>
        <v>0</v>
      </c>
      <c r="M453" s="55">
        <f>IF(SCAN!K453&lt;&gt;"-",SCAN!D453,0)</f>
        <v>0</v>
      </c>
      <c r="N453" s="55">
        <f>IF(SCAN!K453&lt;&gt;"-",SCAN!E453,0)</f>
        <v>0</v>
      </c>
      <c r="O453" s="55">
        <f>IF(SCAN!K453&lt;&gt;"-",SCAN!F453,0)</f>
        <v>0</v>
      </c>
      <c r="R453" s="53">
        <f>IF(SCAN!Q453&lt;&gt;"-",SCAN!D453,0)</f>
        <v>0</v>
      </c>
      <c r="S453" s="53">
        <f>IF(SCAN!Q453&lt;&gt;"-",SCAN!E453,0)</f>
        <v>0</v>
      </c>
      <c r="T453" s="53">
        <f>IF(SCAN!Q453&lt;&gt;"-",SCAN!F453,0)</f>
        <v>0</v>
      </c>
    </row>
    <row r="454" spans="8:20" x14ac:dyDescent="0.25">
      <c r="H454" s="50">
        <f>IF(AND(SCAN!K454="-",SCAN!Q454="-"),SCAN!D454,0)</f>
        <v>0</v>
      </c>
      <c r="I454" s="50">
        <f>IF(AND(SCAN!K454="-",SCAN!Q454="-"),SCAN!E454,0)</f>
        <v>0</v>
      </c>
      <c r="J454" s="50">
        <f>IF(AND(SCAN!K454="-",SCAN!Q454="-"),SCAN!F454,0)</f>
        <v>0</v>
      </c>
      <c r="M454" s="55">
        <f>IF(SCAN!K454&lt;&gt;"-",SCAN!D454,0)</f>
        <v>0</v>
      </c>
      <c r="N454" s="55">
        <f>IF(SCAN!K454&lt;&gt;"-",SCAN!E454,0)</f>
        <v>0</v>
      </c>
      <c r="O454" s="55">
        <f>IF(SCAN!K454&lt;&gt;"-",SCAN!F454,0)</f>
        <v>0</v>
      </c>
      <c r="R454" s="53">
        <f>IF(SCAN!Q454&lt;&gt;"-",SCAN!D454,0)</f>
        <v>0</v>
      </c>
      <c r="S454" s="53">
        <f>IF(SCAN!Q454&lt;&gt;"-",SCAN!E454,0)</f>
        <v>0</v>
      </c>
      <c r="T454" s="53">
        <f>IF(SCAN!Q454&lt;&gt;"-",SCAN!F454,0)</f>
        <v>0</v>
      </c>
    </row>
    <row r="455" spans="8:20" x14ac:dyDescent="0.25">
      <c r="H455" s="50">
        <f>IF(AND(SCAN!K455="-",SCAN!Q455="-"),SCAN!D455,0)</f>
        <v>0</v>
      </c>
      <c r="I455" s="50">
        <f>IF(AND(SCAN!K455="-",SCAN!Q455="-"),SCAN!E455,0)</f>
        <v>0</v>
      </c>
      <c r="J455" s="50">
        <f>IF(AND(SCAN!K455="-",SCAN!Q455="-"),SCAN!F455,0)</f>
        <v>0</v>
      </c>
      <c r="M455" s="55">
        <f>IF(SCAN!K455&lt;&gt;"-",SCAN!D455,0)</f>
        <v>0</v>
      </c>
      <c r="N455" s="55">
        <f>IF(SCAN!K455&lt;&gt;"-",SCAN!E455,0)</f>
        <v>0</v>
      </c>
      <c r="O455" s="55">
        <f>IF(SCAN!K455&lt;&gt;"-",SCAN!F455,0)</f>
        <v>0</v>
      </c>
      <c r="R455" s="53">
        <f>IF(SCAN!Q455&lt;&gt;"-",SCAN!D455,0)</f>
        <v>0</v>
      </c>
      <c r="S455" s="53">
        <f>IF(SCAN!Q455&lt;&gt;"-",SCAN!E455,0)</f>
        <v>0</v>
      </c>
      <c r="T455" s="53">
        <f>IF(SCAN!Q455&lt;&gt;"-",SCAN!F455,0)</f>
        <v>0</v>
      </c>
    </row>
    <row r="456" spans="8:20" x14ac:dyDescent="0.25">
      <c r="H456" s="50">
        <f>IF(AND(SCAN!K456="-",SCAN!Q456="-"),SCAN!D456,0)</f>
        <v>0</v>
      </c>
      <c r="I456" s="50">
        <f>IF(AND(SCAN!K456="-",SCAN!Q456="-"),SCAN!E456,0)</f>
        <v>0</v>
      </c>
      <c r="J456" s="50">
        <f>IF(AND(SCAN!K456="-",SCAN!Q456="-"),SCAN!F456,0)</f>
        <v>0</v>
      </c>
      <c r="M456" s="55">
        <f>IF(SCAN!K456&lt;&gt;"-",SCAN!D456,0)</f>
        <v>0</v>
      </c>
      <c r="N456" s="55">
        <f>IF(SCAN!K456&lt;&gt;"-",SCAN!E456,0)</f>
        <v>0</v>
      </c>
      <c r="O456" s="55">
        <f>IF(SCAN!K456&lt;&gt;"-",SCAN!F456,0)</f>
        <v>0</v>
      </c>
      <c r="R456" s="53">
        <f>IF(SCAN!Q456&lt;&gt;"-",SCAN!D456,0)</f>
        <v>0</v>
      </c>
      <c r="S456" s="53">
        <f>IF(SCAN!Q456&lt;&gt;"-",SCAN!E456,0)</f>
        <v>0</v>
      </c>
      <c r="T456" s="53">
        <f>IF(SCAN!Q456&lt;&gt;"-",SCAN!F456,0)</f>
        <v>0</v>
      </c>
    </row>
    <row r="457" spans="8:20" x14ac:dyDescent="0.25">
      <c r="H457" s="50">
        <f>IF(AND(SCAN!K457="-",SCAN!Q457="-"),SCAN!D457,0)</f>
        <v>0</v>
      </c>
      <c r="I457" s="50">
        <f>IF(AND(SCAN!K457="-",SCAN!Q457="-"),SCAN!E457,0)</f>
        <v>0</v>
      </c>
      <c r="J457" s="50">
        <f>IF(AND(SCAN!K457="-",SCAN!Q457="-"),SCAN!F457,0)</f>
        <v>0</v>
      </c>
      <c r="M457" s="55">
        <f>IF(SCAN!K457&lt;&gt;"-",SCAN!D457,0)</f>
        <v>0</v>
      </c>
      <c r="N457" s="55">
        <f>IF(SCAN!K457&lt;&gt;"-",SCAN!E457,0)</f>
        <v>0</v>
      </c>
      <c r="O457" s="55">
        <f>IF(SCAN!K457&lt;&gt;"-",SCAN!F457,0)</f>
        <v>0</v>
      </c>
      <c r="R457" s="53">
        <f>IF(SCAN!Q457&lt;&gt;"-",SCAN!D457,0)</f>
        <v>0</v>
      </c>
      <c r="S457" s="53">
        <f>IF(SCAN!Q457&lt;&gt;"-",SCAN!E457,0)</f>
        <v>0</v>
      </c>
      <c r="T457" s="53">
        <f>IF(SCAN!Q457&lt;&gt;"-",SCAN!F457,0)</f>
        <v>0</v>
      </c>
    </row>
    <row r="458" spans="8:20" x14ac:dyDescent="0.25">
      <c r="H458" s="50">
        <f>IF(AND(SCAN!K458="-",SCAN!Q458="-"),SCAN!D458,0)</f>
        <v>0</v>
      </c>
      <c r="I458" s="50">
        <f>IF(AND(SCAN!K458="-",SCAN!Q458="-"),SCAN!E458,0)</f>
        <v>0</v>
      </c>
      <c r="J458" s="50">
        <f>IF(AND(SCAN!K458="-",SCAN!Q458="-"),SCAN!F458,0)</f>
        <v>0</v>
      </c>
      <c r="M458" s="55">
        <f>IF(SCAN!K458&lt;&gt;"-",SCAN!D458,0)</f>
        <v>0</v>
      </c>
      <c r="N458" s="55">
        <f>IF(SCAN!K458&lt;&gt;"-",SCAN!E458,0)</f>
        <v>0</v>
      </c>
      <c r="O458" s="55">
        <f>IF(SCAN!K458&lt;&gt;"-",SCAN!F458,0)</f>
        <v>0</v>
      </c>
      <c r="R458" s="53">
        <f>IF(SCAN!Q458&lt;&gt;"-",SCAN!D458,0)</f>
        <v>0</v>
      </c>
      <c r="S458" s="53">
        <f>IF(SCAN!Q458&lt;&gt;"-",SCAN!E458,0)</f>
        <v>0</v>
      </c>
      <c r="T458" s="53">
        <f>IF(SCAN!Q458&lt;&gt;"-",SCAN!F458,0)</f>
        <v>0</v>
      </c>
    </row>
    <row r="459" spans="8:20" x14ac:dyDescent="0.25">
      <c r="H459" s="50">
        <f>IF(AND(SCAN!K459="-",SCAN!Q459="-"),SCAN!D459,0)</f>
        <v>0</v>
      </c>
      <c r="I459" s="50">
        <f>IF(AND(SCAN!K459="-",SCAN!Q459="-"),SCAN!E459,0)</f>
        <v>0</v>
      </c>
      <c r="J459" s="50">
        <f>IF(AND(SCAN!K459="-",SCAN!Q459="-"),SCAN!F459,0)</f>
        <v>0</v>
      </c>
      <c r="M459" s="55">
        <f>IF(SCAN!K459&lt;&gt;"-",SCAN!D459,0)</f>
        <v>0</v>
      </c>
      <c r="N459" s="55">
        <f>IF(SCAN!K459&lt;&gt;"-",SCAN!E459,0)</f>
        <v>0</v>
      </c>
      <c r="O459" s="55">
        <f>IF(SCAN!K459&lt;&gt;"-",SCAN!F459,0)</f>
        <v>0</v>
      </c>
      <c r="R459" s="53">
        <f>IF(SCAN!Q459&lt;&gt;"-",SCAN!D459,0)</f>
        <v>0</v>
      </c>
      <c r="S459" s="53">
        <f>IF(SCAN!Q459&lt;&gt;"-",SCAN!E459,0)</f>
        <v>0</v>
      </c>
      <c r="T459" s="53">
        <f>IF(SCAN!Q459&lt;&gt;"-",SCAN!F459,0)</f>
        <v>0</v>
      </c>
    </row>
    <row r="460" spans="8:20" x14ac:dyDescent="0.25">
      <c r="H460" s="50">
        <f>IF(AND(SCAN!K460="-",SCAN!Q460="-"),SCAN!D460,0)</f>
        <v>0</v>
      </c>
      <c r="I460" s="50">
        <f>IF(AND(SCAN!K460="-",SCAN!Q460="-"),SCAN!E460,0)</f>
        <v>0</v>
      </c>
      <c r="J460" s="50">
        <f>IF(AND(SCAN!K460="-",SCAN!Q460="-"),SCAN!F460,0)</f>
        <v>0</v>
      </c>
      <c r="M460" s="55">
        <f>IF(SCAN!K460&lt;&gt;"-",SCAN!D460,0)</f>
        <v>0</v>
      </c>
      <c r="N460" s="55">
        <f>IF(SCAN!K460&lt;&gt;"-",SCAN!E460,0)</f>
        <v>0</v>
      </c>
      <c r="O460" s="55">
        <f>IF(SCAN!K460&lt;&gt;"-",SCAN!F460,0)</f>
        <v>0</v>
      </c>
      <c r="R460" s="53">
        <f>IF(SCAN!Q460&lt;&gt;"-",SCAN!D460,0)</f>
        <v>0</v>
      </c>
      <c r="S460" s="53">
        <f>IF(SCAN!Q460&lt;&gt;"-",SCAN!E460,0)</f>
        <v>0</v>
      </c>
      <c r="T460" s="53">
        <f>IF(SCAN!Q460&lt;&gt;"-",SCAN!F460,0)</f>
        <v>0</v>
      </c>
    </row>
    <row r="461" spans="8:20" x14ac:dyDescent="0.25">
      <c r="H461" s="50">
        <f>IF(AND(SCAN!K461="-",SCAN!Q461="-"),SCAN!D461,0)</f>
        <v>0</v>
      </c>
      <c r="I461" s="50">
        <f>IF(AND(SCAN!K461="-",SCAN!Q461="-"),SCAN!E461,0)</f>
        <v>0</v>
      </c>
      <c r="J461" s="50">
        <f>IF(AND(SCAN!K461="-",SCAN!Q461="-"),SCAN!F461,0)</f>
        <v>0</v>
      </c>
      <c r="M461" s="55">
        <f>IF(SCAN!K461&lt;&gt;"-",SCAN!D461,0)</f>
        <v>0</v>
      </c>
      <c r="N461" s="55">
        <f>IF(SCAN!K461&lt;&gt;"-",SCAN!E461,0)</f>
        <v>0</v>
      </c>
      <c r="O461" s="55">
        <f>IF(SCAN!K461&lt;&gt;"-",SCAN!F461,0)</f>
        <v>0</v>
      </c>
      <c r="R461" s="53">
        <f>IF(SCAN!Q461&lt;&gt;"-",SCAN!D461,0)</f>
        <v>0</v>
      </c>
      <c r="S461" s="53">
        <f>IF(SCAN!Q461&lt;&gt;"-",SCAN!E461,0)</f>
        <v>0</v>
      </c>
      <c r="T461" s="53">
        <f>IF(SCAN!Q461&lt;&gt;"-",SCAN!F461,0)</f>
        <v>0</v>
      </c>
    </row>
    <row r="462" spans="8:20" x14ac:dyDescent="0.25">
      <c r="H462" s="50">
        <f>IF(AND(SCAN!K462="-",SCAN!Q462="-"),SCAN!D462,0)</f>
        <v>0</v>
      </c>
      <c r="I462" s="50">
        <f>IF(AND(SCAN!K462="-",SCAN!Q462="-"),SCAN!E462,0)</f>
        <v>0</v>
      </c>
      <c r="J462" s="50">
        <f>IF(AND(SCAN!K462="-",SCAN!Q462="-"),SCAN!F462,0)</f>
        <v>0</v>
      </c>
      <c r="M462" s="55">
        <f>IF(SCAN!K462&lt;&gt;"-",SCAN!D462,0)</f>
        <v>0</v>
      </c>
      <c r="N462" s="55">
        <f>IF(SCAN!K462&lt;&gt;"-",SCAN!E462,0)</f>
        <v>0</v>
      </c>
      <c r="O462" s="55">
        <f>IF(SCAN!K462&lt;&gt;"-",SCAN!F462,0)</f>
        <v>0</v>
      </c>
      <c r="R462" s="53">
        <f>IF(SCAN!Q462&lt;&gt;"-",SCAN!D462,0)</f>
        <v>0</v>
      </c>
      <c r="S462" s="53">
        <f>IF(SCAN!Q462&lt;&gt;"-",SCAN!E462,0)</f>
        <v>0</v>
      </c>
      <c r="T462" s="53">
        <f>IF(SCAN!Q462&lt;&gt;"-",SCAN!F462,0)</f>
        <v>0</v>
      </c>
    </row>
    <row r="463" spans="8:20" x14ac:dyDescent="0.25">
      <c r="H463" s="50">
        <f>IF(AND(SCAN!K463="-",SCAN!Q463="-"),SCAN!D463,0)</f>
        <v>0</v>
      </c>
      <c r="I463" s="50">
        <f>IF(AND(SCAN!K463="-",SCAN!Q463="-"),SCAN!E463,0)</f>
        <v>0</v>
      </c>
      <c r="J463" s="50">
        <f>IF(AND(SCAN!K463="-",SCAN!Q463="-"),SCAN!F463,0)</f>
        <v>0</v>
      </c>
      <c r="M463" s="55">
        <f>IF(SCAN!K463&lt;&gt;"-",SCAN!D463,0)</f>
        <v>0</v>
      </c>
      <c r="N463" s="55">
        <f>IF(SCAN!K463&lt;&gt;"-",SCAN!E463,0)</f>
        <v>0</v>
      </c>
      <c r="O463" s="55">
        <f>IF(SCAN!K463&lt;&gt;"-",SCAN!F463,0)</f>
        <v>0</v>
      </c>
      <c r="R463" s="53">
        <f>IF(SCAN!Q463&lt;&gt;"-",SCAN!D463,0)</f>
        <v>0</v>
      </c>
      <c r="S463" s="53">
        <f>IF(SCAN!Q463&lt;&gt;"-",SCAN!E463,0)</f>
        <v>0</v>
      </c>
      <c r="T463" s="53">
        <f>IF(SCAN!Q463&lt;&gt;"-",SCAN!F463,0)</f>
        <v>0</v>
      </c>
    </row>
    <row r="464" spans="8:20" x14ac:dyDescent="0.25">
      <c r="H464" s="50">
        <f>IF(AND(SCAN!K464="-",SCAN!Q464="-"),SCAN!D464,0)</f>
        <v>0</v>
      </c>
      <c r="I464" s="50">
        <f>IF(AND(SCAN!K464="-",SCAN!Q464="-"),SCAN!E464,0)</f>
        <v>0</v>
      </c>
      <c r="J464" s="50">
        <f>IF(AND(SCAN!K464="-",SCAN!Q464="-"),SCAN!F464,0)</f>
        <v>0</v>
      </c>
      <c r="M464" s="55">
        <f>IF(SCAN!K464&lt;&gt;"-",SCAN!D464,0)</f>
        <v>0</v>
      </c>
      <c r="N464" s="55">
        <f>IF(SCAN!K464&lt;&gt;"-",SCAN!E464,0)</f>
        <v>0</v>
      </c>
      <c r="O464" s="55">
        <f>IF(SCAN!K464&lt;&gt;"-",SCAN!F464,0)</f>
        <v>0</v>
      </c>
      <c r="R464" s="53">
        <f>IF(SCAN!Q464&lt;&gt;"-",SCAN!D464,0)</f>
        <v>0</v>
      </c>
      <c r="S464" s="53">
        <f>IF(SCAN!Q464&lt;&gt;"-",SCAN!E464,0)</f>
        <v>0</v>
      </c>
      <c r="T464" s="53">
        <f>IF(SCAN!Q464&lt;&gt;"-",SCAN!F464,0)</f>
        <v>0</v>
      </c>
    </row>
    <row r="465" spans="8:20" x14ac:dyDescent="0.25">
      <c r="H465" s="50">
        <f>IF(AND(SCAN!K465="-",SCAN!Q465="-"),SCAN!D465,0)</f>
        <v>0</v>
      </c>
      <c r="I465" s="50">
        <f>IF(AND(SCAN!K465="-",SCAN!Q465="-"),SCAN!E465,0)</f>
        <v>0</v>
      </c>
      <c r="J465" s="50">
        <f>IF(AND(SCAN!K465="-",SCAN!Q465="-"),SCAN!F465,0)</f>
        <v>0</v>
      </c>
      <c r="M465" s="55">
        <f>IF(SCAN!K465&lt;&gt;"-",SCAN!D465,0)</f>
        <v>0</v>
      </c>
      <c r="N465" s="55">
        <f>IF(SCAN!K465&lt;&gt;"-",SCAN!E465,0)</f>
        <v>0</v>
      </c>
      <c r="O465" s="55">
        <f>IF(SCAN!K465&lt;&gt;"-",SCAN!F465,0)</f>
        <v>0</v>
      </c>
      <c r="R465" s="53">
        <f>IF(SCAN!Q465&lt;&gt;"-",SCAN!D465,0)</f>
        <v>0</v>
      </c>
      <c r="S465" s="53">
        <f>IF(SCAN!Q465&lt;&gt;"-",SCAN!E465,0)</f>
        <v>0</v>
      </c>
      <c r="T465" s="53">
        <f>IF(SCAN!Q465&lt;&gt;"-",SCAN!F465,0)</f>
        <v>0</v>
      </c>
    </row>
    <row r="466" spans="8:20" x14ac:dyDescent="0.25">
      <c r="H466" s="50">
        <f>IF(AND(SCAN!K466="-",SCAN!Q466="-"),SCAN!D466,0)</f>
        <v>0</v>
      </c>
      <c r="I466" s="50">
        <f>IF(AND(SCAN!K466="-",SCAN!Q466="-"),SCAN!E466,0)</f>
        <v>0</v>
      </c>
      <c r="J466" s="50">
        <f>IF(AND(SCAN!K466="-",SCAN!Q466="-"),SCAN!F466,0)</f>
        <v>0</v>
      </c>
      <c r="M466" s="55">
        <f>IF(SCAN!K466&lt;&gt;"-",SCAN!D466,0)</f>
        <v>0</v>
      </c>
      <c r="N466" s="55">
        <f>IF(SCAN!K466&lt;&gt;"-",SCAN!E466,0)</f>
        <v>0</v>
      </c>
      <c r="O466" s="55">
        <f>IF(SCAN!K466&lt;&gt;"-",SCAN!F466,0)</f>
        <v>0</v>
      </c>
      <c r="R466" s="53">
        <f>IF(SCAN!Q466&lt;&gt;"-",SCAN!D466,0)</f>
        <v>0</v>
      </c>
      <c r="S466" s="53">
        <f>IF(SCAN!Q466&lt;&gt;"-",SCAN!E466,0)</f>
        <v>0</v>
      </c>
      <c r="T466" s="53">
        <f>IF(SCAN!Q466&lt;&gt;"-",SCAN!F466,0)</f>
        <v>0</v>
      </c>
    </row>
    <row r="467" spans="8:20" x14ac:dyDescent="0.25">
      <c r="H467" s="50">
        <f>IF(AND(SCAN!K467="-",SCAN!Q467="-"),SCAN!D467,0)</f>
        <v>0</v>
      </c>
      <c r="I467" s="50">
        <f>IF(AND(SCAN!K467="-",SCAN!Q467="-"),SCAN!E467,0)</f>
        <v>0</v>
      </c>
      <c r="J467" s="50">
        <f>IF(AND(SCAN!K467="-",SCAN!Q467="-"),SCAN!F467,0)</f>
        <v>0</v>
      </c>
      <c r="M467" s="55">
        <f>IF(SCAN!K467&lt;&gt;"-",SCAN!D467,0)</f>
        <v>0</v>
      </c>
      <c r="N467" s="55">
        <f>IF(SCAN!K467&lt;&gt;"-",SCAN!E467,0)</f>
        <v>0</v>
      </c>
      <c r="O467" s="55">
        <f>IF(SCAN!K467&lt;&gt;"-",SCAN!F467,0)</f>
        <v>0</v>
      </c>
      <c r="R467" s="53">
        <f>IF(SCAN!Q467&lt;&gt;"-",SCAN!D467,0)</f>
        <v>0</v>
      </c>
      <c r="S467" s="53">
        <f>IF(SCAN!Q467&lt;&gt;"-",SCAN!E467,0)</f>
        <v>0</v>
      </c>
      <c r="T467" s="53">
        <f>IF(SCAN!Q467&lt;&gt;"-",SCAN!F467,0)</f>
        <v>0</v>
      </c>
    </row>
    <row r="468" spans="8:20" x14ac:dyDescent="0.25">
      <c r="H468" s="50">
        <f>IF(AND(SCAN!K468="-",SCAN!Q468="-"),SCAN!D468,0)</f>
        <v>0</v>
      </c>
      <c r="I468" s="50">
        <f>IF(AND(SCAN!K468="-",SCAN!Q468="-"),SCAN!E468,0)</f>
        <v>0</v>
      </c>
      <c r="J468" s="50">
        <f>IF(AND(SCAN!K468="-",SCAN!Q468="-"),SCAN!F468,0)</f>
        <v>0</v>
      </c>
      <c r="M468" s="55">
        <f>IF(SCAN!K468&lt;&gt;"-",SCAN!D468,0)</f>
        <v>0</v>
      </c>
      <c r="N468" s="55">
        <f>IF(SCAN!K468&lt;&gt;"-",SCAN!E468,0)</f>
        <v>0</v>
      </c>
      <c r="O468" s="55">
        <f>IF(SCAN!K468&lt;&gt;"-",SCAN!F468,0)</f>
        <v>0</v>
      </c>
      <c r="R468" s="53">
        <f>IF(SCAN!Q468&lt;&gt;"-",SCAN!D468,0)</f>
        <v>0</v>
      </c>
      <c r="S468" s="53">
        <f>IF(SCAN!Q468&lt;&gt;"-",SCAN!E468,0)</f>
        <v>0</v>
      </c>
      <c r="T468" s="53">
        <f>IF(SCAN!Q468&lt;&gt;"-",SCAN!F468,0)</f>
        <v>0</v>
      </c>
    </row>
    <row r="469" spans="8:20" x14ac:dyDescent="0.25">
      <c r="H469" s="50">
        <f>IF(AND(SCAN!K469="-",SCAN!Q469="-"),SCAN!D469,0)</f>
        <v>0</v>
      </c>
      <c r="I469" s="50">
        <f>IF(AND(SCAN!K469="-",SCAN!Q469="-"),SCAN!E469,0)</f>
        <v>0</v>
      </c>
      <c r="J469" s="50">
        <f>IF(AND(SCAN!K469="-",SCAN!Q469="-"),SCAN!F469,0)</f>
        <v>0</v>
      </c>
      <c r="M469" s="55">
        <f>IF(SCAN!K469&lt;&gt;"-",SCAN!D469,0)</f>
        <v>0</v>
      </c>
      <c r="N469" s="55">
        <f>IF(SCAN!K469&lt;&gt;"-",SCAN!E469,0)</f>
        <v>0</v>
      </c>
      <c r="O469" s="55">
        <f>IF(SCAN!K469&lt;&gt;"-",SCAN!F469,0)</f>
        <v>0</v>
      </c>
      <c r="R469" s="53">
        <f>IF(SCAN!Q469&lt;&gt;"-",SCAN!D469,0)</f>
        <v>0</v>
      </c>
      <c r="S469" s="53">
        <f>IF(SCAN!Q469&lt;&gt;"-",SCAN!E469,0)</f>
        <v>0</v>
      </c>
      <c r="T469" s="53">
        <f>IF(SCAN!Q469&lt;&gt;"-",SCAN!F469,0)</f>
        <v>0</v>
      </c>
    </row>
    <row r="470" spans="8:20" x14ac:dyDescent="0.25">
      <c r="H470" s="50">
        <f>IF(AND(SCAN!K470="-",SCAN!Q470="-"),SCAN!D470,0)</f>
        <v>0</v>
      </c>
      <c r="I470" s="50">
        <f>IF(AND(SCAN!K470="-",SCAN!Q470="-"),SCAN!E470,0)</f>
        <v>0</v>
      </c>
      <c r="J470" s="50">
        <f>IF(AND(SCAN!K470="-",SCAN!Q470="-"),SCAN!F470,0)</f>
        <v>0</v>
      </c>
      <c r="M470" s="55">
        <f>IF(SCAN!K470&lt;&gt;"-",SCAN!D470,0)</f>
        <v>0</v>
      </c>
      <c r="N470" s="55">
        <f>IF(SCAN!K470&lt;&gt;"-",SCAN!E470,0)</f>
        <v>0</v>
      </c>
      <c r="O470" s="55">
        <f>IF(SCAN!K470&lt;&gt;"-",SCAN!F470,0)</f>
        <v>0</v>
      </c>
      <c r="R470" s="53">
        <f>IF(SCAN!Q470&lt;&gt;"-",SCAN!D470,0)</f>
        <v>0</v>
      </c>
      <c r="S470" s="53">
        <f>IF(SCAN!Q470&lt;&gt;"-",SCAN!E470,0)</f>
        <v>0</v>
      </c>
      <c r="T470" s="53">
        <f>IF(SCAN!Q470&lt;&gt;"-",SCAN!F470,0)</f>
        <v>0</v>
      </c>
    </row>
    <row r="471" spans="8:20" x14ac:dyDescent="0.25">
      <c r="H471" s="50">
        <f>IF(AND(SCAN!K471="-",SCAN!Q471="-"),SCAN!D471,0)</f>
        <v>0</v>
      </c>
      <c r="I471" s="50">
        <f>IF(AND(SCAN!K471="-",SCAN!Q471="-"),SCAN!E471,0)</f>
        <v>0</v>
      </c>
      <c r="J471" s="50">
        <f>IF(AND(SCAN!K471="-",SCAN!Q471="-"),SCAN!F471,0)</f>
        <v>0</v>
      </c>
      <c r="M471" s="55">
        <f>IF(SCAN!K471&lt;&gt;"-",SCAN!D471,0)</f>
        <v>0</v>
      </c>
      <c r="N471" s="55">
        <f>IF(SCAN!K471&lt;&gt;"-",SCAN!E471,0)</f>
        <v>0</v>
      </c>
      <c r="O471" s="55">
        <f>IF(SCAN!K471&lt;&gt;"-",SCAN!F471,0)</f>
        <v>0</v>
      </c>
      <c r="R471" s="53">
        <f>IF(SCAN!Q471&lt;&gt;"-",SCAN!D471,0)</f>
        <v>0</v>
      </c>
      <c r="S471" s="53">
        <f>IF(SCAN!Q471&lt;&gt;"-",SCAN!E471,0)</f>
        <v>0</v>
      </c>
      <c r="T471" s="53">
        <f>IF(SCAN!Q471&lt;&gt;"-",SCAN!F471,0)</f>
        <v>0</v>
      </c>
    </row>
    <row r="472" spans="8:20" x14ac:dyDescent="0.25">
      <c r="H472" s="50">
        <f>IF(AND(SCAN!K472="-",SCAN!Q472="-"),SCAN!D472,0)</f>
        <v>0</v>
      </c>
      <c r="I472" s="50">
        <f>IF(AND(SCAN!K472="-",SCAN!Q472="-"),SCAN!E472,0)</f>
        <v>0</v>
      </c>
      <c r="J472" s="50">
        <f>IF(AND(SCAN!K472="-",SCAN!Q472="-"),SCAN!F472,0)</f>
        <v>0</v>
      </c>
      <c r="M472" s="55">
        <f>IF(SCAN!K472&lt;&gt;"-",SCAN!D472,0)</f>
        <v>0</v>
      </c>
      <c r="N472" s="55">
        <f>IF(SCAN!K472&lt;&gt;"-",SCAN!E472,0)</f>
        <v>0</v>
      </c>
      <c r="O472" s="55">
        <f>IF(SCAN!K472&lt;&gt;"-",SCAN!F472,0)</f>
        <v>0</v>
      </c>
      <c r="R472" s="53">
        <f>IF(SCAN!Q472&lt;&gt;"-",SCAN!D472,0)</f>
        <v>0</v>
      </c>
      <c r="S472" s="53">
        <f>IF(SCAN!Q472&lt;&gt;"-",SCAN!E472,0)</f>
        <v>0</v>
      </c>
      <c r="T472" s="53">
        <f>IF(SCAN!Q472&lt;&gt;"-",SCAN!F472,0)</f>
        <v>0</v>
      </c>
    </row>
    <row r="473" spans="8:20" x14ac:dyDescent="0.25">
      <c r="H473" s="50">
        <f>IF(AND(SCAN!K473="-",SCAN!Q473="-"),SCAN!D473,0)</f>
        <v>0</v>
      </c>
      <c r="I473" s="50">
        <f>IF(AND(SCAN!K473="-",SCAN!Q473="-"),SCAN!E473,0)</f>
        <v>0</v>
      </c>
      <c r="J473" s="50">
        <f>IF(AND(SCAN!K473="-",SCAN!Q473="-"),SCAN!F473,0)</f>
        <v>0</v>
      </c>
      <c r="M473" s="55">
        <f>IF(SCAN!K473&lt;&gt;"-",SCAN!D473,0)</f>
        <v>0</v>
      </c>
      <c r="N473" s="55">
        <f>IF(SCAN!K473&lt;&gt;"-",SCAN!E473,0)</f>
        <v>0</v>
      </c>
      <c r="O473" s="55">
        <f>IF(SCAN!K473&lt;&gt;"-",SCAN!F473,0)</f>
        <v>0</v>
      </c>
      <c r="R473" s="53">
        <f>IF(SCAN!Q473&lt;&gt;"-",SCAN!D473,0)</f>
        <v>0</v>
      </c>
      <c r="S473" s="53">
        <f>IF(SCAN!Q473&lt;&gt;"-",SCAN!E473,0)</f>
        <v>0</v>
      </c>
      <c r="T473" s="53">
        <f>IF(SCAN!Q473&lt;&gt;"-",SCAN!F473,0)</f>
        <v>0</v>
      </c>
    </row>
    <row r="474" spans="8:20" x14ac:dyDescent="0.25">
      <c r="H474" s="50">
        <f>IF(AND(SCAN!K474="-",SCAN!Q474="-"),SCAN!D474,0)</f>
        <v>0</v>
      </c>
      <c r="I474" s="50">
        <f>IF(AND(SCAN!K474="-",SCAN!Q474="-"),SCAN!E474,0)</f>
        <v>0</v>
      </c>
      <c r="J474" s="50">
        <f>IF(AND(SCAN!K474="-",SCAN!Q474="-"),SCAN!F474,0)</f>
        <v>0</v>
      </c>
      <c r="M474" s="55">
        <f>IF(SCAN!K474&lt;&gt;"-",SCAN!D474,0)</f>
        <v>0</v>
      </c>
      <c r="N474" s="55">
        <f>IF(SCAN!K474&lt;&gt;"-",SCAN!E474,0)</f>
        <v>0</v>
      </c>
      <c r="O474" s="55">
        <f>IF(SCAN!K474&lt;&gt;"-",SCAN!F474,0)</f>
        <v>0</v>
      </c>
      <c r="R474" s="53">
        <f>IF(SCAN!Q474&lt;&gt;"-",SCAN!D474,0)</f>
        <v>0</v>
      </c>
      <c r="S474" s="53">
        <f>IF(SCAN!Q474&lt;&gt;"-",SCAN!E474,0)</f>
        <v>0</v>
      </c>
      <c r="T474" s="53">
        <f>IF(SCAN!Q474&lt;&gt;"-",SCAN!F474,0)</f>
        <v>0</v>
      </c>
    </row>
    <row r="475" spans="8:20" x14ac:dyDescent="0.25">
      <c r="H475" s="50">
        <f>IF(AND(SCAN!K475="-",SCAN!Q475="-"),SCAN!D475,0)</f>
        <v>0</v>
      </c>
      <c r="I475" s="50">
        <f>IF(AND(SCAN!K475="-",SCAN!Q475="-"),SCAN!E475,0)</f>
        <v>0</v>
      </c>
      <c r="J475" s="50">
        <f>IF(AND(SCAN!K475="-",SCAN!Q475="-"),SCAN!F475,0)</f>
        <v>0</v>
      </c>
      <c r="M475" s="55">
        <f>IF(SCAN!K475&lt;&gt;"-",SCAN!D475,0)</f>
        <v>0</v>
      </c>
      <c r="N475" s="55">
        <f>IF(SCAN!K475&lt;&gt;"-",SCAN!E475,0)</f>
        <v>0</v>
      </c>
      <c r="O475" s="55">
        <f>IF(SCAN!K475&lt;&gt;"-",SCAN!F475,0)</f>
        <v>0</v>
      </c>
      <c r="R475" s="53">
        <f>IF(SCAN!Q475&lt;&gt;"-",SCAN!D475,0)</f>
        <v>0</v>
      </c>
      <c r="S475" s="53">
        <f>IF(SCAN!Q475&lt;&gt;"-",SCAN!E475,0)</f>
        <v>0</v>
      </c>
      <c r="T475" s="53">
        <f>IF(SCAN!Q475&lt;&gt;"-",SCAN!F475,0)</f>
        <v>0</v>
      </c>
    </row>
    <row r="476" spans="8:20" x14ac:dyDescent="0.25">
      <c r="H476" s="50">
        <f>IF(AND(SCAN!K476="-",SCAN!Q476="-"),SCAN!D476,0)</f>
        <v>0</v>
      </c>
      <c r="I476" s="50">
        <f>IF(AND(SCAN!K476="-",SCAN!Q476="-"),SCAN!E476,0)</f>
        <v>0</v>
      </c>
      <c r="J476" s="50">
        <f>IF(AND(SCAN!K476="-",SCAN!Q476="-"),SCAN!F476,0)</f>
        <v>0</v>
      </c>
      <c r="M476" s="55">
        <f>IF(SCAN!K476&lt;&gt;"-",SCAN!D476,0)</f>
        <v>0</v>
      </c>
      <c r="N476" s="55">
        <f>IF(SCAN!K476&lt;&gt;"-",SCAN!E476,0)</f>
        <v>0</v>
      </c>
      <c r="O476" s="55">
        <f>IF(SCAN!K476&lt;&gt;"-",SCAN!F476,0)</f>
        <v>0</v>
      </c>
      <c r="R476" s="53">
        <f>IF(SCAN!Q476&lt;&gt;"-",SCAN!D476,0)</f>
        <v>0</v>
      </c>
      <c r="S476" s="53">
        <f>IF(SCAN!Q476&lt;&gt;"-",SCAN!E476,0)</f>
        <v>0</v>
      </c>
      <c r="T476" s="53">
        <f>IF(SCAN!Q476&lt;&gt;"-",SCAN!F476,0)</f>
        <v>0</v>
      </c>
    </row>
    <row r="477" spans="8:20" x14ac:dyDescent="0.25">
      <c r="H477" s="50">
        <f>IF(AND(SCAN!K477="-",SCAN!Q477="-"),SCAN!D477,0)</f>
        <v>0</v>
      </c>
      <c r="I477" s="50">
        <f>IF(AND(SCAN!K477="-",SCAN!Q477="-"),SCAN!E477,0)</f>
        <v>0</v>
      </c>
      <c r="J477" s="50">
        <f>IF(AND(SCAN!K477="-",SCAN!Q477="-"),SCAN!F477,0)</f>
        <v>0</v>
      </c>
      <c r="M477" s="55">
        <f>IF(SCAN!K477&lt;&gt;"-",SCAN!D477,0)</f>
        <v>0</v>
      </c>
      <c r="N477" s="55">
        <f>IF(SCAN!K477&lt;&gt;"-",SCAN!E477,0)</f>
        <v>0</v>
      </c>
      <c r="O477" s="55">
        <f>IF(SCAN!K477&lt;&gt;"-",SCAN!F477,0)</f>
        <v>0</v>
      </c>
      <c r="R477" s="53">
        <f>IF(SCAN!Q477&lt;&gt;"-",SCAN!D477,0)</f>
        <v>0</v>
      </c>
      <c r="S477" s="53">
        <f>IF(SCAN!Q477&lt;&gt;"-",SCAN!E477,0)</f>
        <v>0</v>
      </c>
      <c r="T477" s="53">
        <f>IF(SCAN!Q477&lt;&gt;"-",SCAN!F477,0)</f>
        <v>0</v>
      </c>
    </row>
    <row r="478" spans="8:20" x14ac:dyDescent="0.25">
      <c r="H478" s="50">
        <f>IF(AND(SCAN!K478="-",SCAN!Q478="-"),SCAN!D478,0)</f>
        <v>0</v>
      </c>
      <c r="I478" s="50">
        <f>IF(AND(SCAN!K478="-",SCAN!Q478="-"),SCAN!E478,0)</f>
        <v>0</v>
      </c>
      <c r="J478" s="50">
        <f>IF(AND(SCAN!K478="-",SCAN!Q478="-"),SCAN!F478,0)</f>
        <v>0</v>
      </c>
      <c r="M478" s="55">
        <f>IF(SCAN!K478&lt;&gt;"-",SCAN!D478,0)</f>
        <v>0</v>
      </c>
      <c r="N478" s="55">
        <f>IF(SCAN!K478&lt;&gt;"-",SCAN!E478,0)</f>
        <v>0</v>
      </c>
      <c r="O478" s="55">
        <f>IF(SCAN!K478&lt;&gt;"-",SCAN!F478,0)</f>
        <v>0</v>
      </c>
      <c r="R478" s="53">
        <f>IF(SCAN!Q478&lt;&gt;"-",SCAN!D478,0)</f>
        <v>0</v>
      </c>
      <c r="S478" s="53">
        <f>IF(SCAN!Q478&lt;&gt;"-",SCAN!E478,0)</f>
        <v>0</v>
      </c>
      <c r="T478" s="53">
        <f>IF(SCAN!Q478&lt;&gt;"-",SCAN!F478,0)</f>
        <v>0</v>
      </c>
    </row>
    <row r="479" spans="8:20" x14ac:dyDescent="0.25">
      <c r="H479" s="50">
        <f>IF(AND(SCAN!K479="-",SCAN!Q479="-"),SCAN!D479,0)</f>
        <v>0</v>
      </c>
      <c r="I479" s="50">
        <f>IF(AND(SCAN!K479="-",SCAN!Q479="-"),SCAN!E479,0)</f>
        <v>0</v>
      </c>
      <c r="J479" s="50">
        <f>IF(AND(SCAN!K479="-",SCAN!Q479="-"),SCAN!F479,0)</f>
        <v>0</v>
      </c>
      <c r="M479" s="55">
        <f>IF(SCAN!K479&lt;&gt;"-",SCAN!D479,0)</f>
        <v>0</v>
      </c>
      <c r="N479" s="55">
        <f>IF(SCAN!K479&lt;&gt;"-",SCAN!E479,0)</f>
        <v>0</v>
      </c>
      <c r="O479" s="55">
        <f>IF(SCAN!K479&lt;&gt;"-",SCAN!F479,0)</f>
        <v>0</v>
      </c>
      <c r="R479" s="53">
        <f>IF(SCAN!Q479&lt;&gt;"-",SCAN!D479,0)</f>
        <v>0</v>
      </c>
      <c r="S479" s="53">
        <f>IF(SCAN!Q479&lt;&gt;"-",SCAN!E479,0)</f>
        <v>0</v>
      </c>
      <c r="T479" s="53">
        <f>IF(SCAN!Q479&lt;&gt;"-",SCAN!F479,0)</f>
        <v>0</v>
      </c>
    </row>
    <row r="480" spans="8:20" x14ac:dyDescent="0.25">
      <c r="H480" s="50">
        <f>IF(AND(SCAN!K480="-",SCAN!Q480="-"),SCAN!D480,0)</f>
        <v>0</v>
      </c>
      <c r="I480" s="50">
        <f>IF(AND(SCAN!K480="-",SCAN!Q480="-"),SCAN!E480,0)</f>
        <v>0</v>
      </c>
      <c r="J480" s="50">
        <f>IF(AND(SCAN!K480="-",SCAN!Q480="-"),SCAN!F480,0)</f>
        <v>0</v>
      </c>
      <c r="M480" s="55">
        <f>IF(SCAN!K480&lt;&gt;"-",SCAN!D480,0)</f>
        <v>0</v>
      </c>
      <c r="N480" s="55">
        <f>IF(SCAN!K480&lt;&gt;"-",SCAN!E480,0)</f>
        <v>0</v>
      </c>
      <c r="O480" s="55">
        <f>IF(SCAN!K480&lt;&gt;"-",SCAN!F480,0)</f>
        <v>0</v>
      </c>
      <c r="R480" s="53">
        <f>IF(SCAN!Q480&lt;&gt;"-",SCAN!D480,0)</f>
        <v>0</v>
      </c>
      <c r="S480" s="53">
        <f>IF(SCAN!Q480&lt;&gt;"-",SCAN!E480,0)</f>
        <v>0</v>
      </c>
      <c r="T480" s="53">
        <f>IF(SCAN!Q480&lt;&gt;"-",SCAN!F480,0)</f>
        <v>0</v>
      </c>
    </row>
    <row r="481" spans="8:20" x14ac:dyDescent="0.25">
      <c r="H481" s="50">
        <f>IF(AND(SCAN!K481="-",SCAN!Q481="-"),SCAN!D481,0)</f>
        <v>0</v>
      </c>
      <c r="I481" s="50">
        <f>IF(AND(SCAN!K481="-",SCAN!Q481="-"),SCAN!E481,0)</f>
        <v>0</v>
      </c>
      <c r="J481" s="50">
        <f>IF(AND(SCAN!K481="-",SCAN!Q481="-"),SCAN!F481,0)</f>
        <v>0</v>
      </c>
      <c r="M481" s="55">
        <f>IF(SCAN!K481&lt;&gt;"-",SCAN!D481,0)</f>
        <v>0</v>
      </c>
      <c r="N481" s="55">
        <f>IF(SCAN!K481&lt;&gt;"-",SCAN!E481,0)</f>
        <v>0</v>
      </c>
      <c r="O481" s="55">
        <f>IF(SCAN!K481&lt;&gt;"-",SCAN!F481,0)</f>
        <v>0</v>
      </c>
      <c r="R481" s="53">
        <f>IF(SCAN!Q481&lt;&gt;"-",SCAN!D481,0)</f>
        <v>0</v>
      </c>
      <c r="S481" s="53">
        <f>IF(SCAN!Q481&lt;&gt;"-",SCAN!E481,0)</f>
        <v>0</v>
      </c>
      <c r="T481" s="53">
        <f>IF(SCAN!Q481&lt;&gt;"-",SCAN!F481,0)</f>
        <v>0</v>
      </c>
    </row>
    <row r="482" spans="8:20" x14ac:dyDescent="0.25">
      <c r="H482" s="50">
        <f>IF(AND(SCAN!K482="-",SCAN!Q482="-"),SCAN!D482,0)</f>
        <v>0</v>
      </c>
      <c r="I482" s="50">
        <f>IF(AND(SCAN!K482="-",SCAN!Q482="-"),SCAN!E482,0)</f>
        <v>0</v>
      </c>
      <c r="J482" s="50">
        <f>IF(AND(SCAN!K482="-",SCAN!Q482="-"),SCAN!F482,0)</f>
        <v>0</v>
      </c>
      <c r="M482" s="55">
        <f>IF(SCAN!K482&lt;&gt;"-",SCAN!D482,0)</f>
        <v>0</v>
      </c>
      <c r="N482" s="55">
        <f>IF(SCAN!K482&lt;&gt;"-",SCAN!E482,0)</f>
        <v>0</v>
      </c>
      <c r="O482" s="55">
        <f>IF(SCAN!K482&lt;&gt;"-",SCAN!F482,0)</f>
        <v>0</v>
      </c>
      <c r="R482" s="53">
        <f>IF(SCAN!Q482&lt;&gt;"-",SCAN!D482,0)</f>
        <v>0</v>
      </c>
      <c r="S482" s="53">
        <f>IF(SCAN!Q482&lt;&gt;"-",SCAN!E482,0)</f>
        <v>0</v>
      </c>
      <c r="T482" s="53">
        <f>IF(SCAN!Q482&lt;&gt;"-",SCAN!F482,0)</f>
        <v>0</v>
      </c>
    </row>
    <row r="483" spans="8:20" x14ac:dyDescent="0.25">
      <c r="H483" s="50">
        <f>IF(AND(SCAN!K483="-",SCAN!Q483="-"),SCAN!D483,0)</f>
        <v>0</v>
      </c>
      <c r="I483" s="50">
        <f>IF(AND(SCAN!K483="-",SCAN!Q483="-"),SCAN!E483,0)</f>
        <v>0</v>
      </c>
      <c r="J483" s="50">
        <f>IF(AND(SCAN!K483="-",SCAN!Q483="-"),SCAN!F483,0)</f>
        <v>0</v>
      </c>
      <c r="M483" s="55">
        <f>IF(SCAN!K483&lt;&gt;"-",SCAN!D483,0)</f>
        <v>0</v>
      </c>
      <c r="N483" s="55">
        <f>IF(SCAN!K483&lt;&gt;"-",SCAN!E483,0)</f>
        <v>0</v>
      </c>
      <c r="O483" s="55">
        <f>IF(SCAN!K483&lt;&gt;"-",SCAN!F483,0)</f>
        <v>0</v>
      </c>
      <c r="R483" s="53">
        <f>IF(SCAN!Q483&lt;&gt;"-",SCAN!D483,0)</f>
        <v>0</v>
      </c>
      <c r="S483" s="53">
        <f>IF(SCAN!Q483&lt;&gt;"-",SCAN!E483,0)</f>
        <v>0</v>
      </c>
      <c r="T483" s="53">
        <f>IF(SCAN!Q483&lt;&gt;"-",SCAN!F483,0)</f>
        <v>0</v>
      </c>
    </row>
    <row r="484" spans="8:20" x14ac:dyDescent="0.25">
      <c r="H484" s="50">
        <f>IF(AND(SCAN!K484="-",SCAN!Q484="-"),SCAN!D484,0)</f>
        <v>0</v>
      </c>
      <c r="I484" s="50">
        <f>IF(AND(SCAN!K484="-",SCAN!Q484="-"),SCAN!E484,0)</f>
        <v>0</v>
      </c>
      <c r="J484" s="50">
        <f>IF(AND(SCAN!K484="-",SCAN!Q484="-"),SCAN!F484,0)</f>
        <v>0</v>
      </c>
      <c r="M484" s="55">
        <f>IF(SCAN!K484&lt;&gt;"-",SCAN!D484,0)</f>
        <v>0</v>
      </c>
      <c r="N484" s="55">
        <f>IF(SCAN!K484&lt;&gt;"-",SCAN!E484,0)</f>
        <v>0</v>
      </c>
      <c r="O484" s="55">
        <f>IF(SCAN!K484&lt;&gt;"-",SCAN!F484,0)</f>
        <v>0</v>
      </c>
      <c r="R484" s="53">
        <f>IF(SCAN!Q484&lt;&gt;"-",SCAN!D484,0)</f>
        <v>0</v>
      </c>
      <c r="S484" s="53">
        <f>IF(SCAN!Q484&lt;&gt;"-",SCAN!E484,0)</f>
        <v>0</v>
      </c>
      <c r="T484" s="53">
        <f>IF(SCAN!Q484&lt;&gt;"-",SCAN!F484,0)</f>
        <v>0</v>
      </c>
    </row>
    <row r="485" spans="8:20" x14ac:dyDescent="0.25">
      <c r="H485" s="50">
        <f>IF(AND(SCAN!K485="-",SCAN!Q485="-"),SCAN!D485,0)</f>
        <v>0</v>
      </c>
      <c r="I485" s="50">
        <f>IF(AND(SCAN!K485="-",SCAN!Q485="-"),SCAN!E485,0)</f>
        <v>0</v>
      </c>
      <c r="J485" s="50">
        <f>IF(AND(SCAN!K485="-",SCAN!Q485="-"),SCAN!F485,0)</f>
        <v>0</v>
      </c>
      <c r="M485" s="55">
        <f>IF(SCAN!K485&lt;&gt;"-",SCAN!D485,0)</f>
        <v>0</v>
      </c>
      <c r="N485" s="55">
        <f>IF(SCAN!K485&lt;&gt;"-",SCAN!E485,0)</f>
        <v>0</v>
      </c>
      <c r="O485" s="55">
        <f>IF(SCAN!K485&lt;&gt;"-",SCAN!F485,0)</f>
        <v>0</v>
      </c>
      <c r="R485" s="53">
        <f>IF(SCAN!Q485&lt;&gt;"-",SCAN!D485,0)</f>
        <v>0</v>
      </c>
      <c r="S485" s="53">
        <f>IF(SCAN!Q485&lt;&gt;"-",SCAN!E485,0)</f>
        <v>0</v>
      </c>
      <c r="T485" s="53">
        <f>IF(SCAN!Q485&lt;&gt;"-",SCAN!F485,0)</f>
        <v>0</v>
      </c>
    </row>
    <row r="486" spans="8:20" x14ac:dyDescent="0.25">
      <c r="H486" s="50">
        <f>IF(AND(SCAN!K486="-",SCAN!Q486="-"),SCAN!D486,0)</f>
        <v>0</v>
      </c>
      <c r="I486" s="50">
        <f>IF(AND(SCAN!K486="-",SCAN!Q486="-"),SCAN!E486,0)</f>
        <v>0</v>
      </c>
      <c r="J486" s="50">
        <f>IF(AND(SCAN!K486="-",SCAN!Q486="-"),SCAN!F486,0)</f>
        <v>0</v>
      </c>
      <c r="M486" s="55">
        <f>IF(SCAN!K486&lt;&gt;"-",SCAN!D486,0)</f>
        <v>0</v>
      </c>
      <c r="N486" s="55">
        <f>IF(SCAN!K486&lt;&gt;"-",SCAN!E486,0)</f>
        <v>0</v>
      </c>
      <c r="O486" s="55">
        <f>IF(SCAN!K486&lt;&gt;"-",SCAN!F486,0)</f>
        <v>0</v>
      </c>
      <c r="R486" s="53">
        <f>IF(SCAN!Q486&lt;&gt;"-",SCAN!D486,0)</f>
        <v>0</v>
      </c>
      <c r="S486" s="53">
        <f>IF(SCAN!Q486&lt;&gt;"-",SCAN!E486,0)</f>
        <v>0</v>
      </c>
      <c r="T486" s="53">
        <f>IF(SCAN!Q486&lt;&gt;"-",SCAN!F486,0)</f>
        <v>0</v>
      </c>
    </row>
    <row r="487" spans="8:20" x14ac:dyDescent="0.25">
      <c r="H487" s="50">
        <f>IF(AND(SCAN!K487="-",SCAN!Q487="-"),SCAN!D487,0)</f>
        <v>0</v>
      </c>
      <c r="I487" s="50">
        <f>IF(AND(SCAN!K487="-",SCAN!Q487="-"),SCAN!E487,0)</f>
        <v>0</v>
      </c>
      <c r="J487" s="50">
        <f>IF(AND(SCAN!K487="-",SCAN!Q487="-"),SCAN!F487,0)</f>
        <v>0</v>
      </c>
      <c r="M487" s="55">
        <f>IF(SCAN!K487&lt;&gt;"-",SCAN!D487,0)</f>
        <v>0</v>
      </c>
      <c r="N487" s="55">
        <f>IF(SCAN!K487&lt;&gt;"-",SCAN!E487,0)</f>
        <v>0</v>
      </c>
      <c r="O487" s="55">
        <f>IF(SCAN!K487&lt;&gt;"-",SCAN!F487,0)</f>
        <v>0</v>
      </c>
      <c r="R487" s="53">
        <f>IF(SCAN!Q487&lt;&gt;"-",SCAN!D487,0)</f>
        <v>0</v>
      </c>
      <c r="S487" s="53">
        <f>IF(SCAN!Q487&lt;&gt;"-",SCAN!E487,0)</f>
        <v>0</v>
      </c>
      <c r="T487" s="53">
        <f>IF(SCAN!Q487&lt;&gt;"-",SCAN!F487,0)</f>
        <v>0</v>
      </c>
    </row>
    <row r="488" spans="8:20" x14ac:dyDescent="0.25">
      <c r="H488" s="50">
        <f>IF(AND(SCAN!K488="-",SCAN!Q488="-"),SCAN!D488,0)</f>
        <v>0</v>
      </c>
      <c r="I488" s="50">
        <f>IF(AND(SCAN!K488="-",SCAN!Q488="-"),SCAN!E488,0)</f>
        <v>0</v>
      </c>
      <c r="J488" s="50">
        <f>IF(AND(SCAN!K488="-",SCAN!Q488="-"),SCAN!F488,0)</f>
        <v>0</v>
      </c>
      <c r="M488" s="55">
        <f>IF(SCAN!K488&lt;&gt;"-",SCAN!D488,0)</f>
        <v>0</v>
      </c>
      <c r="N488" s="55">
        <f>IF(SCAN!K488&lt;&gt;"-",SCAN!E488,0)</f>
        <v>0</v>
      </c>
      <c r="O488" s="55">
        <f>IF(SCAN!K488&lt;&gt;"-",SCAN!F488,0)</f>
        <v>0</v>
      </c>
      <c r="R488" s="53">
        <f>IF(SCAN!Q488&lt;&gt;"-",SCAN!D488,0)</f>
        <v>0</v>
      </c>
      <c r="S488" s="53">
        <f>IF(SCAN!Q488&lt;&gt;"-",SCAN!E488,0)</f>
        <v>0</v>
      </c>
      <c r="T488" s="53">
        <f>IF(SCAN!Q488&lt;&gt;"-",SCAN!F488,0)</f>
        <v>0</v>
      </c>
    </row>
    <row r="489" spans="8:20" x14ac:dyDescent="0.25">
      <c r="H489" s="50">
        <f>IF(AND(SCAN!K489="-",SCAN!Q489="-"),SCAN!D489,0)</f>
        <v>0</v>
      </c>
      <c r="I489" s="50">
        <f>IF(AND(SCAN!K489="-",SCAN!Q489="-"),SCAN!E489,0)</f>
        <v>0</v>
      </c>
      <c r="J489" s="50">
        <f>IF(AND(SCAN!K489="-",SCAN!Q489="-"),SCAN!F489,0)</f>
        <v>0</v>
      </c>
      <c r="M489" s="55">
        <f>IF(SCAN!K489&lt;&gt;"-",SCAN!D489,0)</f>
        <v>0</v>
      </c>
      <c r="N489" s="55">
        <f>IF(SCAN!K489&lt;&gt;"-",SCAN!E489,0)</f>
        <v>0</v>
      </c>
      <c r="O489" s="55">
        <f>IF(SCAN!K489&lt;&gt;"-",SCAN!F489,0)</f>
        <v>0</v>
      </c>
      <c r="R489" s="53">
        <f>IF(SCAN!Q489&lt;&gt;"-",SCAN!D489,0)</f>
        <v>0</v>
      </c>
      <c r="S489" s="53">
        <f>IF(SCAN!Q489&lt;&gt;"-",SCAN!E489,0)</f>
        <v>0</v>
      </c>
      <c r="T489" s="53">
        <f>IF(SCAN!Q489&lt;&gt;"-",SCAN!F489,0)</f>
        <v>0</v>
      </c>
    </row>
    <row r="490" spans="8:20" x14ac:dyDescent="0.25">
      <c r="H490" s="50">
        <f>IF(AND(SCAN!K490="-",SCAN!Q490="-"),SCAN!D490,0)</f>
        <v>0</v>
      </c>
      <c r="I490" s="50">
        <f>IF(AND(SCAN!K490="-",SCAN!Q490="-"),SCAN!E490,0)</f>
        <v>0</v>
      </c>
      <c r="J490" s="50">
        <f>IF(AND(SCAN!K490="-",SCAN!Q490="-"),SCAN!F490,0)</f>
        <v>0</v>
      </c>
      <c r="M490" s="55">
        <f>IF(SCAN!K490&lt;&gt;"-",SCAN!D490,0)</f>
        <v>0</v>
      </c>
      <c r="N490" s="55">
        <f>IF(SCAN!K490&lt;&gt;"-",SCAN!E490,0)</f>
        <v>0</v>
      </c>
      <c r="O490" s="55">
        <f>IF(SCAN!K490&lt;&gt;"-",SCAN!F490,0)</f>
        <v>0</v>
      </c>
      <c r="R490" s="53">
        <f>IF(SCAN!Q490&lt;&gt;"-",SCAN!D490,0)</f>
        <v>0</v>
      </c>
      <c r="S490" s="53">
        <f>IF(SCAN!Q490&lt;&gt;"-",SCAN!E490,0)</f>
        <v>0</v>
      </c>
      <c r="T490" s="53">
        <f>IF(SCAN!Q490&lt;&gt;"-",SCAN!F490,0)</f>
        <v>0</v>
      </c>
    </row>
    <row r="491" spans="8:20" x14ac:dyDescent="0.25">
      <c r="H491" s="50">
        <f>IF(AND(SCAN!K491="-",SCAN!Q491="-"),SCAN!D491,0)</f>
        <v>0</v>
      </c>
      <c r="I491" s="50">
        <f>IF(AND(SCAN!K491="-",SCAN!Q491="-"),SCAN!E491,0)</f>
        <v>0</v>
      </c>
      <c r="J491" s="50">
        <f>IF(AND(SCAN!K491="-",SCAN!Q491="-"),SCAN!F491,0)</f>
        <v>0</v>
      </c>
      <c r="M491" s="55">
        <f>IF(SCAN!K491&lt;&gt;"-",SCAN!D491,0)</f>
        <v>0</v>
      </c>
      <c r="N491" s="55">
        <f>IF(SCAN!K491&lt;&gt;"-",SCAN!E491,0)</f>
        <v>0</v>
      </c>
      <c r="O491" s="55">
        <f>IF(SCAN!K491&lt;&gt;"-",SCAN!F491,0)</f>
        <v>0</v>
      </c>
      <c r="R491" s="53">
        <f>IF(SCAN!Q491&lt;&gt;"-",SCAN!D491,0)</f>
        <v>0</v>
      </c>
      <c r="S491" s="53">
        <f>IF(SCAN!Q491&lt;&gt;"-",SCAN!E491,0)</f>
        <v>0</v>
      </c>
      <c r="T491" s="53">
        <f>IF(SCAN!Q491&lt;&gt;"-",SCAN!F491,0)</f>
        <v>0</v>
      </c>
    </row>
    <row r="492" spans="8:20" x14ac:dyDescent="0.25">
      <c r="H492" s="50">
        <f>IF(AND(SCAN!K492="-",SCAN!Q492="-"),SCAN!D492,0)</f>
        <v>0</v>
      </c>
      <c r="I492" s="50">
        <f>IF(AND(SCAN!K492="-",SCAN!Q492="-"),SCAN!E492,0)</f>
        <v>0</v>
      </c>
      <c r="J492" s="50">
        <f>IF(AND(SCAN!K492="-",SCAN!Q492="-"),SCAN!F492,0)</f>
        <v>0</v>
      </c>
      <c r="M492" s="55">
        <f>IF(SCAN!K492&lt;&gt;"-",SCAN!D492,0)</f>
        <v>0</v>
      </c>
      <c r="N492" s="55">
        <f>IF(SCAN!K492&lt;&gt;"-",SCAN!E492,0)</f>
        <v>0</v>
      </c>
      <c r="O492" s="55">
        <f>IF(SCAN!K492&lt;&gt;"-",SCAN!F492,0)</f>
        <v>0</v>
      </c>
      <c r="R492" s="53">
        <f>IF(SCAN!Q492&lt;&gt;"-",SCAN!D492,0)</f>
        <v>0</v>
      </c>
      <c r="S492" s="53">
        <f>IF(SCAN!Q492&lt;&gt;"-",SCAN!E492,0)</f>
        <v>0</v>
      </c>
      <c r="T492" s="53">
        <f>IF(SCAN!Q492&lt;&gt;"-",SCAN!F492,0)</f>
        <v>0</v>
      </c>
    </row>
    <row r="493" spans="8:20" x14ac:dyDescent="0.25">
      <c r="H493" s="50">
        <f>IF(AND(SCAN!K493="-",SCAN!Q493="-"),SCAN!D493,0)</f>
        <v>0</v>
      </c>
      <c r="I493" s="50">
        <f>IF(AND(SCAN!K493="-",SCAN!Q493="-"),SCAN!E493,0)</f>
        <v>0</v>
      </c>
      <c r="J493" s="50">
        <f>IF(AND(SCAN!K493="-",SCAN!Q493="-"),SCAN!F493,0)</f>
        <v>0</v>
      </c>
      <c r="M493" s="55">
        <f>IF(SCAN!K493&lt;&gt;"-",SCAN!D493,0)</f>
        <v>0</v>
      </c>
      <c r="N493" s="55">
        <f>IF(SCAN!K493&lt;&gt;"-",SCAN!E493,0)</f>
        <v>0</v>
      </c>
      <c r="O493" s="55">
        <f>IF(SCAN!K493&lt;&gt;"-",SCAN!F493,0)</f>
        <v>0</v>
      </c>
      <c r="R493" s="53">
        <f>IF(SCAN!Q493&lt;&gt;"-",SCAN!D493,0)</f>
        <v>0</v>
      </c>
      <c r="S493" s="53">
        <f>IF(SCAN!Q493&lt;&gt;"-",SCAN!E493,0)</f>
        <v>0</v>
      </c>
      <c r="T493" s="53">
        <f>IF(SCAN!Q493&lt;&gt;"-",SCAN!F493,0)</f>
        <v>0</v>
      </c>
    </row>
    <row r="494" spans="8:20" x14ac:dyDescent="0.25">
      <c r="H494" s="50">
        <f>IF(AND(SCAN!K494="-",SCAN!Q494="-"),SCAN!D494,0)</f>
        <v>0</v>
      </c>
      <c r="I494" s="50">
        <f>IF(AND(SCAN!K494="-",SCAN!Q494="-"),SCAN!E494,0)</f>
        <v>0</v>
      </c>
      <c r="J494" s="50">
        <f>IF(AND(SCAN!K494="-",SCAN!Q494="-"),SCAN!F494,0)</f>
        <v>0</v>
      </c>
      <c r="M494" s="55">
        <f>IF(SCAN!K494&lt;&gt;"-",SCAN!D494,0)</f>
        <v>0</v>
      </c>
      <c r="N494" s="55">
        <f>IF(SCAN!K494&lt;&gt;"-",SCAN!E494,0)</f>
        <v>0</v>
      </c>
      <c r="O494" s="55">
        <f>IF(SCAN!K494&lt;&gt;"-",SCAN!F494,0)</f>
        <v>0</v>
      </c>
      <c r="R494" s="53">
        <f>IF(SCAN!Q494&lt;&gt;"-",SCAN!D494,0)</f>
        <v>0</v>
      </c>
      <c r="S494" s="53">
        <f>IF(SCAN!Q494&lt;&gt;"-",SCAN!E494,0)</f>
        <v>0</v>
      </c>
      <c r="T494" s="53">
        <f>IF(SCAN!Q494&lt;&gt;"-",SCAN!F494,0)</f>
        <v>0</v>
      </c>
    </row>
    <row r="495" spans="8:20" x14ac:dyDescent="0.25">
      <c r="H495" s="50">
        <f>IF(AND(SCAN!K495="-",SCAN!Q495="-"),SCAN!D495,0)</f>
        <v>0</v>
      </c>
      <c r="I495" s="50">
        <f>IF(AND(SCAN!K495="-",SCAN!Q495="-"),SCAN!E495,0)</f>
        <v>0</v>
      </c>
      <c r="J495" s="50">
        <f>IF(AND(SCAN!K495="-",SCAN!Q495="-"),SCAN!F495,0)</f>
        <v>0</v>
      </c>
      <c r="M495" s="55">
        <f>IF(SCAN!K495&lt;&gt;"-",SCAN!D495,0)</f>
        <v>0</v>
      </c>
      <c r="N495" s="55">
        <f>IF(SCAN!K495&lt;&gt;"-",SCAN!E495,0)</f>
        <v>0</v>
      </c>
      <c r="O495" s="55">
        <f>IF(SCAN!K495&lt;&gt;"-",SCAN!F495,0)</f>
        <v>0</v>
      </c>
      <c r="R495" s="53">
        <f>IF(SCAN!Q495&lt;&gt;"-",SCAN!D495,0)</f>
        <v>0</v>
      </c>
      <c r="S495" s="53">
        <f>IF(SCAN!Q495&lt;&gt;"-",SCAN!E495,0)</f>
        <v>0</v>
      </c>
      <c r="T495" s="53">
        <f>IF(SCAN!Q495&lt;&gt;"-",SCAN!F495,0)</f>
        <v>0</v>
      </c>
    </row>
    <row r="496" spans="8:20" x14ac:dyDescent="0.25">
      <c r="H496" s="50">
        <f>IF(AND(SCAN!K496="-",SCAN!Q496="-"),SCAN!D496,0)</f>
        <v>0</v>
      </c>
      <c r="I496" s="50">
        <f>IF(AND(SCAN!K496="-",SCAN!Q496="-"),SCAN!E496,0)</f>
        <v>0</v>
      </c>
      <c r="J496" s="50">
        <f>IF(AND(SCAN!K496="-",SCAN!Q496="-"),SCAN!F496,0)</f>
        <v>0</v>
      </c>
      <c r="M496" s="55">
        <f>IF(SCAN!K496&lt;&gt;"-",SCAN!D496,0)</f>
        <v>0</v>
      </c>
      <c r="N496" s="55">
        <f>IF(SCAN!K496&lt;&gt;"-",SCAN!E496,0)</f>
        <v>0</v>
      </c>
      <c r="O496" s="55">
        <f>IF(SCAN!K496&lt;&gt;"-",SCAN!F496,0)</f>
        <v>0</v>
      </c>
      <c r="R496" s="53">
        <f>IF(SCAN!Q496&lt;&gt;"-",SCAN!D496,0)</f>
        <v>0</v>
      </c>
      <c r="S496" s="53">
        <f>IF(SCAN!Q496&lt;&gt;"-",SCAN!E496,0)</f>
        <v>0</v>
      </c>
      <c r="T496" s="53">
        <f>IF(SCAN!Q496&lt;&gt;"-",SCAN!F496,0)</f>
        <v>0</v>
      </c>
    </row>
    <row r="497" spans="8:20" x14ac:dyDescent="0.25">
      <c r="H497" s="50">
        <f>IF(AND(SCAN!K497="-",SCAN!Q497="-"),SCAN!D497,0)</f>
        <v>0</v>
      </c>
      <c r="I497" s="50">
        <f>IF(AND(SCAN!K497="-",SCAN!Q497="-"),SCAN!E497,0)</f>
        <v>0</v>
      </c>
      <c r="J497" s="50">
        <f>IF(AND(SCAN!K497="-",SCAN!Q497="-"),SCAN!F497,0)</f>
        <v>0</v>
      </c>
      <c r="M497" s="55">
        <f>IF(SCAN!K497&lt;&gt;"-",SCAN!D497,0)</f>
        <v>0</v>
      </c>
      <c r="N497" s="55">
        <f>IF(SCAN!K497&lt;&gt;"-",SCAN!E497,0)</f>
        <v>0</v>
      </c>
      <c r="O497" s="55">
        <f>IF(SCAN!K497&lt;&gt;"-",SCAN!F497,0)</f>
        <v>0</v>
      </c>
      <c r="R497" s="53">
        <f>IF(SCAN!Q497&lt;&gt;"-",SCAN!D497,0)</f>
        <v>0</v>
      </c>
      <c r="S497" s="53">
        <f>IF(SCAN!Q497&lt;&gt;"-",SCAN!E497,0)</f>
        <v>0</v>
      </c>
      <c r="T497" s="53">
        <f>IF(SCAN!Q497&lt;&gt;"-",SCAN!F497,0)</f>
        <v>0</v>
      </c>
    </row>
    <row r="498" spans="8:20" x14ac:dyDescent="0.25">
      <c r="H498" s="50">
        <f>IF(AND(SCAN!K498="-",SCAN!Q498="-"),SCAN!D498,0)</f>
        <v>0</v>
      </c>
      <c r="I498" s="50">
        <f>IF(AND(SCAN!K498="-",SCAN!Q498="-"),SCAN!E498,0)</f>
        <v>0</v>
      </c>
      <c r="J498" s="50">
        <f>IF(AND(SCAN!K498="-",SCAN!Q498="-"),SCAN!F498,0)</f>
        <v>0</v>
      </c>
      <c r="M498" s="55">
        <f>IF(SCAN!K498&lt;&gt;"-",SCAN!D498,0)</f>
        <v>0</v>
      </c>
      <c r="N498" s="55">
        <f>IF(SCAN!K498&lt;&gt;"-",SCAN!E498,0)</f>
        <v>0</v>
      </c>
      <c r="O498" s="55">
        <f>IF(SCAN!K498&lt;&gt;"-",SCAN!F498,0)</f>
        <v>0</v>
      </c>
      <c r="R498" s="53">
        <f>IF(SCAN!Q498&lt;&gt;"-",SCAN!D498,0)</f>
        <v>0</v>
      </c>
      <c r="S498" s="53">
        <f>IF(SCAN!Q498&lt;&gt;"-",SCAN!E498,0)</f>
        <v>0</v>
      </c>
      <c r="T498" s="53">
        <f>IF(SCAN!Q498&lt;&gt;"-",SCAN!F498,0)</f>
        <v>0</v>
      </c>
    </row>
    <row r="499" spans="8:20" x14ac:dyDescent="0.25">
      <c r="H499" s="50">
        <f>IF(AND(SCAN!K499="-",SCAN!Q499="-"),SCAN!D499,0)</f>
        <v>0</v>
      </c>
      <c r="I499" s="50">
        <f>IF(AND(SCAN!K499="-",SCAN!Q499="-"),SCAN!E499,0)</f>
        <v>0</v>
      </c>
      <c r="J499" s="50">
        <f>IF(AND(SCAN!K499="-",SCAN!Q499="-"),SCAN!F499,0)</f>
        <v>0</v>
      </c>
      <c r="M499" s="55">
        <f>IF(SCAN!K499&lt;&gt;"-",SCAN!D499,0)</f>
        <v>0</v>
      </c>
      <c r="N499" s="55">
        <f>IF(SCAN!K499&lt;&gt;"-",SCAN!E499,0)</f>
        <v>0</v>
      </c>
      <c r="O499" s="55">
        <f>IF(SCAN!K499&lt;&gt;"-",SCAN!F499,0)</f>
        <v>0</v>
      </c>
      <c r="R499" s="53">
        <f>IF(SCAN!Q499&lt;&gt;"-",SCAN!D499,0)</f>
        <v>0</v>
      </c>
      <c r="S499" s="53">
        <f>IF(SCAN!Q499&lt;&gt;"-",SCAN!E499,0)</f>
        <v>0</v>
      </c>
      <c r="T499" s="53">
        <f>IF(SCAN!Q499&lt;&gt;"-",SCAN!F499,0)</f>
        <v>0</v>
      </c>
    </row>
    <row r="500" spans="8:20" x14ac:dyDescent="0.25">
      <c r="H500" s="50">
        <f>IF(AND(SCAN!K500="-",SCAN!Q500="-"),SCAN!D500,0)</f>
        <v>0</v>
      </c>
      <c r="I500" s="50">
        <f>IF(AND(SCAN!K500="-",SCAN!Q500="-"),SCAN!E500,0)</f>
        <v>0</v>
      </c>
      <c r="J500" s="50">
        <f>IF(AND(SCAN!K500="-",SCAN!Q500="-"),SCAN!F500,0)</f>
        <v>0</v>
      </c>
      <c r="M500" s="55">
        <f>IF(SCAN!K500&lt;&gt;"-",SCAN!D500,0)</f>
        <v>0</v>
      </c>
      <c r="N500" s="55">
        <f>IF(SCAN!K500&lt;&gt;"-",SCAN!E500,0)</f>
        <v>0</v>
      </c>
      <c r="O500" s="55">
        <f>IF(SCAN!K500&lt;&gt;"-",SCAN!F500,0)</f>
        <v>0</v>
      </c>
      <c r="R500" s="53">
        <f>IF(SCAN!Q500&lt;&gt;"-",SCAN!D500,0)</f>
        <v>0</v>
      </c>
      <c r="S500" s="53">
        <f>IF(SCAN!Q500&lt;&gt;"-",SCAN!E500,0)</f>
        <v>0</v>
      </c>
      <c r="T500" s="53">
        <f>IF(SCAN!Q500&lt;&gt;"-",SCAN!F500,0)</f>
        <v>0</v>
      </c>
    </row>
    <row r="501" spans="8:20" x14ac:dyDescent="0.25">
      <c r="H501" s="50">
        <f>IF(AND(SCAN!K501="-",SCAN!Q501="-"),SCAN!D501,0)</f>
        <v>0</v>
      </c>
      <c r="I501" s="50">
        <f>IF(AND(SCAN!K501="-",SCAN!Q501="-"),SCAN!E501,0)</f>
        <v>0</v>
      </c>
      <c r="J501" s="50">
        <f>IF(AND(SCAN!K501="-",SCAN!Q501="-"),SCAN!F501,0)</f>
        <v>0</v>
      </c>
      <c r="M501" s="55">
        <f>IF(SCAN!K501&lt;&gt;"-",SCAN!D501,0)</f>
        <v>0</v>
      </c>
      <c r="N501" s="55">
        <f>IF(SCAN!K501&lt;&gt;"-",SCAN!E501,0)</f>
        <v>0</v>
      </c>
      <c r="O501" s="55">
        <f>IF(SCAN!K501&lt;&gt;"-",SCAN!F501,0)</f>
        <v>0</v>
      </c>
      <c r="R501" s="53">
        <f>IF(SCAN!Q501&lt;&gt;"-",SCAN!D501,0)</f>
        <v>0</v>
      </c>
      <c r="S501" s="53">
        <f>IF(SCAN!Q501&lt;&gt;"-",SCAN!E501,0)</f>
        <v>0</v>
      </c>
      <c r="T501" s="53">
        <f>IF(SCAN!Q501&lt;&gt;"-",SCAN!F501,0)</f>
        <v>0</v>
      </c>
    </row>
    <row r="502" spans="8:20" x14ac:dyDescent="0.25">
      <c r="H502" s="50">
        <f>IF(AND(SCAN!K502="-",SCAN!Q502="-"),SCAN!D502,0)</f>
        <v>0</v>
      </c>
      <c r="I502" s="50">
        <f>IF(AND(SCAN!K502="-",SCAN!Q502="-"),SCAN!E502,0)</f>
        <v>0</v>
      </c>
      <c r="J502" s="50">
        <f>IF(AND(SCAN!K502="-",SCAN!Q502="-"),SCAN!F502,0)</f>
        <v>0</v>
      </c>
      <c r="M502" s="55">
        <f>IF(SCAN!K502&lt;&gt;"-",SCAN!D502,0)</f>
        <v>0</v>
      </c>
      <c r="N502" s="55">
        <f>IF(SCAN!K502&lt;&gt;"-",SCAN!E502,0)</f>
        <v>0</v>
      </c>
      <c r="O502" s="55">
        <f>IF(SCAN!K502&lt;&gt;"-",SCAN!F502,0)</f>
        <v>0</v>
      </c>
      <c r="R502" s="53">
        <f>IF(SCAN!Q502&lt;&gt;"-",SCAN!D502,0)</f>
        <v>0</v>
      </c>
      <c r="S502" s="53">
        <f>IF(SCAN!Q502&lt;&gt;"-",SCAN!E502,0)</f>
        <v>0</v>
      </c>
      <c r="T502" s="53">
        <f>IF(SCAN!Q502&lt;&gt;"-",SCAN!F502,0)</f>
        <v>0</v>
      </c>
    </row>
    <row r="503" spans="8:20" x14ac:dyDescent="0.25">
      <c r="H503" s="50">
        <f>IF(AND(SCAN!K503="-",SCAN!Q503="-"),SCAN!D503,0)</f>
        <v>0</v>
      </c>
      <c r="I503" s="50">
        <f>IF(AND(SCAN!K503="-",SCAN!Q503="-"),SCAN!E503,0)</f>
        <v>0</v>
      </c>
      <c r="J503" s="50">
        <f>IF(AND(SCAN!K503="-",SCAN!Q503="-"),SCAN!F503,0)</f>
        <v>0</v>
      </c>
      <c r="M503" s="55">
        <f>IF(SCAN!K503&lt;&gt;"-",SCAN!D503,0)</f>
        <v>0</v>
      </c>
      <c r="N503" s="55">
        <f>IF(SCAN!K503&lt;&gt;"-",SCAN!E503,0)</f>
        <v>0</v>
      </c>
      <c r="O503" s="55">
        <f>IF(SCAN!K503&lt;&gt;"-",SCAN!F503,0)</f>
        <v>0</v>
      </c>
      <c r="R503" s="53">
        <f>IF(SCAN!Q503&lt;&gt;"-",SCAN!D503,0)</f>
        <v>0</v>
      </c>
      <c r="S503" s="53">
        <f>IF(SCAN!Q503&lt;&gt;"-",SCAN!E503,0)</f>
        <v>0</v>
      </c>
      <c r="T503" s="53">
        <f>IF(SCAN!Q503&lt;&gt;"-",SCAN!F503,0)</f>
        <v>0</v>
      </c>
    </row>
    <row r="504" spans="8:20" x14ac:dyDescent="0.25">
      <c r="H504" s="50">
        <f>IF(AND(SCAN!K504="-",SCAN!Q504="-"),SCAN!D504,0)</f>
        <v>0</v>
      </c>
      <c r="I504" s="50">
        <f>IF(AND(SCAN!K504="-",SCAN!Q504="-"),SCAN!E504,0)</f>
        <v>0</v>
      </c>
      <c r="J504" s="50">
        <f>IF(AND(SCAN!K504="-",SCAN!Q504="-"),SCAN!F504,0)</f>
        <v>0</v>
      </c>
      <c r="M504" s="55">
        <f>IF(SCAN!K504&lt;&gt;"-",SCAN!D504,0)</f>
        <v>0</v>
      </c>
      <c r="N504" s="55">
        <f>IF(SCAN!K504&lt;&gt;"-",SCAN!E504,0)</f>
        <v>0</v>
      </c>
      <c r="O504" s="55">
        <f>IF(SCAN!K504&lt;&gt;"-",SCAN!F504,0)</f>
        <v>0</v>
      </c>
      <c r="R504" s="53">
        <f>IF(SCAN!Q504&lt;&gt;"-",SCAN!D504,0)</f>
        <v>0</v>
      </c>
      <c r="S504" s="53">
        <f>IF(SCAN!Q504&lt;&gt;"-",SCAN!E504,0)</f>
        <v>0</v>
      </c>
      <c r="T504" s="53">
        <f>IF(SCAN!Q504&lt;&gt;"-",SCAN!F504,0)</f>
        <v>0</v>
      </c>
    </row>
    <row r="505" spans="8:20" x14ac:dyDescent="0.25">
      <c r="H505" s="50">
        <f>IF(AND(SCAN!K505="-",SCAN!Q505="-"),SCAN!D505,0)</f>
        <v>0</v>
      </c>
      <c r="I505" s="50">
        <f>IF(AND(SCAN!K505="-",SCAN!Q505="-"),SCAN!E505,0)</f>
        <v>0</v>
      </c>
      <c r="J505" s="50">
        <f>IF(AND(SCAN!K505="-",SCAN!Q505="-"),SCAN!F505,0)</f>
        <v>0</v>
      </c>
      <c r="M505" s="55">
        <f>IF(SCAN!K505&lt;&gt;"-",SCAN!D505,0)</f>
        <v>0</v>
      </c>
      <c r="N505" s="55">
        <f>IF(SCAN!K505&lt;&gt;"-",SCAN!E505,0)</f>
        <v>0</v>
      </c>
      <c r="O505" s="55">
        <f>IF(SCAN!K505&lt;&gt;"-",SCAN!F505,0)</f>
        <v>0</v>
      </c>
      <c r="R505" s="53">
        <f>IF(SCAN!Q505&lt;&gt;"-",SCAN!D505,0)</f>
        <v>0</v>
      </c>
      <c r="S505" s="53">
        <f>IF(SCAN!Q505&lt;&gt;"-",SCAN!E505,0)</f>
        <v>0</v>
      </c>
      <c r="T505" s="53">
        <f>IF(SCAN!Q505&lt;&gt;"-",SCAN!F505,0)</f>
        <v>0</v>
      </c>
    </row>
    <row r="506" spans="8:20" x14ac:dyDescent="0.25">
      <c r="H506" s="50">
        <f>IF(AND(SCAN!K506="-",SCAN!Q506="-"),SCAN!D506,0)</f>
        <v>0</v>
      </c>
      <c r="I506" s="50">
        <f>IF(AND(SCAN!K506="-",SCAN!Q506="-"),SCAN!E506,0)</f>
        <v>0</v>
      </c>
      <c r="J506" s="50">
        <f>IF(AND(SCAN!K506="-",SCAN!Q506="-"),SCAN!F506,0)</f>
        <v>0</v>
      </c>
      <c r="M506" s="55">
        <f>IF(SCAN!K506&lt;&gt;"-",SCAN!D506,0)</f>
        <v>0</v>
      </c>
      <c r="N506" s="55">
        <f>IF(SCAN!K506&lt;&gt;"-",SCAN!E506,0)</f>
        <v>0</v>
      </c>
      <c r="O506" s="55">
        <f>IF(SCAN!K506&lt;&gt;"-",SCAN!F506,0)</f>
        <v>0</v>
      </c>
      <c r="R506" s="53">
        <f>IF(SCAN!Q506&lt;&gt;"-",SCAN!D506,0)</f>
        <v>0</v>
      </c>
      <c r="S506" s="53">
        <f>IF(SCAN!Q506&lt;&gt;"-",SCAN!E506,0)</f>
        <v>0</v>
      </c>
      <c r="T506" s="53">
        <f>IF(SCAN!Q506&lt;&gt;"-",SCAN!F506,0)</f>
        <v>0</v>
      </c>
    </row>
    <row r="507" spans="8:20" x14ac:dyDescent="0.25">
      <c r="H507" s="50">
        <f>IF(AND(SCAN!K507="-",SCAN!Q507="-"),SCAN!D507,0)</f>
        <v>0</v>
      </c>
      <c r="I507" s="50">
        <f>IF(AND(SCAN!K507="-",SCAN!Q507="-"),SCAN!E507,0)</f>
        <v>0</v>
      </c>
      <c r="J507" s="50">
        <f>IF(AND(SCAN!K507="-",SCAN!Q507="-"),SCAN!F507,0)</f>
        <v>0</v>
      </c>
      <c r="M507" s="55">
        <f>IF(SCAN!K507&lt;&gt;"-",SCAN!D507,0)</f>
        <v>0</v>
      </c>
      <c r="N507" s="55">
        <f>IF(SCAN!K507&lt;&gt;"-",SCAN!E507,0)</f>
        <v>0</v>
      </c>
      <c r="O507" s="55">
        <f>IF(SCAN!K507&lt;&gt;"-",SCAN!F507,0)</f>
        <v>0</v>
      </c>
      <c r="R507" s="53">
        <f>IF(SCAN!Q507&lt;&gt;"-",SCAN!D507,0)</f>
        <v>0</v>
      </c>
      <c r="S507" s="53">
        <f>IF(SCAN!Q507&lt;&gt;"-",SCAN!E507,0)</f>
        <v>0</v>
      </c>
      <c r="T507" s="53">
        <f>IF(SCAN!Q507&lt;&gt;"-",SCAN!F507,0)</f>
        <v>0</v>
      </c>
    </row>
    <row r="508" spans="8:20" x14ac:dyDescent="0.25">
      <c r="H508" s="50">
        <f>IF(AND(SCAN!K508="-",SCAN!Q508="-"),SCAN!D508,0)</f>
        <v>0</v>
      </c>
      <c r="I508" s="50">
        <f>IF(AND(SCAN!K508="-",SCAN!Q508="-"),SCAN!E508,0)</f>
        <v>0</v>
      </c>
      <c r="J508" s="50">
        <f>IF(AND(SCAN!K508="-",SCAN!Q508="-"),SCAN!F508,0)</f>
        <v>0</v>
      </c>
      <c r="M508" s="55">
        <f>IF(SCAN!K508&lt;&gt;"-",SCAN!D508,0)</f>
        <v>0</v>
      </c>
      <c r="N508" s="55">
        <f>IF(SCAN!K508&lt;&gt;"-",SCAN!E508,0)</f>
        <v>0</v>
      </c>
      <c r="O508" s="55">
        <f>IF(SCAN!K508&lt;&gt;"-",SCAN!F508,0)</f>
        <v>0</v>
      </c>
      <c r="R508" s="53">
        <f>IF(SCAN!Q508&lt;&gt;"-",SCAN!D508,0)</f>
        <v>0</v>
      </c>
      <c r="S508" s="53">
        <f>IF(SCAN!Q508&lt;&gt;"-",SCAN!E508,0)</f>
        <v>0</v>
      </c>
      <c r="T508" s="53">
        <f>IF(SCAN!Q508&lt;&gt;"-",SCAN!F508,0)</f>
        <v>0</v>
      </c>
    </row>
    <row r="509" spans="8:20" x14ac:dyDescent="0.25">
      <c r="H509" s="50">
        <f>IF(AND(SCAN!K509="-",SCAN!Q509="-"),SCAN!D509,0)</f>
        <v>0</v>
      </c>
      <c r="I509" s="50">
        <f>IF(AND(SCAN!K509="-",SCAN!Q509="-"),SCAN!E509,0)</f>
        <v>0</v>
      </c>
      <c r="J509" s="50">
        <f>IF(AND(SCAN!K509="-",SCAN!Q509="-"),SCAN!F509,0)</f>
        <v>0</v>
      </c>
      <c r="M509" s="55">
        <f>IF(SCAN!K509&lt;&gt;"-",SCAN!D509,0)</f>
        <v>0</v>
      </c>
      <c r="N509" s="55">
        <f>IF(SCAN!K509&lt;&gt;"-",SCAN!E509,0)</f>
        <v>0</v>
      </c>
      <c r="O509" s="55">
        <f>IF(SCAN!K509&lt;&gt;"-",SCAN!F509,0)</f>
        <v>0</v>
      </c>
      <c r="R509" s="53">
        <f>IF(SCAN!Q509&lt;&gt;"-",SCAN!D509,0)</f>
        <v>0</v>
      </c>
      <c r="S509" s="53">
        <f>IF(SCAN!Q509&lt;&gt;"-",SCAN!E509,0)</f>
        <v>0</v>
      </c>
      <c r="T509" s="53">
        <f>IF(SCAN!Q509&lt;&gt;"-",SCAN!F509,0)</f>
        <v>0</v>
      </c>
    </row>
    <row r="510" spans="8:20" x14ac:dyDescent="0.25">
      <c r="H510" s="50">
        <f>IF(AND(SCAN!K510="-",SCAN!Q510="-"),SCAN!D510,0)</f>
        <v>0</v>
      </c>
      <c r="I510" s="50">
        <f>IF(AND(SCAN!K510="-",SCAN!Q510="-"),SCAN!E510,0)</f>
        <v>0</v>
      </c>
      <c r="J510" s="50">
        <f>IF(AND(SCAN!K510="-",SCAN!Q510="-"),SCAN!F510,0)</f>
        <v>0</v>
      </c>
      <c r="M510" s="55">
        <f>IF(SCAN!K510&lt;&gt;"-",SCAN!D510,0)</f>
        <v>0</v>
      </c>
      <c r="N510" s="55">
        <f>IF(SCAN!K510&lt;&gt;"-",SCAN!E510,0)</f>
        <v>0</v>
      </c>
      <c r="O510" s="55">
        <f>IF(SCAN!K510&lt;&gt;"-",SCAN!F510,0)</f>
        <v>0</v>
      </c>
      <c r="R510" s="53">
        <f>IF(SCAN!Q510&lt;&gt;"-",SCAN!D510,0)</f>
        <v>0</v>
      </c>
      <c r="S510" s="53">
        <f>IF(SCAN!Q510&lt;&gt;"-",SCAN!E510,0)</f>
        <v>0</v>
      </c>
      <c r="T510" s="53">
        <f>IF(SCAN!Q510&lt;&gt;"-",SCAN!F510,0)</f>
        <v>0</v>
      </c>
    </row>
    <row r="511" spans="8:20" x14ac:dyDescent="0.25">
      <c r="H511" s="50">
        <f>IF(AND(SCAN!K511="-",SCAN!Q511="-"),SCAN!D511,0)</f>
        <v>0</v>
      </c>
      <c r="I511" s="50">
        <f>IF(AND(SCAN!K511="-",SCAN!Q511="-"),SCAN!E511,0)</f>
        <v>0</v>
      </c>
      <c r="J511" s="50">
        <f>IF(AND(SCAN!K511="-",SCAN!Q511="-"),SCAN!F511,0)</f>
        <v>0</v>
      </c>
      <c r="M511" s="55">
        <f>IF(SCAN!K511&lt;&gt;"-",SCAN!D511,0)</f>
        <v>0</v>
      </c>
      <c r="N511" s="55">
        <f>IF(SCAN!K511&lt;&gt;"-",SCAN!E511,0)</f>
        <v>0</v>
      </c>
      <c r="O511" s="55">
        <f>IF(SCAN!K511&lt;&gt;"-",SCAN!F511,0)</f>
        <v>0</v>
      </c>
      <c r="R511" s="53">
        <f>IF(SCAN!Q511&lt;&gt;"-",SCAN!D511,0)</f>
        <v>0</v>
      </c>
      <c r="S511" s="53">
        <f>IF(SCAN!Q511&lt;&gt;"-",SCAN!E511,0)</f>
        <v>0</v>
      </c>
      <c r="T511" s="53">
        <f>IF(SCAN!Q511&lt;&gt;"-",SCAN!F511,0)</f>
        <v>0</v>
      </c>
    </row>
    <row r="512" spans="8:20" x14ac:dyDescent="0.25">
      <c r="H512" s="50">
        <f>IF(AND(SCAN!K512="-",SCAN!Q512="-"),SCAN!D512,0)</f>
        <v>0</v>
      </c>
      <c r="I512" s="50">
        <f>IF(AND(SCAN!K512="-",SCAN!Q512="-"),SCAN!E512,0)</f>
        <v>0</v>
      </c>
      <c r="J512" s="50">
        <f>IF(AND(SCAN!K512="-",SCAN!Q512="-"),SCAN!F512,0)</f>
        <v>0</v>
      </c>
      <c r="M512" s="55">
        <f>IF(SCAN!K512&lt;&gt;"-",SCAN!D512,0)</f>
        <v>0</v>
      </c>
      <c r="N512" s="55">
        <f>IF(SCAN!K512&lt;&gt;"-",SCAN!E512,0)</f>
        <v>0</v>
      </c>
      <c r="O512" s="55">
        <f>IF(SCAN!K512&lt;&gt;"-",SCAN!F512,0)</f>
        <v>0</v>
      </c>
      <c r="R512" s="53">
        <f>IF(SCAN!Q512&lt;&gt;"-",SCAN!D512,0)</f>
        <v>0</v>
      </c>
      <c r="S512" s="53">
        <f>IF(SCAN!Q512&lt;&gt;"-",SCAN!E512,0)</f>
        <v>0</v>
      </c>
      <c r="T512" s="53">
        <f>IF(SCAN!Q512&lt;&gt;"-",SCAN!F512,0)</f>
        <v>0</v>
      </c>
    </row>
    <row r="513" spans="8:20" x14ac:dyDescent="0.25">
      <c r="H513" s="50">
        <f>IF(AND(SCAN!K513="-",SCAN!Q513="-"),SCAN!D513,0)</f>
        <v>0</v>
      </c>
      <c r="I513" s="50">
        <f>IF(AND(SCAN!K513="-",SCAN!Q513="-"),SCAN!E513,0)</f>
        <v>0</v>
      </c>
      <c r="J513" s="50">
        <f>IF(AND(SCAN!K513="-",SCAN!Q513="-"),SCAN!F513,0)</f>
        <v>0</v>
      </c>
      <c r="M513" s="55">
        <f>IF(SCAN!K513&lt;&gt;"-",SCAN!D513,0)</f>
        <v>0</v>
      </c>
      <c r="N513" s="55">
        <f>IF(SCAN!K513&lt;&gt;"-",SCAN!E513,0)</f>
        <v>0</v>
      </c>
      <c r="O513" s="55">
        <f>IF(SCAN!K513&lt;&gt;"-",SCAN!F513,0)</f>
        <v>0</v>
      </c>
      <c r="R513" s="53">
        <f>IF(SCAN!Q513&lt;&gt;"-",SCAN!D513,0)</f>
        <v>0</v>
      </c>
      <c r="S513" s="53">
        <f>IF(SCAN!Q513&lt;&gt;"-",SCAN!E513,0)</f>
        <v>0</v>
      </c>
      <c r="T513" s="53">
        <f>IF(SCAN!Q513&lt;&gt;"-",SCAN!F513,0)</f>
        <v>0</v>
      </c>
    </row>
    <row r="514" spans="8:20" x14ac:dyDescent="0.25">
      <c r="H514" s="50">
        <f>IF(AND(SCAN!K514="-",SCAN!Q514="-"),SCAN!D514,0)</f>
        <v>0</v>
      </c>
      <c r="I514" s="50">
        <f>IF(AND(SCAN!K514="-",SCAN!Q514="-"),SCAN!E514,0)</f>
        <v>0</v>
      </c>
      <c r="J514" s="50">
        <f>IF(AND(SCAN!K514="-",SCAN!Q514="-"),SCAN!F514,0)</f>
        <v>0</v>
      </c>
      <c r="M514" s="55">
        <f>IF(SCAN!K514&lt;&gt;"-",SCAN!D514,0)</f>
        <v>0</v>
      </c>
      <c r="N514" s="55">
        <f>IF(SCAN!K514&lt;&gt;"-",SCAN!E514,0)</f>
        <v>0</v>
      </c>
      <c r="O514" s="55">
        <f>IF(SCAN!K514&lt;&gt;"-",SCAN!F514,0)</f>
        <v>0</v>
      </c>
      <c r="R514" s="53">
        <f>IF(SCAN!Q514&lt;&gt;"-",SCAN!D514,0)</f>
        <v>0</v>
      </c>
      <c r="S514" s="53">
        <f>IF(SCAN!Q514&lt;&gt;"-",SCAN!E514,0)</f>
        <v>0</v>
      </c>
      <c r="T514" s="53">
        <f>IF(SCAN!Q514&lt;&gt;"-",SCAN!F514,0)</f>
        <v>0</v>
      </c>
    </row>
    <row r="515" spans="8:20" x14ac:dyDescent="0.25">
      <c r="H515" s="50">
        <f>IF(AND(SCAN!K515="-",SCAN!Q515="-"),SCAN!D515,0)</f>
        <v>0</v>
      </c>
      <c r="I515" s="50">
        <f>IF(AND(SCAN!K515="-",SCAN!Q515="-"),SCAN!E515,0)</f>
        <v>0</v>
      </c>
      <c r="J515" s="50">
        <f>IF(AND(SCAN!K515="-",SCAN!Q515="-"),SCAN!F515,0)</f>
        <v>0</v>
      </c>
      <c r="M515" s="55">
        <f>IF(SCAN!K515&lt;&gt;"-",SCAN!D515,0)</f>
        <v>0</v>
      </c>
      <c r="N515" s="55">
        <f>IF(SCAN!K515&lt;&gt;"-",SCAN!E515,0)</f>
        <v>0</v>
      </c>
      <c r="O515" s="55">
        <f>IF(SCAN!K515&lt;&gt;"-",SCAN!F515,0)</f>
        <v>0</v>
      </c>
      <c r="R515" s="53">
        <f>IF(SCAN!Q515&lt;&gt;"-",SCAN!D515,0)</f>
        <v>0</v>
      </c>
      <c r="S515" s="53">
        <f>IF(SCAN!Q515&lt;&gt;"-",SCAN!E515,0)</f>
        <v>0</v>
      </c>
      <c r="T515" s="53">
        <f>IF(SCAN!Q515&lt;&gt;"-",SCAN!F515,0)</f>
        <v>0</v>
      </c>
    </row>
    <row r="516" spans="8:20" x14ac:dyDescent="0.25">
      <c r="H516" s="50">
        <f>IF(AND(SCAN!K516="-",SCAN!Q516="-"),SCAN!D516,0)</f>
        <v>0</v>
      </c>
      <c r="I516" s="50">
        <f>IF(AND(SCAN!K516="-",SCAN!Q516="-"),SCAN!E516,0)</f>
        <v>0</v>
      </c>
      <c r="J516" s="50">
        <f>IF(AND(SCAN!K516="-",SCAN!Q516="-"),SCAN!F516,0)</f>
        <v>0</v>
      </c>
      <c r="M516" s="55">
        <f>IF(SCAN!K516&lt;&gt;"-",SCAN!D516,0)</f>
        <v>0</v>
      </c>
      <c r="N516" s="55">
        <f>IF(SCAN!K516&lt;&gt;"-",SCAN!E516,0)</f>
        <v>0</v>
      </c>
      <c r="O516" s="55">
        <f>IF(SCAN!K516&lt;&gt;"-",SCAN!F516,0)</f>
        <v>0</v>
      </c>
      <c r="R516" s="53">
        <f>IF(SCAN!Q516&lt;&gt;"-",SCAN!D516,0)</f>
        <v>0</v>
      </c>
      <c r="S516" s="53">
        <f>IF(SCAN!Q516&lt;&gt;"-",SCAN!E516,0)</f>
        <v>0</v>
      </c>
      <c r="T516" s="53">
        <f>IF(SCAN!Q516&lt;&gt;"-",SCAN!F516,0)</f>
        <v>0</v>
      </c>
    </row>
    <row r="517" spans="8:20" x14ac:dyDescent="0.25">
      <c r="H517" s="50">
        <f>IF(AND(SCAN!K517="-",SCAN!Q517="-"),SCAN!D517,0)</f>
        <v>0</v>
      </c>
      <c r="I517" s="50">
        <f>IF(AND(SCAN!K517="-",SCAN!Q517="-"),SCAN!E517,0)</f>
        <v>0</v>
      </c>
      <c r="J517" s="50">
        <f>IF(AND(SCAN!K517="-",SCAN!Q517="-"),SCAN!F517,0)</f>
        <v>0</v>
      </c>
      <c r="M517" s="55">
        <f>IF(SCAN!K517&lt;&gt;"-",SCAN!D517,0)</f>
        <v>0</v>
      </c>
      <c r="N517" s="55">
        <f>IF(SCAN!K517&lt;&gt;"-",SCAN!E517,0)</f>
        <v>0</v>
      </c>
      <c r="O517" s="55">
        <f>IF(SCAN!K517&lt;&gt;"-",SCAN!F517,0)</f>
        <v>0</v>
      </c>
      <c r="R517" s="53">
        <f>IF(SCAN!Q517&lt;&gt;"-",SCAN!D517,0)</f>
        <v>0</v>
      </c>
      <c r="S517" s="53">
        <f>IF(SCAN!Q517&lt;&gt;"-",SCAN!E517,0)</f>
        <v>0</v>
      </c>
      <c r="T517" s="53">
        <f>IF(SCAN!Q517&lt;&gt;"-",SCAN!F517,0)</f>
        <v>0</v>
      </c>
    </row>
    <row r="518" spans="8:20" x14ac:dyDescent="0.25">
      <c r="H518" s="50">
        <f>IF(AND(SCAN!K518="-",SCAN!Q518="-"),SCAN!D518,0)</f>
        <v>0</v>
      </c>
      <c r="I518" s="50">
        <f>IF(AND(SCAN!K518="-",SCAN!Q518="-"),SCAN!E518,0)</f>
        <v>0</v>
      </c>
      <c r="J518" s="50">
        <f>IF(AND(SCAN!K518="-",SCAN!Q518="-"),SCAN!F518,0)</f>
        <v>0</v>
      </c>
      <c r="M518" s="55">
        <f>IF(SCAN!K518&lt;&gt;"-",SCAN!D518,0)</f>
        <v>0</v>
      </c>
      <c r="N518" s="55">
        <f>IF(SCAN!K518&lt;&gt;"-",SCAN!E518,0)</f>
        <v>0</v>
      </c>
      <c r="O518" s="55">
        <f>IF(SCAN!K518&lt;&gt;"-",SCAN!F518,0)</f>
        <v>0</v>
      </c>
      <c r="R518" s="53">
        <f>IF(SCAN!Q518&lt;&gt;"-",SCAN!D518,0)</f>
        <v>0</v>
      </c>
      <c r="S518" s="53">
        <f>IF(SCAN!Q518&lt;&gt;"-",SCAN!E518,0)</f>
        <v>0</v>
      </c>
      <c r="T518" s="53">
        <f>IF(SCAN!Q518&lt;&gt;"-",SCAN!F518,0)</f>
        <v>0</v>
      </c>
    </row>
    <row r="519" spans="8:20" x14ac:dyDescent="0.25">
      <c r="H519" s="50">
        <f>IF(AND(SCAN!K519="-",SCAN!Q519="-"),SCAN!D519,0)</f>
        <v>0</v>
      </c>
      <c r="I519" s="50">
        <f>IF(AND(SCAN!K519="-",SCAN!Q519="-"),SCAN!E519,0)</f>
        <v>0</v>
      </c>
      <c r="J519" s="50">
        <f>IF(AND(SCAN!K519="-",SCAN!Q519="-"),SCAN!F519,0)</f>
        <v>0</v>
      </c>
      <c r="M519" s="55">
        <f>IF(SCAN!K519&lt;&gt;"-",SCAN!D519,0)</f>
        <v>0</v>
      </c>
      <c r="N519" s="55">
        <f>IF(SCAN!K519&lt;&gt;"-",SCAN!E519,0)</f>
        <v>0</v>
      </c>
      <c r="O519" s="55">
        <f>IF(SCAN!K519&lt;&gt;"-",SCAN!F519,0)</f>
        <v>0</v>
      </c>
      <c r="R519" s="53">
        <f>IF(SCAN!Q519&lt;&gt;"-",SCAN!D519,0)</f>
        <v>0</v>
      </c>
      <c r="S519" s="53">
        <f>IF(SCAN!Q519&lt;&gt;"-",SCAN!E519,0)</f>
        <v>0</v>
      </c>
      <c r="T519" s="53">
        <f>IF(SCAN!Q519&lt;&gt;"-",SCAN!F519,0)</f>
        <v>0</v>
      </c>
    </row>
    <row r="520" spans="8:20" x14ac:dyDescent="0.25">
      <c r="H520" s="50">
        <f>IF(AND(SCAN!K520="-",SCAN!Q520="-"),SCAN!D520,0)</f>
        <v>0</v>
      </c>
      <c r="I520" s="50">
        <f>IF(AND(SCAN!K520="-",SCAN!Q520="-"),SCAN!E520,0)</f>
        <v>0</v>
      </c>
      <c r="J520" s="50">
        <f>IF(AND(SCAN!K520="-",SCAN!Q520="-"),SCAN!F520,0)</f>
        <v>0</v>
      </c>
      <c r="M520" s="55">
        <f>IF(SCAN!K520&lt;&gt;"-",SCAN!D520,0)</f>
        <v>0</v>
      </c>
      <c r="N520" s="55">
        <f>IF(SCAN!K520&lt;&gt;"-",SCAN!E520,0)</f>
        <v>0</v>
      </c>
      <c r="O520" s="55">
        <f>IF(SCAN!K520&lt;&gt;"-",SCAN!F520,0)</f>
        <v>0</v>
      </c>
      <c r="R520" s="53">
        <f>IF(SCAN!Q520&lt;&gt;"-",SCAN!D520,0)</f>
        <v>0</v>
      </c>
      <c r="S520" s="53">
        <f>IF(SCAN!Q520&lt;&gt;"-",SCAN!E520,0)</f>
        <v>0</v>
      </c>
      <c r="T520" s="53">
        <f>IF(SCAN!Q520&lt;&gt;"-",SCAN!F520,0)</f>
        <v>0</v>
      </c>
    </row>
    <row r="521" spans="8:20" x14ac:dyDescent="0.25">
      <c r="H521" s="50">
        <f>IF(AND(SCAN!K521="-",SCAN!Q521="-"),SCAN!D521,0)</f>
        <v>0</v>
      </c>
      <c r="I521" s="50">
        <f>IF(AND(SCAN!K521="-",SCAN!Q521="-"),SCAN!E521,0)</f>
        <v>0</v>
      </c>
      <c r="J521" s="50">
        <f>IF(AND(SCAN!K521="-",SCAN!Q521="-"),SCAN!F521,0)</f>
        <v>0</v>
      </c>
      <c r="M521" s="55">
        <f>IF(SCAN!K521&lt;&gt;"-",SCAN!D521,0)</f>
        <v>0</v>
      </c>
      <c r="N521" s="55">
        <f>IF(SCAN!K521&lt;&gt;"-",SCAN!E521,0)</f>
        <v>0</v>
      </c>
      <c r="O521" s="55">
        <f>IF(SCAN!K521&lt;&gt;"-",SCAN!F521,0)</f>
        <v>0</v>
      </c>
      <c r="R521" s="53">
        <f>IF(SCAN!Q521&lt;&gt;"-",SCAN!D521,0)</f>
        <v>0</v>
      </c>
      <c r="S521" s="53">
        <f>IF(SCAN!Q521&lt;&gt;"-",SCAN!E521,0)</f>
        <v>0</v>
      </c>
      <c r="T521" s="53">
        <f>IF(SCAN!Q521&lt;&gt;"-",SCAN!F521,0)</f>
        <v>0</v>
      </c>
    </row>
    <row r="522" spans="8:20" x14ac:dyDescent="0.25">
      <c r="H522" s="50">
        <f>IF(AND(SCAN!K522="-",SCAN!Q522="-"),SCAN!D522,0)</f>
        <v>0</v>
      </c>
      <c r="I522" s="50">
        <f>IF(AND(SCAN!K522="-",SCAN!Q522="-"),SCAN!E522,0)</f>
        <v>0</v>
      </c>
      <c r="J522" s="50">
        <f>IF(AND(SCAN!K522="-",SCAN!Q522="-"),SCAN!F522,0)</f>
        <v>0</v>
      </c>
      <c r="M522" s="55">
        <f>IF(SCAN!K522&lt;&gt;"-",SCAN!D522,0)</f>
        <v>0</v>
      </c>
      <c r="N522" s="55">
        <f>IF(SCAN!K522&lt;&gt;"-",SCAN!E522,0)</f>
        <v>0</v>
      </c>
      <c r="O522" s="55">
        <f>IF(SCAN!K522&lt;&gt;"-",SCAN!F522,0)</f>
        <v>0</v>
      </c>
      <c r="R522" s="53">
        <f>IF(SCAN!Q522&lt;&gt;"-",SCAN!D522,0)</f>
        <v>0</v>
      </c>
      <c r="S522" s="53">
        <f>IF(SCAN!Q522&lt;&gt;"-",SCAN!E522,0)</f>
        <v>0</v>
      </c>
      <c r="T522" s="53">
        <f>IF(SCAN!Q522&lt;&gt;"-",SCAN!F522,0)</f>
        <v>0</v>
      </c>
    </row>
    <row r="523" spans="8:20" x14ac:dyDescent="0.25">
      <c r="H523" s="50">
        <f>IF(AND(SCAN!K523="-",SCAN!Q523="-"),SCAN!D523,0)</f>
        <v>0</v>
      </c>
      <c r="I523" s="50">
        <f>IF(AND(SCAN!K523="-",SCAN!Q523="-"),SCAN!E523,0)</f>
        <v>0</v>
      </c>
      <c r="J523" s="50">
        <f>IF(AND(SCAN!K523="-",SCAN!Q523="-"),SCAN!F523,0)</f>
        <v>0</v>
      </c>
      <c r="M523" s="55">
        <f>IF(SCAN!K523&lt;&gt;"-",SCAN!D523,0)</f>
        <v>0</v>
      </c>
      <c r="N523" s="55">
        <f>IF(SCAN!K523&lt;&gt;"-",SCAN!E523,0)</f>
        <v>0</v>
      </c>
      <c r="O523" s="55">
        <f>IF(SCAN!K523&lt;&gt;"-",SCAN!F523,0)</f>
        <v>0</v>
      </c>
      <c r="R523" s="53">
        <f>IF(SCAN!Q523&lt;&gt;"-",SCAN!D523,0)</f>
        <v>0</v>
      </c>
      <c r="S523" s="53">
        <f>IF(SCAN!Q523&lt;&gt;"-",SCAN!E523,0)</f>
        <v>0</v>
      </c>
      <c r="T523" s="53">
        <f>IF(SCAN!Q523&lt;&gt;"-",SCAN!F523,0)</f>
        <v>0</v>
      </c>
    </row>
    <row r="524" spans="8:20" x14ac:dyDescent="0.25">
      <c r="H524" s="50">
        <f>IF(AND(SCAN!K524="-",SCAN!Q524="-"),SCAN!D524,0)</f>
        <v>0</v>
      </c>
      <c r="I524" s="50">
        <f>IF(AND(SCAN!K524="-",SCAN!Q524="-"),SCAN!E524,0)</f>
        <v>0</v>
      </c>
      <c r="J524" s="50">
        <f>IF(AND(SCAN!K524="-",SCAN!Q524="-"),SCAN!F524,0)</f>
        <v>0</v>
      </c>
      <c r="M524" s="55">
        <f>IF(SCAN!K524&lt;&gt;"-",SCAN!D524,0)</f>
        <v>0</v>
      </c>
      <c r="N524" s="55">
        <f>IF(SCAN!K524&lt;&gt;"-",SCAN!E524,0)</f>
        <v>0</v>
      </c>
      <c r="O524" s="55">
        <f>IF(SCAN!K524&lt;&gt;"-",SCAN!F524,0)</f>
        <v>0</v>
      </c>
      <c r="R524" s="53">
        <f>IF(SCAN!Q524&lt;&gt;"-",SCAN!D524,0)</f>
        <v>0</v>
      </c>
      <c r="S524" s="53">
        <f>IF(SCAN!Q524&lt;&gt;"-",SCAN!E524,0)</f>
        <v>0</v>
      </c>
      <c r="T524" s="53">
        <f>IF(SCAN!Q524&lt;&gt;"-",SCAN!F524,0)</f>
        <v>0</v>
      </c>
    </row>
    <row r="525" spans="8:20" x14ac:dyDescent="0.25">
      <c r="H525" s="50">
        <f>IF(AND(SCAN!K525="-",SCAN!Q525="-"),SCAN!D525,0)</f>
        <v>0</v>
      </c>
      <c r="I525" s="50">
        <f>IF(AND(SCAN!K525="-",SCAN!Q525="-"),SCAN!E525,0)</f>
        <v>0</v>
      </c>
      <c r="J525" s="50">
        <f>IF(AND(SCAN!K525="-",SCAN!Q525="-"),SCAN!F525,0)</f>
        <v>0</v>
      </c>
      <c r="M525" s="55">
        <f>IF(SCAN!K525&lt;&gt;"-",SCAN!D525,0)</f>
        <v>0</v>
      </c>
      <c r="N525" s="55">
        <f>IF(SCAN!K525&lt;&gt;"-",SCAN!E525,0)</f>
        <v>0</v>
      </c>
      <c r="O525" s="55">
        <f>IF(SCAN!K525&lt;&gt;"-",SCAN!F525,0)</f>
        <v>0</v>
      </c>
      <c r="R525" s="53">
        <f>IF(SCAN!Q525&lt;&gt;"-",SCAN!D525,0)</f>
        <v>0</v>
      </c>
      <c r="S525" s="53">
        <f>IF(SCAN!Q525&lt;&gt;"-",SCAN!E525,0)</f>
        <v>0</v>
      </c>
      <c r="T525" s="53">
        <f>IF(SCAN!Q525&lt;&gt;"-",SCAN!F525,0)</f>
        <v>0</v>
      </c>
    </row>
    <row r="526" spans="8:20" x14ac:dyDescent="0.25">
      <c r="H526" s="50">
        <f>IF(AND(SCAN!K526="-",SCAN!Q526="-"),SCAN!D526,0)</f>
        <v>0</v>
      </c>
      <c r="I526" s="50">
        <f>IF(AND(SCAN!K526="-",SCAN!Q526="-"),SCAN!E526,0)</f>
        <v>0</v>
      </c>
      <c r="J526" s="50">
        <f>IF(AND(SCAN!K526="-",SCAN!Q526="-"),SCAN!F526,0)</f>
        <v>0</v>
      </c>
      <c r="M526" s="55">
        <f>IF(SCAN!K526&lt;&gt;"-",SCAN!D526,0)</f>
        <v>0</v>
      </c>
      <c r="N526" s="55">
        <f>IF(SCAN!K526&lt;&gt;"-",SCAN!E526,0)</f>
        <v>0</v>
      </c>
      <c r="O526" s="55">
        <f>IF(SCAN!K526&lt;&gt;"-",SCAN!F526,0)</f>
        <v>0</v>
      </c>
      <c r="R526" s="53">
        <f>IF(SCAN!Q526&lt;&gt;"-",SCAN!D526,0)</f>
        <v>0</v>
      </c>
      <c r="S526" s="53">
        <f>IF(SCAN!Q526&lt;&gt;"-",SCAN!E526,0)</f>
        <v>0</v>
      </c>
      <c r="T526" s="53">
        <f>IF(SCAN!Q526&lt;&gt;"-",SCAN!F526,0)</f>
        <v>0</v>
      </c>
    </row>
    <row r="527" spans="8:20" x14ac:dyDescent="0.25">
      <c r="H527" s="50">
        <f>IF(AND(SCAN!K527="-",SCAN!Q527="-"),SCAN!D527,0)</f>
        <v>0</v>
      </c>
      <c r="I527" s="50">
        <f>IF(AND(SCAN!K527="-",SCAN!Q527="-"),SCAN!E527,0)</f>
        <v>0</v>
      </c>
      <c r="J527" s="50">
        <f>IF(AND(SCAN!K527="-",SCAN!Q527="-"),SCAN!F527,0)</f>
        <v>0</v>
      </c>
      <c r="M527" s="55">
        <f>IF(SCAN!K527&lt;&gt;"-",SCAN!D527,0)</f>
        <v>0</v>
      </c>
      <c r="N527" s="55">
        <f>IF(SCAN!K527&lt;&gt;"-",SCAN!E527,0)</f>
        <v>0</v>
      </c>
      <c r="O527" s="55">
        <f>IF(SCAN!K527&lt;&gt;"-",SCAN!F527,0)</f>
        <v>0</v>
      </c>
      <c r="R527" s="53">
        <f>IF(SCAN!Q527&lt;&gt;"-",SCAN!D527,0)</f>
        <v>0</v>
      </c>
      <c r="S527" s="53">
        <f>IF(SCAN!Q527&lt;&gt;"-",SCAN!E527,0)</f>
        <v>0</v>
      </c>
      <c r="T527" s="53">
        <f>IF(SCAN!Q527&lt;&gt;"-",SCAN!F527,0)</f>
        <v>0</v>
      </c>
    </row>
    <row r="528" spans="8:20" x14ac:dyDescent="0.25">
      <c r="H528" s="50">
        <f>IF(AND(SCAN!K528="-",SCAN!Q528="-"),SCAN!D528,0)</f>
        <v>0</v>
      </c>
      <c r="I528" s="50">
        <f>IF(AND(SCAN!K528="-",SCAN!Q528="-"),SCAN!E528,0)</f>
        <v>0</v>
      </c>
      <c r="J528" s="50">
        <f>IF(AND(SCAN!K528="-",SCAN!Q528="-"),SCAN!F528,0)</f>
        <v>0</v>
      </c>
      <c r="M528" s="55">
        <f>IF(SCAN!K528&lt;&gt;"-",SCAN!D528,0)</f>
        <v>0</v>
      </c>
      <c r="N528" s="55">
        <f>IF(SCAN!K528&lt;&gt;"-",SCAN!E528,0)</f>
        <v>0</v>
      </c>
      <c r="O528" s="55">
        <f>IF(SCAN!K528&lt;&gt;"-",SCAN!F528,0)</f>
        <v>0</v>
      </c>
      <c r="R528" s="53">
        <f>IF(SCAN!Q528&lt;&gt;"-",SCAN!D528,0)</f>
        <v>0</v>
      </c>
      <c r="S528" s="53">
        <f>IF(SCAN!Q528&lt;&gt;"-",SCAN!E528,0)</f>
        <v>0</v>
      </c>
      <c r="T528" s="53">
        <f>IF(SCAN!Q528&lt;&gt;"-",SCAN!F528,0)</f>
        <v>0</v>
      </c>
    </row>
    <row r="529" spans="8:20" x14ac:dyDescent="0.25">
      <c r="H529" s="50">
        <f>IF(AND(SCAN!K529="-",SCAN!Q529="-"),SCAN!D529,0)</f>
        <v>0</v>
      </c>
      <c r="I529" s="50">
        <f>IF(AND(SCAN!K529="-",SCAN!Q529="-"),SCAN!E529,0)</f>
        <v>0</v>
      </c>
      <c r="J529" s="50">
        <f>IF(AND(SCAN!K529="-",SCAN!Q529="-"),SCAN!F529,0)</f>
        <v>0</v>
      </c>
      <c r="M529" s="55">
        <f>IF(SCAN!K529&lt;&gt;"-",SCAN!D529,0)</f>
        <v>0</v>
      </c>
      <c r="N529" s="55">
        <f>IF(SCAN!K529&lt;&gt;"-",SCAN!E529,0)</f>
        <v>0</v>
      </c>
      <c r="O529" s="55">
        <f>IF(SCAN!K529&lt;&gt;"-",SCAN!F529,0)</f>
        <v>0</v>
      </c>
      <c r="R529" s="53">
        <f>IF(SCAN!Q529&lt;&gt;"-",SCAN!D529,0)</f>
        <v>0</v>
      </c>
      <c r="S529" s="53">
        <f>IF(SCAN!Q529&lt;&gt;"-",SCAN!E529,0)</f>
        <v>0</v>
      </c>
      <c r="T529" s="53">
        <f>IF(SCAN!Q529&lt;&gt;"-",SCAN!F529,0)</f>
        <v>0</v>
      </c>
    </row>
    <row r="530" spans="8:20" x14ac:dyDescent="0.25">
      <c r="H530" s="50">
        <f>IF(AND(SCAN!K530="-",SCAN!Q530="-"),SCAN!D530,0)</f>
        <v>0</v>
      </c>
      <c r="I530" s="50">
        <f>IF(AND(SCAN!K530="-",SCAN!Q530="-"),SCAN!E530,0)</f>
        <v>0</v>
      </c>
      <c r="J530" s="50">
        <f>IF(AND(SCAN!K530="-",SCAN!Q530="-"),SCAN!F530,0)</f>
        <v>0</v>
      </c>
      <c r="M530" s="55">
        <f>IF(SCAN!K530&lt;&gt;"-",SCAN!D530,0)</f>
        <v>0</v>
      </c>
      <c r="N530" s="55">
        <f>IF(SCAN!K530&lt;&gt;"-",SCAN!E530,0)</f>
        <v>0</v>
      </c>
      <c r="O530" s="55">
        <f>IF(SCAN!K530&lt;&gt;"-",SCAN!F530,0)</f>
        <v>0</v>
      </c>
      <c r="R530" s="53">
        <f>IF(SCAN!Q530&lt;&gt;"-",SCAN!D530,0)</f>
        <v>0</v>
      </c>
      <c r="S530" s="53">
        <f>IF(SCAN!Q530&lt;&gt;"-",SCAN!E530,0)</f>
        <v>0</v>
      </c>
      <c r="T530" s="53">
        <f>IF(SCAN!Q530&lt;&gt;"-",SCAN!F530,0)</f>
        <v>0</v>
      </c>
    </row>
    <row r="531" spans="8:20" x14ac:dyDescent="0.25">
      <c r="H531" s="50">
        <f>IF(AND(SCAN!K531="-",SCAN!Q531="-"),SCAN!D531,0)</f>
        <v>0</v>
      </c>
      <c r="I531" s="50">
        <f>IF(AND(SCAN!K531="-",SCAN!Q531="-"),SCAN!E531,0)</f>
        <v>0</v>
      </c>
      <c r="J531" s="50">
        <f>IF(AND(SCAN!K531="-",SCAN!Q531="-"),SCAN!F531,0)</f>
        <v>0</v>
      </c>
      <c r="M531" s="55">
        <f>IF(SCAN!K531&lt;&gt;"-",SCAN!D531,0)</f>
        <v>0</v>
      </c>
      <c r="N531" s="55">
        <f>IF(SCAN!K531&lt;&gt;"-",SCAN!E531,0)</f>
        <v>0</v>
      </c>
      <c r="O531" s="55">
        <f>IF(SCAN!K531&lt;&gt;"-",SCAN!F531,0)</f>
        <v>0</v>
      </c>
      <c r="R531" s="53">
        <f>IF(SCAN!Q531&lt;&gt;"-",SCAN!D531,0)</f>
        <v>0</v>
      </c>
      <c r="S531" s="53">
        <f>IF(SCAN!Q531&lt;&gt;"-",SCAN!E531,0)</f>
        <v>0</v>
      </c>
      <c r="T531" s="53">
        <f>IF(SCAN!Q531&lt;&gt;"-",SCAN!F531,0)</f>
        <v>0</v>
      </c>
    </row>
    <row r="532" spans="8:20" x14ac:dyDescent="0.25">
      <c r="H532" s="50">
        <f>IF(AND(SCAN!K532="-",SCAN!Q532="-"),SCAN!D532,0)</f>
        <v>0</v>
      </c>
      <c r="I532" s="50">
        <f>IF(AND(SCAN!K532="-",SCAN!Q532="-"),SCAN!E532,0)</f>
        <v>0</v>
      </c>
      <c r="J532" s="50">
        <f>IF(AND(SCAN!K532="-",SCAN!Q532="-"),SCAN!F532,0)</f>
        <v>0</v>
      </c>
      <c r="M532" s="55">
        <f>IF(SCAN!K532&lt;&gt;"-",SCAN!D532,0)</f>
        <v>0</v>
      </c>
      <c r="N532" s="55">
        <f>IF(SCAN!K532&lt;&gt;"-",SCAN!E532,0)</f>
        <v>0</v>
      </c>
      <c r="O532" s="55">
        <f>IF(SCAN!K532&lt;&gt;"-",SCAN!F532,0)</f>
        <v>0</v>
      </c>
      <c r="R532" s="53">
        <f>IF(SCAN!Q532&lt;&gt;"-",SCAN!D532,0)</f>
        <v>0</v>
      </c>
      <c r="S532" s="53">
        <f>IF(SCAN!Q532&lt;&gt;"-",SCAN!E532,0)</f>
        <v>0</v>
      </c>
      <c r="T532" s="53">
        <f>IF(SCAN!Q532&lt;&gt;"-",SCAN!F532,0)</f>
        <v>0</v>
      </c>
    </row>
    <row r="533" spans="8:20" x14ac:dyDescent="0.25">
      <c r="H533" s="50">
        <f>IF(AND(SCAN!K533="-",SCAN!Q533="-"),SCAN!D533,0)</f>
        <v>0</v>
      </c>
      <c r="I533" s="50">
        <f>IF(AND(SCAN!K533="-",SCAN!Q533="-"),SCAN!E533,0)</f>
        <v>0</v>
      </c>
      <c r="J533" s="50">
        <f>IF(AND(SCAN!K533="-",SCAN!Q533="-"),SCAN!F533,0)</f>
        <v>0</v>
      </c>
      <c r="M533" s="55">
        <f>IF(SCAN!K533&lt;&gt;"-",SCAN!D533,0)</f>
        <v>0</v>
      </c>
      <c r="N533" s="55">
        <f>IF(SCAN!K533&lt;&gt;"-",SCAN!E533,0)</f>
        <v>0</v>
      </c>
      <c r="O533" s="55">
        <f>IF(SCAN!K533&lt;&gt;"-",SCAN!F533,0)</f>
        <v>0</v>
      </c>
      <c r="R533" s="53">
        <f>IF(SCAN!Q533&lt;&gt;"-",SCAN!D533,0)</f>
        <v>0</v>
      </c>
      <c r="S533" s="53">
        <f>IF(SCAN!Q533&lt;&gt;"-",SCAN!E533,0)</f>
        <v>0</v>
      </c>
      <c r="T533" s="53">
        <f>IF(SCAN!Q533&lt;&gt;"-",SCAN!F533,0)</f>
        <v>0</v>
      </c>
    </row>
    <row r="534" spans="8:20" x14ac:dyDescent="0.25">
      <c r="H534" s="50">
        <f>IF(AND(SCAN!K534="-",SCAN!Q534="-"),SCAN!D534,0)</f>
        <v>0</v>
      </c>
      <c r="I534" s="50">
        <f>IF(AND(SCAN!K534="-",SCAN!Q534="-"),SCAN!E534,0)</f>
        <v>0</v>
      </c>
      <c r="J534" s="50">
        <f>IF(AND(SCAN!K534="-",SCAN!Q534="-"),SCAN!F534,0)</f>
        <v>0</v>
      </c>
      <c r="M534" s="55">
        <f>IF(SCAN!K534&lt;&gt;"-",SCAN!D534,0)</f>
        <v>0</v>
      </c>
      <c r="N534" s="55">
        <f>IF(SCAN!K534&lt;&gt;"-",SCAN!E534,0)</f>
        <v>0</v>
      </c>
      <c r="O534" s="55">
        <f>IF(SCAN!K534&lt;&gt;"-",SCAN!F534,0)</f>
        <v>0</v>
      </c>
      <c r="R534" s="53">
        <f>IF(SCAN!Q534&lt;&gt;"-",SCAN!D534,0)</f>
        <v>0</v>
      </c>
      <c r="S534" s="53">
        <f>IF(SCAN!Q534&lt;&gt;"-",SCAN!E534,0)</f>
        <v>0</v>
      </c>
      <c r="T534" s="53">
        <f>IF(SCAN!Q534&lt;&gt;"-",SCAN!F534,0)</f>
        <v>0</v>
      </c>
    </row>
    <row r="535" spans="8:20" x14ac:dyDescent="0.25">
      <c r="H535" s="50">
        <f>IF(AND(SCAN!K535="-",SCAN!Q535="-"),SCAN!D535,0)</f>
        <v>0</v>
      </c>
      <c r="I535" s="50">
        <f>IF(AND(SCAN!K535="-",SCAN!Q535="-"),SCAN!E535,0)</f>
        <v>0</v>
      </c>
      <c r="J535" s="50">
        <f>IF(AND(SCAN!K535="-",SCAN!Q535="-"),SCAN!F535,0)</f>
        <v>0</v>
      </c>
      <c r="M535" s="55">
        <f>IF(SCAN!K535&lt;&gt;"-",SCAN!D535,0)</f>
        <v>0</v>
      </c>
      <c r="N535" s="55">
        <f>IF(SCAN!K535&lt;&gt;"-",SCAN!E535,0)</f>
        <v>0</v>
      </c>
      <c r="O535" s="55">
        <f>IF(SCAN!K535&lt;&gt;"-",SCAN!F535,0)</f>
        <v>0</v>
      </c>
      <c r="R535" s="53">
        <f>IF(SCAN!Q535&lt;&gt;"-",SCAN!D535,0)</f>
        <v>0</v>
      </c>
      <c r="S535" s="53">
        <f>IF(SCAN!Q535&lt;&gt;"-",SCAN!E535,0)</f>
        <v>0</v>
      </c>
      <c r="T535" s="53">
        <f>IF(SCAN!Q535&lt;&gt;"-",SCAN!F535,0)</f>
        <v>0</v>
      </c>
    </row>
    <row r="536" spans="8:20" x14ac:dyDescent="0.25">
      <c r="H536" s="50">
        <f>IF(AND(SCAN!K536="-",SCAN!Q536="-"),SCAN!D536,0)</f>
        <v>0</v>
      </c>
      <c r="I536" s="50">
        <f>IF(AND(SCAN!K536="-",SCAN!Q536="-"),SCAN!E536,0)</f>
        <v>0</v>
      </c>
      <c r="J536" s="50">
        <f>IF(AND(SCAN!K536="-",SCAN!Q536="-"),SCAN!F536,0)</f>
        <v>0</v>
      </c>
      <c r="M536" s="55">
        <f>IF(SCAN!K536&lt;&gt;"-",SCAN!D536,0)</f>
        <v>0</v>
      </c>
      <c r="N536" s="55">
        <f>IF(SCAN!K536&lt;&gt;"-",SCAN!E536,0)</f>
        <v>0</v>
      </c>
      <c r="O536" s="55">
        <f>IF(SCAN!K536&lt;&gt;"-",SCAN!F536,0)</f>
        <v>0</v>
      </c>
      <c r="R536" s="53">
        <f>IF(SCAN!Q536&lt;&gt;"-",SCAN!D536,0)</f>
        <v>0</v>
      </c>
      <c r="S536" s="53">
        <f>IF(SCAN!Q536&lt;&gt;"-",SCAN!E536,0)</f>
        <v>0</v>
      </c>
      <c r="T536" s="53">
        <f>IF(SCAN!Q536&lt;&gt;"-",SCAN!F536,0)</f>
        <v>0</v>
      </c>
    </row>
    <row r="537" spans="8:20" x14ac:dyDescent="0.25">
      <c r="H537" s="50">
        <f>IF(AND(SCAN!K537="-",SCAN!Q537="-"),SCAN!D537,0)</f>
        <v>0</v>
      </c>
      <c r="I537" s="50">
        <f>IF(AND(SCAN!K537="-",SCAN!Q537="-"),SCAN!E537,0)</f>
        <v>0</v>
      </c>
      <c r="J537" s="50">
        <f>IF(AND(SCAN!K537="-",SCAN!Q537="-"),SCAN!F537,0)</f>
        <v>0</v>
      </c>
      <c r="M537" s="55">
        <f>IF(SCAN!K537&lt;&gt;"-",SCAN!D537,0)</f>
        <v>0</v>
      </c>
      <c r="N537" s="55">
        <f>IF(SCAN!K537&lt;&gt;"-",SCAN!E537,0)</f>
        <v>0</v>
      </c>
      <c r="O537" s="55">
        <f>IF(SCAN!K537&lt;&gt;"-",SCAN!F537,0)</f>
        <v>0</v>
      </c>
      <c r="R537" s="53">
        <f>IF(SCAN!Q537&lt;&gt;"-",SCAN!D537,0)</f>
        <v>0</v>
      </c>
      <c r="S537" s="53">
        <f>IF(SCAN!Q537&lt;&gt;"-",SCAN!E537,0)</f>
        <v>0</v>
      </c>
      <c r="T537" s="53">
        <f>IF(SCAN!Q537&lt;&gt;"-",SCAN!F537,0)</f>
        <v>0</v>
      </c>
    </row>
    <row r="538" spans="8:20" x14ac:dyDescent="0.25">
      <c r="H538" s="50">
        <f>IF(AND(SCAN!K538="-",SCAN!Q538="-"),SCAN!D538,0)</f>
        <v>0</v>
      </c>
      <c r="I538" s="50">
        <f>IF(AND(SCAN!K538="-",SCAN!Q538="-"),SCAN!E538,0)</f>
        <v>0</v>
      </c>
      <c r="J538" s="50">
        <f>IF(AND(SCAN!K538="-",SCAN!Q538="-"),SCAN!F538,0)</f>
        <v>0</v>
      </c>
      <c r="M538" s="55">
        <f>IF(SCAN!K538&lt;&gt;"-",SCAN!D538,0)</f>
        <v>0</v>
      </c>
      <c r="N538" s="55">
        <f>IF(SCAN!K538&lt;&gt;"-",SCAN!E538,0)</f>
        <v>0</v>
      </c>
      <c r="O538" s="55">
        <f>IF(SCAN!K538&lt;&gt;"-",SCAN!F538,0)</f>
        <v>0</v>
      </c>
      <c r="R538" s="53">
        <f>IF(SCAN!Q538&lt;&gt;"-",SCAN!D538,0)</f>
        <v>0</v>
      </c>
      <c r="S538" s="53">
        <f>IF(SCAN!Q538&lt;&gt;"-",SCAN!E538,0)</f>
        <v>0</v>
      </c>
      <c r="T538" s="53">
        <f>IF(SCAN!Q538&lt;&gt;"-",SCAN!F538,0)</f>
        <v>0</v>
      </c>
    </row>
    <row r="539" spans="8:20" x14ac:dyDescent="0.25">
      <c r="H539" s="50">
        <f>IF(AND(SCAN!K539="-",SCAN!Q539="-"),SCAN!D539,0)</f>
        <v>0</v>
      </c>
      <c r="I539" s="50">
        <f>IF(AND(SCAN!K539="-",SCAN!Q539="-"),SCAN!E539,0)</f>
        <v>0</v>
      </c>
      <c r="J539" s="50">
        <f>IF(AND(SCAN!K539="-",SCAN!Q539="-"),SCAN!F539,0)</f>
        <v>0</v>
      </c>
      <c r="M539" s="55">
        <f>IF(SCAN!K539&lt;&gt;"-",SCAN!D539,0)</f>
        <v>0</v>
      </c>
      <c r="N539" s="55">
        <f>IF(SCAN!K539&lt;&gt;"-",SCAN!E539,0)</f>
        <v>0</v>
      </c>
      <c r="O539" s="55">
        <f>IF(SCAN!K539&lt;&gt;"-",SCAN!F539,0)</f>
        <v>0</v>
      </c>
      <c r="R539" s="53">
        <f>IF(SCAN!Q539&lt;&gt;"-",SCAN!D539,0)</f>
        <v>0</v>
      </c>
      <c r="S539" s="53">
        <f>IF(SCAN!Q539&lt;&gt;"-",SCAN!E539,0)</f>
        <v>0</v>
      </c>
      <c r="T539" s="53">
        <f>IF(SCAN!Q539&lt;&gt;"-",SCAN!F539,0)</f>
        <v>0</v>
      </c>
    </row>
    <row r="540" spans="8:20" x14ac:dyDescent="0.25">
      <c r="H540" s="50">
        <f>IF(AND(SCAN!K540="-",SCAN!Q540="-"),SCAN!D540,0)</f>
        <v>0</v>
      </c>
      <c r="I540" s="50">
        <f>IF(AND(SCAN!K540="-",SCAN!Q540="-"),SCAN!E540,0)</f>
        <v>0</v>
      </c>
      <c r="J540" s="50">
        <f>IF(AND(SCAN!K540="-",SCAN!Q540="-"),SCAN!F540,0)</f>
        <v>0</v>
      </c>
      <c r="M540" s="55">
        <f>IF(SCAN!K540&lt;&gt;"-",SCAN!D540,0)</f>
        <v>0</v>
      </c>
      <c r="N540" s="55">
        <f>IF(SCAN!K540&lt;&gt;"-",SCAN!E540,0)</f>
        <v>0</v>
      </c>
      <c r="O540" s="55">
        <f>IF(SCAN!K540&lt;&gt;"-",SCAN!F540,0)</f>
        <v>0</v>
      </c>
      <c r="R540" s="53">
        <f>IF(SCAN!Q540&lt;&gt;"-",SCAN!D540,0)</f>
        <v>0</v>
      </c>
      <c r="S540" s="53">
        <f>IF(SCAN!Q540&lt;&gt;"-",SCAN!E540,0)</f>
        <v>0</v>
      </c>
      <c r="T540" s="53">
        <f>IF(SCAN!Q540&lt;&gt;"-",SCAN!F540,0)</f>
        <v>0</v>
      </c>
    </row>
    <row r="541" spans="8:20" x14ac:dyDescent="0.25">
      <c r="H541" s="50">
        <f>IF(AND(SCAN!K541="-",SCAN!Q541="-"),SCAN!D541,0)</f>
        <v>0</v>
      </c>
      <c r="I541" s="50">
        <f>IF(AND(SCAN!K541="-",SCAN!Q541="-"),SCAN!E541,0)</f>
        <v>0</v>
      </c>
      <c r="J541" s="50">
        <f>IF(AND(SCAN!K541="-",SCAN!Q541="-"),SCAN!F541,0)</f>
        <v>0</v>
      </c>
      <c r="M541" s="55">
        <f>IF(SCAN!K541&lt;&gt;"-",SCAN!D541,0)</f>
        <v>0</v>
      </c>
      <c r="N541" s="55">
        <f>IF(SCAN!K541&lt;&gt;"-",SCAN!E541,0)</f>
        <v>0</v>
      </c>
      <c r="O541" s="55">
        <f>IF(SCAN!K541&lt;&gt;"-",SCAN!F541,0)</f>
        <v>0</v>
      </c>
      <c r="R541" s="53">
        <f>IF(SCAN!Q541&lt;&gt;"-",SCAN!D541,0)</f>
        <v>0</v>
      </c>
      <c r="S541" s="53">
        <f>IF(SCAN!Q541&lt;&gt;"-",SCAN!E541,0)</f>
        <v>0</v>
      </c>
      <c r="T541" s="53">
        <f>IF(SCAN!Q541&lt;&gt;"-",SCAN!F541,0)</f>
        <v>0</v>
      </c>
    </row>
    <row r="542" spans="8:20" x14ac:dyDescent="0.25">
      <c r="H542" s="50">
        <f>IF(AND(SCAN!K542="-",SCAN!Q542="-"),SCAN!D542,0)</f>
        <v>0</v>
      </c>
      <c r="I542" s="50">
        <f>IF(AND(SCAN!K542="-",SCAN!Q542="-"),SCAN!E542,0)</f>
        <v>0</v>
      </c>
      <c r="J542" s="50">
        <f>IF(AND(SCAN!K542="-",SCAN!Q542="-"),SCAN!F542,0)</f>
        <v>0</v>
      </c>
      <c r="M542" s="55">
        <f>IF(SCAN!K542&lt;&gt;"-",SCAN!D542,0)</f>
        <v>0</v>
      </c>
      <c r="N542" s="55">
        <f>IF(SCAN!K542&lt;&gt;"-",SCAN!E542,0)</f>
        <v>0</v>
      </c>
      <c r="O542" s="55">
        <f>IF(SCAN!K542&lt;&gt;"-",SCAN!F542,0)</f>
        <v>0</v>
      </c>
      <c r="R542" s="53">
        <f>IF(SCAN!Q542&lt;&gt;"-",SCAN!D542,0)</f>
        <v>0</v>
      </c>
      <c r="S542" s="53">
        <f>IF(SCAN!Q542&lt;&gt;"-",SCAN!E542,0)</f>
        <v>0</v>
      </c>
      <c r="T542" s="53">
        <f>IF(SCAN!Q542&lt;&gt;"-",SCAN!F542,0)</f>
        <v>0</v>
      </c>
    </row>
    <row r="543" spans="8:20" x14ac:dyDescent="0.25">
      <c r="H543" s="50">
        <f>IF(AND(SCAN!K543="-",SCAN!Q543="-"),SCAN!D543,0)</f>
        <v>0</v>
      </c>
      <c r="I543" s="50">
        <f>IF(AND(SCAN!K543="-",SCAN!Q543="-"),SCAN!E543,0)</f>
        <v>0</v>
      </c>
      <c r="J543" s="50">
        <f>IF(AND(SCAN!K543="-",SCAN!Q543="-"),SCAN!F543,0)</f>
        <v>0</v>
      </c>
      <c r="M543" s="55">
        <f>IF(SCAN!K543&lt;&gt;"-",SCAN!D543,0)</f>
        <v>0</v>
      </c>
      <c r="N543" s="55">
        <f>IF(SCAN!K543&lt;&gt;"-",SCAN!E543,0)</f>
        <v>0</v>
      </c>
      <c r="O543" s="55">
        <f>IF(SCAN!K543&lt;&gt;"-",SCAN!F543,0)</f>
        <v>0</v>
      </c>
      <c r="R543" s="53">
        <f>IF(SCAN!Q543&lt;&gt;"-",SCAN!D543,0)</f>
        <v>0</v>
      </c>
      <c r="S543" s="53">
        <f>IF(SCAN!Q543&lt;&gt;"-",SCAN!E543,0)</f>
        <v>0</v>
      </c>
      <c r="T543" s="53">
        <f>IF(SCAN!Q543&lt;&gt;"-",SCAN!F543,0)</f>
        <v>0</v>
      </c>
    </row>
    <row r="544" spans="8:20" x14ac:dyDescent="0.25">
      <c r="H544" s="50">
        <f>IF(AND(SCAN!K544="-",SCAN!Q544="-"),SCAN!D544,0)</f>
        <v>0</v>
      </c>
      <c r="I544" s="50">
        <f>IF(AND(SCAN!K544="-",SCAN!Q544="-"),SCAN!E544,0)</f>
        <v>0</v>
      </c>
      <c r="J544" s="50">
        <f>IF(AND(SCAN!K544="-",SCAN!Q544="-"),SCAN!F544,0)</f>
        <v>0</v>
      </c>
      <c r="M544" s="55">
        <f>IF(SCAN!K544&lt;&gt;"-",SCAN!D544,0)</f>
        <v>0</v>
      </c>
      <c r="N544" s="55">
        <f>IF(SCAN!K544&lt;&gt;"-",SCAN!E544,0)</f>
        <v>0</v>
      </c>
      <c r="O544" s="55">
        <f>IF(SCAN!K544&lt;&gt;"-",SCAN!F544,0)</f>
        <v>0</v>
      </c>
      <c r="R544" s="53">
        <f>IF(SCAN!Q544&lt;&gt;"-",SCAN!D544,0)</f>
        <v>0</v>
      </c>
      <c r="S544" s="53">
        <f>IF(SCAN!Q544&lt;&gt;"-",SCAN!E544,0)</f>
        <v>0</v>
      </c>
      <c r="T544" s="53">
        <f>IF(SCAN!Q544&lt;&gt;"-",SCAN!F544,0)</f>
        <v>0</v>
      </c>
    </row>
    <row r="545" spans="8:20" x14ac:dyDescent="0.25">
      <c r="H545" s="50">
        <f>IF(AND(SCAN!K545="-",SCAN!Q545="-"),SCAN!D545,0)</f>
        <v>0</v>
      </c>
      <c r="I545" s="50">
        <f>IF(AND(SCAN!K545="-",SCAN!Q545="-"),SCAN!E545,0)</f>
        <v>0</v>
      </c>
      <c r="J545" s="50">
        <f>IF(AND(SCAN!K545="-",SCAN!Q545="-"),SCAN!F545,0)</f>
        <v>0</v>
      </c>
      <c r="M545" s="55">
        <f>IF(SCAN!K545&lt;&gt;"-",SCAN!D545,0)</f>
        <v>0</v>
      </c>
      <c r="N545" s="55">
        <f>IF(SCAN!K545&lt;&gt;"-",SCAN!E545,0)</f>
        <v>0</v>
      </c>
      <c r="O545" s="55">
        <f>IF(SCAN!K545&lt;&gt;"-",SCAN!F545,0)</f>
        <v>0</v>
      </c>
      <c r="R545" s="53">
        <f>IF(SCAN!Q545&lt;&gt;"-",SCAN!D545,0)</f>
        <v>0</v>
      </c>
      <c r="S545" s="53">
        <f>IF(SCAN!Q545&lt;&gt;"-",SCAN!E545,0)</f>
        <v>0</v>
      </c>
      <c r="T545" s="53">
        <f>IF(SCAN!Q545&lt;&gt;"-",SCAN!F545,0)</f>
        <v>0</v>
      </c>
    </row>
    <row r="546" spans="8:20" x14ac:dyDescent="0.25">
      <c r="H546" s="50">
        <f>IF(AND(SCAN!K546="-",SCAN!Q546="-"),SCAN!D546,0)</f>
        <v>0</v>
      </c>
      <c r="I546" s="50">
        <f>IF(AND(SCAN!K546="-",SCAN!Q546="-"),SCAN!E546,0)</f>
        <v>0</v>
      </c>
      <c r="J546" s="50">
        <f>IF(AND(SCAN!K546="-",SCAN!Q546="-"),SCAN!F546,0)</f>
        <v>0</v>
      </c>
      <c r="M546" s="55">
        <f>IF(SCAN!K546&lt;&gt;"-",SCAN!D546,0)</f>
        <v>0</v>
      </c>
      <c r="N546" s="55">
        <f>IF(SCAN!K546&lt;&gt;"-",SCAN!E546,0)</f>
        <v>0</v>
      </c>
      <c r="O546" s="55">
        <f>IF(SCAN!K546&lt;&gt;"-",SCAN!F546,0)</f>
        <v>0</v>
      </c>
      <c r="R546" s="53">
        <f>IF(SCAN!Q546&lt;&gt;"-",SCAN!D546,0)</f>
        <v>0</v>
      </c>
      <c r="S546" s="53">
        <f>IF(SCAN!Q546&lt;&gt;"-",SCAN!E546,0)</f>
        <v>0</v>
      </c>
      <c r="T546" s="53">
        <f>IF(SCAN!Q546&lt;&gt;"-",SCAN!F546,0)</f>
        <v>0</v>
      </c>
    </row>
    <row r="547" spans="8:20" x14ac:dyDescent="0.25">
      <c r="H547" s="50">
        <f>IF(AND(SCAN!K547="-",SCAN!Q547="-"),SCAN!D547,0)</f>
        <v>0</v>
      </c>
      <c r="I547" s="50">
        <f>IF(AND(SCAN!K547="-",SCAN!Q547="-"),SCAN!E547,0)</f>
        <v>0</v>
      </c>
      <c r="J547" s="50">
        <f>IF(AND(SCAN!K547="-",SCAN!Q547="-"),SCAN!F547,0)</f>
        <v>0</v>
      </c>
      <c r="M547" s="55">
        <f>IF(SCAN!K547&lt;&gt;"-",SCAN!D547,0)</f>
        <v>0</v>
      </c>
      <c r="N547" s="55">
        <f>IF(SCAN!K547&lt;&gt;"-",SCAN!E547,0)</f>
        <v>0</v>
      </c>
      <c r="O547" s="55">
        <f>IF(SCAN!K547&lt;&gt;"-",SCAN!F547,0)</f>
        <v>0</v>
      </c>
      <c r="R547" s="53">
        <f>IF(SCAN!Q547&lt;&gt;"-",SCAN!D547,0)</f>
        <v>0</v>
      </c>
      <c r="S547" s="53">
        <f>IF(SCAN!Q547&lt;&gt;"-",SCAN!E547,0)</f>
        <v>0</v>
      </c>
      <c r="T547" s="53">
        <f>IF(SCAN!Q547&lt;&gt;"-",SCAN!F547,0)</f>
        <v>0</v>
      </c>
    </row>
    <row r="548" spans="8:20" x14ac:dyDescent="0.25">
      <c r="H548" s="50">
        <f>IF(AND(SCAN!K548="-",SCAN!Q548="-"),SCAN!D548,0)</f>
        <v>0</v>
      </c>
      <c r="I548" s="50">
        <f>IF(AND(SCAN!K548="-",SCAN!Q548="-"),SCAN!E548,0)</f>
        <v>0</v>
      </c>
      <c r="J548" s="50">
        <f>IF(AND(SCAN!K548="-",SCAN!Q548="-"),SCAN!F548,0)</f>
        <v>0</v>
      </c>
      <c r="M548" s="55">
        <f>IF(SCAN!K548&lt;&gt;"-",SCAN!D548,0)</f>
        <v>0</v>
      </c>
      <c r="N548" s="55">
        <f>IF(SCAN!K548&lt;&gt;"-",SCAN!E548,0)</f>
        <v>0</v>
      </c>
      <c r="O548" s="55">
        <f>IF(SCAN!K548&lt;&gt;"-",SCAN!F548,0)</f>
        <v>0</v>
      </c>
      <c r="R548" s="53">
        <f>IF(SCAN!Q548&lt;&gt;"-",SCAN!D548,0)</f>
        <v>0</v>
      </c>
      <c r="S548" s="53">
        <f>IF(SCAN!Q548&lt;&gt;"-",SCAN!E548,0)</f>
        <v>0</v>
      </c>
      <c r="T548" s="53">
        <f>IF(SCAN!Q548&lt;&gt;"-",SCAN!F548,0)</f>
        <v>0</v>
      </c>
    </row>
    <row r="549" spans="8:20" x14ac:dyDescent="0.25">
      <c r="H549" s="50">
        <f>IF(AND(SCAN!K549="-",SCAN!Q549="-"),SCAN!D549,0)</f>
        <v>0</v>
      </c>
      <c r="I549" s="50">
        <f>IF(AND(SCAN!K549="-",SCAN!Q549="-"),SCAN!E549,0)</f>
        <v>0</v>
      </c>
      <c r="J549" s="50">
        <f>IF(AND(SCAN!K549="-",SCAN!Q549="-"),SCAN!F549,0)</f>
        <v>0</v>
      </c>
      <c r="M549" s="55">
        <f>IF(SCAN!K549&lt;&gt;"-",SCAN!D549,0)</f>
        <v>0</v>
      </c>
      <c r="N549" s="55">
        <f>IF(SCAN!K549&lt;&gt;"-",SCAN!E549,0)</f>
        <v>0</v>
      </c>
      <c r="O549" s="55">
        <f>IF(SCAN!K549&lt;&gt;"-",SCAN!F549,0)</f>
        <v>0</v>
      </c>
      <c r="R549" s="53">
        <f>IF(SCAN!Q549&lt;&gt;"-",SCAN!D549,0)</f>
        <v>0</v>
      </c>
      <c r="S549" s="53">
        <f>IF(SCAN!Q549&lt;&gt;"-",SCAN!E549,0)</f>
        <v>0</v>
      </c>
      <c r="T549" s="53">
        <f>IF(SCAN!Q549&lt;&gt;"-",SCAN!F549,0)</f>
        <v>0</v>
      </c>
    </row>
    <row r="550" spans="8:20" x14ac:dyDescent="0.25">
      <c r="H550" s="50">
        <f>IF(AND(SCAN!K550="-",SCAN!Q550="-"),SCAN!D550,0)</f>
        <v>0</v>
      </c>
      <c r="I550" s="50">
        <f>IF(AND(SCAN!K550="-",SCAN!Q550="-"),SCAN!E550,0)</f>
        <v>0</v>
      </c>
      <c r="J550" s="50">
        <f>IF(AND(SCAN!K550="-",SCAN!Q550="-"),SCAN!F550,0)</f>
        <v>0</v>
      </c>
      <c r="M550" s="55">
        <f>IF(SCAN!K550&lt;&gt;"-",SCAN!D550,0)</f>
        <v>0</v>
      </c>
      <c r="N550" s="55">
        <f>IF(SCAN!K550&lt;&gt;"-",SCAN!E550,0)</f>
        <v>0</v>
      </c>
      <c r="O550" s="55">
        <f>IF(SCAN!K550&lt;&gt;"-",SCAN!F550,0)</f>
        <v>0</v>
      </c>
      <c r="R550" s="53">
        <f>IF(SCAN!Q550&lt;&gt;"-",SCAN!D550,0)</f>
        <v>0</v>
      </c>
      <c r="S550" s="53">
        <f>IF(SCAN!Q550&lt;&gt;"-",SCAN!E550,0)</f>
        <v>0</v>
      </c>
      <c r="T550" s="53">
        <f>IF(SCAN!Q550&lt;&gt;"-",SCAN!F550,0)</f>
        <v>0</v>
      </c>
    </row>
    <row r="551" spans="8:20" x14ac:dyDescent="0.25">
      <c r="H551" s="50">
        <f>IF(AND(SCAN!K551="-",SCAN!Q551="-"),SCAN!D551,0)</f>
        <v>0</v>
      </c>
      <c r="I551" s="50">
        <f>IF(AND(SCAN!K551="-",SCAN!Q551="-"),SCAN!E551,0)</f>
        <v>0</v>
      </c>
      <c r="J551" s="50">
        <f>IF(AND(SCAN!K551="-",SCAN!Q551="-"),SCAN!F551,0)</f>
        <v>0</v>
      </c>
      <c r="M551" s="55">
        <f>IF(SCAN!K551&lt;&gt;"-",SCAN!D551,0)</f>
        <v>0</v>
      </c>
      <c r="N551" s="55">
        <f>IF(SCAN!K551&lt;&gt;"-",SCAN!E551,0)</f>
        <v>0</v>
      </c>
      <c r="O551" s="55">
        <f>IF(SCAN!K551&lt;&gt;"-",SCAN!F551,0)</f>
        <v>0</v>
      </c>
      <c r="R551" s="53">
        <f>IF(SCAN!Q551&lt;&gt;"-",SCAN!D551,0)</f>
        <v>0</v>
      </c>
      <c r="S551" s="53">
        <f>IF(SCAN!Q551&lt;&gt;"-",SCAN!E551,0)</f>
        <v>0</v>
      </c>
      <c r="T551" s="53">
        <f>IF(SCAN!Q551&lt;&gt;"-",SCAN!F551,0)</f>
        <v>0</v>
      </c>
    </row>
    <row r="552" spans="8:20" x14ac:dyDescent="0.25">
      <c r="H552" s="50">
        <f>IF(AND(SCAN!K552="-",SCAN!Q552="-"),SCAN!D552,0)</f>
        <v>0</v>
      </c>
      <c r="I552" s="50">
        <f>IF(AND(SCAN!K552="-",SCAN!Q552="-"),SCAN!E552,0)</f>
        <v>0</v>
      </c>
      <c r="J552" s="50">
        <f>IF(AND(SCAN!K552="-",SCAN!Q552="-"),SCAN!F552,0)</f>
        <v>0</v>
      </c>
      <c r="M552" s="55">
        <f>IF(SCAN!K552&lt;&gt;"-",SCAN!D552,0)</f>
        <v>0</v>
      </c>
      <c r="N552" s="55">
        <f>IF(SCAN!K552&lt;&gt;"-",SCAN!E552,0)</f>
        <v>0</v>
      </c>
      <c r="O552" s="55">
        <f>IF(SCAN!K552&lt;&gt;"-",SCAN!F552,0)</f>
        <v>0</v>
      </c>
      <c r="R552" s="53">
        <f>IF(SCAN!Q552&lt;&gt;"-",SCAN!D552,0)</f>
        <v>0</v>
      </c>
      <c r="S552" s="53">
        <f>IF(SCAN!Q552&lt;&gt;"-",SCAN!E552,0)</f>
        <v>0</v>
      </c>
      <c r="T552" s="53">
        <f>IF(SCAN!Q552&lt;&gt;"-",SCAN!F552,0)</f>
        <v>0</v>
      </c>
    </row>
    <row r="553" spans="8:20" x14ac:dyDescent="0.25">
      <c r="H553" s="50">
        <f>IF(AND(SCAN!K553="-",SCAN!Q553="-"),SCAN!D553,0)</f>
        <v>0</v>
      </c>
      <c r="I553" s="50">
        <f>IF(AND(SCAN!K553="-",SCAN!Q553="-"),SCAN!E553,0)</f>
        <v>0</v>
      </c>
      <c r="J553" s="50">
        <f>IF(AND(SCAN!K553="-",SCAN!Q553="-"),SCAN!F553,0)</f>
        <v>0</v>
      </c>
      <c r="M553" s="55">
        <f>IF(SCAN!K553&lt;&gt;"-",SCAN!D553,0)</f>
        <v>0</v>
      </c>
      <c r="N553" s="55">
        <f>IF(SCAN!K553&lt;&gt;"-",SCAN!E553,0)</f>
        <v>0</v>
      </c>
      <c r="O553" s="55">
        <f>IF(SCAN!K553&lt;&gt;"-",SCAN!F553,0)</f>
        <v>0</v>
      </c>
      <c r="R553" s="53">
        <f>IF(SCAN!Q553&lt;&gt;"-",SCAN!D553,0)</f>
        <v>0</v>
      </c>
      <c r="S553" s="53">
        <f>IF(SCAN!Q553&lt;&gt;"-",SCAN!E553,0)</f>
        <v>0</v>
      </c>
      <c r="T553" s="53">
        <f>IF(SCAN!Q553&lt;&gt;"-",SCAN!F553,0)</f>
        <v>0</v>
      </c>
    </row>
    <row r="554" spans="8:20" x14ac:dyDescent="0.25">
      <c r="H554" s="50">
        <f>IF(AND(SCAN!K554="-",SCAN!Q554="-"),SCAN!D554,0)</f>
        <v>0</v>
      </c>
      <c r="I554" s="50">
        <f>IF(AND(SCAN!K554="-",SCAN!Q554="-"),SCAN!E554,0)</f>
        <v>0</v>
      </c>
      <c r="J554" s="50">
        <f>IF(AND(SCAN!K554="-",SCAN!Q554="-"),SCAN!F554,0)</f>
        <v>0</v>
      </c>
      <c r="M554" s="55">
        <f>IF(SCAN!K554&lt;&gt;"-",SCAN!D554,0)</f>
        <v>0</v>
      </c>
      <c r="N554" s="55">
        <f>IF(SCAN!K554&lt;&gt;"-",SCAN!E554,0)</f>
        <v>0</v>
      </c>
      <c r="O554" s="55">
        <f>IF(SCAN!K554&lt;&gt;"-",SCAN!F554,0)</f>
        <v>0</v>
      </c>
      <c r="R554" s="53">
        <f>IF(SCAN!Q554&lt;&gt;"-",SCAN!D554,0)</f>
        <v>0</v>
      </c>
      <c r="S554" s="53">
        <f>IF(SCAN!Q554&lt;&gt;"-",SCAN!E554,0)</f>
        <v>0</v>
      </c>
      <c r="T554" s="53">
        <f>IF(SCAN!Q554&lt;&gt;"-",SCAN!F554,0)</f>
        <v>0</v>
      </c>
    </row>
    <row r="555" spans="8:20" x14ac:dyDescent="0.25">
      <c r="H555" s="50">
        <f>IF(AND(SCAN!K555="-",SCAN!Q555="-"),SCAN!D555,0)</f>
        <v>0</v>
      </c>
      <c r="I555" s="50">
        <f>IF(AND(SCAN!K555="-",SCAN!Q555="-"),SCAN!E555,0)</f>
        <v>0</v>
      </c>
      <c r="J555" s="50">
        <f>IF(AND(SCAN!K555="-",SCAN!Q555="-"),SCAN!F555,0)</f>
        <v>0</v>
      </c>
      <c r="M555" s="55">
        <f>IF(SCAN!K555&lt;&gt;"-",SCAN!D555,0)</f>
        <v>0</v>
      </c>
      <c r="N555" s="55">
        <f>IF(SCAN!K555&lt;&gt;"-",SCAN!E555,0)</f>
        <v>0</v>
      </c>
      <c r="O555" s="55">
        <f>IF(SCAN!K555&lt;&gt;"-",SCAN!F555,0)</f>
        <v>0</v>
      </c>
      <c r="R555" s="53">
        <f>IF(SCAN!Q555&lt;&gt;"-",SCAN!D555,0)</f>
        <v>0</v>
      </c>
      <c r="S555" s="53">
        <f>IF(SCAN!Q555&lt;&gt;"-",SCAN!E555,0)</f>
        <v>0</v>
      </c>
      <c r="T555" s="53">
        <f>IF(SCAN!Q555&lt;&gt;"-",SCAN!F555,0)</f>
        <v>0</v>
      </c>
    </row>
    <row r="556" spans="8:20" x14ac:dyDescent="0.25">
      <c r="H556" s="50">
        <f>IF(AND(SCAN!K556="-",SCAN!Q556="-"),SCAN!D556,0)</f>
        <v>0</v>
      </c>
      <c r="I556" s="50">
        <f>IF(AND(SCAN!K556="-",SCAN!Q556="-"),SCAN!E556,0)</f>
        <v>0</v>
      </c>
      <c r="J556" s="50">
        <f>IF(AND(SCAN!K556="-",SCAN!Q556="-"),SCAN!F556,0)</f>
        <v>0</v>
      </c>
      <c r="M556" s="55">
        <f>IF(SCAN!K556&lt;&gt;"-",SCAN!D556,0)</f>
        <v>0</v>
      </c>
      <c r="N556" s="55">
        <f>IF(SCAN!K556&lt;&gt;"-",SCAN!E556,0)</f>
        <v>0</v>
      </c>
      <c r="O556" s="55">
        <f>IF(SCAN!K556&lt;&gt;"-",SCAN!F556,0)</f>
        <v>0</v>
      </c>
      <c r="R556" s="53">
        <f>IF(SCAN!Q556&lt;&gt;"-",SCAN!D556,0)</f>
        <v>0</v>
      </c>
      <c r="S556" s="53">
        <f>IF(SCAN!Q556&lt;&gt;"-",SCAN!E556,0)</f>
        <v>0</v>
      </c>
      <c r="T556" s="53">
        <f>IF(SCAN!Q556&lt;&gt;"-",SCAN!F556,0)</f>
        <v>0</v>
      </c>
    </row>
    <row r="557" spans="8:20" x14ac:dyDescent="0.25">
      <c r="H557" s="50">
        <f>IF(AND(SCAN!K557="-",SCAN!Q557="-"),SCAN!D557,0)</f>
        <v>0</v>
      </c>
      <c r="I557" s="50">
        <f>IF(AND(SCAN!K557="-",SCAN!Q557="-"),SCAN!E557,0)</f>
        <v>0</v>
      </c>
      <c r="J557" s="50">
        <f>IF(AND(SCAN!K557="-",SCAN!Q557="-"),SCAN!F557,0)</f>
        <v>0</v>
      </c>
      <c r="M557" s="55">
        <f>IF(SCAN!K557&lt;&gt;"-",SCAN!D557,0)</f>
        <v>0</v>
      </c>
      <c r="N557" s="55">
        <f>IF(SCAN!K557&lt;&gt;"-",SCAN!E557,0)</f>
        <v>0</v>
      </c>
      <c r="O557" s="55">
        <f>IF(SCAN!K557&lt;&gt;"-",SCAN!F557,0)</f>
        <v>0</v>
      </c>
      <c r="R557" s="53">
        <f>IF(SCAN!Q557&lt;&gt;"-",SCAN!D557,0)</f>
        <v>0</v>
      </c>
      <c r="S557" s="53">
        <f>IF(SCAN!Q557&lt;&gt;"-",SCAN!E557,0)</f>
        <v>0</v>
      </c>
      <c r="T557" s="53">
        <f>IF(SCAN!Q557&lt;&gt;"-",SCAN!F557,0)</f>
        <v>0</v>
      </c>
    </row>
    <row r="558" spans="8:20" x14ac:dyDescent="0.25">
      <c r="H558" s="50">
        <f>IF(AND(SCAN!K558="-",SCAN!Q558="-"),SCAN!D558,0)</f>
        <v>0</v>
      </c>
      <c r="I558" s="50">
        <f>IF(AND(SCAN!K558="-",SCAN!Q558="-"),SCAN!E558,0)</f>
        <v>0</v>
      </c>
      <c r="J558" s="50">
        <f>IF(AND(SCAN!K558="-",SCAN!Q558="-"),SCAN!F558,0)</f>
        <v>0</v>
      </c>
      <c r="M558" s="55">
        <f>IF(SCAN!K558&lt;&gt;"-",SCAN!D558,0)</f>
        <v>0</v>
      </c>
      <c r="N558" s="55">
        <f>IF(SCAN!K558&lt;&gt;"-",SCAN!E558,0)</f>
        <v>0</v>
      </c>
      <c r="O558" s="55">
        <f>IF(SCAN!K558&lt;&gt;"-",SCAN!F558,0)</f>
        <v>0</v>
      </c>
      <c r="R558" s="53">
        <f>IF(SCAN!Q558&lt;&gt;"-",SCAN!D558,0)</f>
        <v>0</v>
      </c>
      <c r="S558" s="53">
        <f>IF(SCAN!Q558&lt;&gt;"-",SCAN!E558,0)</f>
        <v>0</v>
      </c>
      <c r="T558" s="53">
        <f>IF(SCAN!Q558&lt;&gt;"-",SCAN!F558,0)</f>
        <v>0</v>
      </c>
    </row>
    <row r="559" spans="8:20" x14ac:dyDescent="0.25">
      <c r="H559" s="50">
        <f>IF(AND(SCAN!K559="-",SCAN!Q559="-"),SCAN!D559,0)</f>
        <v>0</v>
      </c>
      <c r="I559" s="50">
        <f>IF(AND(SCAN!K559="-",SCAN!Q559="-"),SCAN!E559,0)</f>
        <v>0</v>
      </c>
      <c r="J559" s="50">
        <f>IF(AND(SCAN!K559="-",SCAN!Q559="-"),SCAN!F559,0)</f>
        <v>0</v>
      </c>
      <c r="M559" s="55">
        <f>IF(SCAN!K559&lt;&gt;"-",SCAN!D559,0)</f>
        <v>0</v>
      </c>
      <c r="N559" s="55">
        <f>IF(SCAN!K559&lt;&gt;"-",SCAN!E559,0)</f>
        <v>0</v>
      </c>
      <c r="O559" s="55">
        <f>IF(SCAN!K559&lt;&gt;"-",SCAN!F559,0)</f>
        <v>0</v>
      </c>
      <c r="R559" s="53">
        <f>IF(SCAN!Q559&lt;&gt;"-",SCAN!D559,0)</f>
        <v>0</v>
      </c>
      <c r="S559" s="53">
        <f>IF(SCAN!Q559&lt;&gt;"-",SCAN!E559,0)</f>
        <v>0</v>
      </c>
      <c r="T559" s="53">
        <f>IF(SCAN!Q559&lt;&gt;"-",SCAN!F559,0)</f>
        <v>0</v>
      </c>
    </row>
    <row r="560" spans="8:20" x14ac:dyDescent="0.25">
      <c r="H560" s="50">
        <f>IF(AND(SCAN!K560="-",SCAN!Q560="-"),SCAN!D560,0)</f>
        <v>0</v>
      </c>
      <c r="I560" s="50">
        <f>IF(AND(SCAN!K560="-",SCAN!Q560="-"),SCAN!E560,0)</f>
        <v>0</v>
      </c>
      <c r="J560" s="50">
        <f>IF(AND(SCAN!K560="-",SCAN!Q560="-"),SCAN!F560,0)</f>
        <v>0</v>
      </c>
      <c r="M560" s="55">
        <f>IF(SCAN!K560&lt;&gt;"-",SCAN!D560,0)</f>
        <v>0</v>
      </c>
      <c r="N560" s="55">
        <f>IF(SCAN!K560&lt;&gt;"-",SCAN!E560,0)</f>
        <v>0</v>
      </c>
      <c r="O560" s="55">
        <f>IF(SCAN!K560&lt;&gt;"-",SCAN!F560,0)</f>
        <v>0</v>
      </c>
      <c r="R560" s="53">
        <f>IF(SCAN!Q560&lt;&gt;"-",SCAN!D560,0)</f>
        <v>0</v>
      </c>
      <c r="S560" s="53">
        <f>IF(SCAN!Q560&lt;&gt;"-",SCAN!E560,0)</f>
        <v>0</v>
      </c>
      <c r="T560" s="53">
        <f>IF(SCAN!Q560&lt;&gt;"-",SCAN!F560,0)</f>
        <v>0</v>
      </c>
    </row>
    <row r="561" spans="8:20" x14ac:dyDescent="0.25">
      <c r="H561" s="50">
        <f>IF(AND(SCAN!K561="-",SCAN!Q561="-"),SCAN!D561,0)</f>
        <v>0</v>
      </c>
      <c r="I561" s="50">
        <f>IF(AND(SCAN!K561="-",SCAN!Q561="-"),SCAN!E561,0)</f>
        <v>0</v>
      </c>
      <c r="J561" s="50">
        <f>IF(AND(SCAN!K561="-",SCAN!Q561="-"),SCAN!F561,0)</f>
        <v>0</v>
      </c>
      <c r="M561" s="55">
        <f>IF(SCAN!K561&lt;&gt;"-",SCAN!D561,0)</f>
        <v>0</v>
      </c>
      <c r="N561" s="55">
        <f>IF(SCAN!K561&lt;&gt;"-",SCAN!E561,0)</f>
        <v>0</v>
      </c>
      <c r="O561" s="55">
        <f>IF(SCAN!K561&lt;&gt;"-",SCAN!F561,0)</f>
        <v>0</v>
      </c>
      <c r="R561" s="53">
        <f>IF(SCAN!Q561&lt;&gt;"-",SCAN!D561,0)</f>
        <v>0</v>
      </c>
      <c r="S561" s="53">
        <f>IF(SCAN!Q561&lt;&gt;"-",SCAN!E561,0)</f>
        <v>0</v>
      </c>
      <c r="T561" s="53">
        <f>IF(SCAN!Q561&lt;&gt;"-",SCAN!F561,0)</f>
        <v>0</v>
      </c>
    </row>
    <row r="562" spans="8:20" x14ac:dyDescent="0.25">
      <c r="H562" s="50">
        <f>IF(AND(SCAN!K562="-",SCAN!Q562="-"),SCAN!D562,0)</f>
        <v>0</v>
      </c>
      <c r="I562" s="50">
        <f>IF(AND(SCAN!K562="-",SCAN!Q562="-"),SCAN!E562,0)</f>
        <v>0</v>
      </c>
      <c r="J562" s="50">
        <f>IF(AND(SCAN!K562="-",SCAN!Q562="-"),SCAN!F562,0)</f>
        <v>0</v>
      </c>
      <c r="M562" s="55">
        <f>IF(SCAN!K562&lt;&gt;"-",SCAN!D562,0)</f>
        <v>0</v>
      </c>
      <c r="N562" s="55">
        <f>IF(SCAN!K562&lt;&gt;"-",SCAN!E562,0)</f>
        <v>0</v>
      </c>
      <c r="O562" s="55">
        <f>IF(SCAN!K562&lt;&gt;"-",SCAN!F562,0)</f>
        <v>0</v>
      </c>
      <c r="R562" s="53">
        <f>IF(SCAN!Q562&lt;&gt;"-",SCAN!D562,0)</f>
        <v>0</v>
      </c>
      <c r="S562" s="53">
        <f>IF(SCAN!Q562&lt;&gt;"-",SCAN!E562,0)</f>
        <v>0</v>
      </c>
      <c r="T562" s="53">
        <f>IF(SCAN!Q562&lt;&gt;"-",SCAN!F562,0)</f>
        <v>0</v>
      </c>
    </row>
    <row r="563" spans="8:20" x14ac:dyDescent="0.25">
      <c r="H563" s="50">
        <f>IF(AND(SCAN!K563="-",SCAN!Q563="-"),SCAN!D563,0)</f>
        <v>0</v>
      </c>
      <c r="I563" s="50">
        <f>IF(AND(SCAN!K563="-",SCAN!Q563="-"),SCAN!E563,0)</f>
        <v>0</v>
      </c>
      <c r="J563" s="50">
        <f>IF(AND(SCAN!K563="-",SCAN!Q563="-"),SCAN!F563,0)</f>
        <v>0</v>
      </c>
      <c r="M563" s="55">
        <f>IF(SCAN!K563&lt;&gt;"-",SCAN!D563,0)</f>
        <v>0</v>
      </c>
      <c r="N563" s="55">
        <f>IF(SCAN!K563&lt;&gt;"-",SCAN!E563,0)</f>
        <v>0</v>
      </c>
      <c r="O563" s="55">
        <f>IF(SCAN!K563&lt;&gt;"-",SCAN!F563,0)</f>
        <v>0</v>
      </c>
      <c r="R563" s="53">
        <f>IF(SCAN!Q563&lt;&gt;"-",SCAN!D563,0)</f>
        <v>0</v>
      </c>
      <c r="S563" s="53">
        <f>IF(SCAN!Q563&lt;&gt;"-",SCAN!E563,0)</f>
        <v>0</v>
      </c>
      <c r="T563" s="53">
        <f>IF(SCAN!Q563&lt;&gt;"-",SCAN!F563,0)</f>
        <v>0</v>
      </c>
    </row>
    <row r="564" spans="8:20" x14ac:dyDescent="0.25">
      <c r="H564" s="50">
        <f>IF(AND(SCAN!K564="-",SCAN!Q564="-"),SCAN!D564,0)</f>
        <v>0</v>
      </c>
      <c r="I564" s="50">
        <f>IF(AND(SCAN!K564="-",SCAN!Q564="-"),SCAN!E564,0)</f>
        <v>0</v>
      </c>
      <c r="J564" s="50">
        <f>IF(AND(SCAN!K564="-",SCAN!Q564="-"),SCAN!F564,0)</f>
        <v>0</v>
      </c>
      <c r="M564" s="55">
        <f>IF(SCAN!K564&lt;&gt;"-",SCAN!D564,0)</f>
        <v>0</v>
      </c>
      <c r="N564" s="55">
        <f>IF(SCAN!K564&lt;&gt;"-",SCAN!E564,0)</f>
        <v>0</v>
      </c>
      <c r="O564" s="55">
        <f>IF(SCAN!K564&lt;&gt;"-",SCAN!F564,0)</f>
        <v>0</v>
      </c>
      <c r="R564" s="53">
        <f>IF(SCAN!Q564&lt;&gt;"-",SCAN!D564,0)</f>
        <v>0</v>
      </c>
      <c r="S564" s="53">
        <f>IF(SCAN!Q564&lt;&gt;"-",SCAN!E564,0)</f>
        <v>0</v>
      </c>
      <c r="T564" s="53">
        <f>IF(SCAN!Q564&lt;&gt;"-",SCAN!F564,0)</f>
        <v>0</v>
      </c>
    </row>
    <row r="565" spans="8:20" x14ac:dyDescent="0.25">
      <c r="H565" s="50">
        <f>IF(AND(SCAN!K565="-",SCAN!Q565="-"),SCAN!D565,0)</f>
        <v>0</v>
      </c>
      <c r="I565" s="50">
        <f>IF(AND(SCAN!K565="-",SCAN!Q565="-"),SCAN!E565,0)</f>
        <v>0</v>
      </c>
      <c r="J565" s="50">
        <f>IF(AND(SCAN!K565="-",SCAN!Q565="-"),SCAN!F565,0)</f>
        <v>0</v>
      </c>
      <c r="M565" s="55">
        <f>IF(SCAN!K565&lt;&gt;"-",SCAN!D565,0)</f>
        <v>0</v>
      </c>
      <c r="N565" s="55">
        <f>IF(SCAN!K565&lt;&gt;"-",SCAN!E565,0)</f>
        <v>0</v>
      </c>
      <c r="O565" s="55">
        <f>IF(SCAN!K565&lt;&gt;"-",SCAN!F565,0)</f>
        <v>0</v>
      </c>
      <c r="R565" s="53">
        <f>IF(SCAN!Q565&lt;&gt;"-",SCAN!D565,0)</f>
        <v>0</v>
      </c>
      <c r="S565" s="53">
        <f>IF(SCAN!Q565&lt;&gt;"-",SCAN!E565,0)</f>
        <v>0</v>
      </c>
      <c r="T565" s="53">
        <f>IF(SCAN!Q565&lt;&gt;"-",SCAN!F565,0)</f>
        <v>0</v>
      </c>
    </row>
    <row r="566" spans="8:20" x14ac:dyDescent="0.25">
      <c r="H566" s="50">
        <f>IF(AND(SCAN!K566="-",SCAN!Q566="-"),SCAN!D566,0)</f>
        <v>0</v>
      </c>
      <c r="I566" s="50">
        <f>IF(AND(SCAN!K566="-",SCAN!Q566="-"),SCAN!E566,0)</f>
        <v>0</v>
      </c>
      <c r="J566" s="50">
        <f>IF(AND(SCAN!K566="-",SCAN!Q566="-"),SCAN!F566,0)</f>
        <v>0</v>
      </c>
      <c r="M566" s="55">
        <f>IF(SCAN!K566&lt;&gt;"-",SCAN!D566,0)</f>
        <v>0</v>
      </c>
      <c r="N566" s="55">
        <f>IF(SCAN!K566&lt;&gt;"-",SCAN!E566,0)</f>
        <v>0</v>
      </c>
      <c r="O566" s="55">
        <f>IF(SCAN!K566&lt;&gt;"-",SCAN!F566,0)</f>
        <v>0</v>
      </c>
      <c r="R566" s="53">
        <f>IF(SCAN!Q566&lt;&gt;"-",SCAN!D566,0)</f>
        <v>0</v>
      </c>
      <c r="S566" s="53">
        <f>IF(SCAN!Q566&lt;&gt;"-",SCAN!E566,0)</f>
        <v>0</v>
      </c>
      <c r="T566" s="53">
        <f>IF(SCAN!Q566&lt;&gt;"-",SCAN!F566,0)</f>
        <v>0</v>
      </c>
    </row>
    <row r="567" spans="8:20" x14ac:dyDescent="0.25">
      <c r="H567" s="50">
        <f>IF(AND(SCAN!K567="-",SCAN!Q567="-"),SCAN!D567,0)</f>
        <v>0</v>
      </c>
      <c r="I567" s="50">
        <f>IF(AND(SCAN!K567="-",SCAN!Q567="-"),SCAN!E567,0)</f>
        <v>0</v>
      </c>
      <c r="J567" s="50">
        <f>IF(AND(SCAN!K567="-",SCAN!Q567="-"),SCAN!F567,0)</f>
        <v>0</v>
      </c>
      <c r="M567" s="55">
        <f>IF(SCAN!K567&lt;&gt;"-",SCAN!D567,0)</f>
        <v>0</v>
      </c>
      <c r="N567" s="55">
        <f>IF(SCAN!K567&lt;&gt;"-",SCAN!E567,0)</f>
        <v>0</v>
      </c>
      <c r="O567" s="55">
        <f>IF(SCAN!K567&lt;&gt;"-",SCAN!F567,0)</f>
        <v>0</v>
      </c>
      <c r="R567" s="53">
        <f>IF(SCAN!Q567&lt;&gt;"-",SCAN!D567,0)</f>
        <v>0</v>
      </c>
      <c r="S567" s="53">
        <f>IF(SCAN!Q567&lt;&gt;"-",SCAN!E567,0)</f>
        <v>0</v>
      </c>
      <c r="T567" s="53">
        <f>IF(SCAN!Q567&lt;&gt;"-",SCAN!F567,0)</f>
        <v>0</v>
      </c>
    </row>
    <row r="568" spans="8:20" x14ac:dyDescent="0.25">
      <c r="H568" s="50">
        <f>IF(AND(SCAN!K568="-",SCAN!Q568="-"),SCAN!D568,0)</f>
        <v>0</v>
      </c>
      <c r="I568" s="50">
        <f>IF(AND(SCAN!K568="-",SCAN!Q568="-"),SCAN!E568,0)</f>
        <v>0</v>
      </c>
      <c r="J568" s="50">
        <f>IF(AND(SCAN!K568="-",SCAN!Q568="-"),SCAN!F568,0)</f>
        <v>0</v>
      </c>
      <c r="M568" s="55">
        <f>IF(SCAN!K568&lt;&gt;"-",SCAN!D568,0)</f>
        <v>0</v>
      </c>
      <c r="N568" s="55">
        <f>IF(SCAN!K568&lt;&gt;"-",SCAN!E568,0)</f>
        <v>0</v>
      </c>
      <c r="O568" s="55">
        <f>IF(SCAN!K568&lt;&gt;"-",SCAN!F568,0)</f>
        <v>0</v>
      </c>
      <c r="R568" s="53">
        <f>IF(SCAN!Q568&lt;&gt;"-",SCAN!D568,0)</f>
        <v>0</v>
      </c>
      <c r="S568" s="53">
        <f>IF(SCAN!Q568&lt;&gt;"-",SCAN!E568,0)</f>
        <v>0</v>
      </c>
      <c r="T568" s="53">
        <f>IF(SCAN!Q568&lt;&gt;"-",SCAN!F568,0)</f>
        <v>0</v>
      </c>
    </row>
    <row r="569" spans="8:20" x14ac:dyDescent="0.25">
      <c r="H569" s="50">
        <f>IF(AND(SCAN!K569="-",SCAN!Q569="-"),SCAN!D569,0)</f>
        <v>0</v>
      </c>
      <c r="I569" s="50">
        <f>IF(AND(SCAN!K569="-",SCAN!Q569="-"),SCAN!E569,0)</f>
        <v>0</v>
      </c>
      <c r="J569" s="50">
        <f>IF(AND(SCAN!K569="-",SCAN!Q569="-"),SCAN!F569,0)</f>
        <v>0</v>
      </c>
      <c r="M569" s="55">
        <f>IF(SCAN!K569&lt;&gt;"-",SCAN!D569,0)</f>
        <v>0</v>
      </c>
      <c r="N569" s="55">
        <f>IF(SCAN!K569&lt;&gt;"-",SCAN!E569,0)</f>
        <v>0</v>
      </c>
      <c r="O569" s="55">
        <f>IF(SCAN!K569&lt;&gt;"-",SCAN!F569,0)</f>
        <v>0</v>
      </c>
      <c r="R569" s="53">
        <f>IF(SCAN!Q569&lt;&gt;"-",SCAN!D569,0)</f>
        <v>0</v>
      </c>
      <c r="S569" s="53">
        <f>IF(SCAN!Q569&lt;&gt;"-",SCAN!E569,0)</f>
        <v>0</v>
      </c>
      <c r="T569" s="53">
        <f>IF(SCAN!Q569&lt;&gt;"-",SCAN!F569,0)</f>
        <v>0</v>
      </c>
    </row>
    <row r="570" spans="8:20" x14ac:dyDescent="0.25">
      <c r="H570" s="50">
        <f>IF(AND(SCAN!K570="-",SCAN!Q570="-"),SCAN!D570,0)</f>
        <v>0</v>
      </c>
      <c r="I570" s="50">
        <f>IF(AND(SCAN!K570="-",SCAN!Q570="-"),SCAN!E570,0)</f>
        <v>0</v>
      </c>
      <c r="J570" s="50">
        <f>IF(AND(SCAN!K570="-",SCAN!Q570="-"),SCAN!F570,0)</f>
        <v>0</v>
      </c>
      <c r="M570" s="55">
        <f>IF(SCAN!K570&lt;&gt;"-",SCAN!D570,0)</f>
        <v>0</v>
      </c>
      <c r="N570" s="55">
        <f>IF(SCAN!K570&lt;&gt;"-",SCAN!E570,0)</f>
        <v>0</v>
      </c>
      <c r="O570" s="55">
        <f>IF(SCAN!K570&lt;&gt;"-",SCAN!F570,0)</f>
        <v>0</v>
      </c>
      <c r="R570" s="53">
        <f>IF(SCAN!Q570&lt;&gt;"-",SCAN!D570,0)</f>
        <v>0</v>
      </c>
      <c r="S570" s="53">
        <f>IF(SCAN!Q570&lt;&gt;"-",SCAN!E570,0)</f>
        <v>0</v>
      </c>
      <c r="T570" s="53">
        <f>IF(SCAN!Q570&lt;&gt;"-",SCAN!F570,0)</f>
        <v>0</v>
      </c>
    </row>
    <row r="571" spans="8:20" x14ac:dyDescent="0.25">
      <c r="H571" s="50">
        <f>IF(AND(SCAN!K571="-",SCAN!Q571="-"),SCAN!D571,0)</f>
        <v>0</v>
      </c>
      <c r="I571" s="50">
        <f>IF(AND(SCAN!K571="-",SCAN!Q571="-"),SCAN!E571,0)</f>
        <v>0</v>
      </c>
      <c r="J571" s="50">
        <f>IF(AND(SCAN!K571="-",SCAN!Q571="-"),SCAN!F571,0)</f>
        <v>0</v>
      </c>
      <c r="M571" s="55">
        <f>IF(SCAN!K571&lt;&gt;"-",SCAN!D571,0)</f>
        <v>0</v>
      </c>
      <c r="N571" s="55">
        <f>IF(SCAN!K571&lt;&gt;"-",SCAN!E571,0)</f>
        <v>0</v>
      </c>
      <c r="O571" s="55">
        <f>IF(SCAN!K571&lt;&gt;"-",SCAN!F571,0)</f>
        <v>0</v>
      </c>
      <c r="R571" s="53">
        <f>IF(SCAN!Q571&lt;&gt;"-",SCAN!D571,0)</f>
        <v>0</v>
      </c>
      <c r="S571" s="53">
        <f>IF(SCAN!Q571&lt;&gt;"-",SCAN!E571,0)</f>
        <v>0</v>
      </c>
      <c r="T571" s="53">
        <f>IF(SCAN!Q571&lt;&gt;"-",SCAN!F571,0)</f>
        <v>0</v>
      </c>
    </row>
    <row r="572" spans="8:20" x14ac:dyDescent="0.25">
      <c r="H572" s="50">
        <f>IF(AND(SCAN!K572="-",SCAN!Q572="-"),SCAN!D572,0)</f>
        <v>0</v>
      </c>
      <c r="I572" s="50">
        <f>IF(AND(SCAN!K572="-",SCAN!Q572="-"),SCAN!E572,0)</f>
        <v>0</v>
      </c>
      <c r="J572" s="50">
        <f>IF(AND(SCAN!K572="-",SCAN!Q572="-"),SCAN!F572,0)</f>
        <v>0</v>
      </c>
      <c r="M572" s="55">
        <f>IF(SCAN!K572&lt;&gt;"-",SCAN!D572,0)</f>
        <v>0</v>
      </c>
      <c r="N572" s="55">
        <f>IF(SCAN!K572&lt;&gt;"-",SCAN!E572,0)</f>
        <v>0</v>
      </c>
      <c r="O572" s="55">
        <f>IF(SCAN!K572&lt;&gt;"-",SCAN!F572,0)</f>
        <v>0</v>
      </c>
      <c r="R572" s="53">
        <f>IF(SCAN!Q572&lt;&gt;"-",SCAN!D572,0)</f>
        <v>0</v>
      </c>
      <c r="S572" s="53">
        <f>IF(SCAN!Q572&lt;&gt;"-",SCAN!E572,0)</f>
        <v>0</v>
      </c>
      <c r="T572" s="53">
        <f>IF(SCAN!Q572&lt;&gt;"-",SCAN!F572,0)</f>
        <v>0</v>
      </c>
    </row>
    <row r="573" spans="8:20" x14ac:dyDescent="0.25">
      <c r="H573" s="50">
        <f>IF(AND(SCAN!K573="-",SCAN!Q573="-"),SCAN!D573,0)</f>
        <v>0</v>
      </c>
      <c r="I573" s="50">
        <f>IF(AND(SCAN!K573="-",SCAN!Q573="-"),SCAN!E573,0)</f>
        <v>0</v>
      </c>
      <c r="J573" s="50">
        <f>IF(AND(SCAN!K573="-",SCAN!Q573="-"),SCAN!F573,0)</f>
        <v>0</v>
      </c>
      <c r="M573" s="55">
        <f>IF(SCAN!K573&lt;&gt;"-",SCAN!D573,0)</f>
        <v>0</v>
      </c>
      <c r="N573" s="55">
        <f>IF(SCAN!K573&lt;&gt;"-",SCAN!E573,0)</f>
        <v>0</v>
      </c>
      <c r="O573" s="55">
        <f>IF(SCAN!K573&lt;&gt;"-",SCAN!F573,0)</f>
        <v>0</v>
      </c>
      <c r="R573" s="53">
        <f>IF(SCAN!Q573&lt;&gt;"-",SCAN!D573,0)</f>
        <v>0</v>
      </c>
      <c r="S573" s="53">
        <f>IF(SCAN!Q573&lt;&gt;"-",SCAN!E573,0)</f>
        <v>0</v>
      </c>
      <c r="T573" s="53">
        <f>IF(SCAN!Q573&lt;&gt;"-",SCAN!F573,0)</f>
        <v>0</v>
      </c>
    </row>
    <row r="574" spans="8:20" x14ac:dyDescent="0.25">
      <c r="H574" s="50">
        <f>IF(AND(SCAN!K574="-",SCAN!Q574="-"),SCAN!D574,0)</f>
        <v>0</v>
      </c>
      <c r="I574" s="50">
        <f>IF(AND(SCAN!K574="-",SCAN!Q574="-"),SCAN!E574,0)</f>
        <v>0</v>
      </c>
      <c r="J574" s="50">
        <f>IF(AND(SCAN!K574="-",SCAN!Q574="-"),SCAN!F574,0)</f>
        <v>0</v>
      </c>
      <c r="M574" s="55">
        <f>IF(SCAN!K574&lt;&gt;"-",SCAN!D574,0)</f>
        <v>0</v>
      </c>
      <c r="N574" s="55">
        <f>IF(SCAN!K574&lt;&gt;"-",SCAN!E574,0)</f>
        <v>0</v>
      </c>
      <c r="O574" s="55">
        <f>IF(SCAN!K574&lt;&gt;"-",SCAN!F574,0)</f>
        <v>0</v>
      </c>
      <c r="R574" s="53">
        <f>IF(SCAN!Q574&lt;&gt;"-",SCAN!D574,0)</f>
        <v>0</v>
      </c>
      <c r="S574" s="53">
        <f>IF(SCAN!Q574&lt;&gt;"-",SCAN!E574,0)</f>
        <v>0</v>
      </c>
      <c r="T574" s="53">
        <f>IF(SCAN!Q574&lt;&gt;"-",SCAN!F574,0)</f>
        <v>0</v>
      </c>
    </row>
    <row r="575" spans="8:20" x14ac:dyDescent="0.25">
      <c r="H575" s="50">
        <f>IF(AND(SCAN!K575="-",SCAN!Q575="-"),SCAN!D575,0)</f>
        <v>0</v>
      </c>
      <c r="I575" s="50">
        <f>IF(AND(SCAN!K575="-",SCAN!Q575="-"),SCAN!E575,0)</f>
        <v>0</v>
      </c>
      <c r="J575" s="50">
        <f>IF(AND(SCAN!K575="-",SCAN!Q575="-"),SCAN!F575,0)</f>
        <v>0</v>
      </c>
      <c r="M575" s="55">
        <f>IF(SCAN!K575&lt;&gt;"-",SCAN!D575,0)</f>
        <v>0</v>
      </c>
      <c r="N575" s="55">
        <f>IF(SCAN!K575&lt;&gt;"-",SCAN!E575,0)</f>
        <v>0</v>
      </c>
      <c r="O575" s="55">
        <f>IF(SCAN!K575&lt;&gt;"-",SCAN!F575,0)</f>
        <v>0</v>
      </c>
      <c r="R575" s="53">
        <f>IF(SCAN!Q575&lt;&gt;"-",SCAN!D575,0)</f>
        <v>0</v>
      </c>
      <c r="S575" s="53">
        <f>IF(SCAN!Q575&lt;&gt;"-",SCAN!E575,0)</f>
        <v>0</v>
      </c>
      <c r="T575" s="53">
        <f>IF(SCAN!Q575&lt;&gt;"-",SCAN!F575,0)</f>
        <v>0</v>
      </c>
    </row>
    <row r="576" spans="8:20" x14ac:dyDescent="0.25">
      <c r="H576" s="50">
        <f>IF(AND(SCAN!K576="-",SCAN!Q576="-"),SCAN!D576,0)</f>
        <v>0</v>
      </c>
      <c r="I576" s="50">
        <f>IF(AND(SCAN!K576="-",SCAN!Q576="-"),SCAN!E576,0)</f>
        <v>0</v>
      </c>
      <c r="J576" s="50">
        <f>IF(AND(SCAN!K576="-",SCAN!Q576="-"),SCAN!F576,0)</f>
        <v>0</v>
      </c>
      <c r="M576" s="55">
        <f>IF(SCAN!K576&lt;&gt;"-",SCAN!D576,0)</f>
        <v>0</v>
      </c>
      <c r="N576" s="55">
        <f>IF(SCAN!K576&lt;&gt;"-",SCAN!E576,0)</f>
        <v>0</v>
      </c>
      <c r="O576" s="55">
        <f>IF(SCAN!K576&lt;&gt;"-",SCAN!F576,0)</f>
        <v>0</v>
      </c>
      <c r="R576" s="53">
        <f>IF(SCAN!Q576&lt;&gt;"-",SCAN!D576,0)</f>
        <v>0</v>
      </c>
      <c r="S576" s="53">
        <f>IF(SCAN!Q576&lt;&gt;"-",SCAN!E576,0)</f>
        <v>0</v>
      </c>
      <c r="T576" s="53">
        <f>IF(SCAN!Q576&lt;&gt;"-",SCAN!F576,0)</f>
        <v>0</v>
      </c>
    </row>
    <row r="577" spans="8:20" x14ac:dyDescent="0.25">
      <c r="H577" s="50">
        <f>IF(AND(SCAN!K577="-",SCAN!Q577="-"),SCAN!D577,0)</f>
        <v>0</v>
      </c>
      <c r="I577" s="50">
        <f>IF(AND(SCAN!K577="-",SCAN!Q577="-"),SCAN!E577,0)</f>
        <v>0</v>
      </c>
      <c r="J577" s="50">
        <f>IF(AND(SCAN!K577="-",SCAN!Q577="-"),SCAN!F577,0)</f>
        <v>0</v>
      </c>
      <c r="M577" s="55">
        <f>IF(SCAN!K577&lt;&gt;"-",SCAN!D577,0)</f>
        <v>0</v>
      </c>
      <c r="N577" s="55">
        <f>IF(SCAN!K577&lt;&gt;"-",SCAN!E577,0)</f>
        <v>0</v>
      </c>
      <c r="O577" s="55">
        <f>IF(SCAN!K577&lt;&gt;"-",SCAN!F577,0)</f>
        <v>0</v>
      </c>
      <c r="R577" s="53">
        <f>IF(SCAN!Q577&lt;&gt;"-",SCAN!D577,0)</f>
        <v>0</v>
      </c>
      <c r="S577" s="53">
        <f>IF(SCAN!Q577&lt;&gt;"-",SCAN!E577,0)</f>
        <v>0</v>
      </c>
      <c r="T577" s="53">
        <f>IF(SCAN!Q577&lt;&gt;"-",SCAN!F577,0)</f>
        <v>0</v>
      </c>
    </row>
    <row r="578" spans="8:20" x14ac:dyDescent="0.25">
      <c r="H578" s="50">
        <f>IF(AND(SCAN!K578="-",SCAN!Q578="-"),SCAN!D578,0)</f>
        <v>0</v>
      </c>
      <c r="I578" s="50">
        <f>IF(AND(SCAN!K578="-",SCAN!Q578="-"),SCAN!E578,0)</f>
        <v>0</v>
      </c>
      <c r="J578" s="50">
        <f>IF(AND(SCAN!K578="-",SCAN!Q578="-"),SCAN!F578,0)</f>
        <v>0</v>
      </c>
      <c r="M578" s="55">
        <f>IF(SCAN!K578&lt;&gt;"-",SCAN!D578,0)</f>
        <v>0</v>
      </c>
      <c r="N578" s="55">
        <f>IF(SCAN!K578&lt;&gt;"-",SCAN!E578,0)</f>
        <v>0</v>
      </c>
      <c r="O578" s="55">
        <f>IF(SCAN!K578&lt;&gt;"-",SCAN!F578,0)</f>
        <v>0</v>
      </c>
      <c r="R578" s="53">
        <f>IF(SCAN!Q578&lt;&gt;"-",SCAN!D578,0)</f>
        <v>0</v>
      </c>
      <c r="S578" s="53">
        <f>IF(SCAN!Q578&lt;&gt;"-",SCAN!E578,0)</f>
        <v>0</v>
      </c>
      <c r="T578" s="53">
        <f>IF(SCAN!Q578&lt;&gt;"-",SCAN!F578,0)</f>
        <v>0</v>
      </c>
    </row>
    <row r="579" spans="8:20" x14ac:dyDescent="0.25">
      <c r="H579" s="50">
        <f>IF(AND(SCAN!K579="-",SCAN!Q579="-"),SCAN!D579,0)</f>
        <v>0</v>
      </c>
      <c r="I579" s="50">
        <f>IF(AND(SCAN!K579="-",SCAN!Q579="-"),SCAN!E579,0)</f>
        <v>0</v>
      </c>
      <c r="J579" s="50">
        <f>IF(AND(SCAN!K579="-",SCAN!Q579="-"),SCAN!F579,0)</f>
        <v>0</v>
      </c>
      <c r="M579" s="55">
        <f>IF(SCAN!K579&lt;&gt;"-",SCAN!D579,0)</f>
        <v>0</v>
      </c>
      <c r="N579" s="55">
        <f>IF(SCAN!K579&lt;&gt;"-",SCAN!E579,0)</f>
        <v>0</v>
      </c>
      <c r="O579" s="55">
        <f>IF(SCAN!K579&lt;&gt;"-",SCAN!F579,0)</f>
        <v>0</v>
      </c>
      <c r="R579" s="53">
        <f>IF(SCAN!Q579&lt;&gt;"-",SCAN!D579,0)</f>
        <v>0</v>
      </c>
      <c r="S579" s="53">
        <f>IF(SCAN!Q579&lt;&gt;"-",SCAN!E579,0)</f>
        <v>0</v>
      </c>
      <c r="T579" s="53">
        <f>IF(SCAN!Q579&lt;&gt;"-",SCAN!F579,0)</f>
        <v>0</v>
      </c>
    </row>
    <row r="580" spans="8:20" x14ac:dyDescent="0.25">
      <c r="H580" s="50">
        <f>IF(AND(SCAN!K580="-",SCAN!Q580="-"),SCAN!D580,0)</f>
        <v>0</v>
      </c>
      <c r="I580" s="50">
        <f>IF(AND(SCAN!K580="-",SCAN!Q580="-"),SCAN!E580,0)</f>
        <v>0</v>
      </c>
      <c r="J580" s="50">
        <f>IF(AND(SCAN!K580="-",SCAN!Q580="-"),SCAN!F580,0)</f>
        <v>0</v>
      </c>
      <c r="M580" s="55">
        <f>IF(SCAN!K580&lt;&gt;"-",SCAN!D580,0)</f>
        <v>0</v>
      </c>
      <c r="N580" s="55">
        <f>IF(SCAN!K580&lt;&gt;"-",SCAN!E580,0)</f>
        <v>0</v>
      </c>
      <c r="O580" s="55">
        <f>IF(SCAN!K580&lt;&gt;"-",SCAN!F580,0)</f>
        <v>0</v>
      </c>
      <c r="R580" s="53">
        <f>IF(SCAN!Q580&lt;&gt;"-",SCAN!D580,0)</f>
        <v>0</v>
      </c>
      <c r="S580" s="53">
        <f>IF(SCAN!Q580&lt;&gt;"-",SCAN!E580,0)</f>
        <v>0</v>
      </c>
      <c r="T580" s="53">
        <f>IF(SCAN!Q580&lt;&gt;"-",SCAN!F580,0)</f>
        <v>0</v>
      </c>
    </row>
    <row r="581" spans="8:20" x14ac:dyDescent="0.25">
      <c r="H581" s="50">
        <f>IF(AND(SCAN!K581="-",SCAN!Q581="-"),SCAN!D581,0)</f>
        <v>0</v>
      </c>
      <c r="I581" s="50">
        <f>IF(AND(SCAN!K581="-",SCAN!Q581="-"),SCAN!E581,0)</f>
        <v>0</v>
      </c>
      <c r="J581" s="50">
        <f>IF(AND(SCAN!K581="-",SCAN!Q581="-"),SCAN!F581,0)</f>
        <v>0</v>
      </c>
      <c r="M581" s="55">
        <f>IF(SCAN!K581&lt;&gt;"-",SCAN!D581,0)</f>
        <v>0</v>
      </c>
      <c r="N581" s="55">
        <f>IF(SCAN!K581&lt;&gt;"-",SCAN!E581,0)</f>
        <v>0</v>
      </c>
      <c r="O581" s="55">
        <f>IF(SCAN!K581&lt;&gt;"-",SCAN!F581,0)</f>
        <v>0</v>
      </c>
      <c r="R581" s="53">
        <f>IF(SCAN!Q581&lt;&gt;"-",SCAN!D581,0)</f>
        <v>0</v>
      </c>
      <c r="S581" s="53">
        <f>IF(SCAN!Q581&lt;&gt;"-",SCAN!E581,0)</f>
        <v>0</v>
      </c>
      <c r="T581" s="53">
        <f>IF(SCAN!Q581&lt;&gt;"-",SCAN!F581,0)</f>
        <v>0</v>
      </c>
    </row>
    <row r="582" spans="8:20" x14ac:dyDescent="0.25">
      <c r="H582" s="50">
        <f>IF(AND(SCAN!K582="-",SCAN!Q582="-"),SCAN!D582,0)</f>
        <v>0</v>
      </c>
      <c r="I582" s="50">
        <f>IF(AND(SCAN!K582="-",SCAN!Q582="-"),SCAN!E582,0)</f>
        <v>0</v>
      </c>
      <c r="J582" s="50">
        <f>IF(AND(SCAN!K582="-",SCAN!Q582="-"),SCAN!F582,0)</f>
        <v>0</v>
      </c>
      <c r="M582" s="55">
        <f>IF(SCAN!K582&lt;&gt;"-",SCAN!D582,0)</f>
        <v>0</v>
      </c>
      <c r="N582" s="55">
        <f>IF(SCAN!K582&lt;&gt;"-",SCAN!E582,0)</f>
        <v>0</v>
      </c>
      <c r="O582" s="55">
        <f>IF(SCAN!K582&lt;&gt;"-",SCAN!F582,0)</f>
        <v>0</v>
      </c>
      <c r="R582" s="53">
        <f>IF(SCAN!Q582&lt;&gt;"-",SCAN!D582,0)</f>
        <v>0</v>
      </c>
      <c r="S582" s="53">
        <f>IF(SCAN!Q582&lt;&gt;"-",SCAN!E582,0)</f>
        <v>0</v>
      </c>
      <c r="T582" s="53">
        <f>IF(SCAN!Q582&lt;&gt;"-",SCAN!F582,0)</f>
        <v>0</v>
      </c>
    </row>
    <row r="583" spans="8:20" x14ac:dyDescent="0.25">
      <c r="H583" s="50">
        <f>IF(AND(SCAN!K583="-",SCAN!Q583="-"),SCAN!D583,0)</f>
        <v>0</v>
      </c>
      <c r="I583" s="50">
        <f>IF(AND(SCAN!K583="-",SCAN!Q583="-"),SCAN!E583,0)</f>
        <v>0</v>
      </c>
      <c r="J583" s="50">
        <f>IF(AND(SCAN!K583="-",SCAN!Q583="-"),SCAN!F583,0)</f>
        <v>0</v>
      </c>
      <c r="M583" s="55">
        <f>IF(SCAN!K583&lt;&gt;"-",SCAN!D583,0)</f>
        <v>0</v>
      </c>
      <c r="N583" s="55">
        <f>IF(SCAN!K583&lt;&gt;"-",SCAN!E583,0)</f>
        <v>0</v>
      </c>
      <c r="O583" s="55">
        <f>IF(SCAN!K583&lt;&gt;"-",SCAN!F583,0)</f>
        <v>0</v>
      </c>
      <c r="R583" s="53">
        <f>IF(SCAN!Q583&lt;&gt;"-",SCAN!D583,0)</f>
        <v>0</v>
      </c>
      <c r="S583" s="53">
        <f>IF(SCAN!Q583&lt;&gt;"-",SCAN!E583,0)</f>
        <v>0</v>
      </c>
      <c r="T583" s="53">
        <f>IF(SCAN!Q583&lt;&gt;"-",SCAN!F583,0)</f>
        <v>0</v>
      </c>
    </row>
    <row r="584" spans="8:20" x14ac:dyDescent="0.25">
      <c r="H584" s="50">
        <f>IF(AND(SCAN!K584="-",SCAN!Q584="-"),SCAN!D584,0)</f>
        <v>0</v>
      </c>
      <c r="I584" s="50">
        <f>IF(AND(SCAN!K584="-",SCAN!Q584="-"),SCAN!E584,0)</f>
        <v>0</v>
      </c>
      <c r="J584" s="50">
        <f>IF(AND(SCAN!K584="-",SCAN!Q584="-"),SCAN!F584,0)</f>
        <v>0</v>
      </c>
      <c r="M584" s="55">
        <f>IF(SCAN!K584&lt;&gt;"-",SCAN!D584,0)</f>
        <v>0</v>
      </c>
      <c r="N584" s="55">
        <f>IF(SCAN!K584&lt;&gt;"-",SCAN!E584,0)</f>
        <v>0</v>
      </c>
      <c r="O584" s="55">
        <f>IF(SCAN!K584&lt;&gt;"-",SCAN!F584,0)</f>
        <v>0</v>
      </c>
      <c r="R584" s="53">
        <f>IF(SCAN!Q584&lt;&gt;"-",SCAN!D584,0)</f>
        <v>0</v>
      </c>
      <c r="S584" s="53">
        <f>IF(SCAN!Q584&lt;&gt;"-",SCAN!E584,0)</f>
        <v>0</v>
      </c>
      <c r="T584" s="53">
        <f>IF(SCAN!Q584&lt;&gt;"-",SCAN!F584,0)</f>
        <v>0</v>
      </c>
    </row>
    <row r="585" spans="8:20" x14ac:dyDescent="0.25">
      <c r="H585" s="50">
        <f>IF(AND(SCAN!K585="-",SCAN!Q585="-"),SCAN!D585,0)</f>
        <v>0</v>
      </c>
      <c r="I585" s="50">
        <f>IF(AND(SCAN!K585="-",SCAN!Q585="-"),SCAN!E585,0)</f>
        <v>0</v>
      </c>
      <c r="J585" s="50">
        <f>IF(AND(SCAN!K585="-",SCAN!Q585="-"),SCAN!F585,0)</f>
        <v>0</v>
      </c>
      <c r="M585" s="55">
        <f>IF(SCAN!K585&lt;&gt;"-",SCAN!D585,0)</f>
        <v>0</v>
      </c>
      <c r="N585" s="55">
        <f>IF(SCAN!K585&lt;&gt;"-",SCAN!E585,0)</f>
        <v>0</v>
      </c>
      <c r="O585" s="55">
        <f>IF(SCAN!K585&lt;&gt;"-",SCAN!F585,0)</f>
        <v>0</v>
      </c>
      <c r="R585" s="53">
        <f>IF(SCAN!Q585&lt;&gt;"-",SCAN!D585,0)</f>
        <v>0</v>
      </c>
      <c r="S585" s="53">
        <f>IF(SCAN!Q585&lt;&gt;"-",SCAN!E585,0)</f>
        <v>0</v>
      </c>
      <c r="T585" s="53">
        <f>IF(SCAN!Q585&lt;&gt;"-",SCAN!F585,0)</f>
        <v>0</v>
      </c>
    </row>
    <row r="586" spans="8:20" x14ac:dyDescent="0.25">
      <c r="H586" s="50">
        <f>IF(AND(SCAN!K586="-",SCAN!Q586="-"),SCAN!D586,0)</f>
        <v>0</v>
      </c>
      <c r="I586" s="50">
        <f>IF(AND(SCAN!K586="-",SCAN!Q586="-"),SCAN!E586,0)</f>
        <v>0</v>
      </c>
      <c r="J586" s="50">
        <f>IF(AND(SCAN!K586="-",SCAN!Q586="-"),SCAN!F586,0)</f>
        <v>0</v>
      </c>
      <c r="M586" s="55">
        <f>IF(SCAN!K586&lt;&gt;"-",SCAN!D586,0)</f>
        <v>0</v>
      </c>
      <c r="N586" s="55">
        <f>IF(SCAN!K586&lt;&gt;"-",SCAN!E586,0)</f>
        <v>0</v>
      </c>
      <c r="O586" s="55">
        <f>IF(SCAN!K586&lt;&gt;"-",SCAN!F586,0)</f>
        <v>0</v>
      </c>
      <c r="R586" s="53">
        <f>IF(SCAN!Q586&lt;&gt;"-",SCAN!D586,0)</f>
        <v>0</v>
      </c>
      <c r="S586" s="53">
        <f>IF(SCAN!Q586&lt;&gt;"-",SCAN!E586,0)</f>
        <v>0</v>
      </c>
      <c r="T586" s="53">
        <f>IF(SCAN!Q586&lt;&gt;"-",SCAN!F586,0)</f>
        <v>0</v>
      </c>
    </row>
    <row r="587" spans="8:20" x14ac:dyDescent="0.25">
      <c r="H587" s="50">
        <f>IF(AND(SCAN!K587="-",SCAN!Q587="-"),SCAN!D587,0)</f>
        <v>0</v>
      </c>
      <c r="I587" s="50">
        <f>IF(AND(SCAN!K587="-",SCAN!Q587="-"),SCAN!E587,0)</f>
        <v>0</v>
      </c>
      <c r="J587" s="50">
        <f>IF(AND(SCAN!K587="-",SCAN!Q587="-"),SCAN!F587,0)</f>
        <v>0</v>
      </c>
      <c r="M587" s="55">
        <f>IF(SCAN!K587&lt;&gt;"-",SCAN!D587,0)</f>
        <v>0</v>
      </c>
      <c r="N587" s="55">
        <f>IF(SCAN!K587&lt;&gt;"-",SCAN!E587,0)</f>
        <v>0</v>
      </c>
      <c r="O587" s="55">
        <f>IF(SCAN!K587&lt;&gt;"-",SCAN!F587,0)</f>
        <v>0</v>
      </c>
      <c r="R587" s="53">
        <f>IF(SCAN!Q587&lt;&gt;"-",SCAN!D587,0)</f>
        <v>0</v>
      </c>
      <c r="S587" s="53">
        <f>IF(SCAN!Q587&lt;&gt;"-",SCAN!E587,0)</f>
        <v>0</v>
      </c>
      <c r="T587" s="53">
        <f>IF(SCAN!Q587&lt;&gt;"-",SCAN!F587,0)</f>
        <v>0</v>
      </c>
    </row>
    <row r="588" spans="8:20" x14ac:dyDescent="0.25">
      <c r="H588" s="50">
        <f>IF(AND(SCAN!K588="-",SCAN!Q588="-"),SCAN!D588,0)</f>
        <v>0</v>
      </c>
      <c r="I588" s="50">
        <f>IF(AND(SCAN!K588="-",SCAN!Q588="-"),SCAN!E588,0)</f>
        <v>0</v>
      </c>
      <c r="J588" s="50">
        <f>IF(AND(SCAN!K588="-",SCAN!Q588="-"),SCAN!F588,0)</f>
        <v>0</v>
      </c>
      <c r="M588" s="55">
        <f>IF(SCAN!K588&lt;&gt;"-",SCAN!D588,0)</f>
        <v>0</v>
      </c>
      <c r="N588" s="55">
        <f>IF(SCAN!K588&lt;&gt;"-",SCAN!E588,0)</f>
        <v>0</v>
      </c>
      <c r="O588" s="55">
        <f>IF(SCAN!K588&lt;&gt;"-",SCAN!F588,0)</f>
        <v>0</v>
      </c>
      <c r="R588" s="53">
        <f>IF(SCAN!Q588&lt;&gt;"-",SCAN!D588,0)</f>
        <v>0</v>
      </c>
      <c r="S588" s="53">
        <f>IF(SCAN!Q588&lt;&gt;"-",SCAN!E588,0)</f>
        <v>0</v>
      </c>
      <c r="T588" s="53">
        <f>IF(SCAN!Q588&lt;&gt;"-",SCAN!F588,0)</f>
        <v>0</v>
      </c>
    </row>
    <row r="589" spans="8:20" x14ac:dyDescent="0.25">
      <c r="H589" s="50">
        <f>IF(AND(SCAN!K589="-",SCAN!Q589="-"),SCAN!D589,0)</f>
        <v>0</v>
      </c>
      <c r="I589" s="50">
        <f>IF(AND(SCAN!K589="-",SCAN!Q589="-"),SCAN!E589,0)</f>
        <v>0</v>
      </c>
      <c r="J589" s="50">
        <f>IF(AND(SCAN!K589="-",SCAN!Q589="-"),SCAN!F589,0)</f>
        <v>0</v>
      </c>
      <c r="M589" s="55">
        <f>IF(SCAN!K589&lt;&gt;"-",SCAN!D589,0)</f>
        <v>0</v>
      </c>
      <c r="N589" s="55">
        <f>IF(SCAN!K589&lt;&gt;"-",SCAN!E589,0)</f>
        <v>0</v>
      </c>
      <c r="O589" s="55">
        <f>IF(SCAN!K589&lt;&gt;"-",SCAN!F589,0)</f>
        <v>0</v>
      </c>
      <c r="R589" s="53">
        <f>IF(SCAN!Q589&lt;&gt;"-",SCAN!D589,0)</f>
        <v>0</v>
      </c>
      <c r="S589" s="53">
        <f>IF(SCAN!Q589&lt;&gt;"-",SCAN!E589,0)</f>
        <v>0</v>
      </c>
      <c r="T589" s="53">
        <f>IF(SCAN!Q589&lt;&gt;"-",SCAN!F589,0)</f>
        <v>0</v>
      </c>
    </row>
    <row r="590" spans="8:20" x14ac:dyDescent="0.25">
      <c r="H590" s="50">
        <f>IF(AND(SCAN!K590="-",SCAN!Q590="-"),SCAN!D590,0)</f>
        <v>0</v>
      </c>
      <c r="I590" s="50">
        <f>IF(AND(SCAN!K590="-",SCAN!Q590="-"),SCAN!E590,0)</f>
        <v>0</v>
      </c>
      <c r="J590" s="50">
        <f>IF(AND(SCAN!K590="-",SCAN!Q590="-"),SCAN!F590,0)</f>
        <v>0</v>
      </c>
      <c r="M590" s="55">
        <f>IF(SCAN!K590&lt;&gt;"-",SCAN!D590,0)</f>
        <v>0</v>
      </c>
      <c r="N590" s="55">
        <f>IF(SCAN!K590&lt;&gt;"-",SCAN!E590,0)</f>
        <v>0</v>
      </c>
      <c r="O590" s="55">
        <f>IF(SCAN!K590&lt;&gt;"-",SCAN!F590,0)</f>
        <v>0</v>
      </c>
      <c r="R590" s="53">
        <f>IF(SCAN!Q590&lt;&gt;"-",SCAN!D590,0)</f>
        <v>0</v>
      </c>
      <c r="S590" s="53">
        <f>IF(SCAN!Q590&lt;&gt;"-",SCAN!E590,0)</f>
        <v>0</v>
      </c>
      <c r="T590" s="53">
        <f>IF(SCAN!Q590&lt;&gt;"-",SCAN!F590,0)</f>
        <v>0</v>
      </c>
    </row>
    <row r="591" spans="8:20" x14ac:dyDescent="0.25">
      <c r="H591" s="50">
        <f>IF(AND(SCAN!K591="-",SCAN!Q591="-"),SCAN!D591,0)</f>
        <v>0</v>
      </c>
      <c r="I591" s="50">
        <f>IF(AND(SCAN!K591="-",SCAN!Q591="-"),SCAN!E591,0)</f>
        <v>0</v>
      </c>
      <c r="J591" s="50">
        <f>IF(AND(SCAN!K591="-",SCAN!Q591="-"),SCAN!F591,0)</f>
        <v>0</v>
      </c>
      <c r="M591" s="55">
        <f>IF(SCAN!K591&lt;&gt;"-",SCAN!D591,0)</f>
        <v>0</v>
      </c>
      <c r="N591" s="55">
        <f>IF(SCAN!K591&lt;&gt;"-",SCAN!E591,0)</f>
        <v>0</v>
      </c>
      <c r="O591" s="55">
        <f>IF(SCAN!K591&lt;&gt;"-",SCAN!F591,0)</f>
        <v>0</v>
      </c>
      <c r="R591" s="53">
        <f>IF(SCAN!Q591&lt;&gt;"-",SCAN!D591,0)</f>
        <v>0</v>
      </c>
      <c r="S591" s="53">
        <f>IF(SCAN!Q591&lt;&gt;"-",SCAN!E591,0)</f>
        <v>0</v>
      </c>
      <c r="T591" s="53">
        <f>IF(SCAN!Q591&lt;&gt;"-",SCAN!F591,0)</f>
        <v>0</v>
      </c>
    </row>
    <row r="592" spans="8:20" x14ac:dyDescent="0.25">
      <c r="H592" s="50">
        <f>IF(AND(SCAN!K592="-",SCAN!Q592="-"),SCAN!D592,0)</f>
        <v>0</v>
      </c>
      <c r="I592" s="50">
        <f>IF(AND(SCAN!K592="-",SCAN!Q592="-"),SCAN!E592,0)</f>
        <v>0</v>
      </c>
      <c r="J592" s="50">
        <f>IF(AND(SCAN!K592="-",SCAN!Q592="-"),SCAN!F592,0)</f>
        <v>0</v>
      </c>
      <c r="M592" s="55">
        <f>IF(SCAN!K592&lt;&gt;"-",SCAN!D592,0)</f>
        <v>0</v>
      </c>
      <c r="N592" s="55">
        <f>IF(SCAN!K592&lt;&gt;"-",SCAN!E592,0)</f>
        <v>0</v>
      </c>
      <c r="O592" s="55">
        <f>IF(SCAN!K592&lt;&gt;"-",SCAN!F592,0)</f>
        <v>0</v>
      </c>
      <c r="R592" s="53">
        <f>IF(SCAN!Q592&lt;&gt;"-",SCAN!D592,0)</f>
        <v>0</v>
      </c>
      <c r="S592" s="53">
        <f>IF(SCAN!Q592&lt;&gt;"-",SCAN!E592,0)</f>
        <v>0</v>
      </c>
      <c r="T592" s="53">
        <f>IF(SCAN!Q592&lt;&gt;"-",SCAN!F592,0)</f>
        <v>0</v>
      </c>
    </row>
    <row r="593" spans="8:20" x14ac:dyDescent="0.25">
      <c r="H593" s="50">
        <f>IF(AND(SCAN!K593="-",SCAN!Q593="-"),SCAN!D593,0)</f>
        <v>0</v>
      </c>
      <c r="I593" s="50">
        <f>IF(AND(SCAN!K593="-",SCAN!Q593="-"),SCAN!E593,0)</f>
        <v>0</v>
      </c>
      <c r="J593" s="50">
        <f>IF(AND(SCAN!K593="-",SCAN!Q593="-"),SCAN!F593,0)</f>
        <v>0</v>
      </c>
      <c r="M593" s="55">
        <f>IF(SCAN!K593&lt;&gt;"-",SCAN!D593,0)</f>
        <v>0</v>
      </c>
      <c r="N593" s="55">
        <f>IF(SCAN!K593&lt;&gt;"-",SCAN!E593,0)</f>
        <v>0</v>
      </c>
      <c r="O593" s="55">
        <f>IF(SCAN!K593&lt;&gt;"-",SCAN!F593,0)</f>
        <v>0</v>
      </c>
      <c r="R593" s="53">
        <f>IF(SCAN!Q593&lt;&gt;"-",SCAN!D593,0)</f>
        <v>0</v>
      </c>
      <c r="S593" s="53">
        <f>IF(SCAN!Q593&lt;&gt;"-",SCAN!E593,0)</f>
        <v>0</v>
      </c>
      <c r="T593" s="53">
        <f>IF(SCAN!Q593&lt;&gt;"-",SCAN!F593,0)</f>
        <v>0</v>
      </c>
    </row>
    <row r="594" spans="8:20" x14ac:dyDescent="0.25">
      <c r="H594" s="50">
        <f>IF(AND(SCAN!K594="-",SCAN!Q594="-"),SCAN!D594,0)</f>
        <v>0</v>
      </c>
      <c r="I594" s="50">
        <f>IF(AND(SCAN!K594="-",SCAN!Q594="-"),SCAN!E594,0)</f>
        <v>0</v>
      </c>
      <c r="J594" s="50">
        <f>IF(AND(SCAN!K594="-",SCAN!Q594="-"),SCAN!F594,0)</f>
        <v>0</v>
      </c>
      <c r="M594" s="55">
        <f>IF(SCAN!K594&lt;&gt;"-",SCAN!D594,0)</f>
        <v>0</v>
      </c>
      <c r="N594" s="55">
        <f>IF(SCAN!K594&lt;&gt;"-",SCAN!E594,0)</f>
        <v>0</v>
      </c>
      <c r="O594" s="55">
        <f>IF(SCAN!K594&lt;&gt;"-",SCAN!F594,0)</f>
        <v>0</v>
      </c>
      <c r="R594" s="53">
        <f>IF(SCAN!Q594&lt;&gt;"-",SCAN!D594,0)</f>
        <v>0</v>
      </c>
      <c r="S594" s="53">
        <f>IF(SCAN!Q594&lt;&gt;"-",SCAN!E594,0)</f>
        <v>0</v>
      </c>
      <c r="T594" s="53">
        <f>IF(SCAN!Q594&lt;&gt;"-",SCAN!F594,0)</f>
        <v>0</v>
      </c>
    </row>
    <row r="595" spans="8:20" x14ac:dyDescent="0.25">
      <c r="H595" s="50">
        <f>IF(AND(SCAN!K595="-",SCAN!Q595="-"),SCAN!D595,0)</f>
        <v>0</v>
      </c>
      <c r="I595" s="50">
        <f>IF(AND(SCAN!K595="-",SCAN!Q595="-"),SCAN!E595,0)</f>
        <v>0</v>
      </c>
      <c r="J595" s="50">
        <f>IF(AND(SCAN!K595="-",SCAN!Q595="-"),SCAN!F595,0)</f>
        <v>0</v>
      </c>
      <c r="M595" s="55">
        <f>IF(SCAN!K595&lt;&gt;"-",SCAN!D595,0)</f>
        <v>0</v>
      </c>
      <c r="N595" s="55">
        <f>IF(SCAN!K595&lt;&gt;"-",SCAN!E595,0)</f>
        <v>0</v>
      </c>
      <c r="O595" s="55">
        <f>IF(SCAN!K595&lt;&gt;"-",SCAN!F595,0)</f>
        <v>0</v>
      </c>
      <c r="R595" s="53">
        <f>IF(SCAN!Q595&lt;&gt;"-",SCAN!D595,0)</f>
        <v>0</v>
      </c>
      <c r="S595" s="53">
        <f>IF(SCAN!Q595&lt;&gt;"-",SCAN!E595,0)</f>
        <v>0</v>
      </c>
      <c r="T595" s="53">
        <f>IF(SCAN!Q595&lt;&gt;"-",SCAN!F595,0)</f>
        <v>0</v>
      </c>
    </row>
    <row r="596" spans="8:20" x14ac:dyDescent="0.25">
      <c r="H596" s="50">
        <f>IF(AND(SCAN!K596="-",SCAN!Q596="-"),SCAN!D596,0)</f>
        <v>0</v>
      </c>
      <c r="I596" s="50">
        <f>IF(AND(SCAN!K596="-",SCAN!Q596="-"),SCAN!E596,0)</f>
        <v>0</v>
      </c>
      <c r="J596" s="50">
        <f>IF(AND(SCAN!K596="-",SCAN!Q596="-"),SCAN!F596,0)</f>
        <v>0</v>
      </c>
      <c r="M596" s="55">
        <f>IF(SCAN!K596&lt;&gt;"-",SCAN!D596,0)</f>
        <v>0</v>
      </c>
      <c r="N596" s="55">
        <f>IF(SCAN!K596&lt;&gt;"-",SCAN!E596,0)</f>
        <v>0</v>
      </c>
      <c r="O596" s="55">
        <f>IF(SCAN!K596&lt;&gt;"-",SCAN!F596,0)</f>
        <v>0</v>
      </c>
      <c r="R596" s="53">
        <f>IF(SCAN!Q596&lt;&gt;"-",SCAN!D596,0)</f>
        <v>0</v>
      </c>
      <c r="S596" s="53">
        <f>IF(SCAN!Q596&lt;&gt;"-",SCAN!E596,0)</f>
        <v>0</v>
      </c>
      <c r="T596" s="53">
        <f>IF(SCAN!Q596&lt;&gt;"-",SCAN!F596,0)</f>
        <v>0</v>
      </c>
    </row>
    <row r="597" spans="8:20" x14ac:dyDescent="0.25">
      <c r="H597" s="50">
        <f>IF(AND(SCAN!K597="-",SCAN!Q597="-"),SCAN!D597,0)</f>
        <v>0</v>
      </c>
      <c r="I597" s="50">
        <f>IF(AND(SCAN!K597="-",SCAN!Q597="-"),SCAN!E597,0)</f>
        <v>0</v>
      </c>
      <c r="J597" s="50">
        <f>IF(AND(SCAN!K597="-",SCAN!Q597="-"),SCAN!F597,0)</f>
        <v>0</v>
      </c>
      <c r="M597" s="55">
        <f>IF(SCAN!K597&lt;&gt;"-",SCAN!D597,0)</f>
        <v>0</v>
      </c>
      <c r="N597" s="55">
        <f>IF(SCAN!K597&lt;&gt;"-",SCAN!E597,0)</f>
        <v>0</v>
      </c>
      <c r="O597" s="55">
        <f>IF(SCAN!K597&lt;&gt;"-",SCAN!F597,0)</f>
        <v>0</v>
      </c>
      <c r="R597" s="53">
        <f>IF(SCAN!Q597&lt;&gt;"-",SCAN!D597,0)</f>
        <v>0</v>
      </c>
      <c r="S597" s="53">
        <f>IF(SCAN!Q597&lt;&gt;"-",SCAN!E597,0)</f>
        <v>0</v>
      </c>
      <c r="T597" s="53">
        <f>IF(SCAN!Q597&lt;&gt;"-",SCAN!F597,0)</f>
        <v>0</v>
      </c>
    </row>
    <row r="598" spans="8:20" x14ac:dyDescent="0.25">
      <c r="H598" s="50">
        <f>IF(AND(SCAN!K598="-",SCAN!Q598="-"),SCAN!D598,0)</f>
        <v>0</v>
      </c>
      <c r="I598" s="50">
        <f>IF(AND(SCAN!K598="-",SCAN!Q598="-"),SCAN!E598,0)</f>
        <v>0</v>
      </c>
      <c r="J598" s="50">
        <f>IF(AND(SCAN!K598="-",SCAN!Q598="-"),SCAN!F598,0)</f>
        <v>0</v>
      </c>
      <c r="M598" s="55">
        <f>IF(SCAN!K598&lt;&gt;"-",SCAN!D598,0)</f>
        <v>0</v>
      </c>
      <c r="N598" s="55">
        <f>IF(SCAN!K598&lt;&gt;"-",SCAN!E598,0)</f>
        <v>0</v>
      </c>
      <c r="O598" s="55">
        <f>IF(SCAN!K598&lt;&gt;"-",SCAN!F598,0)</f>
        <v>0</v>
      </c>
      <c r="R598" s="53">
        <f>IF(SCAN!Q598&lt;&gt;"-",SCAN!D598,0)</f>
        <v>0</v>
      </c>
      <c r="S598" s="53">
        <f>IF(SCAN!Q598&lt;&gt;"-",SCAN!E598,0)</f>
        <v>0</v>
      </c>
      <c r="T598" s="53">
        <f>IF(SCAN!Q598&lt;&gt;"-",SCAN!F598,0)</f>
        <v>0</v>
      </c>
    </row>
    <row r="599" spans="8:20" x14ac:dyDescent="0.25">
      <c r="H599" s="50">
        <f>IF(AND(SCAN!K599="-",SCAN!Q599="-"),SCAN!D599,0)</f>
        <v>0</v>
      </c>
      <c r="I599" s="50">
        <f>IF(AND(SCAN!K599="-",SCAN!Q599="-"),SCAN!E599,0)</f>
        <v>0</v>
      </c>
      <c r="J599" s="50">
        <f>IF(AND(SCAN!K599="-",SCAN!Q599="-"),SCAN!F599,0)</f>
        <v>0</v>
      </c>
      <c r="M599" s="55">
        <f>IF(SCAN!K599&lt;&gt;"-",SCAN!D599,0)</f>
        <v>0</v>
      </c>
      <c r="N599" s="55">
        <f>IF(SCAN!K599&lt;&gt;"-",SCAN!E599,0)</f>
        <v>0</v>
      </c>
      <c r="O599" s="55">
        <f>IF(SCAN!K599&lt;&gt;"-",SCAN!F599,0)</f>
        <v>0</v>
      </c>
      <c r="R599" s="53">
        <f>IF(SCAN!Q599&lt;&gt;"-",SCAN!D599,0)</f>
        <v>0</v>
      </c>
      <c r="S599" s="53">
        <f>IF(SCAN!Q599&lt;&gt;"-",SCAN!E599,0)</f>
        <v>0</v>
      </c>
      <c r="T599" s="53">
        <f>IF(SCAN!Q599&lt;&gt;"-",SCAN!F599,0)</f>
        <v>0</v>
      </c>
    </row>
    <row r="600" spans="8:20" x14ac:dyDescent="0.25">
      <c r="H600" s="50">
        <f>IF(AND(SCAN!K600="-",SCAN!Q600="-"),SCAN!D600,0)</f>
        <v>0</v>
      </c>
      <c r="I600" s="50">
        <f>IF(AND(SCAN!K600="-",SCAN!Q600="-"),SCAN!E600,0)</f>
        <v>0</v>
      </c>
      <c r="J600" s="50">
        <f>IF(AND(SCAN!K600="-",SCAN!Q600="-"),SCAN!F600,0)</f>
        <v>0</v>
      </c>
      <c r="M600" s="55">
        <f>IF(SCAN!K600&lt;&gt;"-",SCAN!D600,0)</f>
        <v>0</v>
      </c>
      <c r="N600" s="55">
        <f>IF(SCAN!K600&lt;&gt;"-",SCAN!E600,0)</f>
        <v>0</v>
      </c>
      <c r="O600" s="55">
        <f>IF(SCAN!K600&lt;&gt;"-",SCAN!F600,0)</f>
        <v>0</v>
      </c>
      <c r="R600" s="53">
        <f>IF(SCAN!Q600&lt;&gt;"-",SCAN!D600,0)</f>
        <v>0</v>
      </c>
      <c r="S600" s="53">
        <f>IF(SCAN!Q600&lt;&gt;"-",SCAN!E600,0)</f>
        <v>0</v>
      </c>
      <c r="T600" s="53">
        <f>IF(SCAN!Q600&lt;&gt;"-",SCAN!F600,0)</f>
        <v>0</v>
      </c>
    </row>
    <row r="601" spans="8:20" x14ac:dyDescent="0.25">
      <c r="H601" s="50">
        <f>IF(AND(SCAN!K601="-",SCAN!Q601="-"),SCAN!D601,0)</f>
        <v>0</v>
      </c>
      <c r="I601" s="50">
        <f>IF(AND(SCAN!K601="-",SCAN!Q601="-"),SCAN!E601,0)</f>
        <v>0</v>
      </c>
      <c r="J601" s="50">
        <f>IF(AND(SCAN!K601="-",SCAN!Q601="-"),SCAN!F601,0)</f>
        <v>0</v>
      </c>
      <c r="M601" s="55">
        <f>IF(SCAN!K601&lt;&gt;"-",SCAN!D601,0)</f>
        <v>0</v>
      </c>
      <c r="N601" s="55">
        <f>IF(SCAN!K601&lt;&gt;"-",SCAN!E601,0)</f>
        <v>0</v>
      </c>
      <c r="O601" s="55">
        <f>IF(SCAN!K601&lt;&gt;"-",SCAN!F601,0)</f>
        <v>0</v>
      </c>
      <c r="R601" s="53">
        <f>IF(SCAN!Q601&lt;&gt;"-",SCAN!D601,0)</f>
        <v>0</v>
      </c>
      <c r="S601" s="53">
        <f>IF(SCAN!Q601&lt;&gt;"-",SCAN!E601,0)</f>
        <v>0</v>
      </c>
      <c r="T601" s="53">
        <f>IF(SCAN!Q601&lt;&gt;"-",SCAN!F601,0)</f>
        <v>0</v>
      </c>
    </row>
    <row r="602" spans="8:20" x14ac:dyDescent="0.25">
      <c r="H602" s="50">
        <f>IF(AND(SCAN!K602="-",SCAN!Q602="-"),SCAN!D602,0)</f>
        <v>0</v>
      </c>
      <c r="I602" s="50">
        <f>IF(AND(SCAN!K602="-",SCAN!Q602="-"),SCAN!E602,0)</f>
        <v>0</v>
      </c>
      <c r="J602" s="50">
        <f>IF(AND(SCAN!K602="-",SCAN!Q602="-"),SCAN!F602,0)</f>
        <v>0</v>
      </c>
      <c r="M602" s="55">
        <f>IF(SCAN!K602&lt;&gt;"-",SCAN!D602,0)</f>
        <v>0</v>
      </c>
      <c r="N602" s="55">
        <f>IF(SCAN!K602&lt;&gt;"-",SCAN!E602,0)</f>
        <v>0</v>
      </c>
      <c r="O602" s="55">
        <f>IF(SCAN!K602&lt;&gt;"-",SCAN!F602,0)</f>
        <v>0</v>
      </c>
      <c r="R602" s="53">
        <f>IF(SCAN!Q602&lt;&gt;"-",SCAN!D602,0)</f>
        <v>0</v>
      </c>
      <c r="S602" s="53">
        <f>IF(SCAN!Q602&lt;&gt;"-",SCAN!E602,0)</f>
        <v>0</v>
      </c>
      <c r="T602" s="53">
        <f>IF(SCAN!Q602&lt;&gt;"-",SCAN!F602,0)</f>
        <v>0</v>
      </c>
    </row>
    <row r="603" spans="8:20" x14ac:dyDescent="0.25">
      <c r="H603" s="50">
        <f>IF(AND(SCAN!K603="-",SCAN!Q603="-"),SCAN!D603,0)</f>
        <v>0</v>
      </c>
      <c r="I603" s="50">
        <f>IF(AND(SCAN!K603="-",SCAN!Q603="-"),SCAN!E603,0)</f>
        <v>0</v>
      </c>
      <c r="J603" s="50">
        <f>IF(AND(SCAN!K603="-",SCAN!Q603="-"),SCAN!F603,0)</f>
        <v>0</v>
      </c>
      <c r="M603" s="55">
        <f>IF(SCAN!K603&lt;&gt;"-",SCAN!D603,0)</f>
        <v>0</v>
      </c>
      <c r="N603" s="55">
        <f>IF(SCAN!K603&lt;&gt;"-",SCAN!E603,0)</f>
        <v>0</v>
      </c>
      <c r="O603" s="55">
        <f>IF(SCAN!K603&lt;&gt;"-",SCAN!F603,0)</f>
        <v>0</v>
      </c>
      <c r="R603" s="53">
        <f>IF(SCAN!Q603&lt;&gt;"-",SCAN!D603,0)</f>
        <v>0</v>
      </c>
      <c r="S603" s="53">
        <f>IF(SCAN!Q603&lt;&gt;"-",SCAN!E603,0)</f>
        <v>0</v>
      </c>
      <c r="T603" s="53">
        <f>IF(SCAN!Q603&lt;&gt;"-",SCAN!F603,0)</f>
        <v>0</v>
      </c>
    </row>
    <row r="604" spans="8:20" x14ac:dyDescent="0.25">
      <c r="H604" s="50">
        <f>IF(AND(SCAN!K604="-",SCAN!Q604="-"),SCAN!D604,0)</f>
        <v>0</v>
      </c>
      <c r="I604" s="50">
        <f>IF(AND(SCAN!K604="-",SCAN!Q604="-"),SCAN!E604,0)</f>
        <v>0</v>
      </c>
      <c r="J604" s="50">
        <f>IF(AND(SCAN!K604="-",SCAN!Q604="-"),SCAN!F604,0)</f>
        <v>0</v>
      </c>
      <c r="M604" s="55">
        <f>IF(SCAN!K604&lt;&gt;"-",SCAN!D604,0)</f>
        <v>0</v>
      </c>
      <c r="N604" s="55">
        <f>IF(SCAN!K604&lt;&gt;"-",SCAN!E604,0)</f>
        <v>0</v>
      </c>
      <c r="O604" s="55">
        <f>IF(SCAN!K604&lt;&gt;"-",SCAN!F604,0)</f>
        <v>0</v>
      </c>
      <c r="R604" s="53">
        <f>IF(SCAN!Q604&lt;&gt;"-",SCAN!D604,0)</f>
        <v>0</v>
      </c>
      <c r="S604" s="53">
        <f>IF(SCAN!Q604&lt;&gt;"-",SCAN!E604,0)</f>
        <v>0</v>
      </c>
      <c r="T604" s="53">
        <f>IF(SCAN!Q604&lt;&gt;"-",SCAN!F604,0)</f>
        <v>0</v>
      </c>
    </row>
    <row r="605" spans="8:20" x14ac:dyDescent="0.25">
      <c r="H605" s="50">
        <f>IF(AND(SCAN!K605="-",SCAN!Q605="-"),SCAN!D605,0)</f>
        <v>0</v>
      </c>
      <c r="I605" s="50">
        <f>IF(AND(SCAN!K605="-",SCAN!Q605="-"),SCAN!E605,0)</f>
        <v>0</v>
      </c>
      <c r="J605" s="50">
        <f>IF(AND(SCAN!K605="-",SCAN!Q605="-"),SCAN!F605,0)</f>
        <v>0</v>
      </c>
      <c r="M605" s="55">
        <f>IF(SCAN!K605&lt;&gt;"-",SCAN!D605,0)</f>
        <v>0</v>
      </c>
      <c r="N605" s="55">
        <f>IF(SCAN!K605&lt;&gt;"-",SCAN!E605,0)</f>
        <v>0</v>
      </c>
      <c r="O605" s="55">
        <f>IF(SCAN!K605&lt;&gt;"-",SCAN!F605,0)</f>
        <v>0</v>
      </c>
      <c r="R605" s="53">
        <f>IF(SCAN!Q605&lt;&gt;"-",SCAN!D605,0)</f>
        <v>0</v>
      </c>
      <c r="S605" s="53">
        <f>IF(SCAN!Q605&lt;&gt;"-",SCAN!E605,0)</f>
        <v>0</v>
      </c>
      <c r="T605" s="53">
        <f>IF(SCAN!Q605&lt;&gt;"-",SCAN!F605,0)</f>
        <v>0</v>
      </c>
    </row>
    <row r="606" spans="8:20" x14ac:dyDescent="0.25">
      <c r="H606" s="50">
        <f>IF(AND(SCAN!K606="-",SCAN!Q606="-"),SCAN!D606,0)</f>
        <v>0</v>
      </c>
      <c r="I606" s="50">
        <f>IF(AND(SCAN!K606="-",SCAN!Q606="-"),SCAN!E606,0)</f>
        <v>0</v>
      </c>
      <c r="J606" s="50">
        <f>IF(AND(SCAN!K606="-",SCAN!Q606="-"),SCAN!F606,0)</f>
        <v>0</v>
      </c>
      <c r="M606" s="55">
        <f>IF(SCAN!K606&lt;&gt;"-",SCAN!D606,0)</f>
        <v>0</v>
      </c>
      <c r="N606" s="55">
        <f>IF(SCAN!K606&lt;&gt;"-",SCAN!E606,0)</f>
        <v>0</v>
      </c>
      <c r="O606" s="55">
        <f>IF(SCAN!K606&lt;&gt;"-",SCAN!F606,0)</f>
        <v>0</v>
      </c>
      <c r="R606" s="53">
        <f>IF(SCAN!Q606&lt;&gt;"-",SCAN!D606,0)</f>
        <v>0</v>
      </c>
      <c r="S606" s="53">
        <f>IF(SCAN!Q606&lt;&gt;"-",SCAN!E606,0)</f>
        <v>0</v>
      </c>
      <c r="T606" s="53">
        <f>IF(SCAN!Q606&lt;&gt;"-",SCAN!F606,0)</f>
        <v>0</v>
      </c>
    </row>
    <row r="607" spans="8:20" x14ac:dyDescent="0.25">
      <c r="H607" s="50">
        <f>IF(AND(SCAN!K607="-",SCAN!Q607="-"),SCAN!D607,0)</f>
        <v>0</v>
      </c>
      <c r="I607" s="50">
        <f>IF(AND(SCAN!K607="-",SCAN!Q607="-"),SCAN!E607,0)</f>
        <v>0</v>
      </c>
      <c r="J607" s="50">
        <f>IF(AND(SCAN!K607="-",SCAN!Q607="-"),SCAN!F607,0)</f>
        <v>0</v>
      </c>
      <c r="M607" s="55">
        <f>IF(SCAN!K607&lt;&gt;"-",SCAN!D607,0)</f>
        <v>0</v>
      </c>
      <c r="N607" s="55">
        <f>IF(SCAN!K607&lt;&gt;"-",SCAN!E607,0)</f>
        <v>0</v>
      </c>
      <c r="O607" s="55">
        <f>IF(SCAN!K607&lt;&gt;"-",SCAN!F607,0)</f>
        <v>0</v>
      </c>
      <c r="R607" s="53">
        <f>IF(SCAN!Q607&lt;&gt;"-",SCAN!D607,0)</f>
        <v>0</v>
      </c>
      <c r="S607" s="53">
        <f>IF(SCAN!Q607&lt;&gt;"-",SCAN!E607,0)</f>
        <v>0</v>
      </c>
      <c r="T607" s="53">
        <f>IF(SCAN!Q607&lt;&gt;"-",SCAN!F607,0)</f>
        <v>0</v>
      </c>
    </row>
    <row r="608" spans="8:20" x14ac:dyDescent="0.25">
      <c r="H608" s="50">
        <f>IF(AND(SCAN!K608="-",SCAN!Q608="-"),SCAN!D608,0)</f>
        <v>0</v>
      </c>
      <c r="I608" s="50">
        <f>IF(AND(SCAN!K608="-",SCAN!Q608="-"),SCAN!E608,0)</f>
        <v>0</v>
      </c>
      <c r="J608" s="50">
        <f>IF(AND(SCAN!K608="-",SCAN!Q608="-"),SCAN!F608,0)</f>
        <v>0</v>
      </c>
      <c r="M608" s="55">
        <f>IF(SCAN!K608&lt;&gt;"-",SCAN!D608,0)</f>
        <v>0</v>
      </c>
      <c r="N608" s="55">
        <f>IF(SCAN!K608&lt;&gt;"-",SCAN!E608,0)</f>
        <v>0</v>
      </c>
      <c r="O608" s="55">
        <f>IF(SCAN!K608&lt;&gt;"-",SCAN!F608,0)</f>
        <v>0</v>
      </c>
      <c r="R608" s="53">
        <f>IF(SCAN!Q608&lt;&gt;"-",SCAN!D608,0)</f>
        <v>0</v>
      </c>
      <c r="S608" s="53">
        <f>IF(SCAN!Q608&lt;&gt;"-",SCAN!E608,0)</f>
        <v>0</v>
      </c>
      <c r="T608" s="53">
        <f>IF(SCAN!Q608&lt;&gt;"-",SCAN!F608,0)</f>
        <v>0</v>
      </c>
    </row>
    <row r="609" spans="8:20" x14ac:dyDescent="0.25">
      <c r="H609" s="50">
        <f>IF(AND(SCAN!K609="-",SCAN!Q609="-"),SCAN!D609,0)</f>
        <v>0</v>
      </c>
      <c r="I609" s="50">
        <f>IF(AND(SCAN!K609="-",SCAN!Q609="-"),SCAN!E609,0)</f>
        <v>0</v>
      </c>
      <c r="J609" s="50">
        <f>IF(AND(SCAN!K609="-",SCAN!Q609="-"),SCAN!F609,0)</f>
        <v>0</v>
      </c>
      <c r="M609" s="55">
        <f>IF(SCAN!K609&lt;&gt;"-",SCAN!D609,0)</f>
        <v>0</v>
      </c>
      <c r="N609" s="55">
        <f>IF(SCAN!K609&lt;&gt;"-",SCAN!E609,0)</f>
        <v>0</v>
      </c>
      <c r="O609" s="55">
        <f>IF(SCAN!K609&lt;&gt;"-",SCAN!F609,0)</f>
        <v>0</v>
      </c>
      <c r="R609" s="53">
        <f>IF(SCAN!Q609&lt;&gt;"-",SCAN!D609,0)</f>
        <v>0</v>
      </c>
      <c r="S609" s="53">
        <f>IF(SCAN!Q609&lt;&gt;"-",SCAN!E609,0)</f>
        <v>0</v>
      </c>
      <c r="T609" s="53">
        <f>IF(SCAN!Q609&lt;&gt;"-",SCAN!F609,0)</f>
        <v>0</v>
      </c>
    </row>
    <row r="610" spans="8:20" x14ac:dyDescent="0.25">
      <c r="H610" s="50">
        <f>IF(AND(SCAN!K610="-",SCAN!Q610="-"),SCAN!D610,0)</f>
        <v>0</v>
      </c>
      <c r="I610" s="50">
        <f>IF(AND(SCAN!K610="-",SCAN!Q610="-"),SCAN!E610,0)</f>
        <v>0</v>
      </c>
      <c r="J610" s="50">
        <f>IF(AND(SCAN!K610="-",SCAN!Q610="-"),SCAN!F610,0)</f>
        <v>0</v>
      </c>
      <c r="M610" s="55">
        <f>IF(SCAN!K610&lt;&gt;"-",SCAN!D610,0)</f>
        <v>0</v>
      </c>
      <c r="N610" s="55">
        <f>IF(SCAN!K610&lt;&gt;"-",SCAN!E610,0)</f>
        <v>0</v>
      </c>
      <c r="O610" s="55">
        <f>IF(SCAN!K610&lt;&gt;"-",SCAN!F610,0)</f>
        <v>0</v>
      </c>
      <c r="R610" s="53">
        <f>IF(SCAN!Q610&lt;&gt;"-",SCAN!D610,0)</f>
        <v>0</v>
      </c>
      <c r="S610" s="53">
        <f>IF(SCAN!Q610&lt;&gt;"-",SCAN!E610,0)</f>
        <v>0</v>
      </c>
      <c r="T610" s="53">
        <f>IF(SCAN!Q610&lt;&gt;"-",SCAN!F610,0)</f>
        <v>0</v>
      </c>
    </row>
    <row r="611" spans="8:20" x14ac:dyDescent="0.25">
      <c r="H611" s="50">
        <f>IF(AND(SCAN!K611="-",SCAN!Q611="-"),SCAN!D611,0)</f>
        <v>0</v>
      </c>
      <c r="I611" s="50">
        <f>IF(AND(SCAN!K611="-",SCAN!Q611="-"),SCAN!E611,0)</f>
        <v>0</v>
      </c>
      <c r="J611" s="50">
        <f>IF(AND(SCAN!K611="-",SCAN!Q611="-"),SCAN!F611,0)</f>
        <v>0</v>
      </c>
      <c r="M611" s="55">
        <f>IF(SCAN!K611&lt;&gt;"-",SCAN!D611,0)</f>
        <v>0</v>
      </c>
      <c r="N611" s="55">
        <f>IF(SCAN!K611&lt;&gt;"-",SCAN!E611,0)</f>
        <v>0</v>
      </c>
      <c r="O611" s="55">
        <f>IF(SCAN!K611&lt;&gt;"-",SCAN!F611,0)</f>
        <v>0</v>
      </c>
      <c r="R611" s="53">
        <f>IF(SCAN!Q611&lt;&gt;"-",SCAN!D611,0)</f>
        <v>0</v>
      </c>
      <c r="S611" s="53">
        <f>IF(SCAN!Q611&lt;&gt;"-",SCAN!E611,0)</f>
        <v>0</v>
      </c>
      <c r="T611" s="53">
        <f>IF(SCAN!Q611&lt;&gt;"-",SCAN!F611,0)</f>
        <v>0</v>
      </c>
    </row>
    <row r="612" spans="8:20" x14ac:dyDescent="0.25">
      <c r="H612" s="50">
        <f>IF(AND(SCAN!K612="-",SCAN!Q612="-"),SCAN!D612,0)</f>
        <v>0</v>
      </c>
      <c r="I612" s="50">
        <f>IF(AND(SCAN!K612="-",SCAN!Q612="-"),SCAN!E612,0)</f>
        <v>0</v>
      </c>
      <c r="J612" s="50">
        <f>IF(AND(SCAN!K612="-",SCAN!Q612="-"),SCAN!F612,0)</f>
        <v>0</v>
      </c>
      <c r="M612" s="55">
        <f>IF(SCAN!K612&lt;&gt;"-",SCAN!D612,0)</f>
        <v>0</v>
      </c>
      <c r="N612" s="55">
        <f>IF(SCAN!K612&lt;&gt;"-",SCAN!E612,0)</f>
        <v>0</v>
      </c>
      <c r="O612" s="55">
        <f>IF(SCAN!K612&lt;&gt;"-",SCAN!F612,0)</f>
        <v>0</v>
      </c>
      <c r="R612" s="53">
        <f>IF(SCAN!Q612&lt;&gt;"-",SCAN!D612,0)</f>
        <v>0</v>
      </c>
      <c r="S612" s="53">
        <f>IF(SCAN!Q612&lt;&gt;"-",SCAN!E612,0)</f>
        <v>0</v>
      </c>
      <c r="T612" s="53">
        <f>IF(SCAN!Q612&lt;&gt;"-",SCAN!F612,0)</f>
        <v>0</v>
      </c>
    </row>
    <row r="613" spans="8:20" x14ac:dyDescent="0.25">
      <c r="H613" s="50">
        <f>IF(AND(SCAN!K613="-",SCAN!Q613="-"),SCAN!D613,0)</f>
        <v>0</v>
      </c>
      <c r="I613" s="50">
        <f>IF(AND(SCAN!K613="-",SCAN!Q613="-"),SCAN!E613,0)</f>
        <v>0</v>
      </c>
      <c r="J613" s="50">
        <f>IF(AND(SCAN!K613="-",SCAN!Q613="-"),SCAN!F613,0)</f>
        <v>0</v>
      </c>
      <c r="M613" s="55">
        <f>IF(SCAN!K613&lt;&gt;"-",SCAN!D613,0)</f>
        <v>0</v>
      </c>
      <c r="N613" s="55">
        <f>IF(SCAN!K613&lt;&gt;"-",SCAN!E613,0)</f>
        <v>0</v>
      </c>
      <c r="O613" s="55">
        <f>IF(SCAN!K613&lt;&gt;"-",SCAN!F613,0)</f>
        <v>0</v>
      </c>
      <c r="R613" s="53">
        <f>IF(SCAN!Q613&lt;&gt;"-",SCAN!D613,0)</f>
        <v>0</v>
      </c>
      <c r="S613" s="53">
        <f>IF(SCAN!Q613&lt;&gt;"-",SCAN!E613,0)</f>
        <v>0</v>
      </c>
      <c r="T613" s="53">
        <f>IF(SCAN!Q613&lt;&gt;"-",SCAN!F613,0)</f>
        <v>0</v>
      </c>
    </row>
    <row r="614" spans="8:20" x14ac:dyDescent="0.25">
      <c r="H614" s="50">
        <f>IF(AND(SCAN!K614="-",SCAN!Q614="-"),SCAN!D614,0)</f>
        <v>0</v>
      </c>
      <c r="I614" s="50">
        <f>IF(AND(SCAN!K614="-",SCAN!Q614="-"),SCAN!E614,0)</f>
        <v>0</v>
      </c>
      <c r="J614" s="50">
        <f>IF(AND(SCAN!K614="-",SCAN!Q614="-"),SCAN!F614,0)</f>
        <v>0</v>
      </c>
      <c r="M614" s="55">
        <f>IF(SCAN!K614&lt;&gt;"-",SCAN!D614,0)</f>
        <v>0</v>
      </c>
      <c r="N614" s="55">
        <f>IF(SCAN!K614&lt;&gt;"-",SCAN!E614,0)</f>
        <v>0</v>
      </c>
      <c r="O614" s="55">
        <f>IF(SCAN!K614&lt;&gt;"-",SCAN!F614,0)</f>
        <v>0</v>
      </c>
      <c r="R614" s="53">
        <f>IF(SCAN!Q614&lt;&gt;"-",SCAN!D614,0)</f>
        <v>0</v>
      </c>
      <c r="S614" s="53">
        <f>IF(SCAN!Q614&lt;&gt;"-",SCAN!E614,0)</f>
        <v>0</v>
      </c>
      <c r="T614" s="53">
        <f>IF(SCAN!Q614&lt;&gt;"-",SCAN!F614,0)</f>
        <v>0</v>
      </c>
    </row>
    <row r="615" spans="8:20" x14ac:dyDescent="0.25">
      <c r="H615" s="50">
        <f>IF(AND(SCAN!K615="-",SCAN!Q615="-"),SCAN!D615,0)</f>
        <v>0</v>
      </c>
      <c r="I615" s="50">
        <f>IF(AND(SCAN!K615="-",SCAN!Q615="-"),SCAN!E615,0)</f>
        <v>0</v>
      </c>
      <c r="J615" s="50">
        <f>IF(AND(SCAN!K615="-",SCAN!Q615="-"),SCAN!F615,0)</f>
        <v>0</v>
      </c>
      <c r="M615" s="55">
        <f>IF(SCAN!K615&lt;&gt;"-",SCAN!D615,0)</f>
        <v>0</v>
      </c>
      <c r="N615" s="55">
        <f>IF(SCAN!K615&lt;&gt;"-",SCAN!E615,0)</f>
        <v>0</v>
      </c>
      <c r="O615" s="55">
        <f>IF(SCAN!K615&lt;&gt;"-",SCAN!F615,0)</f>
        <v>0</v>
      </c>
      <c r="R615" s="53">
        <f>IF(SCAN!Q615&lt;&gt;"-",SCAN!D615,0)</f>
        <v>0</v>
      </c>
      <c r="S615" s="53">
        <f>IF(SCAN!Q615&lt;&gt;"-",SCAN!E615,0)</f>
        <v>0</v>
      </c>
      <c r="T615" s="53">
        <f>IF(SCAN!Q615&lt;&gt;"-",SCAN!F615,0)</f>
        <v>0</v>
      </c>
    </row>
    <row r="616" spans="8:20" x14ac:dyDescent="0.25">
      <c r="H616" s="50">
        <f>IF(AND(SCAN!K616="-",SCAN!Q616="-"),SCAN!D616,0)</f>
        <v>0</v>
      </c>
      <c r="I616" s="50">
        <f>IF(AND(SCAN!K616="-",SCAN!Q616="-"),SCAN!E616,0)</f>
        <v>0</v>
      </c>
      <c r="J616" s="50">
        <f>IF(AND(SCAN!K616="-",SCAN!Q616="-"),SCAN!F616,0)</f>
        <v>0</v>
      </c>
      <c r="M616" s="55">
        <f>IF(SCAN!K616&lt;&gt;"-",SCAN!D616,0)</f>
        <v>0</v>
      </c>
      <c r="N616" s="55">
        <f>IF(SCAN!K616&lt;&gt;"-",SCAN!E616,0)</f>
        <v>0</v>
      </c>
      <c r="O616" s="55">
        <f>IF(SCAN!K616&lt;&gt;"-",SCAN!F616,0)</f>
        <v>0</v>
      </c>
      <c r="R616" s="53">
        <f>IF(SCAN!Q616&lt;&gt;"-",SCAN!D616,0)</f>
        <v>0</v>
      </c>
      <c r="S616" s="53">
        <f>IF(SCAN!Q616&lt;&gt;"-",SCAN!E616,0)</f>
        <v>0</v>
      </c>
      <c r="T616" s="53">
        <f>IF(SCAN!Q616&lt;&gt;"-",SCAN!F616,0)</f>
        <v>0</v>
      </c>
    </row>
    <row r="617" spans="8:20" x14ac:dyDescent="0.25">
      <c r="H617" s="50">
        <f>IF(AND(SCAN!K617="-",SCAN!Q617="-"),SCAN!D617,0)</f>
        <v>0</v>
      </c>
      <c r="I617" s="50">
        <f>IF(AND(SCAN!K617="-",SCAN!Q617="-"),SCAN!E617,0)</f>
        <v>0</v>
      </c>
      <c r="J617" s="50">
        <f>IF(AND(SCAN!K617="-",SCAN!Q617="-"),SCAN!F617,0)</f>
        <v>0</v>
      </c>
      <c r="M617" s="55">
        <f>IF(SCAN!K617&lt;&gt;"-",SCAN!D617,0)</f>
        <v>0</v>
      </c>
      <c r="N617" s="55">
        <f>IF(SCAN!K617&lt;&gt;"-",SCAN!E617,0)</f>
        <v>0</v>
      </c>
      <c r="O617" s="55">
        <f>IF(SCAN!K617&lt;&gt;"-",SCAN!F617,0)</f>
        <v>0</v>
      </c>
      <c r="R617" s="53">
        <f>IF(SCAN!Q617&lt;&gt;"-",SCAN!D617,0)</f>
        <v>0</v>
      </c>
      <c r="S617" s="53">
        <f>IF(SCAN!Q617&lt;&gt;"-",SCAN!E617,0)</f>
        <v>0</v>
      </c>
      <c r="T617" s="53">
        <f>IF(SCAN!Q617&lt;&gt;"-",SCAN!F617,0)</f>
        <v>0</v>
      </c>
    </row>
    <row r="618" spans="8:20" x14ac:dyDescent="0.25">
      <c r="H618" s="50">
        <f>IF(AND(SCAN!K618="-",SCAN!Q618="-"),SCAN!D618,0)</f>
        <v>0</v>
      </c>
      <c r="I618" s="50">
        <f>IF(AND(SCAN!K618="-",SCAN!Q618="-"),SCAN!E618,0)</f>
        <v>0</v>
      </c>
      <c r="J618" s="50">
        <f>IF(AND(SCAN!K618="-",SCAN!Q618="-"),SCAN!F618,0)</f>
        <v>0</v>
      </c>
      <c r="M618" s="55">
        <f>IF(SCAN!K618&lt;&gt;"-",SCAN!D618,0)</f>
        <v>0</v>
      </c>
      <c r="N618" s="55">
        <f>IF(SCAN!K618&lt;&gt;"-",SCAN!E618,0)</f>
        <v>0</v>
      </c>
      <c r="O618" s="55">
        <f>IF(SCAN!K618&lt;&gt;"-",SCAN!F618,0)</f>
        <v>0</v>
      </c>
      <c r="R618" s="53">
        <f>IF(SCAN!Q618&lt;&gt;"-",SCAN!D618,0)</f>
        <v>0</v>
      </c>
      <c r="S618" s="53">
        <f>IF(SCAN!Q618&lt;&gt;"-",SCAN!E618,0)</f>
        <v>0</v>
      </c>
      <c r="T618" s="53">
        <f>IF(SCAN!Q618&lt;&gt;"-",SCAN!F618,0)</f>
        <v>0</v>
      </c>
    </row>
    <row r="619" spans="8:20" x14ac:dyDescent="0.25">
      <c r="H619" s="50">
        <f>IF(AND(SCAN!K619="-",SCAN!Q619="-"),SCAN!D619,0)</f>
        <v>0</v>
      </c>
      <c r="I619" s="50">
        <f>IF(AND(SCAN!K619="-",SCAN!Q619="-"),SCAN!E619,0)</f>
        <v>0</v>
      </c>
      <c r="J619" s="50">
        <f>IF(AND(SCAN!K619="-",SCAN!Q619="-"),SCAN!F619,0)</f>
        <v>0</v>
      </c>
      <c r="M619" s="55">
        <f>IF(SCAN!K619&lt;&gt;"-",SCAN!D619,0)</f>
        <v>0</v>
      </c>
      <c r="N619" s="55">
        <f>IF(SCAN!K619&lt;&gt;"-",SCAN!E619,0)</f>
        <v>0</v>
      </c>
      <c r="O619" s="55">
        <f>IF(SCAN!K619&lt;&gt;"-",SCAN!F619,0)</f>
        <v>0</v>
      </c>
      <c r="R619" s="53">
        <f>IF(SCAN!Q619&lt;&gt;"-",SCAN!D619,0)</f>
        <v>0</v>
      </c>
      <c r="S619" s="53">
        <f>IF(SCAN!Q619&lt;&gt;"-",SCAN!E619,0)</f>
        <v>0</v>
      </c>
      <c r="T619" s="53">
        <f>IF(SCAN!Q619&lt;&gt;"-",SCAN!F619,0)</f>
        <v>0</v>
      </c>
    </row>
    <row r="620" spans="8:20" x14ac:dyDescent="0.25">
      <c r="H620" s="50">
        <f>IF(AND(SCAN!K620="-",SCAN!Q620="-"),SCAN!D620,0)</f>
        <v>0</v>
      </c>
      <c r="I620" s="50">
        <f>IF(AND(SCAN!K620="-",SCAN!Q620="-"),SCAN!E620,0)</f>
        <v>0</v>
      </c>
      <c r="J620" s="50">
        <f>IF(AND(SCAN!K620="-",SCAN!Q620="-"),SCAN!F620,0)</f>
        <v>0</v>
      </c>
      <c r="M620" s="55">
        <f>IF(SCAN!K620&lt;&gt;"-",SCAN!D620,0)</f>
        <v>0</v>
      </c>
      <c r="N620" s="55">
        <f>IF(SCAN!K620&lt;&gt;"-",SCAN!E620,0)</f>
        <v>0</v>
      </c>
      <c r="O620" s="55">
        <f>IF(SCAN!K620&lt;&gt;"-",SCAN!F620,0)</f>
        <v>0</v>
      </c>
      <c r="R620" s="53">
        <f>IF(SCAN!Q620&lt;&gt;"-",SCAN!D620,0)</f>
        <v>0</v>
      </c>
      <c r="S620" s="53">
        <f>IF(SCAN!Q620&lt;&gt;"-",SCAN!E620,0)</f>
        <v>0</v>
      </c>
      <c r="T620" s="53">
        <f>IF(SCAN!Q620&lt;&gt;"-",SCAN!F620,0)</f>
        <v>0</v>
      </c>
    </row>
    <row r="621" spans="8:20" x14ac:dyDescent="0.25">
      <c r="H621" s="50">
        <f>IF(AND(SCAN!K621="-",SCAN!Q621="-"),SCAN!D621,0)</f>
        <v>0</v>
      </c>
      <c r="I621" s="50">
        <f>IF(AND(SCAN!K621="-",SCAN!Q621="-"),SCAN!E621,0)</f>
        <v>0</v>
      </c>
      <c r="J621" s="50">
        <f>IF(AND(SCAN!K621="-",SCAN!Q621="-"),SCAN!F621,0)</f>
        <v>0</v>
      </c>
      <c r="M621" s="55">
        <f>IF(SCAN!K621&lt;&gt;"-",SCAN!D621,0)</f>
        <v>0</v>
      </c>
      <c r="N621" s="55">
        <f>IF(SCAN!K621&lt;&gt;"-",SCAN!E621,0)</f>
        <v>0</v>
      </c>
      <c r="O621" s="55">
        <f>IF(SCAN!K621&lt;&gt;"-",SCAN!F621,0)</f>
        <v>0</v>
      </c>
      <c r="R621" s="53">
        <f>IF(SCAN!Q621&lt;&gt;"-",SCAN!D621,0)</f>
        <v>0</v>
      </c>
      <c r="S621" s="53">
        <f>IF(SCAN!Q621&lt;&gt;"-",SCAN!E621,0)</f>
        <v>0</v>
      </c>
      <c r="T621" s="53">
        <f>IF(SCAN!Q621&lt;&gt;"-",SCAN!F621,0)</f>
        <v>0</v>
      </c>
    </row>
    <row r="622" spans="8:20" x14ac:dyDescent="0.25">
      <c r="H622" s="50">
        <f>IF(AND(SCAN!K622="-",SCAN!Q622="-"),SCAN!D622,0)</f>
        <v>0</v>
      </c>
      <c r="I622" s="50">
        <f>IF(AND(SCAN!K622="-",SCAN!Q622="-"),SCAN!E622,0)</f>
        <v>0</v>
      </c>
      <c r="J622" s="50">
        <f>IF(AND(SCAN!K622="-",SCAN!Q622="-"),SCAN!F622,0)</f>
        <v>0</v>
      </c>
      <c r="M622" s="55">
        <f>IF(SCAN!K622&lt;&gt;"-",SCAN!D622,0)</f>
        <v>0</v>
      </c>
      <c r="N622" s="55">
        <f>IF(SCAN!K622&lt;&gt;"-",SCAN!E622,0)</f>
        <v>0</v>
      </c>
      <c r="O622" s="55">
        <f>IF(SCAN!K622&lt;&gt;"-",SCAN!F622,0)</f>
        <v>0</v>
      </c>
      <c r="R622" s="53">
        <f>IF(SCAN!Q622&lt;&gt;"-",SCAN!D622,0)</f>
        <v>0</v>
      </c>
      <c r="S622" s="53">
        <f>IF(SCAN!Q622&lt;&gt;"-",SCAN!E622,0)</f>
        <v>0</v>
      </c>
      <c r="T622" s="53">
        <f>IF(SCAN!Q622&lt;&gt;"-",SCAN!F622,0)</f>
        <v>0</v>
      </c>
    </row>
    <row r="623" spans="8:20" x14ac:dyDescent="0.25">
      <c r="H623" s="50">
        <f>IF(AND(SCAN!K623="-",SCAN!Q623="-"),SCAN!D623,0)</f>
        <v>0</v>
      </c>
      <c r="I623" s="50">
        <f>IF(AND(SCAN!K623="-",SCAN!Q623="-"),SCAN!E623,0)</f>
        <v>0</v>
      </c>
      <c r="J623" s="50">
        <f>IF(AND(SCAN!K623="-",SCAN!Q623="-"),SCAN!F623,0)</f>
        <v>0</v>
      </c>
      <c r="M623" s="55">
        <f>IF(SCAN!K623&lt;&gt;"-",SCAN!D623,0)</f>
        <v>0</v>
      </c>
      <c r="N623" s="55">
        <f>IF(SCAN!K623&lt;&gt;"-",SCAN!E623,0)</f>
        <v>0</v>
      </c>
      <c r="O623" s="55">
        <f>IF(SCAN!K623&lt;&gt;"-",SCAN!F623,0)</f>
        <v>0</v>
      </c>
      <c r="R623" s="53">
        <f>IF(SCAN!Q623&lt;&gt;"-",SCAN!D623,0)</f>
        <v>0</v>
      </c>
      <c r="S623" s="53">
        <f>IF(SCAN!Q623&lt;&gt;"-",SCAN!E623,0)</f>
        <v>0</v>
      </c>
      <c r="T623" s="53">
        <f>IF(SCAN!Q623&lt;&gt;"-",SCAN!F623,0)</f>
        <v>0</v>
      </c>
    </row>
    <row r="624" spans="8:20" x14ac:dyDescent="0.25">
      <c r="H624" s="50">
        <f>IF(AND(SCAN!K624="-",SCAN!Q624="-"),SCAN!D624,0)</f>
        <v>0</v>
      </c>
      <c r="I624" s="50">
        <f>IF(AND(SCAN!K624="-",SCAN!Q624="-"),SCAN!E624,0)</f>
        <v>0</v>
      </c>
      <c r="J624" s="50">
        <f>IF(AND(SCAN!K624="-",SCAN!Q624="-"),SCAN!F624,0)</f>
        <v>0</v>
      </c>
      <c r="M624" s="55">
        <f>IF(SCAN!K624&lt;&gt;"-",SCAN!D624,0)</f>
        <v>0</v>
      </c>
      <c r="N624" s="55">
        <f>IF(SCAN!K624&lt;&gt;"-",SCAN!E624,0)</f>
        <v>0</v>
      </c>
      <c r="O624" s="55">
        <f>IF(SCAN!K624&lt;&gt;"-",SCAN!F624,0)</f>
        <v>0</v>
      </c>
      <c r="R624" s="53">
        <f>IF(SCAN!Q624&lt;&gt;"-",SCAN!D624,0)</f>
        <v>0</v>
      </c>
      <c r="S624" s="53">
        <f>IF(SCAN!Q624&lt;&gt;"-",SCAN!E624,0)</f>
        <v>0</v>
      </c>
      <c r="T624" s="53">
        <f>IF(SCAN!Q624&lt;&gt;"-",SCAN!F624,0)</f>
        <v>0</v>
      </c>
    </row>
    <row r="625" spans="8:20" x14ac:dyDescent="0.25">
      <c r="H625" s="50">
        <f>IF(AND(SCAN!K625="-",SCAN!Q625="-"),SCAN!D625,0)</f>
        <v>0</v>
      </c>
      <c r="I625" s="50">
        <f>IF(AND(SCAN!K625="-",SCAN!Q625="-"),SCAN!E625,0)</f>
        <v>0</v>
      </c>
      <c r="J625" s="50">
        <f>IF(AND(SCAN!K625="-",SCAN!Q625="-"),SCAN!F625,0)</f>
        <v>0</v>
      </c>
      <c r="M625" s="55">
        <f>IF(SCAN!K625&lt;&gt;"-",SCAN!D625,0)</f>
        <v>0</v>
      </c>
      <c r="N625" s="55">
        <f>IF(SCAN!K625&lt;&gt;"-",SCAN!E625,0)</f>
        <v>0</v>
      </c>
      <c r="O625" s="55">
        <f>IF(SCAN!K625&lt;&gt;"-",SCAN!F625,0)</f>
        <v>0</v>
      </c>
      <c r="R625" s="53">
        <f>IF(SCAN!Q625&lt;&gt;"-",SCAN!D625,0)</f>
        <v>0</v>
      </c>
      <c r="S625" s="53">
        <f>IF(SCAN!Q625&lt;&gt;"-",SCAN!E625,0)</f>
        <v>0</v>
      </c>
      <c r="T625" s="53">
        <f>IF(SCAN!Q625&lt;&gt;"-",SCAN!F625,0)</f>
        <v>0</v>
      </c>
    </row>
    <row r="626" spans="8:20" x14ac:dyDescent="0.25">
      <c r="H626" s="50">
        <f>IF(AND(SCAN!K626="-",SCAN!Q626="-"),SCAN!D626,0)</f>
        <v>0</v>
      </c>
      <c r="I626" s="50">
        <f>IF(AND(SCAN!K626="-",SCAN!Q626="-"),SCAN!E626,0)</f>
        <v>0</v>
      </c>
      <c r="J626" s="50">
        <f>IF(AND(SCAN!K626="-",SCAN!Q626="-"),SCAN!F626,0)</f>
        <v>0</v>
      </c>
      <c r="M626" s="55">
        <f>IF(SCAN!K626&lt;&gt;"-",SCAN!D626,0)</f>
        <v>0</v>
      </c>
      <c r="N626" s="55">
        <f>IF(SCAN!K626&lt;&gt;"-",SCAN!E626,0)</f>
        <v>0</v>
      </c>
      <c r="O626" s="55">
        <f>IF(SCAN!K626&lt;&gt;"-",SCAN!F626,0)</f>
        <v>0</v>
      </c>
      <c r="R626" s="53">
        <f>IF(SCAN!Q626&lt;&gt;"-",SCAN!D626,0)</f>
        <v>0</v>
      </c>
      <c r="S626" s="53">
        <f>IF(SCAN!Q626&lt;&gt;"-",SCAN!E626,0)</f>
        <v>0</v>
      </c>
      <c r="T626" s="53">
        <f>IF(SCAN!Q626&lt;&gt;"-",SCAN!F626,0)</f>
        <v>0</v>
      </c>
    </row>
    <row r="627" spans="8:20" x14ac:dyDescent="0.25">
      <c r="H627" s="50">
        <f>IF(AND(SCAN!K627="-",SCAN!Q627="-"),SCAN!D627,0)</f>
        <v>0</v>
      </c>
      <c r="I627" s="50">
        <f>IF(AND(SCAN!K627="-",SCAN!Q627="-"),SCAN!E627,0)</f>
        <v>0</v>
      </c>
      <c r="J627" s="50">
        <f>IF(AND(SCAN!K627="-",SCAN!Q627="-"),SCAN!F627,0)</f>
        <v>0</v>
      </c>
      <c r="M627" s="55">
        <f>IF(SCAN!K627&lt;&gt;"-",SCAN!D627,0)</f>
        <v>0</v>
      </c>
      <c r="N627" s="55">
        <f>IF(SCAN!K627&lt;&gt;"-",SCAN!E627,0)</f>
        <v>0</v>
      </c>
      <c r="O627" s="55">
        <f>IF(SCAN!K627&lt;&gt;"-",SCAN!F627,0)</f>
        <v>0</v>
      </c>
      <c r="R627" s="53">
        <f>IF(SCAN!Q627&lt;&gt;"-",SCAN!D627,0)</f>
        <v>0</v>
      </c>
      <c r="S627" s="53">
        <f>IF(SCAN!Q627&lt;&gt;"-",SCAN!E627,0)</f>
        <v>0</v>
      </c>
      <c r="T627" s="53">
        <f>IF(SCAN!Q627&lt;&gt;"-",SCAN!F627,0)</f>
        <v>0</v>
      </c>
    </row>
    <row r="628" spans="8:20" x14ac:dyDescent="0.25">
      <c r="H628" s="50">
        <f>IF(AND(SCAN!K628="-",SCAN!Q628="-"),SCAN!D628,0)</f>
        <v>0</v>
      </c>
      <c r="I628" s="50">
        <f>IF(AND(SCAN!K628="-",SCAN!Q628="-"),SCAN!E628,0)</f>
        <v>0</v>
      </c>
      <c r="J628" s="50">
        <f>IF(AND(SCAN!K628="-",SCAN!Q628="-"),SCAN!F628,0)</f>
        <v>0</v>
      </c>
      <c r="M628" s="55">
        <f>IF(SCAN!K628&lt;&gt;"-",SCAN!D628,0)</f>
        <v>0</v>
      </c>
      <c r="N628" s="55">
        <f>IF(SCAN!K628&lt;&gt;"-",SCAN!E628,0)</f>
        <v>0</v>
      </c>
      <c r="O628" s="55">
        <f>IF(SCAN!K628&lt;&gt;"-",SCAN!F628,0)</f>
        <v>0</v>
      </c>
      <c r="R628" s="53">
        <f>IF(SCAN!Q628&lt;&gt;"-",SCAN!D628,0)</f>
        <v>0</v>
      </c>
      <c r="S628" s="53">
        <f>IF(SCAN!Q628&lt;&gt;"-",SCAN!E628,0)</f>
        <v>0</v>
      </c>
      <c r="T628" s="53">
        <f>IF(SCAN!Q628&lt;&gt;"-",SCAN!F628,0)</f>
        <v>0</v>
      </c>
    </row>
    <row r="629" spans="8:20" x14ac:dyDescent="0.25">
      <c r="H629" s="50">
        <f>IF(AND(SCAN!K629="-",SCAN!Q629="-"),SCAN!D629,0)</f>
        <v>0</v>
      </c>
      <c r="I629" s="50">
        <f>IF(AND(SCAN!K629="-",SCAN!Q629="-"),SCAN!E629,0)</f>
        <v>0</v>
      </c>
      <c r="J629" s="50">
        <f>IF(AND(SCAN!K629="-",SCAN!Q629="-"),SCAN!F629,0)</f>
        <v>0</v>
      </c>
      <c r="M629" s="55">
        <f>IF(SCAN!K629&lt;&gt;"-",SCAN!D629,0)</f>
        <v>0</v>
      </c>
      <c r="N629" s="55">
        <f>IF(SCAN!K629&lt;&gt;"-",SCAN!E629,0)</f>
        <v>0</v>
      </c>
      <c r="O629" s="55">
        <f>IF(SCAN!K629&lt;&gt;"-",SCAN!F629,0)</f>
        <v>0</v>
      </c>
      <c r="R629" s="53">
        <f>IF(SCAN!Q629&lt;&gt;"-",SCAN!D629,0)</f>
        <v>0</v>
      </c>
      <c r="S629" s="53">
        <f>IF(SCAN!Q629&lt;&gt;"-",SCAN!E629,0)</f>
        <v>0</v>
      </c>
      <c r="T629" s="53">
        <f>IF(SCAN!Q629&lt;&gt;"-",SCAN!F629,0)</f>
        <v>0</v>
      </c>
    </row>
    <row r="630" spans="8:20" x14ac:dyDescent="0.25">
      <c r="H630" s="50">
        <f>IF(AND(SCAN!K630="-",SCAN!Q630="-"),SCAN!D630,0)</f>
        <v>0</v>
      </c>
      <c r="I630" s="50">
        <f>IF(AND(SCAN!K630="-",SCAN!Q630="-"),SCAN!E630,0)</f>
        <v>0</v>
      </c>
      <c r="J630" s="50">
        <f>IF(AND(SCAN!K630="-",SCAN!Q630="-"),SCAN!F630,0)</f>
        <v>0</v>
      </c>
      <c r="M630" s="55">
        <f>IF(SCAN!K630&lt;&gt;"-",SCAN!D630,0)</f>
        <v>0</v>
      </c>
      <c r="N630" s="55">
        <f>IF(SCAN!K630&lt;&gt;"-",SCAN!E630,0)</f>
        <v>0</v>
      </c>
      <c r="O630" s="55">
        <f>IF(SCAN!K630&lt;&gt;"-",SCAN!F630,0)</f>
        <v>0</v>
      </c>
      <c r="R630" s="53">
        <f>IF(SCAN!Q630&lt;&gt;"-",SCAN!D630,0)</f>
        <v>0</v>
      </c>
      <c r="S630" s="53">
        <f>IF(SCAN!Q630&lt;&gt;"-",SCAN!E630,0)</f>
        <v>0</v>
      </c>
      <c r="T630" s="53">
        <f>IF(SCAN!Q630&lt;&gt;"-",SCAN!F630,0)</f>
        <v>0</v>
      </c>
    </row>
    <row r="631" spans="8:20" x14ac:dyDescent="0.25">
      <c r="H631" s="50">
        <f>IF(AND(SCAN!K631="-",SCAN!Q631="-"),SCAN!D631,0)</f>
        <v>0</v>
      </c>
      <c r="I631" s="50">
        <f>IF(AND(SCAN!K631="-",SCAN!Q631="-"),SCAN!E631,0)</f>
        <v>0</v>
      </c>
      <c r="J631" s="50">
        <f>IF(AND(SCAN!K631="-",SCAN!Q631="-"),SCAN!F631,0)</f>
        <v>0</v>
      </c>
      <c r="M631" s="55">
        <f>IF(SCAN!K631&lt;&gt;"-",SCAN!D631,0)</f>
        <v>0</v>
      </c>
      <c r="N631" s="55">
        <f>IF(SCAN!K631&lt;&gt;"-",SCAN!E631,0)</f>
        <v>0</v>
      </c>
      <c r="O631" s="55">
        <f>IF(SCAN!K631&lt;&gt;"-",SCAN!F631,0)</f>
        <v>0</v>
      </c>
      <c r="R631" s="53">
        <f>IF(SCAN!Q631&lt;&gt;"-",SCAN!D631,0)</f>
        <v>0</v>
      </c>
      <c r="S631" s="53">
        <f>IF(SCAN!Q631&lt;&gt;"-",SCAN!E631,0)</f>
        <v>0</v>
      </c>
      <c r="T631" s="53">
        <f>IF(SCAN!Q631&lt;&gt;"-",SCAN!F631,0)</f>
        <v>0</v>
      </c>
    </row>
    <row r="632" spans="8:20" x14ac:dyDescent="0.25">
      <c r="H632" s="50">
        <f>IF(AND(SCAN!K632="-",SCAN!Q632="-"),SCAN!D632,0)</f>
        <v>0</v>
      </c>
      <c r="I632" s="50">
        <f>IF(AND(SCAN!K632="-",SCAN!Q632="-"),SCAN!E632,0)</f>
        <v>0</v>
      </c>
      <c r="J632" s="50">
        <f>IF(AND(SCAN!K632="-",SCAN!Q632="-"),SCAN!F632,0)</f>
        <v>0</v>
      </c>
      <c r="M632" s="55">
        <f>IF(SCAN!K632&lt;&gt;"-",SCAN!D632,0)</f>
        <v>0</v>
      </c>
      <c r="N632" s="55">
        <f>IF(SCAN!K632&lt;&gt;"-",SCAN!E632,0)</f>
        <v>0</v>
      </c>
      <c r="O632" s="55">
        <f>IF(SCAN!K632&lt;&gt;"-",SCAN!F632,0)</f>
        <v>0</v>
      </c>
      <c r="R632" s="53">
        <f>IF(SCAN!Q632&lt;&gt;"-",SCAN!D632,0)</f>
        <v>0</v>
      </c>
      <c r="S632" s="53">
        <f>IF(SCAN!Q632&lt;&gt;"-",SCAN!E632,0)</f>
        <v>0</v>
      </c>
      <c r="T632" s="53">
        <f>IF(SCAN!Q632&lt;&gt;"-",SCAN!F632,0)</f>
        <v>0</v>
      </c>
    </row>
    <row r="633" spans="8:20" x14ac:dyDescent="0.25">
      <c r="H633" s="50">
        <f>IF(AND(SCAN!K633="-",SCAN!Q633="-"),SCAN!D633,0)</f>
        <v>0</v>
      </c>
      <c r="I633" s="50">
        <f>IF(AND(SCAN!K633="-",SCAN!Q633="-"),SCAN!E633,0)</f>
        <v>0</v>
      </c>
      <c r="J633" s="50">
        <f>IF(AND(SCAN!K633="-",SCAN!Q633="-"),SCAN!F633,0)</f>
        <v>0</v>
      </c>
      <c r="M633" s="55">
        <f>IF(SCAN!K633&lt;&gt;"-",SCAN!D633,0)</f>
        <v>0</v>
      </c>
      <c r="N633" s="55">
        <f>IF(SCAN!K633&lt;&gt;"-",SCAN!E633,0)</f>
        <v>0</v>
      </c>
      <c r="O633" s="55">
        <f>IF(SCAN!K633&lt;&gt;"-",SCAN!F633,0)</f>
        <v>0</v>
      </c>
      <c r="R633" s="53">
        <f>IF(SCAN!Q633&lt;&gt;"-",SCAN!D633,0)</f>
        <v>0</v>
      </c>
      <c r="S633" s="53">
        <f>IF(SCAN!Q633&lt;&gt;"-",SCAN!E633,0)</f>
        <v>0</v>
      </c>
      <c r="T633" s="53">
        <f>IF(SCAN!Q633&lt;&gt;"-",SCAN!F633,0)</f>
        <v>0</v>
      </c>
    </row>
    <row r="634" spans="8:20" x14ac:dyDescent="0.25">
      <c r="H634" s="50">
        <f>IF(AND(SCAN!K634="-",SCAN!Q634="-"),SCAN!D634,0)</f>
        <v>0</v>
      </c>
      <c r="I634" s="50">
        <f>IF(AND(SCAN!K634="-",SCAN!Q634="-"),SCAN!E634,0)</f>
        <v>0</v>
      </c>
      <c r="J634" s="50">
        <f>IF(AND(SCAN!K634="-",SCAN!Q634="-"),SCAN!F634,0)</f>
        <v>0</v>
      </c>
      <c r="M634" s="55">
        <f>IF(SCAN!K634&lt;&gt;"-",SCAN!D634,0)</f>
        <v>0</v>
      </c>
      <c r="N634" s="55">
        <f>IF(SCAN!K634&lt;&gt;"-",SCAN!E634,0)</f>
        <v>0</v>
      </c>
      <c r="O634" s="55">
        <f>IF(SCAN!K634&lt;&gt;"-",SCAN!F634,0)</f>
        <v>0</v>
      </c>
      <c r="R634" s="53">
        <f>IF(SCAN!Q634&lt;&gt;"-",SCAN!D634,0)</f>
        <v>0</v>
      </c>
      <c r="S634" s="53">
        <f>IF(SCAN!Q634&lt;&gt;"-",SCAN!E634,0)</f>
        <v>0</v>
      </c>
      <c r="T634" s="53">
        <f>IF(SCAN!Q634&lt;&gt;"-",SCAN!F634,0)</f>
        <v>0</v>
      </c>
    </row>
    <row r="635" spans="8:20" x14ac:dyDescent="0.25">
      <c r="H635" s="50">
        <f>IF(AND(SCAN!K635="-",SCAN!Q635="-"),SCAN!D635,0)</f>
        <v>0</v>
      </c>
      <c r="I635" s="50">
        <f>IF(AND(SCAN!K635="-",SCAN!Q635="-"),SCAN!E635,0)</f>
        <v>0</v>
      </c>
      <c r="J635" s="50">
        <f>IF(AND(SCAN!K635="-",SCAN!Q635="-"),SCAN!F635,0)</f>
        <v>0</v>
      </c>
      <c r="M635" s="55">
        <f>IF(SCAN!K635&lt;&gt;"-",SCAN!D635,0)</f>
        <v>0</v>
      </c>
      <c r="N635" s="55">
        <f>IF(SCAN!K635&lt;&gt;"-",SCAN!E635,0)</f>
        <v>0</v>
      </c>
      <c r="O635" s="55">
        <f>IF(SCAN!K635&lt;&gt;"-",SCAN!F635,0)</f>
        <v>0</v>
      </c>
      <c r="R635" s="53">
        <f>IF(SCAN!Q635&lt;&gt;"-",SCAN!D635,0)</f>
        <v>0</v>
      </c>
      <c r="S635" s="53">
        <f>IF(SCAN!Q635&lt;&gt;"-",SCAN!E635,0)</f>
        <v>0</v>
      </c>
      <c r="T635" s="53">
        <f>IF(SCAN!Q635&lt;&gt;"-",SCAN!F635,0)</f>
        <v>0</v>
      </c>
    </row>
    <row r="636" spans="8:20" x14ac:dyDescent="0.25">
      <c r="H636" s="50">
        <f>IF(AND(SCAN!K636="-",SCAN!Q636="-"),SCAN!D636,0)</f>
        <v>0</v>
      </c>
      <c r="I636" s="50">
        <f>IF(AND(SCAN!K636="-",SCAN!Q636="-"),SCAN!E636,0)</f>
        <v>0</v>
      </c>
      <c r="J636" s="50">
        <f>IF(AND(SCAN!K636="-",SCAN!Q636="-"),SCAN!F636,0)</f>
        <v>0</v>
      </c>
      <c r="M636" s="55">
        <f>IF(SCAN!K636&lt;&gt;"-",SCAN!D636,0)</f>
        <v>0</v>
      </c>
      <c r="N636" s="55">
        <f>IF(SCAN!K636&lt;&gt;"-",SCAN!E636,0)</f>
        <v>0</v>
      </c>
      <c r="O636" s="55">
        <f>IF(SCAN!K636&lt;&gt;"-",SCAN!F636,0)</f>
        <v>0</v>
      </c>
      <c r="R636" s="53">
        <f>IF(SCAN!Q636&lt;&gt;"-",SCAN!D636,0)</f>
        <v>0</v>
      </c>
      <c r="S636" s="53">
        <f>IF(SCAN!Q636&lt;&gt;"-",SCAN!E636,0)</f>
        <v>0</v>
      </c>
      <c r="T636" s="53">
        <f>IF(SCAN!Q636&lt;&gt;"-",SCAN!F636,0)</f>
        <v>0</v>
      </c>
    </row>
    <row r="637" spans="8:20" x14ac:dyDescent="0.25">
      <c r="H637" s="50">
        <f>IF(AND(SCAN!K637="-",SCAN!Q637="-"),SCAN!D637,0)</f>
        <v>0</v>
      </c>
      <c r="I637" s="50">
        <f>IF(AND(SCAN!K637="-",SCAN!Q637="-"),SCAN!E637,0)</f>
        <v>0</v>
      </c>
      <c r="J637" s="50">
        <f>IF(AND(SCAN!K637="-",SCAN!Q637="-"),SCAN!F637,0)</f>
        <v>0</v>
      </c>
      <c r="M637" s="55">
        <f>IF(SCAN!K637&lt;&gt;"-",SCAN!D637,0)</f>
        <v>0</v>
      </c>
      <c r="N637" s="55">
        <f>IF(SCAN!K637&lt;&gt;"-",SCAN!E637,0)</f>
        <v>0</v>
      </c>
      <c r="O637" s="55">
        <f>IF(SCAN!K637&lt;&gt;"-",SCAN!F637,0)</f>
        <v>0</v>
      </c>
      <c r="R637" s="53">
        <f>IF(SCAN!Q637&lt;&gt;"-",SCAN!D637,0)</f>
        <v>0</v>
      </c>
      <c r="S637" s="53">
        <f>IF(SCAN!Q637&lt;&gt;"-",SCAN!E637,0)</f>
        <v>0</v>
      </c>
      <c r="T637" s="53">
        <f>IF(SCAN!Q637&lt;&gt;"-",SCAN!F637,0)</f>
        <v>0</v>
      </c>
    </row>
    <row r="638" spans="8:20" x14ac:dyDescent="0.25">
      <c r="H638" s="50">
        <f>IF(AND(SCAN!K638="-",SCAN!Q638="-"),SCAN!D638,0)</f>
        <v>0</v>
      </c>
      <c r="I638" s="50">
        <f>IF(AND(SCAN!K638="-",SCAN!Q638="-"),SCAN!E638,0)</f>
        <v>0</v>
      </c>
      <c r="J638" s="50">
        <f>IF(AND(SCAN!K638="-",SCAN!Q638="-"),SCAN!F638,0)</f>
        <v>0</v>
      </c>
      <c r="M638" s="55">
        <f>IF(SCAN!K638&lt;&gt;"-",SCAN!D638,0)</f>
        <v>0</v>
      </c>
      <c r="N638" s="55">
        <f>IF(SCAN!K638&lt;&gt;"-",SCAN!E638,0)</f>
        <v>0</v>
      </c>
      <c r="O638" s="55">
        <f>IF(SCAN!K638&lt;&gt;"-",SCAN!F638,0)</f>
        <v>0</v>
      </c>
      <c r="R638" s="53">
        <f>IF(SCAN!Q638&lt;&gt;"-",SCAN!D638,0)</f>
        <v>0</v>
      </c>
      <c r="S638" s="53">
        <f>IF(SCAN!Q638&lt;&gt;"-",SCAN!E638,0)</f>
        <v>0</v>
      </c>
      <c r="T638" s="53">
        <f>IF(SCAN!Q638&lt;&gt;"-",SCAN!F638,0)</f>
        <v>0</v>
      </c>
    </row>
    <row r="639" spans="8:20" x14ac:dyDescent="0.25">
      <c r="H639" s="50">
        <f>IF(AND(SCAN!K639="-",SCAN!Q639="-"),SCAN!D639,0)</f>
        <v>0</v>
      </c>
      <c r="I639" s="50">
        <f>IF(AND(SCAN!K639="-",SCAN!Q639="-"),SCAN!E639,0)</f>
        <v>0</v>
      </c>
      <c r="J639" s="50">
        <f>IF(AND(SCAN!K639="-",SCAN!Q639="-"),SCAN!F639,0)</f>
        <v>0</v>
      </c>
      <c r="M639" s="55">
        <f>IF(SCAN!K639&lt;&gt;"-",SCAN!D639,0)</f>
        <v>0</v>
      </c>
      <c r="N639" s="55">
        <f>IF(SCAN!K639&lt;&gt;"-",SCAN!E639,0)</f>
        <v>0</v>
      </c>
      <c r="O639" s="55">
        <f>IF(SCAN!K639&lt;&gt;"-",SCAN!F639,0)</f>
        <v>0</v>
      </c>
      <c r="R639" s="53">
        <f>IF(SCAN!Q639&lt;&gt;"-",SCAN!D639,0)</f>
        <v>0</v>
      </c>
      <c r="S639" s="53">
        <f>IF(SCAN!Q639&lt;&gt;"-",SCAN!E639,0)</f>
        <v>0</v>
      </c>
      <c r="T639" s="53">
        <f>IF(SCAN!Q639&lt;&gt;"-",SCAN!F639,0)</f>
        <v>0</v>
      </c>
    </row>
    <row r="640" spans="8:20" x14ac:dyDescent="0.25">
      <c r="H640" s="50">
        <f>IF(AND(SCAN!K640="-",SCAN!Q640="-"),SCAN!D640,0)</f>
        <v>0</v>
      </c>
      <c r="I640" s="50">
        <f>IF(AND(SCAN!K640="-",SCAN!Q640="-"),SCAN!E640,0)</f>
        <v>0</v>
      </c>
      <c r="J640" s="50">
        <f>IF(AND(SCAN!K640="-",SCAN!Q640="-"),SCAN!F640,0)</f>
        <v>0</v>
      </c>
      <c r="M640" s="55">
        <f>IF(SCAN!K640&lt;&gt;"-",SCAN!D640,0)</f>
        <v>0</v>
      </c>
      <c r="N640" s="55">
        <f>IF(SCAN!K640&lt;&gt;"-",SCAN!E640,0)</f>
        <v>0</v>
      </c>
      <c r="O640" s="55">
        <f>IF(SCAN!K640&lt;&gt;"-",SCAN!F640,0)</f>
        <v>0</v>
      </c>
      <c r="R640" s="53">
        <f>IF(SCAN!Q640&lt;&gt;"-",SCAN!D640,0)</f>
        <v>0</v>
      </c>
      <c r="S640" s="53">
        <f>IF(SCAN!Q640&lt;&gt;"-",SCAN!E640,0)</f>
        <v>0</v>
      </c>
      <c r="T640" s="53">
        <f>IF(SCAN!Q640&lt;&gt;"-",SCAN!F640,0)</f>
        <v>0</v>
      </c>
    </row>
    <row r="641" spans="8:20" x14ac:dyDescent="0.25">
      <c r="H641" s="50">
        <f>IF(AND(SCAN!K641="-",SCAN!Q641="-"),SCAN!D641,0)</f>
        <v>0</v>
      </c>
      <c r="I641" s="50">
        <f>IF(AND(SCAN!K641="-",SCAN!Q641="-"),SCAN!E641,0)</f>
        <v>0</v>
      </c>
      <c r="J641" s="50">
        <f>IF(AND(SCAN!K641="-",SCAN!Q641="-"),SCAN!F641,0)</f>
        <v>0</v>
      </c>
      <c r="M641" s="55">
        <f>IF(SCAN!K641&lt;&gt;"-",SCAN!D641,0)</f>
        <v>0</v>
      </c>
      <c r="N641" s="55">
        <f>IF(SCAN!K641&lt;&gt;"-",SCAN!E641,0)</f>
        <v>0</v>
      </c>
      <c r="O641" s="55">
        <f>IF(SCAN!K641&lt;&gt;"-",SCAN!F641,0)</f>
        <v>0</v>
      </c>
      <c r="R641" s="53">
        <f>IF(SCAN!Q641&lt;&gt;"-",SCAN!D641,0)</f>
        <v>0</v>
      </c>
      <c r="S641" s="53">
        <f>IF(SCAN!Q641&lt;&gt;"-",SCAN!E641,0)</f>
        <v>0</v>
      </c>
      <c r="T641" s="53">
        <f>IF(SCAN!Q641&lt;&gt;"-",SCAN!F641,0)</f>
        <v>0</v>
      </c>
    </row>
    <row r="642" spans="8:20" x14ac:dyDescent="0.25">
      <c r="H642" s="50">
        <f>IF(AND(SCAN!K642="-",SCAN!Q642="-"),SCAN!D642,0)</f>
        <v>0</v>
      </c>
      <c r="I642" s="50">
        <f>IF(AND(SCAN!K642="-",SCAN!Q642="-"),SCAN!E642,0)</f>
        <v>0</v>
      </c>
      <c r="J642" s="50">
        <f>IF(AND(SCAN!K642="-",SCAN!Q642="-"),SCAN!F642,0)</f>
        <v>0</v>
      </c>
      <c r="M642" s="55">
        <f>IF(SCAN!K642&lt;&gt;"-",SCAN!D642,0)</f>
        <v>0</v>
      </c>
      <c r="N642" s="55">
        <f>IF(SCAN!K642&lt;&gt;"-",SCAN!E642,0)</f>
        <v>0</v>
      </c>
      <c r="O642" s="55">
        <f>IF(SCAN!K642&lt;&gt;"-",SCAN!F642,0)</f>
        <v>0</v>
      </c>
      <c r="R642" s="53">
        <f>IF(SCAN!Q642&lt;&gt;"-",SCAN!D642,0)</f>
        <v>0</v>
      </c>
      <c r="S642" s="53">
        <f>IF(SCAN!Q642&lt;&gt;"-",SCAN!E642,0)</f>
        <v>0</v>
      </c>
      <c r="T642" s="53">
        <f>IF(SCAN!Q642&lt;&gt;"-",SCAN!F642,0)</f>
        <v>0</v>
      </c>
    </row>
    <row r="643" spans="8:20" x14ac:dyDescent="0.25">
      <c r="H643" s="50">
        <f>IF(AND(SCAN!K643="-",SCAN!Q643="-"),SCAN!D643,0)</f>
        <v>0</v>
      </c>
      <c r="I643" s="50">
        <f>IF(AND(SCAN!K643="-",SCAN!Q643="-"),SCAN!E643,0)</f>
        <v>0</v>
      </c>
      <c r="J643" s="50">
        <f>IF(AND(SCAN!K643="-",SCAN!Q643="-"),SCAN!F643,0)</f>
        <v>0</v>
      </c>
      <c r="M643" s="55">
        <f>IF(SCAN!K643&lt;&gt;"-",SCAN!D643,0)</f>
        <v>0</v>
      </c>
      <c r="N643" s="55">
        <f>IF(SCAN!K643&lt;&gt;"-",SCAN!E643,0)</f>
        <v>0</v>
      </c>
      <c r="O643" s="55">
        <f>IF(SCAN!K643&lt;&gt;"-",SCAN!F643,0)</f>
        <v>0</v>
      </c>
      <c r="R643" s="53">
        <f>IF(SCAN!Q643&lt;&gt;"-",SCAN!D643,0)</f>
        <v>0</v>
      </c>
      <c r="S643" s="53">
        <f>IF(SCAN!Q643&lt;&gt;"-",SCAN!E643,0)</f>
        <v>0</v>
      </c>
      <c r="T643" s="53">
        <f>IF(SCAN!Q643&lt;&gt;"-",SCAN!F643,0)</f>
        <v>0</v>
      </c>
    </row>
    <row r="644" spans="8:20" x14ac:dyDescent="0.25">
      <c r="H644" s="50">
        <f>IF(AND(SCAN!K644="-",SCAN!Q644="-"),SCAN!D644,0)</f>
        <v>0</v>
      </c>
      <c r="I644" s="50">
        <f>IF(AND(SCAN!K644="-",SCAN!Q644="-"),SCAN!E644,0)</f>
        <v>0</v>
      </c>
      <c r="J644" s="50">
        <f>IF(AND(SCAN!K644="-",SCAN!Q644="-"),SCAN!F644,0)</f>
        <v>0</v>
      </c>
      <c r="M644" s="55">
        <f>IF(SCAN!K644&lt;&gt;"-",SCAN!D644,0)</f>
        <v>0</v>
      </c>
      <c r="N644" s="55">
        <f>IF(SCAN!K644&lt;&gt;"-",SCAN!E644,0)</f>
        <v>0</v>
      </c>
      <c r="O644" s="55">
        <f>IF(SCAN!K644&lt;&gt;"-",SCAN!F644,0)</f>
        <v>0</v>
      </c>
      <c r="R644" s="53">
        <f>IF(SCAN!Q644&lt;&gt;"-",SCAN!D644,0)</f>
        <v>0</v>
      </c>
      <c r="S644" s="53">
        <f>IF(SCAN!Q644&lt;&gt;"-",SCAN!E644,0)</f>
        <v>0</v>
      </c>
      <c r="T644" s="53">
        <f>IF(SCAN!Q644&lt;&gt;"-",SCAN!F644,0)</f>
        <v>0</v>
      </c>
    </row>
    <row r="645" spans="8:20" x14ac:dyDescent="0.25">
      <c r="H645" s="50">
        <f>IF(AND(SCAN!K645="-",SCAN!Q645="-"),SCAN!D645,0)</f>
        <v>0</v>
      </c>
      <c r="I645" s="50">
        <f>IF(AND(SCAN!K645="-",SCAN!Q645="-"),SCAN!E645,0)</f>
        <v>0</v>
      </c>
      <c r="J645" s="50">
        <f>IF(AND(SCAN!K645="-",SCAN!Q645="-"),SCAN!F645,0)</f>
        <v>0</v>
      </c>
      <c r="M645" s="55">
        <f>IF(SCAN!K645&lt;&gt;"-",SCAN!D645,0)</f>
        <v>0</v>
      </c>
      <c r="N645" s="55">
        <f>IF(SCAN!K645&lt;&gt;"-",SCAN!E645,0)</f>
        <v>0</v>
      </c>
      <c r="O645" s="55">
        <f>IF(SCAN!K645&lt;&gt;"-",SCAN!F645,0)</f>
        <v>0</v>
      </c>
      <c r="R645" s="53">
        <f>IF(SCAN!Q645&lt;&gt;"-",SCAN!D645,0)</f>
        <v>0</v>
      </c>
      <c r="S645" s="53">
        <f>IF(SCAN!Q645&lt;&gt;"-",SCAN!E645,0)</f>
        <v>0</v>
      </c>
      <c r="T645" s="53">
        <f>IF(SCAN!Q645&lt;&gt;"-",SCAN!F645,0)</f>
        <v>0</v>
      </c>
    </row>
    <row r="646" spans="8:20" x14ac:dyDescent="0.25">
      <c r="H646" s="50">
        <f>IF(AND(SCAN!K646="-",SCAN!Q646="-"),SCAN!D646,0)</f>
        <v>0</v>
      </c>
      <c r="I646" s="50">
        <f>IF(AND(SCAN!K646="-",SCAN!Q646="-"),SCAN!E646,0)</f>
        <v>0</v>
      </c>
      <c r="J646" s="50">
        <f>IF(AND(SCAN!K646="-",SCAN!Q646="-"),SCAN!F646,0)</f>
        <v>0</v>
      </c>
      <c r="M646" s="55">
        <f>IF(SCAN!K646&lt;&gt;"-",SCAN!D646,0)</f>
        <v>0</v>
      </c>
      <c r="N646" s="55">
        <f>IF(SCAN!K646&lt;&gt;"-",SCAN!E646,0)</f>
        <v>0</v>
      </c>
      <c r="O646" s="55">
        <f>IF(SCAN!K646&lt;&gt;"-",SCAN!F646,0)</f>
        <v>0</v>
      </c>
      <c r="R646" s="53">
        <f>IF(SCAN!Q646&lt;&gt;"-",SCAN!D646,0)</f>
        <v>0</v>
      </c>
      <c r="S646" s="53">
        <f>IF(SCAN!Q646&lt;&gt;"-",SCAN!E646,0)</f>
        <v>0</v>
      </c>
      <c r="T646" s="53">
        <f>IF(SCAN!Q646&lt;&gt;"-",SCAN!F646,0)</f>
        <v>0</v>
      </c>
    </row>
    <row r="647" spans="8:20" x14ac:dyDescent="0.25">
      <c r="H647" s="50">
        <f>IF(AND(SCAN!K647="-",SCAN!Q647="-"),SCAN!D647,0)</f>
        <v>0</v>
      </c>
      <c r="I647" s="50">
        <f>IF(AND(SCAN!K647="-",SCAN!Q647="-"),SCAN!E647,0)</f>
        <v>0</v>
      </c>
      <c r="J647" s="50">
        <f>IF(AND(SCAN!K647="-",SCAN!Q647="-"),SCAN!F647,0)</f>
        <v>0</v>
      </c>
      <c r="M647" s="55">
        <f>IF(SCAN!K647&lt;&gt;"-",SCAN!D647,0)</f>
        <v>0</v>
      </c>
      <c r="N647" s="55">
        <f>IF(SCAN!K647&lt;&gt;"-",SCAN!E647,0)</f>
        <v>0</v>
      </c>
      <c r="O647" s="55">
        <f>IF(SCAN!K647&lt;&gt;"-",SCAN!F647,0)</f>
        <v>0</v>
      </c>
      <c r="R647" s="53">
        <f>IF(SCAN!Q647&lt;&gt;"-",SCAN!D647,0)</f>
        <v>0</v>
      </c>
      <c r="S647" s="53">
        <f>IF(SCAN!Q647&lt;&gt;"-",SCAN!E647,0)</f>
        <v>0</v>
      </c>
      <c r="T647" s="53">
        <f>IF(SCAN!Q647&lt;&gt;"-",SCAN!F647,0)</f>
        <v>0</v>
      </c>
    </row>
    <row r="648" spans="8:20" x14ac:dyDescent="0.25">
      <c r="H648" s="50">
        <f>IF(AND(SCAN!K648="-",SCAN!Q648="-"),SCAN!D648,0)</f>
        <v>0</v>
      </c>
      <c r="I648" s="50">
        <f>IF(AND(SCAN!K648="-",SCAN!Q648="-"),SCAN!E648,0)</f>
        <v>0</v>
      </c>
      <c r="J648" s="50">
        <f>IF(AND(SCAN!K648="-",SCAN!Q648="-"),SCAN!F648,0)</f>
        <v>0</v>
      </c>
      <c r="M648" s="55">
        <f>IF(SCAN!K648&lt;&gt;"-",SCAN!D648,0)</f>
        <v>0</v>
      </c>
      <c r="N648" s="55">
        <f>IF(SCAN!K648&lt;&gt;"-",SCAN!E648,0)</f>
        <v>0</v>
      </c>
      <c r="O648" s="55">
        <f>IF(SCAN!K648&lt;&gt;"-",SCAN!F648,0)</f>
        <v>0</v>
      </c>
      <c r="R648" s="53">
        <f>IF(SCAN!Q648&lt;&gt;"-",SCAN!D648,0)</f>
        <v>0</v>
      </c>
      <c r="S648" s="53">
        <f>IF(SCAN!Q648&lt;&gt;"-",SCAN!E648,0)</f>
        <v>0</v>
      </c>
      <c r="T648" s="53">
        <f>IF(SCAN!Q648&lt;&gt;"-",SCAN!F648,0)</f>
        <v>0</v>
      </c>
    </row>
    <row r="649" spans="8:20" x14ac:dyDescent="0.25">
      <c r="H649" s="50">
        <f>IF(AND(SCAN!K649="-",SCAN!Q649="-"),SCAN!D649,0)</f>
        <v>0</v>
      </c>
      <c r="I649" s="50">
        <f>IF(AND(SCAN!K649="-",SCAN!Q649="-"),SCAN!E649,0)</f>
        <v>0</v>
      </c>
      <c r="J649" s="50">
        <f>IF(AND(SCAN!K649="-",SCAN!Q649="-"),SCAN!F649,0)</f>
        <v>0</v>
      </c>
      <c r="M649" s="55">
        <f>IF(SCAN!K649&lt;&gt;"-",SCAN!D649,0)</f>
        <v>0</v>
      </c>
      <c r="N649" s="55">
        <f>IF(SCAN!K649&lt;&gt;"-",SCAN!E649,0)</f>
        <v>0</v>
      </c>
      <c r="O649" s="55">
        <f>IF(SCAN!K649&lt;&gt;"-",SCAN!F649,0)</f>
        <v>0</v>
      </c>
      <c r="R649" s="53">
        <f>IF(SCAN!Q649&lt;&gt;"-",SCAN!D649,0)</f>
        <v>0</v>
      </c>
      <c r="S649" s="53">
        <f>IF(SCAN!Q649&lt;&gt;"-",SCAN!E649,0)</f>
        <v>0</v>
      </c>
      <c r="T649" s="53">
        <f>IF(SCAN!Q649&lt;&gt;"-",SCAN!F649,0)</f>
        <v>0</v>
      </c>
    </row>
    <row r="650" spans="8:20" x14ac:dyDescent="0.25">
      <c r="H650" s="50">
        <f>IF(AND(SCAN!K650="-",SCAN!Q650="-"),SCAN!D650,0)</f>
        <v>0</v>
      </c>
      <c r="I650" s="50">
        <f>IF(AND(SCAN!K650="-",SCAN!Q650="-"),SCAN!E650,0)</f>
        <v>0</v>
      </c>
      <c r="J650" s="50">
        <f>IF(AND(SCAN!K650="-",SCAN!Q650="-"),SCAN!F650,0)</f>
        <v>0</v>
      </c>
      <c r="M650" s="55">
        <f>IF(SCAN!K650&lt;&gt;"-",SCAN!D650,0)</f>
        <v>0</v>
      </c>
      <c r="N650" s="55">
        <f>IF(SCAN!K650&lt;&gt;"-",SCAN!E650,0)</f>
        <v>0</v>
      </c>
      <c r="O650" s="55">
        <f>IF(SCAN!K650&lt;&gt;"-",SCAN!F650,0)</f>
        <v>0</v>
      </c>
      <c r="R650" s="53">
        <f>IF(SCAN!Q650&lt;&gt;"-",SCAN!D650,0)</f>
        <v>0</v>
      </c>
      <c r="S650" s="53">
        <f>IF(SCAN!Q650&lt;&gt;"-",SCAN!E650,0)</f>
        <v>0</v>
      </c>
      <c r="T650" s="53">
        <f>IF(SCAN!Q650&lt;&gt;"-",SCAN!F650,0)</f>
        <v>0</v>
      </c>
    </row>
    <row r="651" spans="8:20" x14ac:dyDescent="0.25">
      <c r="H651" s="50">
        <f>IF(AND(SCAN!K651="-",SCAN!Q651="-"),SCAN!D651,0)</f>
        <v>0</v>
      </c>
      <c r="I651" s="50">
        <f>IF(AND(SCAN!K651="-",SCAN!Q651="-"),SCAN!E651,0)</f>
        <v>0</v>
      </c>
      <c r="J651" s="50">
        <f>IF(AND(SCAN!K651="-",SCAN!Q651="-"),SCAN!F651,0)</f>
        <v>0</v>
      </c>
      <c r="M651" s="55">
        <f>IF(SCAN!K651&lt;&gt;"-",SCAN!D651,0)</f>
        <v>0</v>
      </c>
      <c r="N651" s="55">
        <f>IF(SCAN!K651&lt;&gt;"-",SCAN!E651,0)</f>
        <v>0</v>
      </c>
      <c r="O651" s="55">
        <f>IF(SCAN!K651&lt;&gt;"-",SCAN!F651,0)</f>
        <v>0</v>
      </c>
      <c r="R651" s="53">
        <f>IF(SCAN!Q651&lt;&gt;"-",SCAN!D651,0)</f>
        <v>0</v>
      </c>
      <c r="S651" s="53">
        <f>IF(SCAN!Q651&lt;&gt;"-",SCAN!E651,0)</f>
        <v>0</v>
      </c>
      <c r="T651" s="53">
        <f>IF(SCAN!Q651&lt;&gt;"-",SCAN!F651,0)</f>
        <v>0</v>
      </c>
    </row>
    <row r="652" spans="8:20" x14ac:dyDescent="0.25">
      <c r="H652" s="50">
        <f>IF(AND(SCAN!K652="-",SCAN!Q652="-"),SCAN!D652,0)</f>
        <v>0</v>
      </c>
      <c r="I652" s="50">
        <f>IF(AND(SCAN!K652="-",SCAN!Q652="-"),SCAN!E652,0)</f>
        <v>0</v>
      </c>
      <c r="J652" s="50">
        <f>IF(AND(SCAN!K652="-",SCAN!Q652="-"),SCAN!F652,0)</f>
        <v>0</v>
      </c>
      <c r="M652" s="55">
        <f>IF(SCAN!K652&lt;&gt;"-",SCAN!D652,0)</f>
        <v>0</v>
      </c>
      <c r="N652" s="55">
        <f>IF(SCAN!K652&lt;&gt;"-",SCAN!E652,0)</f>
        <v>0</v>
      </c>
      <c r="O652" s="55">
        <f>IF(SCAN!K652&lt;&gt;"-",SCAN!F652,0)</f>
        <v>0</v>
      </c>
      <c r="R652" s="53">
        <f>IF(SCAN!Q652&lt;&gt;"-",SCAN!D652,0)</f>
        <v>0</v>
      </c>
      <c r="S652" s="53">
        <f>IF(SCAN!Q652&lt;&gt;"-",SCAN!E652,0)</f>
        <v>0</v>
      </c>
      <c r="T652" s="53">
        <f>IF(SCAN!Q652&lt;&gt;"-",SCAN!F652,0)</f>
        <v>0</v>
      </c>
    </row>
    <row r="653" spans="8:20" x14ac:dyDescent="0.25">
      <c r="H653" s="50">
        <f>IF(AND(SCAN!K653="-",SCAN!Q653="-"),SCAN!D653,0)</f>
        <v>0</v>
      </c>
      <c r="I653" s="50">
        <f>IF(AND(SCAN!K653="-",SCAN!Q653="-"),SCAN!E653,0)</f>
        <v>0</v>
      </c>
      <c r="J653" s="50">
        <f>IF(AND(SCAN!K653="-",SCAN!Q653="-"),SCAN!F653,0)</f>
        <v>0</v>
      </c>
      <c r="M653" s="55">
        <f>IF(SCAN!K653&lt;&gt;"-",SCAN!D653,0)</f>
        <v>0</v>
      </c>
      <c r="N653" s="55">
        <f>IF(SCAN!K653&lt;&gt;"-",SCAN!E653,0)</f>
        <v>0</v>
      </c>
      <c r="O653" s="55">
        <f>IF(SCAN!K653&lt;&gt;"-",SCAN!F653,0)</f>
        <v>0</v>
      </c>
      <c r="R653" s="53">
        <f>IF(SCAN!Q653&lt;&gt;"-",SCAN!D653,0)</f>
        <v>0</v>
      </c>
      <c r="S653" s="53">
        <f>IF(SCAN!Q653&lt;&gt;"-",SCAN!E653,0)</f>
        <v>0</v>
      </c>
      <c r="T653" s="53">
        <f>IF(SCAN!Q653&lt;&gt;"-",SCAN!F653,0)</f>
        <v>0</v>
      </c>
    </row>
    <row r="654" spans="8:20" x14ac:dyDescent="0.25">
      <c r="H654" s="50">
        <f>IF(AND(SCAN!K654="-",SCAN!Q654="-"),SCAN!D654,0)</f>
        <v>0</v>
      </c>
      <c r="I654" s="50">
        <f>IF(AND(SCAN!K654="-",SCAN!Q654="-"),SCAN!E654,0)</f>
        <v>0</v>
      </c>
      <c r="J654" s="50">
        <f>IF(AND(SCAN!K654="-",SCAN!Q654="-"),SCAN!F654,0)</f>
        <v>0</v>
      </c>
      <c r="M654" s="55">
        <f>IF(SCAN!K654&lt;&gt;"-",SCAN!D654,0)</f>
        <v>0</v>
      </c>
      <c r="N654" s="55">
        <f>IF(SCAN!K654&lt;&gt;"-",SCAN!E654,0)</f>
        <v>0</v>
      </c>
      <c r="O654" s="55">
        <f>IF(SCAN!K654&lt;&gt;"-",SCAN!F654,0)</f>
        <v>0</v>
      </c>
      <c r="R654" s="53">
        <f>IF(SCAN!Q654&lt;&gt;"-",SCAN!D654,0)</f>
        <v>0</v>
      </c>
      <c r="S654" s="53">
        <f>IF(SCAN!Q654&lt;&gt;"-",SCAN!E654,0)</f>
        <v>0</v>
      </c>
      <c r="T654" s="53">
        <f>IF(SCAN!Q654&lt;&gt;"-",SCAN!F654,0)</f>
        <v>0</v>
      </c>
    </row>
    <row r="655" spans="8:20" x14ac:dyDescent="0.25">
      <c r="H655" s="50">
        <f>IF(AND(SCAN!K655="-",SCAN!Q655="-"),SCAN!D655,0)</f>
        <v>0</v>
      </c>
      <c r="I655" s="50">
        <f>IF(AND(SCAN!K655="-",SCAN!Q655="-"),SCAN!E655,0)</f>
        <v>0</v>
      </c>
      <c r="J655" s="50">
        <f>IF(AND(SCAN!K655="-",SCAN!Q655="-"),SCAN!F655,0)</f>
        <v>0</v>
      </c>
      <c r="M655" s="55">
        <f>IF(SCAN!K655&lt;&gt;"-",SCAN!D655,0)</f>
        <v>0</v>
      </c>
      <c r="N655" s="55">
        <f>IF(SCAN!K655&lt;&gt;"-",SCAN!E655,0)</f>
        <v>0</v>
      </c>
      <c r="O655" s="55">
        <f>IF(SCAN!K655&lt;&gt;"-",SCAN!F655,0)</f>
        <v>0</v>
      </c>
      <c r="R655" s="53">
        <f>IF(SCAN!Q655&lt;&gt;"-",SCAN!D655,0)</f>
        <v>0</v>
      </c>
      <c r="S655" s="53">
        <f>IF(SCAN!Q655&lt;&gt;"-",SCAN!E655,0)</f>
        <v>0</v>
      </c>
      <c r="T655" s="53">
        <f>IF(SCAN!Q655&lt;&gt;"-",SCAN!F655,0)</f>
        <v>0</v>
      </c>
    </row>
    <row r="656" spans="8:20" x14ac:dyDescent="0.25">
      <c r="H656" s="50">
        <f>IF(AND(SCAN!K656="-",SCAN!Q656="-"),SCAN!D656,0)</f>
        <v>0</v>
      </c>
      <c r="I656" s="50">
        <f>IF(AND(SCAN!K656="-",SCAN!Q656="-"),SCAN!E656,0)</f>
        <v>0</v>
      </c>
      <c r="J656" s="50">
        <f>IF(AND(SCAN!K656="-",SCAN!Q656="-"),SCAN!F656,0)</f>
        <v>0</v>
      </c>
      <c r="M656" s="55">
        <f>IF(SCAN!K656&lt;&gt;"-",SCAN!D656,0)</f>
        <v>0</v>
      </c>
      <c r="N656" s="55">
        <f>IF(SCAN!K656&lt;&gt;"-",SCAN!E656,0)</f>
        <v>0</v>
      </c>
      <c r="O656" s="55">
        <f>IF(SCAN!K656&lt;&gt;"-",SCAN!F656,0)</f>
        <v>0</v>
      </c>
      <c r="R656" s="53">
        <f>IF(SCAN!Q656&lt;&gt;"-",SCAN!D656,0)</f>
        <v>0</v>
      </c>
      <c r="S656" s="53">
        <f>IF(SCAN!Q656&lt;&gt;"-",SCAN!E656,0)</f>
        <v>0</v>
      </c>
      <c r="T656" s="53">
        <f>IF(SCAN!Q656&lt;&gt;"-",SCAN!F656,0)</f>
        <v>0</v>
      </c>
    </row>
    <row r="657" spans="8:20" x14ac:dyDescent="0.25">
      <c r="H657" s="50">
        <f>IF(AND(SCAN!K657="-",SCAN!Q657="-"),SCAN!D657,0)</f>
        <v>0</v>
      </c>
      <c r="I657" s="50">
        <f>IF(AND(SCAN!K657="-",SCAN!Q657="-"),SCAN!E657,0)</f>
        <v>0</v>
      </c>
      <c r="J657" s="50">
        <f>IF(AND(SCAN!K657="-",SCAN!Q657="-"),SCAN!F657,0)</f>
        <v>0</v>
      </c>
      <c r="M657" s="55">
        <f>IF(SCAN!K657&lt;&gt;"-",SCAN!D657,0)</f>
        <v>0</v>
      </c>
      <c r="N657" s="55">
        <f>IF(SCAN!K657&lt;&gt;"-",SCAN!E657,0)</f>
        <v>0</v>
      </c>
      <c r="O657" s="55">
        <f>IF(SCAN!K657&lt;&gt;"-",SCAN!F657,0)</f>
        <v>0</v>
      </c>
      <c r="R657" s="53">
        <f>IF(SCAN!Q657&lt;&gt;"-",SCAN!D657,0)</f>
        <v>0</v>
      </c>
      <c r="S657" s="53">
        <f>IF(SCAN!Q657&lt;&gt;"-",SCAN!E657,0)</f>
        <v>0</v>
      </c>
      <c r="T657" s="53">
        <f>IF(SCAN!Q657&lt;&gt;"-",SCAN!F657,0)</f>
        <v>0</v>
      </c>
    </row>
    <row r="658" spans="8:20" x14ac:dyDescent="0.25">
      <c r="H658" s="50">
        <f>IF(AND(SCAN!K658="-",SCAN!Q658="-"),SCAN!D658,0)</f>
        <v>0</v>
      </c>
      <c r="I658" s="50">
        <f>IF(AND(SCAN!K658="-",SCAN!Q658="-"),SCAN!E658,0)</f>
        <v>0</v>
      </c>
      <c r="J658" s="50">
        <f>IF(AND(SCAN!K658="-",SCAN!Q658="-"),SCAN!F658,0)</f>
        <v>0</v>
      </c>
      <c r="M658" s="55">
        <f>IF(SCAN!K658&lt;&gt;"-",SCAN!D658,0)</f>
        <v>0</v>
      </c>
      <c r="N658" s="55">
        <f>IF(SCAN!K658&lt;&gt;"-",SCAN!E658,0)</f>
        <v>0</v>
      </c>
      <c r="O658" s="55">
        <f>IF(SCAN!K658&lt;&gt;"-",SCAN!F658,0)</f>
        <v>0</v>
      </c>
      <c r="R658" s="53">
        <f>IF(SCAN!Q658&lt;&gt;"-",SCAN!D658,0)</f>
        <v>0</v>
      </c>
      <c r="S658" s="53">
        <f>IF(SCAN!Q658&lt;&gt;"-",SCAN!E658,0)</f>
        <v>0</v>
      </c>
      <c r="T658" s="53">
        <f>IF(SCAN!Q658&lt;&gt;"-",SCAN!F658,0)</f>
        <v>0</v>
      </c>
    </row>
    <row r="659" spans="8:20" x14ac:dyDescent="0.25">
      <c r="H659" s="50">
        <f>IF(AND(SCAN!K659="-",SCAN!Q659="-"),SCAN!D659,0)</f>
        <v>0</v>
      </c>
      <c r="I659" s="50">
        <f>IF(AND(SCAN!K659="-",SCAN!Q659="-"),SCAN!E659,0)</f>
        <v>0</v>
      </c>
      <c r="J659" s="50">
        <f>IF(AND(SCAN!K659="-",SCAN!Q659="-"),SCAN!F659,0)</f>
        <v>0</v>
      </c>
      <c r="M659" s="55">
        <f>IF(SCAN!K659&lt;&gt;"-",SCAN!D659,0)</f>
        <v>0</v>
      </c>
      <c r="N659" s="55">
        <f>IF(SCAN!K659&lt;&gt;"-",SCAN!E659,0)</f>
        <v>0</v>
      </c>
      <c r="O659" s="55">
        <f>IF(SCAN!K659&lt;&gt;"-",SCAN!F659,0)</f>
        <v>0</v>
      </c>
      <c r="R659" s="53">
        <f>IF(SCAN!Q659&lt;&gt;"-",SCAN!D659,0)</f>
        <v>0</v>
      </c>
      <c r="S659" s="53">
        <f>IF(SCAN!Q659&lt;&gt;"-",SCAN!E659,0)</f>
        <v>0</v>
      </c>
      <c r="T659" s="53">
        <f>IF(SCAN!Q659&lt;&gt;"-",SCAN!F659,0)</f>
        <v>0</v>
      </c>
    </row>
    <row r="660" spans="8:20" x14ac:dyDescent="0.25">
      <c r="H660" s="50">
        <f>IF(AND(SCAN!K660="-",SCAN!Q660="-"),SCAN!D660,0)</f>
        <v>0</v>
      </c>
      <c r="I660" s="50">
        <f>IF(AND(SCAN!K660="-",SCAN!Q660="-"),SCAN!E660,0)</f>
        <v>0</v>
      </c>
      <c r="J660" s="50">
        <f>IF(AND(SCAN!K660="-",SCAN!Q660="-"),SCAN!F660,0)</f>
        <v>0</v>
      </c>
      <c r="M660" s="55">
        <f>IF(SCAN!K660&lt;&gt;"-",SCAN!D660,0)</f>
        <v>0</v>
      </c>
      <c r="N660" s="55">
        <f>IF(SCAN!K660&lt;&gt;"-",SCAN!E660,0)</f>
        <v>0</v>
      </c>
      <c r="O660" s="55">
        <f>IF(SCAN!K660&lt;&gt;"-",SCAN!F660,0)</f>
        <v>0</v>
      </c>
      <c r="R660" s="53">
        <f>IF(SCAN!Q660&lt;&gt;"-",SCAN!D660,0)</f>
        <v>0</v>
      </c>
      <c r="S660" s="53">
        <f>IF(SCAN!Q660&lt;&gt;"-",SCAN!E660,0)</f>
        <v>0</v>
      </c>
      <c r="T660" s="53">
        <f>IF(SCAN!Q660&lt;&gt;"-",SCAN!F660,0)</f>
        <v>0</v>
      </c>
    </row>
    <row r="661" spans="8:20" x14ac:dyDescent="0.25">
      <c r="H661" s="50">
        <f>IF(AND(SCAN!K661="-",SCAN!Q661="-"),SCAN!D661,0)</f>
        <v>0</v>
      </c>
      <c r="I661" s="50">
        <f>IF(AND(SCAN!K661="-",SCAN!Q661="-"),SCAN!E661,0)</f>
        <v>0</v>
      </c>
      <c r="J661" s="50">
        <f>IF(AND(SCAN!K661="-",SCAN!Q661="-"),SCAN!F661,0)</f>
        <v>0</v>
      </c>
      <c r="M661" s="55">
        <f>IF(SCAN!K661&lt;&gt;"-",SCAN!D661,0)</f>
        <v>0</v>
      </c>
      <c r="N661" s="55">
        <f>IF(SCAN!K661&lt;&gt;"-",SCAN!E661,0)</f>
        <v>0</v>
      </c>
      <c r="O661" s="55">
        <f>IF(SCAN!K661&lt;&gt;"-",SCAN!F661,0)</f>
        <v>0</v>
      </c>
      <c r="R661" s="53">
        <f>IF(SCAN!Q661&lt;&gt;"-",SCAN!D661,0)</f>
        <v>0</v>
      </c>
      <c r="S661" s="53">
        <f>IF(SCAN!Q661&lt;&gt;"-",SCAN!E661,0)</f>
        <v>0</v>
      </c>
      <c r="T661" s="53">
        <f>IF(SCAN!Q661&lt;&gt;"-",SCAN!F661,0)</f>
        <v>0</v>
      </c>
    </row>
    <row r="662" spans="8:20" x14ac:dyDescent="0.25">
      <c r="H662" s="50">
        <f>IF(AND(SCAN!K662="-",SCAN!Q662="-"),SCAN!D662,0)</f>
        <v>0</v>
      </c>
      <c r="I662" s="50">
        <f>IF(AND(SCAN!K662="-",SCAN!Q662="-"),SCAN!E662,0)</f>
        <v>0</v>
      </c>
      <c r="J662" s="50">
        <f>IF(AND(SCAN!K662="-",SCAN!Q662="-"),SCAN!F662,0)</f>
        <v>0</v>
      </c>
      <c r="M662" s="55">
        <f>IF(SCAN!K662&lt;&gt;"-",SCAN!D662,0)</f>
        <v>0</v>
      </c>
      <c r="N662" s="55">
        <f>IF(SCAN!K662&lt;&gt;"-",SCAN!E662,0)</f>
        <v>0</v>
      </c>
      <c r="O662" s="55">
        <f>IF(SCAN!K662&lt;&gt;"-",SCAN!F662,0)</f>
        <v>0</v>
      </c>
      <c r="R662" s="53">
        <f>IF(SCAN!Q662&lt;&gt;"-",SCAN!D662,0)</f>
        <v>0</v>
      </c>
      <c r="S662" s="53">
        <f>IF(SCAN!Q662&lt;&gt;"-",SCAN!E662,0)</f>
        <v>0</v>
      </c>
      <c r="T662" s="53">
        <f>IF(SCAN!Q662&lt;&gt;"-",SCAN!F662,0)</f>
        <v>0</v>
      </c>
    </row>
    <row r="663" spans="8:20" x14ac:dyDescent="0.25">
      <c r="H663" s="50">
        <f>IF(AND(SCAN!K663="-",SCAN!Q663="-"),SCAN!D663,0)</f>
        <v>0</v>
      </c>
      <c r="I663" s="50">
        <f>IF(AND(SCAN!K663="-",SCAN!Q663="-"),SCAN!E663,0)</f>
        <v>0</v>
      </c>
      <c r="J663" s="50">
        <f>IF(AND(SCAN!K663="-",SCAN!Q663="-"),SCAN!F663,0)</f>
        <v>0</v>
      </c>
      <c r="M663" s="55">
        <f>IF(SCAN!K663&lt;&gt;"-",SCAN!D663,0)</f>
        <v>0</v>
      </c>
      <c r="N663" s="55">
        <f>IF(SCAN!K663&lt;&gt;"-",SCAN!E663,0)</f>
        <v>0</v>
      </c>
      <c r="O663" s="55">
        <f>IF(SCAN!K663&lt;&gt;"-",SCAN!F663,0)</f>
        <v>0</v>
      </c>
      <c r="R663" s="53">
        <f>IF(SCAN!Q663&lt;&gt;"-",SCAN!D663,0)</f>
        <v>0</v>
      </c>
      <c r="S663" s="53">
        <f>IF(SCAN!Q663&lt;&gt;"-",SCAN!E663,0)</f>
        <v>0</v>
      </c>
      <c r="T663" s="53">
        <f>IF(SCAN!Q663&lt;&gt;"-",SCAN!F663,0)</f>
        <v>0</v>
      </c>
    </row>
    <row r="664" spans="8:20" x14ac:dyDescent="0.25">
      <c r="H664" s="50">
        <f>IF(AND(SCAN!K664="-",SCAN!Q664="-"),SCAN!D664,0)</f>
        <v>0</v>
      </c>
      <c r="I664" s="50">
        <f>IF(AND(SCAN!K664="-",SCAN!Q664="-"),SCAN!E664,0)</f>
        <v>0</v>
      </c>
      <c r="J664" s="50">
        <f>IF(AND(SCAN!K664="-",SCAN!Q664="-"),SCAN!F664,0)</f>
        <v>0</v>
      </c>
      <c r="M664" s="55">
        <f>IF(SCAN!K664&lt;&gt;"-",SCAN!D664,0)</f>
        <v>0</v>
      </c>
      <c r="N664" s="55">
        <f>IF(SCAN!K664&lt;&gt;"-",SCAN!E664,0)</f>
        <v>0</v>
      </c>
      <c r="O664" s="55">
        <f>IF(SCAN!K664&lt;&gt;"-",SCAN!F664,0)</f>
        <v>0</v>
      </c>
      <c r="R664" s="53">
        <f>IF(SCAN!Q664&lt;&gt;"-",SCAN!D664,0)</f>
        <v>0</v>
      </c>
      <c r="S664" s="53">
        <f>IF(SCAN!Q664&lt;&gt;"-",SCAN!E664,0)</f>
        <v>0</v>
      </c>
      <c r="T664" s="53">
        <f>IF(SCAN!Q664&lt;&gt;"-",SCAN!F664,0)</f>
        <v>0</v>
      </c>
    </row>
    <row r="665" spans="8:20" x14ac:dyDescent="0.25">
      <c r="H665" s="50">
        <f>IF(AND(SCAN!K665="-",SCAN!Q665="-"),SCAN!D665,0)</f>
        <v>0</v>
      </c>
      <c r="I665" s="50">
        <f>IF(AND(SCAN!K665="-",SCAN!Q665="-"),SCAN!E665,0)</f>
        <v>0</v>
      </c>
      <c r="J665" s="50">
        <f>IF(AND(SCAN!K665="-",SCAN!Q665="-"),SCAN!F665,0)</f>
        <v>0</v>
      </c>
      <c r="M665" s="55">
        <f>IF(SCAN!K665&lt;&gt;"-",SCAN!D665,0)</f>
        <v>0</v>
      </c>
      <c r="N665" s="55">
        <f>IF(SCAN!K665&lt;&gt;"-",SCAN!E665,0)</f>
        <v>0</v>
      </c>
      <c r="O665" s="55">
        <f>IF(SCAN!K665&lt;&gt;"-",SCAN!F665,0)</f>
        <v>0</v>
      </c>
      <c r="R665" s="53">
        <f>IF(SCAN!Q665&lt;&gt;"-",SCAN!D665,0)</f>
        <v>0</v>
      </c>
      <c r="S665" s="53">
        <f>IF(SCAN!Q665&lt;&gt;"-",SCAN!E665,0)</f>
        <v>0</v>
      </c>
      <c r="T665" s="53">
        <f>IF(SCAN!Q665&lt;&gt;"-",SCAN!F665,0)</f>
        <v>0</v>
      </c>
    </row>
    <row r="666" spans="8:20" x14ac:dyDescent="0.25">
      <c r="H666" s="50">
        <f>IF(AND(SCAN!K666="-",SCAN!Q666="-"),SCAN!D666,0)</f>
        <v>0</v>
      </c>
      <c r="I666" s="50">
        <f>IF(AND(SCAN!K666="-",SCAN!Q666="-"),SCAN!E666,0)</f>
        <v>0</v>
      </c>
      <c r="J666" s="50">
        <f>IF(AND(SCAN!K666="-",SCAN!Q666="-"),SCAN!F666,0)</f>
        <v>0</v>
      </c>
      <c r="M666" s="55">
        <f>IF(SCAN!K666&lt;&gt;"-",SCAN!D666,0)</f>
        <v>0</v>
      </c>
      <c r="N666" s="55">
        <f>IF(SCAN!K666&lt;&gt;"-",SCAN!E666,0)</f>
        <v>0</v>
      </c>
      <c r="O666" s="55">
        <f>IF(SCAN!K666&lt;&gt;"-",SCAN!F666,0)</f>
        <v>0</v>
      </c>
      <c r="R666" s="53">
        <f>IF(SCAN!Q666&lt;&gt;"-",SCAN!D666,0)</f>
        <v>0</v>
      </c>
      <c r="S666" s="53">
        <f>IF(SCAN!Q666&lt;&gt;"-",SCAN!E666,0)</f>
        <v>0</v>
      </c>
      <c r="T666" s="53">
        <f>IF(SCAN!Q666&lt;&gt;"-",SCAN!F666,0)</f>
        <v>0</v>
      </c>
    </row>
    <row r="667" spans="8:20" x14ac:dyDescent="0.25">
      <c r="H667" s="50">
        <f>IF(AND(SCAN!K667="-",SCAN!Q667="-"),SCAN!D667,0)</f>
        <v>0</v>
      </c>
      <c r="I667" s="50">
        <f>IF(AND(SCAN!K667="-",SCAN!Q667="-"),SCAN!E667,0)</f>
        <v>0</v>
      </c>
      <c r="J667" s="50">
        <f>IF(AND(SCAN!K667="-",SCAN!Q667="-"),SCAN!F667,0)</f>
        <v>0</v>
      </c>
      <c r="M667" s="55">
        <f>IF(SCAN!K667&lt;&gt;"-",SCAN!D667,0)</f>
        <v>0</v>
      </c>
      <c r="N667" s="55">
        <f>IF(SCAN!K667&lt;&gt;"-",SCAN!E667,0)</f>
        <v>0</v>
      </c>
      <c r="O667" s="55">
        <f>IF(SCAN!K667&lt;&gt;"-",SCAN!F667,0)</f>
        <v>0</v>
      </c>
      <c r="R667" s="53">
        <f>IF(SCAN!Q667&lt;&gt;"-",SCAN!D667,0)</f>
        <v>0</v>
      </c>
      <c r="S667" s="53">
        <f>IF(SCAN!Q667&lt;&gt;"-",SCAN!E667,0)</f>
        <v>0</v>
      </c>
      <c r="T667" s="53">
        <f>IF(SCAN!Q667&lt;&gt;"-",SCAN!F667,0)</f>
        <v>0</v>
      </c>
    </row>
    <row r="668" spans="8:20" x14ac:dyDescent="0.25">
      <c r="H668" s="50">
        <f>IF(AND(SCAN!K668="-",SCAN!Q668="-"),SCAN!D668,0)</f>
        <v>0</v>
      </c>
      <c r="I668" s="50">
        <f>IF(AND(SCAN!K668="-",SCAN!Q668="-"),SCAN!E668,0)</f>
        <v>0</v>
      </c>
      <c r="J668" s="50">
        <f>IF(AND(SCAN!K668="-",SCAN!Q668="-"),SCAN!F668,0)</f>
        <v>0</v>
      </c>
      <c r="M668" s="55">
        <f>IF(SCAN!K668&lt;&gt;"-",SCAN!D668,0)</f>
        <v>0</v>
      </c>
      <c r="N668" s="55">
        <f>IF(SCAN!K668&lt;&gt;"-",SCAN!E668,0)</f>
        <v>0</v>
      </c>
      <c r="O668" s="55">
        <f>IF(SCAN!K668&lt;&gt;"-",SCAN!F668,0)</f>
        <v>0</v>
      </c>
      <c r="R668" s="53">
        <f>IF(SCAN!Q668&lt;&gt;"-",SCAN!D668,0)</f>
        <v>0</v>
      </c>
      <c r="S668" s="53">
        <f>IF(SCAN!Q668&lt;&gt;"-",SCAN!E668,0)</f>
        <v>0</v>
      </c>
      <c r="T668" s="53">
        <f>IF(SCAN!Q668&lt;&gt;"-",SCAN!F668,0)</f>
        <v>0</v>
      </c>
    </row>
    <row r="669" spans="8:20" x14ac:dyDescent="0.25">
      <c r="H669" s="50">
        <f>IF(AND(SCAN!K669="-",SCAN!Q669="-"),SCAN!D669,0)</f>
        <v>0</v>
      </c>
      <c r="I669" s="50">
        <f>IF(AND(SCAN!K669="-",SCAN!Q669="-"),SCAN!E669,0)</f>
        <v>0</v>
      </c>
      <c r="J669" s="50">
        <f>IF(AND(SCAN!K669="-",SCAN!Q669="-"),SCAN!F669,0)</f>
        <v>0</v>
      </c>
      <c r="M669" s="55">
        <f>IF(SCAN!K669&lt;&gt;"-",SCAN!D669,0)</f>
        <v>0</v>
      </c>
      <c r="N669" s="55">
        <f>IF(SCAN!K669&lt;&gt;"-",SCAN!E669,0)</f>
        <v>0</v>
      </c>
      <c r="O669" s="55">
        <f>IF(SCAN!K669&lt;&gt;"-",SCAN!F669,0)</f>
        <v>0</v>
      </c>
      <c r="R669" s="53">
        <f>IF(SCAN!Q669&lt;&gt;"-",SCAN!D669,0)</f>
        <v>0</v>
      </c>
      <c r="S669" s="53">
        <f>IF(SCAN!Q669&lt;&gt;"-",SCAN!E669,0)</f>
        <v>0</v>
      </c>
      <c r="T669" s="53">
        <f>IF(SCAN!Q669&lt;&gt;"-",SCAN!F669,0)</f>
        <v>0</v>
      </c>
    </row>
    <row r="670" spans="8:20" x14ac:dyDescent="0.25">
      <c r="H670" s="50">
        <f>IF(AND(SCAN!K670="-",SCAN!Q670="-"),SCAN!D670,0)</f>
        <v>0</v>
      </c>
      <c r="I670" s="50">
        <f>IF(AND(SCAN!K670="-",SCAN!Q670="-"),SCAN!E670,0)</f>
        <v>0</v>
      </c>
      <c r="J670" s="50">
        <f>IF(AND(SCAN!K670="-",SCAN!Q670="-"),SCAN!F670,0)</f>
        <v>0</v>
      </c>
      <c r="M670" s="55">
        <f>IF(SCAN!K670&lt;&gt;"-",SCAN!D670,0)</f>
        <v>0</v>
      </c>
      <c r="N670" s="55">
        <f>IF(SCAN!K670&lt;&gt;"-",SCAN!E670,0)</f>
        <v>0</v>
      </c>
      <c r="O670" s="55">
        <f>IF(SCAN!K670&lt;&gt;"-",SCAN!F670,0)</f>
        <v>0</v>
      </c>
      <c r="R670" s="53">
        <f>IF(SCAN!Q670&lt;&gt;"-",SCAN!D670,0)</f>
        <v>0</v>
      </c>
      <c r="S670" s="53">
        <f>IF(SCAN!Q670&lt;&gt;"-",SCAN!E670,0)</f>
        <v>0</v>
      </c>
      <c r="T670" s="53">
        <f>IF(SCAN!Q670&lt;&gt;"-",SCAN!F670,0)</f>
        <v>0</v>
      </c>
    </row>
    <row r="671" spans="8:20" x14ac:dyDescent="0.25">
      <c r="H671" s="50">
        <f>IF(AND(SCAN!K671="-",SCAN!Q671="-"),SCAN!D671,0)</f>
        <v>0</v>
      </c>
      <c r="I671" s="50">
        <f>IF(AND(SCAN!K671="-",SCAN!Q671="-"),SCAN!E671,0)</f>
        <v>0</v>
      </c>
      <c r="J671" s="50">
        <f>IF(AND(SCAN!K671="-",SCAN!Q671="-"),SCAN!F671,0)</f>
        <v>0</v>
      </c>
      <c r="M671" s="55">
        <f>IF(SCAN!K671&lt;&gt;"-",SCAN!D671,0)</f>
        <v>0</v>
      </c>
      <c r="N671" s="55">
        <f>IF(SCAN!K671&lt;&gt;"-",SCAN!E671,0)</f>
        <v>0</v>
      </c>
      <c r="O671" s="55">
        <f>IF(SCAN!K671&lt;&gt;"-",SCAN!F671,0)</f>
        <v>0</v>
      </c>
      <c r="R671" s="53">
        <f>IF(SCAN!Q671&lt;&gt;"-",SCAN!D671,0)</f>
        <v>0</v>
      </c>
      <c r="S671" s="53">
        <f>IF(SCAN!Q671&lt;&gt;"-",SCAN!E671,0)</f>
        <v>0</v>
      </c>
      <c r="T671" s="53">
        <f>IF(SCAN!Q671&lt;&gt;"-",SCAN!F671,0)</f>
        <v>0</v>
      </c>
    </row>
    <row r="672" spans="8:20" x14ac:dyDescent="0.25">
      <c r="H672" s="50">
        <f>IF(AND(SCAN!K672="-",SCAN!Q672="-"),SCAN!D672,0)</f>
        <v>0</v>
      </c>
      <c r="I672" s="50">
        <f>IF(AND(SCAN!K672="-",SCAN!Q672="-"),SCAN!E672,0)</f>
        <v>0</v>
      </c>
      <c r="J672" s="50">
        <f>IF(AND(SCAN!K672="-",SCAN!Q672="-"),SCAN!F672,0)</f>
        <v>0</v>
      </c>
      <c r="M672" s="55">
        <f>IF(SCAN!K672&lt;&gt;"-",SCAN!D672,0)</f>
        <v>0</v>
      </c>
      <c r="N672" s="55">
        <f>IF(SCAN!K672&lt;&gt;"-",SCAN!E672,0)</f>
        <v>0</v>
      </c>
      <c r="O672" s="55">
        <f>IF(SCAN!K672&lt;&gt;"-",SCAN!F672,0)</f>
        <v>0</v>
      </c>
      <c r="R672" s="53">
        <f>IF(SCAN!Q672&lt;&gt;"-",SCAN!D672,0)</f>
        <v>0</v>
      </c>
      <c r="S672" s="53">
        <f>IF(SCAN!Q672&lt;&gt;"-",SCAN!E672,0)</f>
        <v>0</v>
      </c>
      <c r="T672" s="53">
        <f>IF(SCAN!Q672&lt;&gt;"-",SCAN!F672,0)</f>
        <v>0</v>
      </c>
    </row>
    <row r="673" spans="8:20" x14ac:dyDescent="0.25">
      <c r="H673" s="50">
        <f>IF(AND(SCAN!K673="-",SCAN!Q673="-"),SCAN!D673,0)</f>
        <v>0</v>
      </c>
      <c r="I673" s="50">
        <f>IF(AND(SCAN!K673="-",SCAN!Q673="-"),SCAN!E673,0)</f>
        <v>0</v>
      </c>
      <c r="J673" s="50">
        <f>IF(AND(SCAN!K673="-",SCAN!Q673="-"),SCAN!F673,0)</f>
        <v>0</v>
      </c>
      <c r="M673" s="55">
        <f>IF(SCAN!K673&lt;&gt;"-",SCAN!D673,0)</f>
        <v>0</v>
      </c>
      <c r="N673" s="55">
        <f>IF(SCAN!K673&lt;&gt;"-",SCAN!E673,0)</f>
        <v>0</v>
      </c>
      <c r="O673" s="55">
        <f>IF(SCAN!K673&lt;&gt;"-",SCAN!F673,0)</f>
        <v>0</v>
      </c>
      <c r="R673" s="53">
        <f>IF(SCAN!Q673&lt;&gt;"-",SCAN!D673,0)</f>
        <v>0</v>
      </c>
      <c r="S673" s="53">
        <f>IF(SCAN!Q673&lt;&gt;"-",SCAN!E673,0)</f>
        <v>0</v>
      </c>
      <c r="T673" s="53">
        <f>IF(SCAN!Q673&lt;&gt;"-",SCAN!F673,0)</f>
        <v>0</v>
      </c>
    </row>
    <row r="674" spans="8:20" x14ac:dyDescent="0.25">
      <c r="H674" s="50">
        <f>IF(AND(SCAN!K674="-",SCAN!Q674="-"),SCAN!D674,0)</f>
        <v>0</v>
      </c>
      <c r="I674" s="50">
        <f>IF(AND(SCAN!K674="-",SCAN!Q674="-"),SCAN!E674,0)</f>
        <v>0</v>
      </c>
      <c r="J674" s="50">
        <f>IF(AND(SCAN!K674="-",SCAN!Q674="-"),SCAN!F674,0)</f>
        <v>0</v>
      </c>
      <c r="M674" s="55">
        <f>IF(SCAN!K674&lt;&gt;"-",SCAN!D674,0)</f>
        <v>0</v>
      </c>
      <c r="N674" s="55">
        <f>IF(SCAN!K674&lt;&gt;"-",SCAN!E674,0)</f>
        <v>0</v>
      </c>
      <c r="O674" s="55">
        <f>IF(SCAN!K674&lt;&gt;"-",SCAN!F674,0)</f>
        <v>0</v>
      </c>
      <c r="R674" s="53">
        <f>IF(SCAN!Q674&lt;&gt;"-",SCAN!D674,0)</f>
        <v>0</v>
      </c>
      <c r="S674" s="53">
        <f>IF(SCAN!Q674&lt;&gt;"-",SCAN!E674,0)</f>
        <v>0</v>
      </c>
      <c r="T674" s="53">
        <f>IF(SCAN!Q674&lt;&gt;"-",SCAN!F674,0)</f>
        <v>0</v>
      </c>
    </row>
    <row r="675" spans="8:20" x14ac:dyDescent="0.25">
      <c r="H675" s="50">
        <f>IF(AND(SCAN!K675="-",SCAN!Q675="-"),SCAN!D675,0)</f>
        <v>0</v>
      </c>
      <c r="I675" s="50">
        <f>IF(AND(SCAN!K675="-",SCAN!Q675="-"),SCAN!E675,0)</f>
        <v>0</v>
      </c>
      <c r="J675" s="50">
        <f>IF(AND(SCAN!K675="-",SCAN!Q675="-"),SCAN!F675,0)</f>
        <v>0</v>
      </c>
      <c r="M675" s="55">
        <f>IF(SCAN!K675&lt;&gt;"-",SCAN!D675,0)</f>
        <v>0</v>
      </c>
      <c r="N675" s="55">
        <f>IF(SCAN!K675&lt;&gt;"-",SCAN!E675,0)</f>
        <v>0</v>
      </c>
      <c r="O675" s="55">
        <f>IF(SCAN!K675&lt;&gt;"-",SCAN!F675,0)</f>
        <v>0</v>
      </c>
      <c r="R675" s="53">
        <f>IF(SCAN!Q675&lt;&gt;"-",SCAN!D675,0)</f>
        <v>0</v>
      </c>
      <c r="S675" s="53">
        <f>IF(SCAN!Q675&lt;&gt;"-",SCAN!E675,0)</f>
        <v>0</v>
      </c>
      <c r="T675" s="53">
        <f>IF(SCAN!Q675&lt;&gt;"-",SCAN!F675,0)</f>
        <v>0</v>
      </c>
    </row>
    <row r="676" spans="8:20" x14ac:dyDescent="0.25">
      <c r="H676" s="50">
        <f>IF(AND(SCAN!K676="-",SCAN!Q676="-"),SCAN!D676,0)</f>
        <v>0</v>
      </c>
      <c r="I676" s="50">
        <f>IF(AND(SCAN!K676="-",SCAN!Q676="-"),SCAN!E676,0)</f>
        <v>0</v>
      </c>
      <c r="J676" s="50">
        <f>IF(AND(SCAN!K676="-",SCAN!Q676="-"),SCAN!F676,0)</f>
        <v>0</v>
      </c>
      <c r="M676" s="55">
        <f>IF(SCAN!K676&lt;&gt;"-",SCAN!D676,0)</f>
        <v>0</v>
      </c>
      <c r="N676" s="55">
        <f>IF(SCAN!K676&lt;&gt;"-",SCAN!E676,0)</f>
        <v>0</v>
      </c>
      <c r="O676" s="55">
        <f>IF(SCAN!K676&lt;&gt;"-",SCAN!F676,0)</f>
        <v>0</v>
      </c>
      <c r="R676" s="53">
        <f>IF(SCAN!Q676&lt;&gt;"-",SCAN!D676,0)</f>
        <v>0</v>
      </c>
      <c r="S676" s="53">
        <f>IF(SCAN!Q676&lt;&gt;"-",SCAN!E676,0)</f>
        <v>0</v>
      </c>
      <c r="T676" s="53">
        <f>IF(SCAN!Q676&lt;&gt;"-",SCAN!F676,0)</f>
        <v>0</v>
      </c>
    </row>
    <row r="677" spans="8:20" x14ac:dyDescent="0.25">
      <c r="H677" s="50">
        <f>IF(AND(SCAN!K677="-",SCAN!Q677="-"),SCAN!D677,0)</f>
        <v>0</v>
      </c>
      <c r="I677" s="50">
        <f>IF(AND(SCAN!K677="-",SCAN!Q677="-"),SCAN!E677,0)</f>
        <v>0</v>
      </c>
      <c r="J677" s="50">
        <f>IF(AND(SCAN!K677="-",SCAN!Q677="-"),SCAN!F677,0)</f>
        <v>0</v>
      </c>
      <c r="M677" s="55">
        <f>IF(SCAN!K677&lt;&gt;"-",SCAN!D677,0)</f>
        <v>0</v>
      </c>
      <c r="N677" s="55">
        <f>IF(SCAN!K677&lt;&gt;"-",SCAN!E677,0)</f>
        <v>0</v>
      </c>
      <c r="O677" s="55">
        <f>IF(SCAN!K677&lt;&gt;"-",SCAN!F677,0)</f>
        <v>0</v>
      </c>
      <c r="R677" s="53">
        <f>IF(SCAN!Q677&lt;&gt;"-",SCAN!D677,0)</f>
        <v>0</v>
      </c>
      <c r="S677" s="53">
        <f>IF(SCAN!Q677&lt;&gt;"-",SCAN!E677,0)</f>
        <v>0</v>
      </c>
      <c r="T677" s="53">
        <f>IF(SCAN!Q677&lt;&gt;"-",SCAN!F677,0)</f>
        <v>0</v>
      </c>
    </row>
    <row r="678" spans="8:20" x14ac:dyDescent="0.25">
      <c r="H678" s="50">
        <f>IF(AND(SCAN!K678="-",SCAN!Q678="-"),SCAN!D678,0)</f>
        <v>0</v>
      </c>
      <c r="I678" s="50">
        <f>IF(AND(SCAN!K678="-",SCAN!Q678="-"),SCAN!E678,0)</f>
        <v>0</v>
      </c>
      <c r="J678" s="50">
        <f>IF(AND(SCAN!K678="-",SCAN!Q678="-"),SCAN!F678,0)</f>
        <v>0</v>
      </c>
      <c r="M678" s="55">
        <f>IF(SCAN!K678&lt;&gt;"-",SCAN!D678,0)</f>
        <v>0</v>
      </c>
      <c r="N678" s="55">
        <f>IF(SCAN!K678&lt;&gt;"-",SCAN!E678,0)</f>
        <v>0</v>
      </c>
      <c r="O678" s="55">
        <f>IF(SCAN!K678&lt;&gt;"-",SCAN!F678,0)</f>
        <v>0</v>
      </c>
      <c r="R678" s="53">
        <f>IF(SCAN!Q678&lt;&gt;"-",SCAN!D678,0)</f>
        <v>0</v>
      </c>
      <c r="S678" s="53">
        <f>IF(SCAN!Q678&lt;&gt;"-",SCAN!E678,0)</f>
        <v>0</v>
      </c>
      <c r="T678" s="53">
        <f>IF(SCAN!Q678&lt;&gt;"-",SCAN!F678,0)</f>
        <v>0</v>
      </c>
    </row>
    <row r="679" spans="8:20" x14ac:dyDescent="0.25">
      <c r="H679" s="50">
        <f>IF(AND(SCAN!K679="-",SCAN!Q679="-"),SCAN!D679,0)</f>
        <v>0</v>
      </c>
      <c r="I679" s="50">
        <f>IF(AND(SCAN!K679="-",SCAN!Q679="-"),SCAN!E679,0)</f>
        <v>0</v>
      </c>
      <c r="J679" s="50">
        <f>IF(AND(SCAN!K679="-",SCAN!Q679="-"),SCAN!F679,0)</f>
        <v>0</v>
      </c>
      <c r="M679" s="55">
        <f>IF(SCAN!K679&lt;&gt;"-",SCAN!D679,0)</f>
        <v>0</v>
      </c>
      <c r="N679" s="55">
        <f>IF(SCAN!K679&lt;&gt;"-",SCAN!E679,0)</f>
        <v>0</v>
      </c>
      <c r="O679" s="55">
        <f>IF(SCAN!K679&lt;&gt;"-",SCAN!F679,0)</f>
        <v>0</v>
      </c>
      <c r="R679" s="53">
        <f>IF(SCAN!Q679&lt;&gt;"-",SCAN!D679,0)</f>
        <v>0</v>
      </c>
      <c r="S679" s="53">
        <f>IF(SCAN!Q679&lt;&gt;"-",SCAN!E679,0)</f>
        <v>0</v>
      </c>
      <c r="T679" s="53">
        <f>IF(SCAN!Q679&lt;&gt;"-",SCAN!F679,0)</f>
        <v>0</v>
      </c>
    </row>
    <row r="680" spans="8:20" x14ac:dyDescent="0.25">
      <c r="H680" s="50">
        <f>IF(AND(SCAN!K680="-",SCAN!Q680="-"),SCAN!D680,0)</f>
        <v>0</v>
      </c>
      <c r="I680" s="50">
        <f>IF(AND(SCAN!K680="-",SCAN!Q680="-"),SCAN!E680,0)</f>
        <v>0</v>
      </c>
      <c r="J680" s="50">
        <f>IF(AND(SCAN!K680="-",SCAN!Q680="-"),SCAN!F680,0)</f>
        <v>0</v>
      </c>
      <c r="M680" s="55">
        <f>IF(SCAN!K680&lt;&gt;"-",SCAN!D680,0)</f>
        <v>0</v>
      </c>
      <c r="N680" s="55">
        <f>IF(SCAN!K680&lt;&gt;"-",SCAN!E680,0)</f>
        <v>0</v>
      </c>
      <c r="O680" s="55">
        <f>IF(SCAN!K680&lt;&gt;"-",SCAN!F680,0)</f>
        <v>0</v>
      </c>
      <c r="R680" s="53">
        <f>IF(SCAN!Q680&lt;&gt;"-",SCAN!D680,0)</f>
        <v>0</v>
      </c>
      <c r="S680" s="53">
        <f>IF(SCAN!Q680&lt;&gt;"-",SCAN!E680,0)</f>
        <v>0</v>
      </c>
      <c r="T680" s="53">
        <f>IF(SCAN!Q680&lt;&gt;"-",SCAN!F680,0)</f>
        <v>0</v>
      </c>
    </row>
    <row r="681" spans="8:20" x14ac:dyDescent="0.25">
      <c r="H681" s="50">
        <f>IF(AND(SCAN!K681="-",SCAN!Q681="-"),SCAN!D681,0)</f>
        <v>0</v>
      </c>
      <c r="I681" s="50">
        <f>IF(AND(SCAN!K681="-",SCAN!Q681="-"),SCAN!E681,0)</f>
        <v>0</v>
      </c>
      <c r="J681" s="50">
        <f>IF(AND(SCAN!K681="-",SCAN!Q681="-"),SCAN!F681,0)</f>
        <v>0</v>
      </c>
      <c r="M681" s="55">
        <f>IF(SCAN!K681&lt;&gt;"-",SCAN!D681,0)</f>
        <v>0</v>
      </c>
      <c r="N681" s="55">
        <f>IF(SCAN!K681&lt;&gt;"-",SCAN!E681,0)</f>
        <v>0</v>
      </c>
      <c r="O681" s="55">
        <f>IF(SCAN!K681&lt;&gt;"-",SCAN!F681,0)</f>
        <v>0</v>
      </c>
      <c r="R681" s="53">
        <f>IF(SCAN!Q681&lt;&gt;"-",SCAN!D681,0)</f>
        <v>0</v>
      </c>
      <c r="S681" s="53">
        <f>IF(SCAN!Q681&lt;&gt;"-",SCAN!E681,0)</f>
        <v>0</v>
      </c>
      <c r="T681" s="53">
        <f>IF(SCAN!Q681&lt;&gt;"-",SCAN!F681,0)</f>
        <v>0</v>
      </c>
    </row>
    <row r="682" spans="8:20" x14ac:dyDescent="0.25">
      <c r="H682" s="50">
        <f>IF(AND(SCAN!K682="-",SCAN!Q682="-"),SCAN!D682,0)</f>
        <v>0</v>
      </c>
      <c r="I682" s="50">
        <f>IF(AND(SCAN!K682="-",SCAN!Q682="-"),SCAN!E682,0)</f>
        <v>0</v>
      </c>
      <c r="J682" s="50">
        <f>IF(AND(SCAN!K682="-",SCAN!Q682="-"),SCAN!F682,0)</f>
        <v>0</v>
      </c>
      <c r="M682" s="55">
        <f>IF(SCAN!K682&lt;&gt;"-",SCAN!D682,0)</f>
        <v>0</v>
      </c>
      <c r="N682" s="55">
        <f>IF(SCAN!K682&lt;&gt;"-",SCAN!E682,0)</f>
        <v>0</v>
      </c>
      <c r="O682" s="55">
        <f>IF(SCAN!K682&lt;&gt;"-",SCAN!F682,0)</f>
        <v>0</v>
      </c>
      <c r="R682" s="53">
        <f>IF(SCAN!Q682&lt;&gt;"-",SCAN!D682,0)</f>
        <v>0</v>
      </c>
      <c r="S682" s="53">
        <f>IF(SCAN!Q682&lt;&gt;"-",SCAN!E682,0)</f>
        <v>0</v>
      </c>
      <c r="T682" s="53">
        <f>IF(SCAN!Q682&lt;&gt;"-",SCAN!F682,0)</f>
        <v>0</v>
      </c>
    </row>
    <row r="683" spans="8:20" x14ac:dyDescent="0.25">
      <c r="H683" s="50">
        <f>IF(AND(SCAN!K683="-",SCAN!Q683="-"),SCAN!D683,0)</f>
        <v>0</v>
      </c>
      <c r="I683" s="50">
        <f>IF(AND(SCAN!K683="-",SCAN!Q683="-"),SCAN!E683,0)</f>
        <v>0</v>
      </c>
      <c r="J683" s="50">
        <f>IF(AND(SCAN!K683="-",SCAN!Q683="-"),SCAN!F683,0)</f>
        <v>0</v>
      </c>
      <c r="M683" s="55">
        <f>IF(SCAN!K683&lt;&gt;"-",SCAN!D683,0)</f>
        <v>0</v>
      </c>
      <c r="N683" s="55">
        <f>IF(SCAN!K683&lt;&gt;"-",SCAN!E683,0)</f>
        <v>0</v>
      </c>
      <c r="O683" s="55">
        <f>IF(SCAN!K683&lt;&gt;"-",SCAN!F683,0)</f>
        <v>0</v>
      </c>
      <c r="R683" s="53">
        <f>IF(SCAN!Q683&lt;&gt;"-",SCAN!D683,0)</f>
        <v>0</v>
      </c>
      <c r="S683" s="53">
        <f>IF(SCAN!Q683&lt;&gt;"-",SCAN!E683,0)</f>
        <v>0</v>
      </c>
      <c r="T683" s="53">
        <f>IF(SCAN!Q683&lt;&gt;"-",SCAN!F683,0)</f>
        <v>0</v>
      </c>
    </row>
    <row r="684" spans="8:20" x14ac:dyDescent="0.25">
      <c r="H684" s="50">
        <f>IF(AND(SCAN!K684="-",SCAN!Q684="-"),SCAN!D684,0)</f>
        <v>0</v>
      </c>
      <c r="I684" s="50">
        <f>IF(AND(SCAN!K684="-",SCAN!Q684="-"),SCAN!E684,0)</f>
        <v>0</v>
      </c>
      <c r="J684" s="50">
        <f>IF(AND(SCAN!K684="-",SCAN!Q684="-"),SCAN!F684,0)</f>
        <v>0</v>
      </c>
      <c r="M684" s="55">
        <f>IF(SCAN!K684&lt;&gt;"-",SCAN!D684,0)</f>
        <v>0</v>
      </c>
      <c r="N684" s="55">
        <f>IF(SCAN!K684&lt;&gt;"-",SCAN!E684,0)</f>
        <v>0</v>
      </c>
      <c r="O684" s="55">
        <f>IF(SCAN!K684&lt;&gt;"-",SCAN!F684,0)</f>
        <v>0</v>
      </c>
      <c r="R684" s="53">
        <f>IF(SCAN!Q684&lt;&gt;"-",SCAN!D684,0)</f>
        <v>0</v>
      </c>
      <c r="S684" s="53">
        <f>IF(SCAN!Q684&lt;&gt;"-",SCAN!E684,0)</f>
        <v>0</v>
      </c>
      <c r="T684" s="53">
        <f>IF(SCAN!Q684&lt;&gt;"-",SCAN!F684,0)</f>
        <v>0</v>
      </c>
    </row>
    <row r="685" spans="8:20" x14ac:dyDescent="0.25">
      <c r="H685" s="50">
        <f>IF(AND(SCAN!K685="-",SCAN!Q685="-"),SCAN!D685,0)</f>
        <v>0</v>
      </c>
      <c r="I685" s="50">
        <f>IF(AND(SCAN!K685="-",SCAN!Q685="-"),SCAN!E685,0)</f>
        <v>0</v>
      </c>
      <c r="J685" s="50">
        <f>IF(AND(SCAN!K685="-",SCAN!Q685="-"),SCAN!F685,0)</f>
        <v>0</v>
      </c>
      <c r="M685" s="55">
        <f>IF(SCAN!K685&lt;&gt;"-",SCAN!D685,0)</f>
        <v>0</v>
      </c>
      <c r="N685" s="55">
        <f>IF(SCAN!K685&lt;&gt;"-",SCAN!E685,0)</f>
        <v>0</v>
      </c>
      <c r="O685" s="55">
        <f>IF(SCAN!K685&lt;&gt;"-",SCAN!F685,0)</f>
        <v>0</v>
      </c>
      <c r="R685" s="53">
        <f>IF(SCAN!Q685&lt;&gt;"-",SCAN!D685,0)</f>
        <v>0</v>
      </c>
      <c r="S685" s="53">
        <f>IF(SCAN!Q685&lt;&gt;"-",SCAN!E685,0)</f>
        <v>0</v>
      </c>
      <c r="T685" s="53">
        <f>IF(SCAN!Q685&lt;&gt;"-",SCAN!F685,0)</f>
        <v>0</v>
      </c>
    </row>
    <row r="686" spans="8:20" x14ac:dyDescent="0.25">
      <c r="H686" s="50">
        <f>IF(AND(SCAN!K686="-",SCAN!Q686="-"),SCAN!D686,0)</f>
        <v>0</v>
      </c>
      <c r="I686" s="50">
        <f>IF(AND(SCAN!K686="-",SCAN!Q686="-"),SCAN!E686,0)</f>
        <v>0</v>
      </c>
      <c r="J686" s="50">
        <f>IF(AND(SCAN!K686="-",SCAN!Q686="-"),SCAN!F686,0)</f>
        <v>0</v>
      </c>
      <c r="M686" s="55">
        <f>IF(SCAN!K686&lt;&gt;"-",SCAN!D686,0)</f>
        <v>0</v>
      </c>
      <c r="N686" s="55">
        <f>IF(SCAN!K686&lt;&gt;"-",SCAN!E686,0)</f>
        <v>0</v>
      </c>
      <c r="O686" s="55">
        <f>IF(SCAN!K686&lt;&gt;"-",SCAN!F686,0)</f>
        <v>0</v>
      </c>
      <c r="R686" s="53">
        <f>IF(SCAN!Q686&lt;&gt;"-",SCAN!D686,0)</f>
        <v>0</v>
      </c>
      <c r="S686" s="53">
        <f>IF(SCAN!Q686&lt;&gt;"-",SCAN!E686,0)</f>
        <v>0</v>
      </c>
      <c r="T686" s="53">
        <f>IF(SCAN!Q686&lt;&gt;"-",SCAN!F686,0)</f>
        <v>0</v>
      </c>
    </row>
    <row r="687" spans="8:20" x14ac:dyDescent="0.25">
      <c r="H687" s="50">
        <f>IF(AND(SCAN!K687="-",SCAN!Q687="-"),SCAN!D687,0)</f>
        <v>0</v>
      </c>
      <c r="I687" s="50">
        <f>IF(AND(SCAN!K687="-",SCAN!Q687="-"),SCAN!E687,0)</f>
        <v>0</v>
      </c>
      <c r="J687" s="50">
        <f>IF(AND(SCAN!K687="-",SCAN!Q687="-"),SCAN!F687,0)</f>
        <v>0</v>
      </c>
      <c r="M687" s="55">
        <f>IF(SCAN!K687&lt;&gt;"-",SCAN!D687,0)</f>
        <v>0</v>
      </c>
      <c r="N687" s="55">
        <f>IF(SCAN!K687&lt;&gt;"-",SCAN!E687,0)</f>
        <v>0</v>
      </c>
      <c r="O687" s="55">
        <f>IF(SCAN!K687&lt;&gt;"-",SCAN!F687,0)</f>
        <v>0</v>
      </c>
      <c r="R687" s="53">
        <f>IF(SCAN!Q687&lt;&gt;"-",SCAN!D687,0)</f>
        <v>0</v>
      </c>
      <c r="S687" s="53">
        <f>IF(SCAN!Q687&lt;&gt;"-",SCAN!E687,0)</f>
        <v>0</v>
      </c>
      <c r="T687" s="53">
        <f>IF(SCAN!Q687&lt;&gt;"-",SCAN!F687,0)</f>
        <v>0</v>
      </c>
    </row>
    <row r="688" spans="8:20" x14ac:dyDescent="0.25">
      <c r="H688" s="50">
        <f>IF(AND(SCAN!K688="-",SCAN!Q688="-"),SCAN!D688,0)</f>
        <v>0</v>
      </c>
      <c r="I688" s="50">
        <f>IF(AND(SCAN!K688="-",SCAN!Q688="-"),SCAN!E688,0)</f>
        <v>0</v>
      </c>
      <c r="J688" s="50">
        <f>IF(AND(SCAN!K688="-",SCAN!Q688="-"),SCAN!F688,0)</f>
        <v>0</v>
      </c>
      <c r="M688" s="55">
        <f>IF(SCAN!K688&lt;&gt;"-",SCAN!D688,0)</f>
        <v>0</v>
      </c>
      <c r="N688" s="55">
        <f>IF(SCAN!K688&lt;&gt;"-",SCAN!E688,0)</f>
        <v>0</v>
      </c>
      <c r="O688" s="55">
        <f>IF(SCAN!K688&lt;&gt;"-",SCAN!F688,0)</f>
        <v>0</v>
      </c>
      <c r="R688" s="53">
        <f>IF(SCAN!Q688&lt;&gt;"-",SCAN!D688,0)</f>
        <v>0</v>
      </c>
      <c r="S688" s="53">
        <f>IF(SCAN!Q688&lt;&gt;"-",SCAN!E688,0)</f>
        <v>0</v>
      </c>
      <c r="T688" s="53">
        <f>IF(SCAN!Q688&lt;&gt;"-",SCAN!F688,0)</f>
        <v>0</v>
      </c>
    </row>
    <row r="689" spans="8:20" x14ac:dyDescent="0.25">
      <c r="H689" s="50">
        <f>IF(AND(SCAN!K689="-",SCAN!Q689="-"),SCAN!D689,0)</f>
        <v>0</v>
      </c>
      <c r="I689" s="50">
        <f>IF(AND(SCAN!K689="-",SCAN!Q689="-"),SCAN!E689,0)</f>
        <v>0</v>
      </c>
      <c r="J689" s="50">
        <f>IF(AND(SCAN!K689="-",SCAN!Q689="-"),SCAN!F689,0)</f>
        <v>0</v>
      </c>
      <c r="M689" s="55">
        <f>IF(SCAN!K689&lt;&gt;"-",SCAN!D689,0)</f>
        <v>0</v>
      </c>
      <c r="N689" s="55">
        <f>IF(SCAN!K689&lt;&gt;"-",SCAN!E689,0)</f>
        <v>0</v>
      </c>
      <c r="O689" s="55">
        <f>IF(SCAN!K689&lt;&gt;"-",SCAN!F689,0)</f>
        <v>0</v>
      </c>
      <c r="R689" s="53">
        <f>IF(SCAN!Q689&lt;&gt;"-",SCAN!D689,0)</f>
        <v>0</v>
      </c>
      <c r="S689" s="53">
        <f>IF(SCAN!Q689&lt;&gt;"-",SCAN!E689,0)</f>
        <v>0</v>
      </c>
      <c r="T689" s="53">
        <f>IF(SCAN!Q689&lt;&gt;"-",SCAN!F689,0)</f>
        <v>0</v>
      </c>
    </row>
    <row r="690" spans="8:20" x14ac:dyDescent="0.25">
      <c r="H690" s="50">
        <f>IF(AND(SCAN!K690="-",SCAN!Q690="-"),SCAN!D690,0)</f>
        <v>0</v>
      </c>
      <c r="I690" s="50">
        <f>IF(AND(SCAN!K690="-",SCAN!Q690="-"),SCAN!E690,0)</f>
        <v>0</v>
      </c>
      <c r="J690" s="50">
        <f>IF(AND(SCAN!K690="-",SCAN!Q690="-"),SCAN!F690,0)</f>
        <v>0</v>
      </c>
      <c r="M690" s="55">
        <f>IF(SCAN!K690&lt;&gt;"-",SCAN!D690,0)</f>
        <v>0</v>
      </c>
      <c r="N690" s="55">
        <f>IF(SCAN!K690&lt;&gt;"-",SCAN!E690,0)</f>
        <v>0</v>
      </c>
      <c r="O690" s="55">
        <f>IF(SCAN!K690&lt;&gt;"-",SCAN!F690,0)</f>
        <v>0</v>
      </c>
      <c r="R690" s="53">
        <f>IF(SCAN!Q690&lt;&gt;"-",SCAN!D690,0)</f>
        <v>0</v>
      </c>
      <c r="S690" s="53">
        <f>IF(SCAN!Q690&lt;&gt;"-",SCAN!E690,0)</f>
        <v>0</v>
      </c>
      <c r="T690" s="53">
        <f>IF(SCAN!Q690&lt;&gt;"-",SCAN!F690,0)</f>
        <v>0</v>
      </c>
    </row>
    <row r="691" spans="8:20" x14ac:dyDescent="0.25">
      <c r="H691" s="50">
        <f>IF(AND(SCAN!K691="-",SCAN!Q691="-"),SCAN!D691,0)</f>
        <v>0</v>
      </c>
      <c r="I691" s="50">
        <f>IF(AND(SCAN!K691="-",SCAN!Q691="-"),SCAN!E691,0)</f>
        <v>0</v>
      </c>
      <c r="J691" s="50">
        <f>IF(AND(SCAN!K691="-",SCAN!Q691="-"),SCAN!F691,0)</f>
        <v>0</v>
      </c>
      <c r="M691" s="55">
        <f>IF(SCAN!K691&lt;&gt;"-",SCAN!D691,0)</f>
        <v>0</v>
      </c>
      <c r="N691" s="55">
        <f>IF(SCAN!K691&lt;&gt;"-",SCAN!E691,0)</f>
        <v>0</v>
      </c>
      <c r="O691" s="55">
        <f>IF(SCAN!K691&lt;&gt;"-",SCAN!F691,0)</f>
        <v>0</v>
      </c>
      <c r="R691" s="53">
        <f>IF(SCAN!Q691&lt;&gt;"-",SCAN!D691,0)</f>
        <v>0</v>
      </c>
      <c r="S691" s="53">
        <f>IF(SCAN!Q691&lt;&gt;"-",SCAN!E691,0)</f>
        <v>0</v>
      </c>
      <c r="T691" s="53">
        <f>IF(SCAN!Q691&lt;&gt;"-",SCAN!F691,0)</f>
        <v>0</v>
      </c>
    </row>
    <row r="692" spans="8:20" x14ac:dyDescent="0.25">
      <c r="H692" s="50">
        <f>IF(AND(SCAN!K692="-",SCAN!Q692="-"),SCAN!D692,0)</f>
        <v>0</v>
      </c>
      <c r="I692" s="50">
        <f>IF(AND(SCAN!K692="-",SCAN!Q692="-"),SCAN!E692,0)</f>
        <v>0</v>
      </c>
      <c r="J692" s="50">
        <f>IF(AND(SCAN!K692="-",SCAN!Q692="-"),SCAN!F692,0)</f>
        <v>0</v>
      </c>
      <c r="M692" s="55">
        <f>IF(SCAN!K692&lt;&gt;"-",SCAN!D692,0)</f>
        <v>0</v>
      </c>
      <c r="N692" s="55">
        <f>IF(SCAN!K692&lt;&gt;"-",SCAN!E692,0)</f>
        <v>0</v>
      </c>
      <c r="O692" s="55">
        <f>IF(SCAN!K692&lt;&gt;"-",SCAN!F692,0)</f>
        <v>0</v>
      </c>
      <c r="R692" s="53">
        <f>IF(SCAN!Q692&lt;&gt;"-",SCAN!D692,0)</f>
        <v>0</v>
      </c>
      <c r="S692" s="53">
        <f>IF(SCAN!Q692&lt;&gt;"-",SCAN!E692,0)</f>
        <v>0</v>
      </c>
      <c r="T692" s="53">
        <f>IF(SCAN!Q692&lt;&gt;"-",SCAN!F692,0)</f>
        <v>0</v>
      </c>
    </row>
    <row r="693" spans="8:20" x14ac:dyDescent="0.25">
      <c r="H693" s="50">
        <f>IF(AND(SCAN!K693="-",SCAN!Q693="-"),SCAN!D693,0)</f>
        <v>0</v>
      </c>
      <c r="I693" s="50">
        <f>IF(AND(SCAN!K693="-",SCAN!Q693="-"),SCAN!E693,0)</f>
        <v>0</v>
      </c>
      <c r="J693" s="50">
        <f>IF(AND(SCAN!K693="-",SCAN!Q693="-"),SCAN!F693,0)</f>
        <v>0</v>
      </c>
      <c r="M693" s="55">
        <f>IF(SCAN!K693&lt;&gt;"-",SCAN!D693,0)</f>
        <v>0</v>
      </c>
      <c r="N693" s="55">
        <f>IF(SCAN!K693&lt;&gt;"-",SCAN!E693,0)</f>
        <v>0</v>
      </c>
      <c r="O693" s="55">
        <f>IF(SCAN!K693&lt;&gt;"-",SCAN!F693,0)</f>
        <v>0</v>
      </c>
      <c r="R693" s="53">
        <f>IF(SCAN!Q693&lt;&gt;"-",SCAN!D693,0)</f>
        <v>0</v>
      </c>
      <c r="S693" s="53">
        <f>IF(SCAN!Q693&lt;&gt;"-",SCAN!E693,0)</f>
        <v>0</v>
      </c>
      <c r="T693" s="53">
        <f>IF(SCAN!Q693&lt;&gt;"-",SCAN!F693,0)</f>
        <v>0</v>
      </c>
    </row>
    <row r="694" spans="8:20" x14ac:dyDescent="0.25">
      <c r="H694" s="50">
        <f>IF(AND(SCAN!K694="-",SCAN!Q694="-"),SCAN!D694,0)</f>
        <v>0</v>
      </c>
      <c r="I694" s="50">
        <f>IF(AND(SCAN!K694="-",SCAN!Q694="-"),SCAN!E694,0)</f>
        <v>0</v>
      </c>
      <c r="J694" s="50">
        <f>IF(AND(SCAN!K694="-",SCAN!Q694="-"),SCAN!F694,0)</f>
        <v>0</v>
      </c>
      <c r="M694" s="55">
        <f>IF(SCAN!K694&lt;&gt;"-",SCAN!D694,0)</f>
        <v>0</v>
      </c>
      <c r="N694" s="55">
        <f>IF(SCAN!K694&lt;&gt;"-",SCAN!E694,0)</f>
        <v>0</v>
      </c>
      <c r="O694" s="55">
        <f>IF(SCAN!K694&lt;&gt;"-",SCAN!F694,0)</f>
        <v>0</v>
      </c>
      <c r="R694" s="53">
        <f>IF(SCAN!Q694&lt;&gt;"-",SCAN!D694,0)</f>
        <v>0</v>
      </c>
      <c r="S694" s="53">
        <f>IF(SCAN!Q694&lt;&gt;"-",SCAN!E694,0)</f>
        <v>0</v>
      </c>
      <c r="T694" s="53">
        <f>IF(SCAN!Q694&lt;&gt;"-",SCAN!F694,0)</f>
        <v>0</v>
      </c>
    </row>
    <row r="695" spans="8:20" x14ac:dyDescent="0.25">
      <c r="H695" s="50">
        <f>IF(AND(SCAN!K695="-",SCAN!Q695="-"),SCAN!D695,0)</f>
        <v>0</v>
      </c>
      <c r="I695" s="50">
        <f>IF(AND(SCAN!K695="-",SCAN!Q695="-"),SCAN!E695,0)</f>
        <v>0</v>
      </c>
      <c r="J695" s="50">
        <f>IF(AND(SCAN!K695="-",SCAN!Q695="-"),SCAN!F695,0)</f>
        <v>0</v>
      </c>
      <c r="M695" s="55">
        <f>IF(SCAN!K695&lt;&gt;"-",SCAN!D695,0)</f>
        <v>0</v>
      </c>
      <c r="N695" s="55">
        <f>IF(SCAN!K695&lt;&gt;"-",SCAN!E695,0)</f>
        <v>0</v>
      </c>
      <c r="O695" s="55">
        <f>IF(SCAN!K695&lt;&gt;"-",SCAN!F695,0)</f>
        <v>0</v>
      </c>
      <c r="R695" s="53">
        <f>IF(SCAN!Q695&lt;&gt;"-",SCAN!D695,0)</f>
        <v>0</v>
      </c>
      <c r="S695" s="53">
        <f>IF(SCAN!Q695&lt;&gt;"-",SCAN!E695,0)</f>
        <v>0</v>
      </c>
      <c r="T695" s="53">
        <f>IF(SCAN!Q695&lt;&gt;"-",SCAN!F695,0)</f>
        <v>0</v>
      </c>
    </row>
    <row r="696" spans="8:20" x14ac:dyDescent="0.25">
      <c r="H696" s="50">
        <f>IF(AND(SCAN!K696="-",SCAN!Q696="-"),SCAN!D696,0)</f>
        <v>0</v>
      </c>
      <c r="I696" s="50">
        <f>IF(AND(SCAN!K696="-",SCAN!Q696="-"),SCAN!E696,0)</f>
        <v>0</v>
      </c>
      <c r="J696" s="50">
        <f>IF(AND(SCAN!K696="-",SCAN!Q696="-"),SCAN!F696,0)</f>
        <v>0</v>
      </c>
      <c r="M696" s="55">
        <f>IF(SCAN!K696&lt;&gt;"-",SCAN!D696,0)</f>
        <v>0</v>
      </c>
      <c r="N696" s="55">
        <f>IF(SCAN!K696&lt;&gt;"-",SCAN!E696,0)</f>
        <v>0</v>
      </c>
      <c r="O696" s="55">
        <f>IF(SCAN!K696&lt;&gt;"-",SCAN!F696,0)</f>
        <v>0</v>
      </c>
      <c r="R696" s="53">
        <f>IF(SCAN!Q696&lt;&gt;"-",SCAN!D696,0)</f>
        <v>0</v>
      </c>
      <c r="S696" s="53">
        <f>IF(SCAN!Q696&lt;&gt;"-",SCAN!E696,0)</f>
        <v>0</v>
      </c>
      <c r="T696" s="53">
        <f>IF(SCAN!Q696&lt;&gt;"-",SCAN!F696,0)</f>
        <v>0</v>
      </c>
    </row>
    <row r="697" spans="8:20" x14ac:dyDescent="0.25">
      <c r="H697" s="50">
        <f>IF(AND(SCAN!K697="-",SCAN!Q697="-"),SCAN!D697,0)</f>
        <v>0</v>
      </c>
      <c r="I697" s="50">
        <f>IF(AND(SCAN!K697="-",SCAN!Q697="-"),SCAN!E697,0)</f>
        <v>0</v>
      </c>
      <c r="J697" s="50">
        <f>IF(AND(SCAN!K697="-",SCAN!Q697="-"),SCAN!F697,0)</f>
        <v>0</v>
      </c>
      <c r="M697" s="55">
        <f>IF(SCAN!K697&lt;&gt;"-",SCAN!D697,0)</f>
        <v>0</v>
      </c>
      <c r="N697" s="55">
        <f>IF(SCAN!K697&lt;&gt;"-",SCAN!E697,0)</f>
        <v>0</v>
      </c>
      <c r="O697" s="55">
        <f>IF(SCAN!K697&lt;&gt;"-",SCAN!F697,0)</f>
        <v>0</v>
      </c>
      <c r="R697" s="53">
        <f>IF(SCAN!Q697&lt;&gt;"-",SCAN!D697,0)</f>
        <v>0</v>
      </c>
      <c r="S697" s="53">
        <f>IF(SCAN!Q697&lt;&gt;"-",SCAN!E697,0)</f>
        <v>0</v>
      </c>
      <c r="T697" s="53">
        <f>IF(SCAN!Q697&lt;&gt;"-",SCAN!F697,0)</f>
        <v>0</v>
      </c>
    </row>
    <row r="698" spans="8:20" x14ac:dyDescent="0.25">
      <c r="H698" s="50">
        <f>IF(AND(SCAN!K698="-",SCAN!Q698="-"),SCAN!D698,0)</f>
        <v>0</v>
      </c>
      <c r="I698" s="50">
        <f>IF(AND(SCAN!K698="-",SCAN!Q698="-"),SCAN!E698,0)</f>
        <v>0</v>
      </c>
      <c r="J698" s="50">
        <f>IF(AND(SCAN!K698="-",SCAN!Q698="-"),SCAN!F698,0)</f>
        <v>0</v>
      </c>
      <c r="M698" s="55">
        <f>IF(SCAN!K698&lt;&gt;"-",SCAN!D698,0)</f>
        <v>0</v>
      </c>
      <c r="N698" s="55">
        <f>IF(SCAN!K698&lt;&gt;"-",SCAN!E698,0)</f>
        <v>0</v>
      </c>
      <c r="O698" s="55">
        <f>IF(SCAN!K698&lt;&gt;"-",SCAN!F698,0)</f>
        <v>0</v>
      </c>
      <c r="R698" s="53">
        <f>IF(SCAN!Q698&lt;&gt;"-",SCAN!D698,0)</f>
        <v>0</v>
      </c>
      <c r="S698" s="53">
        <f>IF(SCAN!Q698&lt;&gt;"-",SCAN!E698,0)</f>
        <v>0</v>
      </c>
      <c r="T698" s="53">
        <f>IF(SCAN!Q698&lt;&gt;"-",SCAN!F698,0)</f>
        <v>0</v>
      </c>
    </row>
    <row r="699" spans="8:20" x14ac:dyDescent="0.25">
      <c r="H699" s="50">
        <f>IF(AND(SCAN!K699="-",SCAN!Q699="-"),SCAN!D699,0)</f>
        <v>0</v>
      </c>
      <c r="I699" s="50">
        <f>IF(AND(SCAN!K699="-",SCAN!Q699="-"),SCAN!E699,0)</f>
        <v>0</v>
      </c>
      <c r="J699" s="50">
        <f>IF(AND(SCAN!K699="-",SCAN!Q699="-"),SCAN!F699,0)</f>
        <v>0</v>
      </c>
      <c r="M699" s="55">
        <f>IF(SCAN!K699&lt;&gt;"-",SCAN!D699,0)</f>
        <v>0</v>
      </c>
      <c r="N699" s="55">
        <f>IF(SCAN!K699&lt;&gt;"-",SCAN!E699,0)</f>
        <v>0</v>
      </c>
      <c r="O699" s="55">
        <f>IF(SCAN!K699&lt;&gt;"-",SCAN!F699,0)</f>
        <v>0</v>
      </c>
      <c r="R699" s="53">
        <f>IF(SCAN!Q699&lt;&gt;"-",SCAN!D699,0)</f>
        <v>0</v>
      </c>
      <c r="S699" s="53">
        <f>IF(SCAN!Q699&lt;&gt;"-",SCAN!E699,0)</f>
        <v>0</v>
      </c>
      <c r="T699" s="53">
        <f>IF(SCAN!Q699&lt;&gt;"-",SCAN!F699,0)</f>
        <v>0</v>
      </c>
    </row>
    <row r="700" spans="8:20" x14ac:dyDescent="0.25">
      <c r="H700" s="50">
        <f>IF(AND(SCAN!K700="-",SCAN!Q700="-"),SCAN!D700,0)</f>
        <v>0</v>
      </c>
      <c r="I700" s="50">
        <f>IF(AND(SCAN!K700="-",SCAN!Q700="-"),SCAN!E700,0)</f>
        <v>0</v>
      </c>
      <c r="J700" s="50">
        <f>IF(AND(SCAN!K700="-",SCAN!Q700="-"),SCAN!F700,0)</f>
        <v>0</v>
      </c>
      <c r="M700" s="55">
        <f>IF(SCAN!K700&lt;&gt;"-",SCAN!D700,0)</f>
        <v>0</v>
      </c>
      <c r="N700" s="55">
        <f>IF(SCAN!K700&lt;&gt;"-",SCAN!E700,0)</f>
        <v>0</v>
      </c>
      <c r="O700" s="55">
        <f>IF(SCAN!K700&lt;&gt;"-",SCAN!F700,0)</f>
        <v>0</v>
      </c>
      <c r="R700" s="53">
        <f>IF(SCAN!Q700&lt;&gt;"-",SCAN!D700,0)</f>
        <v>0</v>
      </c>
      <c r="S700" s="53">
        <f>IF(SCAN!Q700&lt;&gt;"-",SCAN!E700,0)</f>
        <v>0</v>
      </c>
      <c r="T700" s="53">
        <f>IF(SCAN!Q700&lt;&gt;"-",SCAN!F700,0)</f>
        <v>0</v>
      </c>
    </row>
    <row r="701" spans="8:20" x14ac:dyDescent="0.25">
      <c r="H701" s="50">
        <f>IF(AND(SCAN!K701="-",SCAN!Q701="-"),SCAN!D701,0)</f>
        <v>0</v>
      </c>
      <c r="I701" s="50">
        <f>IF(AND(SCAN!K701="-",SCAN!Q701="-"),SCAN!E701,0)</f>
        <v>0</v>
      </c>
      <c r="J701" s="50">
        <f>IF(AND(SCAN!K701="-",SCAN!Q701="-"),SCAN!F701,0)</f>
        <v>0</v>
      </c>
      <c r="M701" s="55">
        <f>IF(SCAN!K701&lt;&gt;"-",SCAN!D701,0)</f>
        <v>0</v>
      </c>
      <c r="N701" s="55">
        <f>IF(SCAN!K701&lt;&gt;"-",SCAN!E701,0)</f>
        <v>0</v>
      </c>
      <c r="O701" s="55">
        <f>IF(SCAN!K701&lt;&gt;"-",SCAN!F701,0)</f>
        <v>0</v>
      </c>
      <c r="R701" s="53">
        <f>IF(SCAN!Q701&lt;&gt;"-",SCAN!D701,0)</f>
        <v>0</v>
      </c>
      <c r="S701" s="53">
        <f>IF(SCAN!Q701&lt;&gt;"-",SCAN!E701,0)</f>
        <v>0</v>
      </c>
      <c r="T701" s="53">
        <f>IF(SCAN!Q701&lt;&gt;"-",SCAN!F701,0)</f>
        <v>0</v>
      </c>
    </row>
    <row r="702" spans="8:20" x14ac:dyDescent="0.25">
      <c r="H702" s="50">
        <f>IF(AND(SCAN!K702="-",SCAN!Q702="-"),SCAN!D702,0)</f>
        <v>0</v>
      </c>
      <c r="I702" s="50">
        <f>IF(AND(SCAN!K702="-",SCAN!Q702="-"),SCAN!E702,0)</f>
        <v>0</v>
      </c>
      <c r="J702" s="50">
        <f>IF(AND(SCAN!K702="-",SCAN!Q702="-"),SCAN!F702,0)</f>
        <v>0</v>
      </c>
      <c r="M702" s="55">
        <f>IF(SCAN!K702&lt;&gt;"-",SCAN!D702,0)</f>
        <v>0</v>
      </c>
      <c r="N702" s="55">
        <f>IF(SCAN!K702&lt;&gt;"-",SCAN!E702,0)</f>
        <v>0</v>
      </c>
      <c r="O702" s="55">
        <f>IF(SCAN!K702&lt;&gt;"-",SCAN!F702,0)</f>
        <v>0</v>
      </c>
      <c r="R702" s="53">
        <f>IF(SCAN!Q702&lt;&gt;"-",SCAN!D702,0)</f>
        <v>0</v>
      </c>
      <c r="S702" s="53">
        <f>IF(SCAN!Q702&lt;&gt;"-",SCAN!E702,0)</f>
        <v>0</v>
      </c>
      <c r="T702" s="53">
        <f>IF(SCAN!Q702&lt;&gt;"-",SCAN!F702,0)</f>
        <v>0</v>
      </c>
    </row>
    <row r="703" spans="8:20" x14ac:dyDescent="0.25">
      <c r="H703" s="50">
        <f>IF(AND(SCAN!K703="-",SCAN!Q703="-"),SCAN!D703,0)</f>
        <v>0</v>
      </c>
      <c r="I703" s="50">
        <f>IF(AND(SCAN!K703="-",SCAN!Q703="-"),SCAN!E703,0)</f>
        <v>0</v>
      </c>
      <c r="J703" s="50">
        <f>IF(AND(SCAN!K703="-",SCAN!Q703="-"),SCAN!F703,0)</f>
        <v>0</v>
      </c>
      <c r="M703" s="55">
        <f>IF(SCAN!K703&lt;&gt;"-",SCAN!D703,0)</f>
        <v>0</v>
      </c>
      <c r="N703" s="55">
        <f>IF(SCAN!K703&lt;&gt;"-",SCAN!E703,0)</f>
        <v>0</v>
      </c>
      <c r="O703" s="55">
        <f>IF(SCAN!K703&lt;&gt;"-",SCAN!F703,0)</f>
        <v>0</v>
      </c>
      <c r="R703" s="53">
        <f>IF(SCAN!Q703&lt;&gt;"-",SCAN!D703,0)</f>
        <v>0</v>
      </c>
      <c r="S703" s="53">
        <f>IF(SCAN!Q703&lt;&gt;"-",SCAN!E703,0)</f>
        <v>0</v>
      </c>
      <c r="T703" s="53">
        <f>IF(SCAN!Q703&lt;&gt;"-",SCAN!F703,0)</f>
        <v>0</v>
      </c>
    </row>
    <row r="704" spans="8:20" x14ac:dyDescent="0.25">
      <c r="H704" s="50">
        <f>IF(AND(SCAN!K704="-",SCAN!Q704="-"),SCAN!D704,0)</f>
        <v>0</v>
      </c>
      <c r="I704" s="50">
        <f>IF(AND(SCAN!K704="-",SCAN!Q704="-"),SCAN!E704,0)</f>
        <v>0</v>
      </c>
      <c r="J704" s="50">
        <f>IF(AND(SCAN!K704="-",SCAN!Q704="-"),SCAN!F704,0)</f>
        <v>0</v>
      </c>
      <c r="M704" s="55">
        <f>IF(SCAN!K704&lt;&gt;"-",SCAN!D704,0)</f>
        <v>0</v>
      </c>
      <c r="N704" s="55">
        <f>IF(SCAN!K704&lt;&gt;"-",SCAN!E704,0)</f>
        <v>0</v>
      </c>
      <c r="O704" s="55">
        <f>IF(SCAN!K704&lt;&gt;"-",SCAN!F704,0)</f>
        <v>0</v>
      </c>
      <c r="R704" s="53">
        <f>IF(SCAN!Q704&lt;&gt;"-",SCAN!D704,0)</f>
        <v>0</v>
      </c>
      <c r="S704" s="53">
        <f>IF(SCAN!Q704&lt;&gt;"-",SCAN!E704,0)</f>
        <v>0</v>
      </c>
      <c r="T704" s="53">
        <f>IF(SCAN!Q704&lt;&gt;"-",SCAN!F704,0)</f>
        <v>0</v>
      </c>
    </row>
    <row r="705" spans="8:20" x14ac:dyDescent="0.25">
      <c r="H705" s="50">
        <f>IF(AND(SCAN!K705="-",SCAN!Q705="-"),SCAN!D705,0)</f>
        <v>0</v>
      </c>
      <c r="I705" s="50">
        <f>IF(AND(SCAN!K705="-",SCAN!Q705="-"),SCAN!E705,0)</f>
        <v>0</v>
      </c>
      <c r="J705" s="50">
        <f>IF(AND(SCAN!K705="-",SCAN!Q705="-"),SCAN!F705,0)</f>
        <v>0</v>
      </c>
      <c r="M705" s="55">
        <f>IF(SCAN!K705&lt;&gt;"-",SCAN!D705,0)</f>
        <v>0</v>
      </c>
      <c r="N705" s="55">
        <f>IF(SCAN!K705&lt;&gt;"-",SCAN!E705,0)</f>
        <v>0</v>
      </c>
      <c r="O705" s="55">
        <f>IF(SCAN!K705&lt;&gt;"-",SCAN!F705,0)</f>
        <v>0</v>
      </c>
      <c r="R705" s="53">
        <f>IF(SCAN!Q705&lt;&gt;"-",SCAN!D705,0)</f>
        <v>0</v>
      </c>
      <c r="S705" s="53">
        <f>IF(SCAN!Q705&lt;&gt;"-",SCAN!E705,0)</f>
        <v>0</v>
      </c>
      <c r="T705" s="53">
        <f>IF(SCAN!Q705&lt;&gt;"-",SCAN!F705,0)</f>
        <v>0</v>
      </c>
    </row>
    <row r="706" spans="8:20" x14ac:dyDescent="0.25">
      <c r="H706" s="50">
        <f>IF(AND(SCAN!K706="-",SCAN!Q706="-"),SCAN!D706,0)</f>
        <v>0</v>
      </c>
      <c r="I706" s="50">
        <f>IF(AND(SCAN!K706="-",SCAN!Q706="-"),SCAN!E706,0)</f>
        <v>0</v>
      </c>
      <c r="J706" s="50">
        <f>IF(AND(SCAN!K706="-",SCAN!Q706="-"),SCAN!F706,0)</f>
        <v>0</v>
      </c>
      <c r="M706" s="55">
        <f>IF(SCAN!K706&lt;&gt;"-",SCAN!D706,0)</f>
        <v>0</v>
      </c>
      <c r="N706" s="55">
        <f>IF(SCAN!K706&lt;&gt;"-",SCAN!E706,0)</f>
        <v>0</v>
      </c>
      <c r="O706" s="55">
        <f>IF(SCAN!K706&lt;&gt;"-",SCAN!F706,0)</f>
        <v>0</v>
      </c>
      <c r="R706" s="53">
        <f>IF(SCAN!Q706&lt;&gt;"-",SCAN!D706,0)</f>
        <v>0</v>
      </c>
      <c r="S706" s="53">
        <f>IF(SCAN!Q706&lt;&gt;"-",SCAN!E706,0)</f>
        <v>0</v>
      </c>
      <c r="T706" s="53">
        <f>IF(SCAN!Q706&lt;&gt;"-",SCAN!F706,0)</f>
        <v>0</v>
      </c>
    </row>
    <row r="707" spans="8:20" x14ac:dyDescent="0.25">
      <c r="H707" s="50">
        <f>IF(AND(SCAN!K707="-",SCAN!Q707="-"),SCAN!D707,0)</f>
        <v>0</v>
      </c>
      <c r="I707" s="50">
        <f>IF(AND(SCAN!K707="-",SCAN!Q707="-"),SCAN!E707,0)</f>
        <v>0</v>
      </c>
      <c r="J707" s="50">
        <f>IF(AND(SCAN!K707="-",SCAN!Q707="-"),SCAN!F707,0)</f>
        <v>0</v>
      </c>
      <c r="M707" s="55">
        <f>IF(SCAN!K707&lt;&gt;"-",SCAN!D707,0)</f>
        <v>0</v>
      </c>
      <c r="N707" s="55">
        <f>IF(SCAN!K707&lt;&gt;"-",SCAN!E707,0)</f>
        <v>0</v>
      </c>
      <c r="O707" s="55">
        <f>IF(SCAN!K707&lt;&gt;"-",SCAN!F707,0)</f>
        <v>0</v>
      </c>
      <c r="R707" s="53">
        <f>IF(SCAN!Q707&lt;&gt;"-",SCAN!D707,0)</f>
        <v>0</v>
      </c>
      <c r="S707" s="53">
        <f>IF(SCAN!Q707&lt;&gt;"-",SCAN!E707,0)</f>
        <v>0</v>
      </c>
      <c r="T707" s="53">
        <f>IF(SCAN!Q707&lt;&gt;"-",SCAN!F707,0)</f>
        <v>0</v>
      </c>
    </row>
    <row r="708" spans="8:20" x14ac:dyDescent="0.25">
      <c r="H708" s="50">
        <f>IF(AND(SCAN!K708="-",SCAN!Q708="-"),SCAN!D708,0)</f>
        <v>0</v>
      </c>
      <c r="I708" s="50">
        <f>IF(AND(SCAN!K708="-",SCAN!Q708="-"),SCAN!E708,0)</f>
        <v>0</v>
      </c>
      <c r="J708" s="50">
        <f>IF(AND(SCAN!K708="-",SCAN!Q708="-"),SCAN!F708,0)</f>
        <v>0</v>
      </c>
      <c r="M708" s="55">
        <f>IF(SCAN!K708&lt;&gt;"-",SCAN!D708,0)</f>
        <v>0</v>
      </c>
      <c r="N708" s="55">
        <f>IF(SCAN!K708&lt;&gt;"-",SCAN!E708,0)</f>
        <v>0</v>
      </c>
      <c r="O708" s="55">
        <f>IF(SCAN!K708&lt;&gt;"-",SCAN!F708,0)</f>
        <v>0</v>
      </c>
      <c r="R708" s="53">
        <f>IF(SCAN!Q708&lt;&gt;"-",SCAN!D708,0)</f>
        <v>0</v>
      </c>
      <c r="S708" s="53">
        <f>IF(SCAN!Q708&lt;&gt;"-",SCAN!E708,0)</f>
        <v>0</v>
      </c>
      <c r="T708" s="53">
        <f>IF(SCAN!Q708&lt;&gt;"-",SCAN!F708,0)</f>
        <v>0</v>
      </c>
    </row>
    <row r="709" spans="8:20" x14ac:dyDescent="0.25">
      <c r="H709" s="50">
        <f>IF(AND(SCAN!K709="-",SCAN!Q709="-"),SCAN!D709,0)</f>
        <v>0</v>
      </c>
      <c r="I709" s="50">
        <f>IF(AND(SCAN!K709="-",SCAN!Q709="-"),SCAN!E709,0)</f>
        <v>0</v>
      </c>
      <c r="J709" s="50">
        <f>IF(AND(SCAN!K709="-",SCAN!Q709="-"),SCAN!F709,0)</f>
        <v>0</v>
      </c>
      <c r="M709" s="55">
        <f>IF(SCAN!K709&lt;&gt;"-",SCAN!D709,0)</f>
        <v>0</v>
      </c>
      <c r="N709" s="55">
        <f>IF(SCAN!K709&lt;&gt;"-",SCAN!E709,0)</f>
        <v>0</v>
      </c>
      <c r="O709" s="55">
        <f>IF(SCAN!K709&lt;&gt;"-",SCAN!F709,0)</f>
        <v>0</v>
      </c>
      <c r="R709" s="53">
        <f>IF(SCAN!Q709&lt;&gt;"-",SCAN!D709,0)</f>
        <v>0</v>
      </c>
      <c r="S709" s="53">
        <f>IF(SCAN!Q709&lt;&gt;"-",SCAN!E709,0)</f>
        <v>0</v>
      </c>
      <c r="T709" s="53">
        <f>IF(SCAN!Q709&lt;&gt;"-",SCAN!F709,0)</f>
        <v>0</v>
      </c>
    </row>
    <row r="710" spans="8:20" x14ac:dyDescent="0.25">
      <c r="H710" s="50">
        <f>IF(AND(SCAN!K710="-",SCAN!Q710="-"),SCAN!D710,0)</f>
        <v>0</v>
      </c>
      <c r="I710" s="50">
        <f>IF(AND(SCAN!K710="-",SCAN!Q710="-"),SCAN!E710,0)</f>
        <v>0</v>
      </c>
      <c r="J710" s="50">
        <f>IF(AND(SCAN!K710="-",SCAN!Q710="-"),SCAN!F710,0)</f>
        <v>0</v>
      </c>
      <c r="M710" s="55">
        <f>IF(SCAN!K710&lt;&gt;"-",SCAN!D710,0)</f>
        <v>0</v>
      </c>
      <c r="N710" s="55">
        <f>IF(SCAN!K710&lt;&gt;"-",SCAN!E710,0)</f>
        <v>0</v>
      </c>
      <c r="O710" s="55">
        <f>IF(SCAN!K710&lt;&gt;"-",SCAN!F710,0)</f>
        <v>0</v>
      </c>
      <c r="R710" s="53">
        <f>IF(SCAN!Q710&lt;&gt;"-",SCAN!D710,0)</f>
        <v>0</v>
      </c>
      <c r="S710" s="53">
        <f>IF(SCAN!Q710&lt;&gt;"-",SCAN!E710,0)</f>
        <v>0</v>
      </c>
      <c r="T710" s="53">
        <f>IF(SCAN!Q710&lt;&gt;"-",SCAN!F710,0)</f>
        <v>0</v>
      </c>
    </row>
    <row r="711" spans="8:20" x14ac:dyDescent="0.25">
      <c r="H711" s="50">
        <f>IF(AND(SCAN!K711="-",SCAN!Q711="-"),SCAN!D711,0)</f>
        <v>0</v>
      </c>
      <c r="I711" s="50">
        <f>IF(AND(SCAN!K711="-",SCAN!Q711="-"),SCAN!E711,0)</f>
        <v>0</v>
      </c>
      <c r="J711" s="50">
        <f>IF(AND(SCAN!K711="-",SCAN!Q711="-"),SCAN!F711,0)</f>
        <v>0</v>
      </c>
      <c r="M711" s="55">
        <f>IF(SCAN!K711&lt;&gt;"-",SCAN!D711,0)</f>
        <v>0</v>
      </c>
      <c r="N711" s="55">
        <f>IF(SCAN!K711&lt;&gt;"-",SCAN!E711,0)</f>
        <v>0</v>
      </c>
      <c r="O711" s="55">
        <f>IF(SCAN!K711&lt;&gt;"-",SCAN!F711,0)</f>
        <v>0</v>
      </c>
      <c r="R711" s="53">
        <f>IF(SCAN!Q711&lt;&gt;"-",SCAN!D711,0)</f>
        <v>0</v>
      </c>
      <c r="S711" s="53">
        <f>IF(SCAN!Q711&lt;&gt;"-",SCAN!E711,0)</f>
        <v>0</v>
      </c>
      <c r="T711" s="53">
        <f>IF(SCAN!Q711&lt;&gt;"-",SCAN!F711,0)</f>
        <v>0</v>
      </c>
    </row>
    <row r="712" spans="8:20" x14ac:dyDescent="0.25">
      <c r="H712" s="50">
        <f>IF(AND(SCAN!K712="-",SCAN!Q712="-"),SCAN!D712,0)</f>
        <v>0</v>
      </c>
      <c r="I712" s="50">
        <f>IF(AND(SCAN!K712="-",SCAN!Q712="-"),SCAN!E712,0)</f>
        <v>0</v>
      </c>
      <c r="J712" s="50">
        <f>IF(AND(SCAN!K712="-",SCAN!Q712="-"),SCAN!F712,0)</f>
        <v>0</v>
      </c>
      <c r="M712" s="55">
        <f>IF(SCAN!K712&lt;&gt;"-",SCAN!D712,0)</f>
        <v>0</v>
      </c>
      <c r="N712" s="55">
        <f>IF(SCAN!K712&lt;&gt;"-",SCAN!E712,0)</f>
        <v>0</v>
      </c>
      <c r="O712" s="55">
        <f>IF(SCAN!K712&lt;&gt;"-",SCAN!F712,0)</f>
        <v>0</v>
      </c>
      <c r="R712" s="53">
        <f>IF(SCAN!Q712&lt;&gt;"-",SCAN!D712,0)</f>
        <v>0</v>
      </c>
      <c r="S712" s="53">
        <f>IF(SCAN!Q712&lt;&gt;"-",SCAN!E712,0)</f>
        <v>0</v>
      </c>
      <c r="T712" s="53">
        <f>IF(SCAN!Q712&lt;&gt;"-",SCAN!F712,0)</f>
        <v>0</v>
      </c>
    </row>
    <row r="713" spans="8:20" x14ac:dyDescent="0.25">
      <c r="H713" s="50">
        <f>IF(AND(SCAN!K713="-",SCAN!Q713="-"),SCAN!D713,0)</f>
        <v>0</v>
      </c>
      <c r="I713" s="50">
        <f>IF(AND(SCAN!K713="-",SCAN!Q713="-"),SCAN!E713,0)</f>
        <v>0</v>
      </c>
      <c r="J713" s="50">
        <f>IF(AND(SCAN!K713="-",SCAN!Q713="-"),SCAN!F713,0)</f>
        <v>0</v>
      </c>
      <c r="M713" s="55">
        <f>IF(SCAN!K713&lt;&gt;"-",SCAN!D713,0)</f>
        <v>0</v>
      </c>
      <c r="N713" s="55">
        <f>IF(SCAN!K713&lt;&gt;"-",SCAN!E713,0)</f>
        <v>0</v>
      </c>
      <c r="O713" s="55">
        <f>IF(SCAN!K713&lt;&gt;"-",SCAN!F713,0)</f>
        <v>0</v>
      </c>
      <c r="R713" s="53">
        <f>IF(SCAN!Q713&lt;&gt;"-",SCAN!D713,0)</f>
        <v>0</v>
      </c>
      <c r="S713" s="53">
        <f>IF(SCAN!Q713&lt;&gt;"-",SCAN!E713,0)</f>
        <v>0</v>
      </c>
      <c r="T713" s="53">
        <f>IF(SCAN!Q713&lt;&gt;"-",SCAN!F713,0)</f>
        <v>0</v>
      </c>
    </row>
    <row r="714" spans="8:20" x14ac:dyDescent="0.25">
      <c r="H714" s="50">
        <f>IF(AND(SCAN!K714="-",SCAN!Q714="-"),SCAN!D714,0)</f>
        <v>0</v>
      </c>
      <c r="I714" s="50">
        <f>IF(AND(SCAN!K714="-",SCAN!Q714="-"),SCAN!E714,0)</f>
        <v>0</v>
      </c>
      <c r="J714" s="50">
        <f>IF(AND(SCAN!K714="-",SCAN!Q714="-"),SCAN!F714,0)</f>
        <v>0</v>
      </c>
      <c r="M714" s="55">
        <f>IF(SCAN!K714&lt;&gt;"-",SCAN!D714,0)</f>
        <v>0</v>
      </c>
      <c r="N714" s="55">
        <f>IF(SCAN!K714&lt;&gt;"-",SCAN!E714,0)</f>
        <v>0</v>
      </c>
      <c r="O714" s="55">
        <f>IF(SCAN!K714&lt;&gt;"-",SCAN!F714,0)</f>
        <v>0</v>
      </c>
      <c r="R714" s="53">
        <f>IF(SCAN!Q714&lt;&gt;"-",SCAN!D714,0)</f>
        <v>0</v>
      </c>
      <c r="S714" s="53">
        <f>IF(SCAN!Q714&lt;&gt;"-",SCAN!E714,0)</f>
        <v>0</v>
      </c>
      <c r="T714" s="53">
        <f>IF(SCAN!Q714&lt;&gt;"-",SCAN!F714,0)</f>
        <v>0</v>
      </c>
    </row>
    <row r="715" spans="8:20" x14ac:dyDescent="0.25">
      <c r="H715" s="50">
        <f>IF(AND(SCAN!K715="-",SCAN!Q715="-"),SCAN!D715,0)</f>
        <v>0</v>
      </c>
      <c r="I715" s="50">
        <f>IF(AND(SCAN!K715="-",SCAN!Q715="-"),SCAN!E715,0)</f>
        <v>0</v>
      </c>
      <c r="J715" s="50">
        <f>IF(AND(SCAN!K715="-",SCAN!Q715="-"),SCAN!F715,0)</f>
        <v>0</v>
      </c>
      <c r="M715" s="55">
        <f>IF(SCAN!K715&lt;&gt;"-",SCAN!D715,0)</f>
        <v>0</v>
      </c>
      <c r="N715" s="55">
        <f>IF(SCAN!K715&lt;&gt;"-",SCAN!E715,0)</f>
        <v>0</v>
      </c>
      <c r="O715" s="55">
        <f>IF(SCAN!K715&lt;&gt;"-",SCAN!F715,0)</f>
        <v>0</v>
      </c>
      <c r="R715" s="53">
        <f>IF(SCAN!Q715&lt;&gt;"-",SCAN!D715,0)</f>
        <v>0</v>
      </c>
      <c r="S715" s="53">
        <f>IF(SCAN!Q715&lt;&gt;"-",SCAN!E715,0)</f>
        <v>0</v>
      </c>
      <c r="T715" s="53">
        <f>IF(SCAN!Q715&lt;&gt;"-",SCAN!F715,0)</f>
        <v>0</v>
      </c>
    </row>
    <row r="716" spans="8:20" x14ac:dyDescent="0.25">
      <c r="H716" s="50">
        <f>IF(AND(SCAN!K716="-",SCAN!Q716="-"),SCAN!D716,0)</f>
        <v>0</v>
      </c>
      <c r="I716" s="50">
        <f>IF(AND(SCAN!K716="-",SCAN!Q716="-"),SCAN!E716,0)</f>
        <v>0</v>
      </c>
      <c r="J716" s="50">
        <f>IF(AND(SCAN!K716="-",SCAN!Q716="-"),SCAN!F716,0)</f>
        <v>0</v>
      </c>
      <c r="M716" s="55">
        <f>IF(SCAN!K716&lt;&gt;"-",SCAN!D716,0)</f>
        <v>0</v>
      </c>
      <c r="N716" s="55">
        <f>IF(SCAN!K716&lt;&gt;"-",SCAN!E716,0)</f>
        <v>0</v>
      </c>
      <c r="O716" s="55">
        <f>IF(SCAN!K716&lt;&gt;"-",SCAN!F716,0)</f>
        <v>0</v>
      </c>
      <c r="R716" s="53">
        <f>IF(SCAN!Q716&lt;&gt;"-",SCAN!D716,0)</f>
        <v>0</v>
      </c>
      <c r="S716" s="53">
        <f>IF(SCAN!Q716&lt;&gt;"-",SCAN!E716,0)</f>
        <v>0</v>
      </c>
      <c r="T716" s="53">
        <f>IF(SCAN!Q716&lt;&gt;"-",SCAN!F716,0)</f>
        <v>0</v>
      </c>
    </row>
    <row r="717" spans="8:20" x14ac:dyDescent="0.25">
      <c r="H717" s="50">
        <f>IF(AND(SCAN!K717="-",SCAN!Q717="-"),SCAN!D717,0)</f>
        <v>0</v>
      </c>
      <c r="I717" s="50">
        <f>IF(AND(SCAN!K717="-",SCAN!Q717="-"),SCAN!E717,0)</f>
        <v>0</v>
      </c>
      <c r="J717" s="50">
        <f>IF(AND(SCAN!K717="-",SCAN!Q717="-"),SCAN!F717,0)</f>
        <v>0</v>
      </c>
      <c r="M717" s="55">
        <f>IF(SCAN!K717&lt;&gt;"-",SCAN!D717,0)</f>
        <v>0</v>
      </c>
      <c r="N717" s="55">
        <f>IF(SCAN!K717&lt;&gt;"-",SCAN!E717,0)</f>
        <v>0</v>
      </c>
      <c r="O717" s="55">
        <f>IF(SCAN!K717&lt;&gt;"-",SCAN!F717,0)</f>
        <v>0</v>
      </c>
      <c r="R717" s="53">
        <f>IF(SCAN!Q717&lt;&gt;"-",SCAN!D717,0)</f>
        <v>0</v>
      </c>
      <c r="S717" s="53">
        <f>IF(SCAN!Q717&lt;&gt;"-",SCAN!E717,0)</f>
        <v>0</v>
      </c>
      <c r="T717" s="53">
        <f>IF(SCAN!Q717&lt;&gt;"-",SCAN!F717,0)</f>
        <v>0</v>
      </c>
    </row>
    <row r="718" spans="8:20" x14ac:dyDescent="0.25">
      <c r="H718" s="50">
        <f>IF(AND(SCAN!K718="-",SCAN!Q718="-"),SCAN!D718,0)</f>
        <v>0</v>
      </c>
      <c r="I718" s="50">
        <f>IF(AND(SCAN!K718="-",SCAN!Q718="-"),SCAN!E718,0)</f>
        <v>0</v>
      </c>
      <c r="J718" s="50">
        <f>IF(AND(SCAN!K718="-",SCAN!Q718="-"),SCAN!F718,0)</f>
        <v>0</v>
      </c>
      <c r="M718" s="55">
        <f>IF(SCAN!K718&lt;&gt;"-",SCAN!D718,0)</f>
        <v>0</v>
      </c>
      <c r="N718" s="55">
        <f>IF(SCAN!K718&lt;&gt;"-",SCAN!E718,0)</f>
        <v>0</v>
      </c>
      <c r="O718" s="55">
        <f>IF(SCAN!K718&lt;&gt;"-",SCAN!F718,0)</f>
        <v>0</v>
      </c>
      <c r="R718" s="53">
        <f>IF(SCAN!Q718&lt;&gt;"-",SCAN!D718,0)</f>
        <v>0</v>
      </c>
      <c r="S718" s="53">
        <f>IF(SCAN!Q718&lt;&gt;"-",SCAN!E718,0)</f>
        <v>0</v>
      </c>
      <c r="T718" s="53">
        <f>IF(SCAN!Q718&lt;&gt;"-",SCAN!F718,0)</f>
        <v>0</v>
      </c>
    </row>
    <row r="719" spans="8:20" x14ac:dyDescent="0.25">
      <c r="H719" s="50">
        <f>IF(AND(SCAN!K719="-",SCAN!Q719="-"),SCAN!D719,0)</f>
        <v>0</v>
      </c>
      <c r="I719" s="50">
        <f>IF(AND(SCAN!K719="-",SCAN!Q719="-"),SCAN!E719,0)</f>
        <v>0</v>
      </c>
      <c r="J719" s="50">
        <f>IF(AND(SCAN!K719="-",SCAN!Q719="-"),SCAN!F719,0)</f>
        <v>0</v>
      </c>
      <c r="M719" s="55">
        <f>IF(SCAN!K719&lt;&gt;"-",SCAN!D719,0)</f>
        <v>0</v>
      </c>
      <c r="N719" s="55">
        <f>IF(SCAN!K719&lt;&gt;"-",SCAN!E719,0)</f>
        <v>0</v>
      </c>
      <c r="O719" s="55">
        <f>IF(SCAN!K719&lt;&gt;"-",SCAN!F719,0)</f>
        <v>0</v>
      </c>
      <c r="R719" s="53">
        <f>IF(SCAN!Q719&lt;&gt;"-",SCAN!D719,0)</f>
        <v>0</v>
      </c>
      <c r="S719" s="53">
        <f>IF(SCAN!Q719&lt;&gt;"-",SCAN!E719,0)</f>
        <v>0</v>
      </c>
      <c r="T719" s="53">
        <f>IF(SCAN!Q719&lt;&gt;"-",SCAN!F719,0)</f>
        <v>0</v>
      </c>
    </row>
    <row r="720" spans="8:20" x14ac:dyDescent="0.25">
      <c r="H720" s="50">
        <f>IF(AND(SCAN!K720="-",SCAN!Q720="-"),SCAN!D720,0)</f>
        <v>0</v>
      </c>
      <c r="I720" s="50">
        <f>IF(AND(SCAN!K720="-",SCAN!Q720="-"),SCAN!E720,0)</f>
        <v>0</v>
      </c>
      <c r="J720" s="50">
        <f>IF(AND(SCAN!K720="-",SCAN!Q720="-"),SCAN!F720,0)</f>
        <v>0</v>
      </c>
      <c r="M720" s="55">
        <f>IF(SCAN!K720&lt;&gt;"-",SCAN!D720,0)</f>
        <v>0</v>
      </c>
      <c r="N720" s="55">
        <f>IF(SCAN!K720&lt;&gt;"-",SCAN!E720,0)</f>
        <v>0</v>
      </c>
      <c r="O720" s="55">
        <f>IF(SCAN!K720&lt;&gt;"-",SCAN!F720,0)</f>
        <v>0</v>
      </c>
      <c r="R720" s="53">
        <f>IF(SCAN!Q720&lt;&gt;"-",SCAN!D720,0)</f>
        <v>0</v>
      </c>
      <c r="S720" s="53">
        <f>IF(SCAN!Q720&lt;&gt;"-",SCAN!E720,0)</f>
        <v>0</v>
      </c>
      <c r="T720" s="53">
        <f>IF(SCAN!Q720&lt;&gt;"-",SCAN!F720,0)</f>
        <v>0</v>
      </c>
    </row>
    <row r="721" spans="8:20" x14ac:dyDescent="0.25">
      <c r="H721" s="50">
        <f>IF(AND(SCAN!K721="-",SCAN!Q721="-"),SCAN!D721,0)</f>
        <v>0</v>
      </c>
      <c r="I721" s="50">
        <f>IF(AND(SCAN!K721="-",SCAN!Q721="-"),SCAN!E721,0)</f>
        <v>0</v>
      </c>
      <c r="J721" s="50">
        <f>IF(AND(SCAN!K721="-",SCAN!Q721="-"),SCAN!F721,0)</f>
        <v>0</v>
      </c>
      <c r="M721" s="55">
        <f>IF(SCAN!K721&lt;&gt;"-",SCAN!D721,0)</f>
        <v>0</v>
      </c>
      <c r="N721" s="55">
        <f>IF(SCAN!K721&lt;&gt;"-",SCAN!E721,0)</f>
        <v>0</v>
      </c>
      <c r="O721" s="55">
        <f>IF(SCAN!K721&lt;&gt;"-",SCAN!F721,0)</f>
        <v>0</v>
      </c>
      <c r="R721" s="53">
        <f>IF(SCAN!Q721&lt;&gt;"-",SCAN!D721,0)</f>
        <v>0</v>
      </c>
      <c r="S721" s="53">
        <f>IF(SCAN!Q721&lt;&gt;"-",SCAN!E721,0)</f>
        <v>0</v>
      </c>
      <c r="T721" s="53">
        <f>IF(SCAN!Q721&lt;&gt;"-",SCAN!F721,0)</f>
        <v>0</v>
      </c>
    </row>
    <row r="722" spans="8:20" x14ac:dyDescent="0.25">
      <c r="H722" s="50">
        <f>IF(AND(SCAN!K722="-",SCAN!Q722="-"),SCAN!D722,0)</f>
        <v>0</v>
      </c>
      <c r="I722" s="50">
        <f>IF(AND(SCAN!K722="-",SCAN!Q722="-"),SCAN!E722,0)</f>
        <v>0</v>
      </c>
      <c r="J722" s="50">
        <f>IF(AND(SCAN!K722="-",SCAN!Q722="-"),SCAN!F722,0)</f>
        <v>0</v>
      </c>
      <c r="M722" s="55">
        <f>IF(SCAN!K722&lt;&gt;"-",SCAN!D722,0)</f>
        <v>0</v>
      </c>
      <c r="N722" s="55">
        <f>IF(SCAN!K722&lt;&gt;"-",SCAN!E722,0)</f>
        <v>0</v>
      </c>
      <c r="O722" s="55">
        <f>IF(SCAN!K722&lt;&gt;"-",SCAN!F722,0)</f>
        <v>0</v>
      </c>
      <c r="R722" s="53">
        <f>IF(SCAN!Q722&lt;&gt;"-",SCAN!D722,0)</f>
        <v>0</v>
      </c>
      <c r="S722" s="53">
        <f>IF(SCAN!Q722&lt;&gt;"-",SCAN!E722,0)</f>
        <v>0</v>
      </c>
      <c r="T722" s="53">
        <f>IF(SCAN!Q722&lt;&gt;"-",SCAN!F722,0)</f>
        <v>0</v>
      </c>
    </row>
    <row r="723" spans="8:20" x14ac:dyDescent="0.25">
      <c r="H723" s="50">
        <f>IF(AND(SCAN!K723="-",SCAN!Q723="-"),SCAN!D723,0)</f>
        <v>0</v>
      </c>
      <c r="I723" s="50">
        <f>IF(AND(SCAN!K723="-",SCAN!Q723="-"),SCAN!E723,0)</f>
        <v>0</v>
      </c>
      <c r="J723" s="50">
        <f>IF(AND(SCAN!K723="-",SCAN!Q723="-"),SCAN!F723,0)</f>
        <v>0</v>
      </c>
      <c r="M723" s="55">
        <f>IF(SCAN!K723&lt;&gt;"-",SCAN!D723,0)</f>
        <v>0</v>
      </c>
      <c r="N723" s="55">
        <f>IF(SCAN!K723&lt;&gt;"-",SCAN!E723,0)</f>
        <v>0</v>
      </c>
      <c r="O723" s="55">
        <f>IF(SCAN!K723&lt;&gt;"-",SCAN!F723,0)</f>
        <v>0</v>
      </c>
      <c r="R723" s="53">
        <f>IF(SCAN!Q723&lt;&gt;"-",SCAN!D723,0)</f>
        <v>0</v>
      </c>
      <c r="S723" s="53">
        <f>IF(SCAN!Q723&lt;&gt;"-",SCAN!E723,0)</f>
        <v>0</v>
      </c>
      <c r="T723" s="53">
        <f>IF(SCAN!Q723&lt;&gt;"-",SCAN!F723,0)</f>
        <v>0</v>
      </c>
    </row>
    <row r="724" spans="8:20" x14ac:dyDescent="0.25">
      <c r="H724" s="50">
        <f>IF(AND(SCAN!K724="-",SCAN!Q724="-"),SCAN!D724,0)</f>
        <v>0</v>
      </c>
      <c r="I724" s="50">
        <f>IF(AND(SCAN!K724="-",SCAN!Q724="-"),SCAN!E724,0)</f>
        <v>0</v>
      </c>
      <c r="J724" s="50">
        <f>IF(AND(SCAN!K724="-",SCAN!Q724="-"),SCAN!F724,0)</f>
        <v>0</v>
      </c>
      <c r="M724" s="55">
        <f>IF(SCAN!K724&lt;&gt;"-",SCAN!D724,0)</f>
        <v>0</v>
      </c>
      <c r="N724" s="55">
        <f>IF(SCAN!K724&lt;&gt;"-",SCAN!E724,0)</f>
        <v>0</v>
      </c>
      <c r="O724" s="55">
        <f>IF(SCAN!K724&lt;&gt;"-",SCAN!F724,0)</f>
        <v>0</v>
      </c>
      <c r="R724" s="53">
        <f>IF(SCAN!Q724&lt;&gt;"-",SCAN!D724,0)</f>
        <v>0</v>
      </c>
      <c r="S724" s="53">
        <f>IF(SCAN!Q724&lt;&gt;"-",SCAN!E724,0)</f>
        <v>0</v>
      </c>
      <c r="T724" s="53">
        <f>IF(SCAN!Q724&lt;&gt;"-",SCAN!F724,0)</f>
        <v>0</v>
      </c>
    </row>
    <row r="725" spans="8:20" x14ac:dyDescent="0.25">
      <c r="H725" s="50">
        <f>IF(AND(SCAN!K725="-",SCAN!Q725="-"),SCAN!D725,0)</f>
        <v>0</v>
      </c>
      <c r="I725" s="50">
        <f>IF(AND(SCAN!K725="-",SCAN!Q725="-"),SCAN!E725,0)</f>
        <v>0</v>
      </c>
      <c r="J725" s="50">
        <f>IF(AND(SCAN!K725="-",SCAN!Q725="-"),SCAN!F725,0)</f>
        <v>0</v>
      </c>
      <c r="M725" s="55">
        <f>IF(SCAN!K725&lt;&gt;"-",SCAN!D725,0)</f>
        <v>0</v>
      </c>
      <c r="N725" s="55">
        <f>IF(SCAN!K725&lt;&gt;"-",SCAN!E725,0)</f>
        <v>0</v>
      </c>
      <c r="O725" s="55">
        <f>IF(SCAN!K725&lt;&gt;"-",SCAN!F725,0)</f>
        <v>0</v>
      </c>
      <c r="R725" s="53">
        <f>IF(SCAN!Q725&lt;&gt;"-",SCAN!D725,0)</f>
        <v>0</v>
      </c>
      <c r="S725" s="53">
        <f>IF(SCAN!Q725&lt;&gt;"-",SCAN!E725,0)</f>
        <v>0</v>
      </c>
      <c r="T725" s="53">
        <f>IF(SCAN!Q725&lt;&gt;"-",SCAN!F725,0)</f>
        <v>0</v>
      </c>
    </row>
    <row r="726" spans="8:20" x14ac:dyDescent="0.25">
      <c r="H726" s="50">
        <f>IF(AND(SCAN!K726="-",SCAN!Q726="-"),SCAN!D726,0)</f>
        <v>0</v>
      </c>
      <c r="I726" s="50">
        <f>IF(AND(SCAN!K726="-",SCAN!Q726="-"),SCAN!E726,0)</f>
        <v>0</v>
      </c>
      <c r="J726" s="50">
        <f>IF(AND(SCAN!K726="-",SCAN!Q726="-"),SCAN!F726,0)</f>
        <v>0</v>
      </c>
      <c r="M726" s="55">
        <f>IF(SCAN!K726&lt;&gt;"-",SCAN!D726,0)</f>
        <v>0</v>
      </c>
      <c r="N726" s="55">
        <f>IF(SCAN!K726&lt;&gt;"-",SCAN!E726,0)</f>
        <v>0</v>
      </c>
      <c r="O726" s="55">
        <f>IF(SCAN!K726&lt;&gt;"-",SCAN!F726,0)</f>
        <v>0</v>
      </c>
      <c r="R726" s="53">
        <f>IF(SCAN!Q726&lt;&gt;"-",SCAN!D726,0)</f>
        <v>0</v>
      </c>
      <c r="S726" s="53">
        <f>IF(SCAN!Q726&lt;&gt;"-",SCAN!E726,0)</f>
        <v>0</v>
      </c>
      <c r="T726" s="53">
        <f>IF(SCAN!Q726&lt;&gt;"-",SCAN!F726,0)</f>
        <v>0</v>
      </c>
    </row>
    <row r="727" spans="8:20" x14ac:dyDescent="0.25">
      <c r="H727" s="50">
        <f>IF(AND(SCAN!K727="-",SCAN!Q727="-"),SCAN!D727,0)</f>
        <v>0</v>
      </c>
      <c r="I727" s="50">
        <f>IF(AND(SCAN!K727="-",SCAN!Q727="-"),SCAN!E727,0)</f>
        <v>0</v>
      </c>
      <c r="J727" s="50">
        <f>IF(AND(SCAN!K727="-",SCAN!Q727="-"),SCAN!F727,0)</f>
        <v>0</v>
      </c>
      <c r="M727" s="55">
        <f>IF(SCAN!K727&lt;&gt;"-",SCAN!D727,0)</f>
        <v>0</v>
      </c>
      <c r="N727" s="55">
        <f>IF(SCAN!K727&lt;&gt;"-",SCAN!E727,0)</f>
        <v>0</v>
      </c>
      <c r="O727" s="55">
        <f>IF(SCAN!K727&lt;&gt;"-",SCAN!F727,0)</f>
        <v>0</v>
      </c>
      <c r="R727" s="53">
        <f>IF(SCAN!Q727&lt;&gt;"-",SCAN!D727,0)</f>
        <v>0</v>
      </c>
      <c r="S727" s="53">
        <f>IF(SCAN!Q727&lt;&gt;"-",SCAN!E727,0)</f>
        <v>0</v>
      </c>
      <c r="T727" s="53">
        <f>IF(SCAN!Q727&lt;&gt;"-",SCAN!F727,0)</f>
        <v>0</v>
      </c>
    </row>
    <row r="728" spans="8:20" x14ac:dyDescent="0.25">
      <c r="H728" s="50">
        <f>IF(AND(SCAN!K728="-",SCAN!Q728="-"),SCAN!D728,0)</f>
        <v>0</v>
      </c>
      <c r="I728" s="50">
        <f>IF(AND(SCAN!K728="-",SCAN!Q728="-"),SCAN!E728,0)</f>
        <v>0</v>
      </c>
      <c r="J728" s="50">
        <f>IF(AND(SCAN!K728="-",SCAN!Q728="-"),SCAN!F728,0)</f>
        <v>0</v>
      </c>
      <c r="M728" s="55">
        <f>IF(SCAN!K728&lt;&gt;"-",SCAN!D728,0)</f>
        <v>0</v>
      </c>
      <c r="N728" s="55">
        <f>IF(SCAN!K728&lt;&gt;"-",SCAN!E728,0)</f>
        <v>0</v>
      </c>
      <c r="O728" s="55">
        <f>IF(SCAN!K728&lt;&gt;"-",SCAN!F728,0)</f>
        <v>0</v>
      </c>
      <c r="R728" s="53">
        <f>IF(SCAN!Q728&lt;&gt;"-",SCAN!D728,0)</f>
        <v>0</v>
      </c>
      <c r="S728" s="53">
        <f>IF(SCAN!Q728&lt;&gt;"-",SCAN!E728,0)</f>
        <v>0</v>
      </c>
      <c r="T728" s="53">
        <f>IF(SCAN!Q728&lt;&gt;"-",SCAN!F728,0)</f>
        <v>0</v>
      </c>
    </row>
    <row r="729" spans="8:20" x14ac:dyDescent="0.25">
      <c r="H729" s="50">
        <f>IF(AND(SCAN!K729="-",SCAN!Q729="-"),SCAN!D729,0)</f>
        <v>0</v>
      </c>
      <c r="I729" s="50">
        <f>IF(AND(SCAN!K729="-",SCAN!Q729="-"),SCAN!E729,0)</f>
        <v>0</v>
      </c>
      <c r="J729" s="50">
        <f>IF(AND(SCAN!K729="-",SCAN!Q729="-"),SCAN!F729,0)</f>
        <v>0</v>
      </c>
      <c r="M729" s="55">
        <f>IF(SCAN!K729&lt;&gt;"-",SCAN!D729,0)</f>
        <v>0</v>
      </c>
      <c r="N729" s="55">
        <f>IF(SCAN!K729&lt;&gt;"-",SCAN!E729,0)</f>
        <v>0</v>
      </c>
      <c r="O729" s="55">
        <f>IF(SCAN!K729&lt;&gt;"-",SCAN!F729,0)</f>
        <v>0</v>
      </c>
      <c r="R729" s="53">
        <f>IF(SCAN!Q729&lt;&gt;"-",SCAN!D729,0)</f>
        <v>0</v>
      </c>
      <c r="S729" s="53">
        <f>IF(SCAN!Q729&lt;&gt;"-",SCAN!E729,0)</f>
        <v>0</v>
      </c>
      <c r="T729" s="53">
        <f>IF(SCAN!Q729&lt;&gt;"-",SCAN!F729,0)</f>
        <v>0</v>
      </c>
    </row>
    <row r="730" spans="8:20" x14ac:dyDescent="0.25">
      <c r="H730" s="50">
        <f>IF(AND(SCAN!K730="-",SCAN!Q730="-"),SCAN!D730,0)</f>
        <v>0</v>
      </c>
      <c r="I730" s="50">
        <f>IF(AND(SCAN!K730="-",SCAN!Q730="-"),SCAN!E730,0)</f>
        <v>0</v>
      </c>
      <c r="J730" s="50">
        <f>IF(AND(SCAN!K730="-",SCAN!Q730="-"),SCAN!F730,0)</f>
        <v>0</v>
      </c>
      <c r="M730" s="55">
        <f>IF(SCAN!K730&lt;&gt;"-",SCAN!D730,0)</f>
        <v>0</v>
      </c>
      <c r="N730" s="55">
        <f>IF(SCAN!K730&lt;&gt;"-",SCAN!E730,0)</f>
        <v>0</v>
      </c>
      <c r="O730" s="55">
        <f>IF(SCAN!K730&lt;&gt;"-",SCAN!F730,0)</f>
        <v>0</v>
      </c>
      <c r="R730" s="53">
        <f>IF(SCAN!Q730&lt;&gt;"-",SCAN!D730,0)</f>
        <v>0</v>
      </c>
      <c r="S730" s="53">
        <f>IF(SCAN!Q730&lt;&gt;"-",SCAN!E730,0)</f>
        <v>0</v>
      </c>
      <c r="T730" s="53">
        <f>IF(SCAN!Q730&lt;&gt;"-",SCAN!F730,0)</f>
        <v>0</v>
      </c>
    </row>
    <row r="731" spans="8:20" x14ac:dyDescent="0.25">
      <c r="H731" s="50">
        <f>IF(AND(SCAN!K731="-",SCAN!Q731="-"),SCAN!D731,0)</f>
        <v>0</v>
      </c>
      <c r="I731" s="50">
        <f>IF(AND(SCAN!K731="-",SCAN!Q731="-"),SCAN!E731,0)</f>
        <v>0</v>
      </c>
      <c r="J731" s="50">
        <f>IF(AND(SCAN!K731="-",SCAN!Q731="-"),SCAN!F731,0)</f>
        <v>0</v>
      </c>
      <c r="M731" s="55">
        <f>IF(SCAN!K731&lt;&gt;"-",SCAN!D731,0)</f>
        <v>0</v>
      </c>
      <c r="N731" s="55">
        <f>IF(SCAN!K731&lt;&gt;"-",SCAN!E731,0)</f>
        <v>0</v>
      </c>
      <c r="O731" s="55">
        <f>IF(SCAN!K731&lt;&gt;"-",SCAN!F731,0)</f>
        <v>0</v>
      </c>
      <c r="R731" s="53">
        <f>IF(SCAN!Q731&lt;&gt;"-",SCAN!D731,0)</f>
        <v>0</v>
      </c>
      <c r="S731" s="53">
        <f>IF(SCAN!Q731&lt;&gt;"-",SCAN!E731,0)</f>
        <v>0</v>
      </c>
      <c r="T731" s="53">
        <f>IF(SCAN!Q731&lt;&gt;"-",SCAN!F731,0)</f>
        <v>0</v>
      </c>
    </row>
    <row r="732" spans="8:20" x14ac:dyDescent="0.25">
      <c r="H732" s="50">
        <f>IF(AND(SCAN!K732="-",SCAN!Q732="-"),SCAN!D732,0)</f>
        <v>0</v>
      </c>
      <c r="I732" s="50">
        <f>IF(AND(SCAN!K732="-",SCAN!Q732="-"),SCAN!E732,0)</f>
        <v>0</v>
      </c>
      <c r="J732" s="50">
        <f>IF(AND(SCAN!K732="-",SCAN!Q732="-"),SCAN!F732,0)</f>
        <v>0</v>
      </c>
      <c r="M732" s="55">
        <f>IF(SCAN!K732&lt;&gt;"-",SCAN!D732,0)</f>
        <v>0</v>
      </c>
      <c r="N732" s="55">
        <f>IF(SCAN!K732&lt;&gt;"-",SCAN!E732,0)</f>
        <v>0</v>
      </c>
      <c r="O732" s="55">
        <f>IF(SCAN!K732&lt;&gt;"-",SCAN!F732,0)</f>
        <v>0</v>
      </c>
      <c r="R732" s="53">
        <f>IF(SCAN!Q732&lt;&gt;"-",SCAN!D732,0)</f>
        <v>0</v>
      </c>
      <c r="S732" s="53">
        <f>IF(SCAN!Q732&lt;&gt;"-",SCAN!E732,0)</f>
        <v>0</v>
      </c>
      <c r="T732" s="53">
        <f>IF(SCAN!Q732&lt;&gt;"-",SCAN!F732,0)</f>
        <v>0</v>
      </c>
    </row>
    <row r="733" spans="8:20" x14ac:dyDescent="0.25">
      <c r="H733" s="50">
        <f>IF(AND(SCAN!K733="-",SCAN!Q733="-"),SCAN!D733,0)</f>
        <v>0</v>
      </c>
      <c r="I733" s="50">
        <f>IF(AND(SCAN!K733="-",SCAN!Q733="-"),SCAN!E733,0)</f>
        <v>0</v>
      </c>
      <c r="J733" s="50">
        <f>IF(AND(SCAN!K733="-",SCAN!Q733="-"),SCAN!F733,0)</f>
        <v>0</v>
      </c>
      <c r="M733" s="55">
        <f>IF(SCAN!K733&lt;&gt;"-",SCAN!D733,0)</f>
        <v>0</v>
      </c>
      <c r="N733" s="55">
        <f>IF(SCAN!K733&lt;&gt;"-",SCAN!E733,0)</f>
        <v>0</v>
      </c>
      <c r="O733" s="55">
        <f>IF(SCAN!K733&lt;&gt;"-",SCAN!F733,0)</f>
        <v>0</v>
      </c>
      <c r="R733" s="53">
        <f>IF(SCAN!Q733&lt;&gt;"-",SCAN!D733,0)</f>
        <v>0</v>
      </c>
      <c r="S733" s="53">
        <f>IF(SCAN!Q733&lt;&gt;"-",SCAN!E733,0)</f>
        <v>0</v>
      </c>
      <c r="T733" s="53">
        <f>IF(SCAN!Q733&lt;&gt;"-",SCAN!F733,0)</f>
        <v>0</v>
      </c>
    </row>
    <row r="734" spans="8:20" x14ac:dyDescent="0.25">
      <c r="H734" s="50">
        <f>IF(AND(SCAN!K734="-",SCAN!Q734="-"),SCAN!D734,0)</f>
        <v>0</v>
      </c>
      <c r="I734" s="50">
        <f>IF(AND(SCAN!K734="-",SCAN!Q734="-"),SCAN!E734,0)</f>
        <v>0</v>
      </c>
      <c r="J734" s="50">
        <f>IF(AND(SCAN!K734="-",SCAN!Q734="-"),SCAN!F734,0)</f>
        <v>0</v>
      </c>
      <c r="M734" s="55">
        <f>IF(SCAN!K734&lt;&gt;"-",SCAN!D734,0)</f>
        <v>0</v>
      </c>
      <c r="N734" s="55">
        <f>IF(SCAN!K734&lt;&gt;"-",SCAN!E734,0)</f>
        <v>0</v>
      </c>
      <c r="O734" s="55">
        <f>IF(SCAN!K734&lt;&gt;"-",SCAN!F734,0)</f>
        <v>0</v>
      </c>
      <c r="R734" s="53">
        <f>IF(SCAN!Q734&lt;&gt;"-",SCAN!D734,0)</f>
        <v>0</v>
      </c>
      <c r="S734" s="53">
        <f>IF(SCAN!Q734&lt;&gt;"-",SCAN!E734,0)</f>
        <v>0</v>
      </c>
      <c r="T734" s="53">
        <f>IF(SCAN!Q734&lt;&gt;"-",SCAN!F734,0)</f>
        <v>0</v>
      </c>
    </row>
    <row r="735" spans="8:20" x14ac:dyDescent="0.25">
      <c r="H735" s="50">
        <f>IF(AND(SCAN!K735="-",SCAN!Q735="-"),SCAN!D735,0)</f>
        <v>0</v>
      </c>
      <c r="I735" s="50">
        <f>IF(AND(SCAN!K735="-",SCAN!Q735="-"),SCAN!E735,0)</f>
        <v>0</v>
      </c>
      <c r="J735" s="50">
        <f>IF(AND(SCAN!K735="-",SCAN!Q735="-"),SCAN!F735,0)</f>
        <v>0</v>
      </c>
      <c r="M735" s="55">
        <f>IF(SCAN!K735&lt;&gt;"-",SCAN!D735,0)</f>
        <v>0</v>
      </c>
      <c r="N735" s="55">
        <f>IF(SCAN!K735&lt;&gt;"-",SCAN!E735,0)</f>
        <v>0</v>
      </c>
      <c r="O735" s="55">
        <f>IF(SCAN!K735&lt;&gt;"-",SCAN!F735,0)</f>
        <v>0</v>
      </c>
      <c r="R735" s="53">
        <f>IF(SCAN!Q735&lt;&gt;"-",SCAN!D735,0)</f>
        <v>0</v>
      </c>
      <c r="S735" s="53">
        <f>IF(SCAN!Q735&lt;&gt;"-",SCAN!E735,0)</f>
        <v>0</v>
      </c>
      <c r="T735" s="53">
        <f>IF(SCAN!Q735&lt;&gt;"-",SCAN!F735,0)</f>
        <v>0</v>
      </c>
    </row>
    <row r="736" spans="8:20" x14ac:dyDescent="0.25">
      <c r="H736" s="50">
        <f>IF(AND(SCAN!K736="-",SCAN!Q736="-"),SCAN!D736,0)</f>
        <v>0</v>
      </c>
      <c r="I736" s="50">
        <f>IF(AND(SCAN!K736="-",SCAN!Q736="-"),SCAN!E736,0)</f>
        <v>0</v>
      </c>
      <c r="J736" s="50">
        <f>IF(AND(SCAN!K736="-",SCAN!Q736="-"),SCAN!F736,0)</f>
        <v>0</v>
      </c>
      <c r="M736" s="55">
        <f>IF(SCAN!K736&lt;&gt;"-",SCAN!D736,0)</f>
        <v>0</v>
      </c>
      <c r="N736" s="55">
        <f>IF(SCAN!K736&lt;&gt;"-",SCAN!E736,0)</f>
        <v>0</v>
      </c>
      <c r="O736" s="55">
        <f>IF(SCAN!K736&lt;&gt;"-",SCAN!F736,0)</f>
        <v>0</v>
      </c>
      <c r="R736" s="53">
        <f>IF(SCAN!Q736&lt;&gt;"-",SCAN!D736,0)</f>
        <v>0</v>
      </c>
      <c r="S736" s="53">
        <f>IF(SCAN!Q736&lt;&gt;"-",SCAN!E736,0)</f>
        <v>0</v>
      </c>
      <c r="T736" s="53">
        <f>IF(SCAN!Q736&lt;&gt;"-",SCAN!F736,0)</f>
        <v>0</v>
      </c>
    </row>
    <row r="737" spans="8:20" x14ac:dyDescent="0.25">
      <c r="H737" s="50">
        <f>IF(AND(SCAN!K737="-",SCAN!Q737="-"),SCAN!D737,0)</f>
        <v>0</v>
      </c>
      <c r="I737" s="50">
        <f>IF(AND(SCAN!K737="-",SCAN!Q737="-"),SCAN!E737,0)</f>
        <v>0</v>
      </c>
      <c r="J737" s="50">
        <f>IF(AND(SCAN!K737="-",SCAN!Q737="-"),SCAN!F737,0)</f>
        <v>0</v>
      </c>
      <c r="M737" s="55">
        <f>IF(SCAN!K737&lt;&gt;"-",SCAN!D737,0)</f>
        <v>0</v>
      </c>
      <c r="N737" s="55">
        <f>IF(SCAN!K737&lt;&gt;"-",SCAN!E737,0)</f>
        <v>0</v>
      </c>
      <c r="O737" s="55">
        <f>IF(SCAN!K737&lt;&gt;"-",SCAN!F737,0)</f>
        <v>0</v>
      </c>
      <c r="R737" s="53">
        <f>IF(SCAN!Q737&lt;&gt;"-",SCAN!D737,0)</f>
        <v>0</v>
      </c>
      <c r="S737" s="53">
        <f>IF(SCAN!Q737&lt;&gt;"-",SCAN!E737,0)</f>
        <v>0</v>
      </c>
      <c r="T737" s="53">
        <f>IF(SCAN!Q737&lt;&gt;"-",SCAN!F737,0)</f>
        <v>0</v>
      </c>
    </row>
    <row r="738" spans="8:20" x14ac:dyDescent="0.25">
      <c r="H738" s="50">
        <f>IF(AND(SCAN!K738="-",SCAN!Q738="-"),SCAN!D738,0)</f>
        <v>0</v>
      </c>
      <c r="I738" s="50">
        <f>IF(AND(SCAN!K738="-",SCAN!Q738="-"),SCAN!E738,0)</f>
        <v>0</v>
      </c>
      <c r="J738" s="50">
        <f>IF(AND(SCAN!K738="-",SCAN!Q738="-"),SCAN!F738,0)</f>
        <v>0</v>
      </c>
      <c r="M738" s="55">
        <f>IF(SCAN!K738&lt;&gt;"-",SCAN!D738,0)</f>
        <v>0</v>
      </c>
      <c r="N738" s="55">
        <f>IF(SCAN!K738&lt;&gt;"-",SCAN!E738,0)</f>
        <v>0</v>
      </c>
      <c r="O738" s="55">
        <f>IF(SCAN!K738&lt;&gt;"-",SCAN!F738,0)</f>
        <v>0</v>
      </c>
      <c r="R738" s="53">
        <f>IF(SCAN!Q738&lt;&gt;"-",SCAN!D738,0)</f>
        <v>0</v>
      </c>
      <c r="S738" s="53">
        <f>IF(SCAN!Q738&lt;&gt;"-",SCAN!E738,0)</f>
        <v>0</v>
      </c>
      <c r="T738" s="53">
        <f>IF(SCAN!Q738&lt;&gt;"-",SCAN!F738,0)</f>
        <v>0</v>
      </c>
    </row>
    <row r="739" spans="8:20" x14ac:dyDescent="0.25">
      <c r="H739" s="50">
        <f>IF(AND(SCAN!K739="-",SCAN!Q739="-"),SCAN!D739,0)</f>
        <v>0</v>
      </c>
      <c r="I739" s="50">
        <f>IF(AND(SCAN!K739="-",SCAN!Q739="-"),SCAN!E739,0)</f>
        <v>0</v>
      </c>
      <c r="J739" s="50">
        <f>IF(AND(SCAN!K739="-",SCAN!Q739="-"),SCAN!F739,0)</f>
        <v>0</v>
      </c>
      <c r="M739" s="55">
        <f>IF(SCAN!K739&lt;&gt;"-",SCAN!D739,0)</f>
        <v>0</v>
      </c>
      <c r="N739" s="55">
        <f>IF(SCAN!K739&lt;&gt;"-",SCAN!E739,0)</f>
        <v>0</v>
      </c>
      <c r="O739" s="55">
        <f>IF(SCAN!K739&lt;&gt;"-",SCAN!F739,0)</f>
        <v>0</v>
      </c>
      <c r="R739" s="53">
        <f>IF(SCAN!Q739&lt;&gt;"-",SCAN!D739,0)</f>
        <v>0</v>
      </c>
      <c r="S739" s="53">
        <f>IF(SCAN!Q739&lt;&gt;"-",SCAN!E739,0)</f>
        <v>0</v>
      </c>
      <c r="T739" s="53">
        <f>IF(SCAN!Q739&lt;&gt;"-",SCAN!F739,0)</f>
        <v>0</v>
      </c>
    </row>
    <row r="740" spans="8:20" x14ac:dyDescent="0.25">
      <c r="H740" s="50">
        <f>IF(AND(SCAN!K740="-",SCAN!Q740="-"),SCAN!D740,0)</f>
        <v>0</v>
      </c>
      <c r="I740" s="50">
        <f>IF(AND(SCAN!K740="-",SCAN!Q740="-"),SCAN!E740,0)</f>
        <v>0</v>
      </c>
      <c r="J740" s="50">
        <f>IF(AND(SCAN!K740="-",SCAN!Q740="-"),SCAN!F740,0)</f>
        <v>0</v>
      </c>
      <c r="M740" s="55">
        <f>IF(SCAN!K740&lt;&gt;"-",SCAN!D740,0)</f>
        <v>0</v>
      </c>
      <c r="N740" s="55">
        <f>IF(SCAN!K740&lt;&gt;"-",SCAN!E740,0)</f>
        <v>0</v>
      </c>
      <c r="O740" s="55">
        <f>IF(SCAN!K740&lt;&gt;"-",SCAN!F740,0)</f>
        <v>0</v>
      </c>
      <c r="R740" s="53">
        <f>IF(SCAN!Q740&lt;&gt;"-",SCAN!D740,0)</f>
        <v>0</v>
      </c>
      <c r="S740" s="53">
        <f>IF(SCAN!Q740&lt;&gt;"-",SCAN!E740,0)</f>
        <v>0</v>
      </c>
      <c r="T740" s="53">
        <f>IF(SCAN!Q740&lt;&gt;"-",SCAN!F740,0)</f>
        <v>0</v>
      </c>
    </row>
    <row r="741" spans="8:20" x14ac:dyDescent="0.25">
      <c r="H741" s="50">
        <f>IF(AND(SCAN!K741="-",SCAN!Q741="-"),SCAN!D741,0)</f>
        <v>0</v>
      </c>
      <c r="I741" s="50">
        <f>IF(AND(SCAN!K741="-",SCAN!Q741="-"),SCAN!E741,0)</f>
        <v>0</v>
      </c>
      <c r="J741" s="50">
        <f>IF(AND(SCAN!K741="-",SCAN!Q741="-"),SCAN!F741,0)</f>
        <v>0</v>
      </c>
      <c r="M741" s="55">
        <f>IF(SCAN!K741&lt;&gt;"-",SCAN!D741,0)</f>
        <v>0</v>
      </c>
      <c r="N741" s="55">
        <f>IF(SCAN!K741&lt;&gt;"-",SCAN!E741,0)</f>
        <v>0</v>
      </c>
      <c r="O741" s="55">
        <f>IF(SCAN!K741&lt;&gt;"-",SCAN!F741,0)</f>
        <v>0</v>
      </c>
      <c r="R741" s="53">
        <f>IF(SCAN!Q741&lt;&gt;"-",SCAN!D741,0)</f>
        <v>0</v>
      </c>
      <c r="S741" s="53">
        <f>IF(SCAN!Q741&lt;&gt;"-",SCAN!E741,0)</f>
        <v>0</v>
      </c>
      <c r="T741" s="53">
        <f>IF(SCAN!Q741&lt;&gt;"-",SCAN!F741,0)</f>
        <v>0</v>
      </c>
    </row>
    <row r="742" spans="8:20" x14ac:dyDescent="0.25">
      <c r="H742" s="50">
        <f>IF(AND(SCAN!K742="-",SCAN!Q742="-"),SCAN!D742,0)</f>
        <v>0</v>
      </c>
      <c r="I742" s="50">
        <f>IF(AND(SCAN!K742="-",SCAN!Q742="-"),SCAN!E742,0)</f>
        <v>0</v>
      </c>
      <c r="J742" s="50">
        <f>IF(AND(SCAN!K742="-",SCAN!Q742="-"),SCAN!F742,0)</f>
        <v>0</v>
      </c>
      <c r="M742" s="55">
        <f>IF(SCAN!K742&lt;&gt;"-",SCAN!D742,0)</f>
        <v>0</v>
      </c>
      <c r="N742" s="55">
        <f>IF(SCAN!K742&lt;&gt;"-",SCAN!E742,0)</f>
        <v>0</v>
      </c>
      <c r="O742" s="55">
        <f>IF(SCAN!K742&lt;&gt;"-",SCAN!F742,0)</f>
        <v>0</v>
      </c>
      <c r="R742" s="53">
        <f>IF(SCAN!Q742&lt;&gt;"-",SCAN!D742,0)</f>
        <v>0</v>
      </c>
      <c r="S742" s="53">
        <f>IF(SCAN!Q742&lt;&gt;"-",SCAN!E742,0)</f>
        <v>0</v>
      </c>
      <c r="T742" s="53">
        <f>IF(SCAN!Q742&lt;&gt;"-",SCAN!F742,0)</f>
        <v>0</v>
      </c>
    </row>
    <row r="743" spans="8:20" x14ac:dyDescent="0.25">
      <c r="H743" s="50">
        <f>IF(AND(SCAN!K743="-",SCAN!Q743="-"),SCAN!D743,0)</f>
        <v>0</v>
      </c>
      <c r="I743" s="50">
        <f>IF(AND(SCAN!K743="-",SCAN!Q743="-"),SCAN!E743,0)</f>
        <v>0</v>
      </c>
      <c r="J743" s="50">
        <f>IF(AND(SCAN!K743="-",SCAN!Q743="-"),SCAN!F743,0)</f>
        <v>0</v>
      </c>
      <c r="M743" s="55">
        <f>IF(SCAN!K743&lt;&gt;"-",SCAN!D743,0)</f>
        <v>0</v>
      </c>
      <c r="N743" s="55">
        <f>IF(SCAN!K743&lt;&gt;"-",SCAN!E743,0)</f>
        <v>0</v>
      </c>
      <c r="O743" s="55">
        <f>IF(SCAN!K743&lt;&gt;"-",SCAN!F743,0)</f>
        <v>0</v>
      </c>
      <c r="R743" s="53">
        <f>IF(SCAN!Q743&lt;&gt;"-",SCAN!D743,0)</f>
        <v>0</v>
      </c>
      <c r="S743" s="53">
        <f>IF(SCAN!Q743&lt;&gt;"-",SCAN!E743,0)</f>
        <v>0</v>
      </c>
      <c r="T743" s="53">
        <f>IF(SCAN!Q743&lt;&gt;"-",SCAN!F743,0)</f>
        <v>0</v>
      </c>
    </row>
    <row r="744" spans="8:20" x14ac:dyDescent="0.25">
      <c r="H744" s="50">
        <f>IF(AND(SCAN!K744="-",SCAN!Q744="-"),SCAN!D744,0)</f>
        <v>0</v>
      </c>
      <c r="I744" s="50">
        <f>IF(AND(SCAN!K744="-",SCAN!Q744="-"),SCAN!E744,0)</f>
        <v>0</v>
      </c>
      <c r="J744" s="50">
        <f>IF(AND(SCAN!K744="-",SCAN!Q744="-"),SCAN!F744,0)</f>
        <v>0</v>
      </c>
      <c r="M744" s="55">
        <f>IF(SCAN!K744&lt;&gt;"-",SCAN!D744,0)</f>
        <v>0</v>
      </c>
      <c r="N744" s="55">
        <f>IF(SCAN!K744&lt;&gt;"-",SCAN!E744,0)</f>
        <v>0</v>
      </c>
      <c r="O744" s="55">
        <f>IF(SCAN!K744&lt;&gt;"-",SCAN!F744,0)</f>
        <v>0</v>
      </c>
      <c r="R744" s="53">
        <f>IF(SCAN!Q744&lt;&gt;"-",SCAN!D744,0)</f>
        <v>0</v>
      </c>
      <c r="S744" s="53">
        <f>IF(SCAN!Q744&lt;&gt;"-",SCAN!E744,0)</f>
        <v>0</v>
      </c>
      <c r="T744" s="53">
        <f>IF(SCAN!Q744&lt;&gt;"-",SCAN!F744,0)</f>
        <v>0</v>
      </c>
    </row>
    <row r="745" spans="8:20" x14ac:dyDescent="0.25">
      <c r="H745" s="50">
        <f>IF(AND(SCAN!K745="-",SCAN!Q745="-"),SCAN!D745,0)</f>
        <v>0</v>
      </c>
      <c r="I745" s="50">
        <f>IF(AND(SCAN!K745="-",SCAN!Q745="-"),SCAN!E745,0)</f>
        <v>0</v>
      </c>
      <c r="J745" s="50">
        <f>IF(AND(SCAN!K745="-",SCAN!Q745="-"),SCAN!F745,0)</f>
        <v>0</v>
      </c>
      <c r="M745" s="55">
        <f>IF(SCAN!K745&lt;&gt;"-",SCAN!D745,0)</f>
        <v>0</v>
      </c>
      <c r="N745" s="55">
        <f>IF(SCAN!K745&lt;&gt;"-",SCAN!E745,0)</f>
        <v>0</v>
      </c>
      <c r="O745" s="55">
        <f>IF(SCAN!K745&lt;&gt;"-",SCAN!F745,0)</f>
        <v>0</v>
      </c>
      <c r="R745" s="53">
        <f>IF(SCAN!Q745&lt;&gt;"-",SCAN!D745,0)</f>
        <v>0</v>
      </c>
      <c r="S745" s="53">
        <f>IF(SCAN!Q745&lt;&gt;"-",SCAN!E745,0)</f>
        <v>0</v>
      </c>
      <c r="T745" s="53">
        <f>IF(SCAN!Q745&lt;&gt;"-",SCAN!F745,0)</f>
        <v>0</v>
      </c>
    </row>
    <row r="746" spans="8:20" x14ac:dyDescent="0.25">
      <c r="H746" s="50">
        <f>IF(AND(SCAN!K746="-",SCAN!Q746="-"),SCAN!D746,0)</f>
        <v>0</v>
      </c>
      <c r="I746" s="50">
        <f>IF(AND(SCAN!K746="-",SCAN!Q746="-"),SCAN!E746,0)</f>
        <v>0</v>
      </c>
      <c r="J746" s="50">
        <f>IF(AND(SCAN!K746="-",SCAN!Q746="-"),SCAN!F746,0)</f>
        <v>0</v>
      </c>
      <c r="M746" s="55">
        <f>IF(SCAN!K746&lt;&gt;"-",SCAN!D746,0)</f>
        <v>0</v>
      </c>
      <c r="N746" s="55">
        <f>IF(SCAN!K746&lt;&gt;"-",SCAN!E746,0)</f>
        <v>0</v>
      </c>
      <c r="O746" s="55">
        <f>IF(SCAN!K746&lt;&gt;"-",SCAN!F746,0)</f>
        <v>0</v>
      </c>
      <c r="R746" s="53">
        <f>IF(SCAN!Q746&lt;&gt;"-",SCAN!D746,0)</f>
        <v>0</v>
      </c>
      <c r="S746" s="53">
        <f>IF(SCAN!Q746&lt;&gt;"-",SCAN!E746,0)</f>
        <v>0</v>
      </c>
      <c r="T746" s="53">
        <f>IF(SCAN!Q746&lt;&gt;"-",SCAN!F746,0)</f>
        <v>0</v>
      </c>
    </row>
    <row r="747" spans="8:20" x14ac:dyDescent="0.25">
      <c r="H747" s="50">
        <f>IF(AND(SCAN!K747="-",SCAN!Q747="-"),SCAN!D747,0)</f>
        <v>0</v>
      </c>
      <c r="I747" s="50">
        <f>IF(AND(SCAN!K747="-",SCAN!Q747="-"),SCAN!E747,0)</f>
        <v>0</v>
      </c>
      <c r="J747" s="50">
        <f>IF(AND(SCAN!K747="-",SCAN!Q747="-"),SCAN!F747,0)</f>
        <v>0</v>
      </c>
      <c r="M747" s="55">
        <f>IF(SCAN!K747&lt;&gt;"-",SCAN!D747,0)</f>
        <v>0</v>
      </c>
      <c r="N747" s="55">
        <f>IF(SCAN!K747&lt;&gt;"-",SCAN!E747,0)</f>
        <v>0</v>
      </c>
      <c r="O747" s="55">
        <f>IF(SCAN!K747&lt;&gt;"-",SCAN!F747,0)</f>
        <v>0</v>
      </c>
      <c r="R747" s="53">
        <f>IF(SCAN!Q747&lt;&gt;"-",SCAN!D747,0)</f>
        <v>0</v>
      </c>
      <c r="S747" s="53">
        <f>IF(SCAN!Q747&lt;&gt;"-",SCAN!E747,0)</f>
        <v>0</v>
      </c>
      <c r="T747" s="53">
        <f>IF(SCAN!Q747&lt;&gt;"-",SCAN!F747,0)</f>
        <v>0</v>
      </c>
    </row>
    <row r="748" spans="8:20" x14ac:dyDescent="0.25">
      <c r="H748" s="50">
        <f>IF(AND(SCAN!K748="-",SCAN!Q748="-"),SCAN!D748,0)</f>
        <v>0</v>
      </c>
      <c r="I748" s="50">
        <f>IF(AND(SCAN!K748="-",SCAN!Q748="-"),SCAN!E748,0)</f>
        <v>0</v>
      </c>
      <c r="J748" s="50">
        <f>IF(AND(SCAN!K748="-",SCAN!Q748="-"),SCAN!F748,0)</f>
        <v>0</v>
      </c>
      <c r="M748" s="55">
        <f>IF(SCAN!K748&lt;&gt;"-",SCAN!D748,0)</f>
        <v>0</v>
      </c>
      <c r="N748" s="55">
        <f>IF(SCAN!K748&lt;&gt;"-",SCAN!E748,0)</f>
        <v>0</v>
      </c>
      <c r="O748" s="55">
        <f>IF(SCAN!K748&lt;&gt;"-",SCAN!F748,0)</f>
        <v>0</v>
      </c>
      <c r="R748" s="53">
        <f>IF(SCAN!Q748&lt;&gt;"-",SCAN!D748,0)</f>
        <v>0</v>
      </c>
      <c r="S748" s="53">
        <f>IF(SCAN!Q748&lt;&gt;"-",SCAN!E748,0)</f>
        <v>0</v>
      </c>
      <c r="T748" s="53">
        <f>IF(SCAN!Q748&lt;&gt;"-",SCAN!F748,0)</f>
        <v>0</v>
      </c>
    </row>
    <row r="749" spans="8:20" x14ac:dyDescent="0.25">
      <c r="H749" s="50">
        <f>IF(AND(SCAN!K749="-",SCAN!Q749="-"),SCAN!D749,0)</f>
        <v>0</v>
      </c>
      <c r="I749" s="50">
        <f>IF(AND(SCAN!K749="-",SCAN!Q749="-"),SCAN!E749,0)</f>
        <v>0</v>
      </c>
      <c r="J749" s="50">
        <f>IF(AND(SCAN!K749="-",SCAN!Q749="-"),SCAN!F749,0)</f>
        <v>0</v>
      </c>
      <c r="M749" s="55">
        <f>IF(SCAN!K749&lt;&gt;"-",SCAN!D749,0)</f>
        <v>0</v>
      </c>
      <c r="N749" s="55">
        <f>IF(SCAN!K749&lt;&gt;"-",SCAN!E749,0)</f>
        <v>0</v>
      </c>
      <c r="O749" s="55">
        <f>IF(SCAN!K749&lt;&gt;"-",SCAN!F749,0)</f>
        <v>0</v>
      </c>
      <c r="R749" s="53">
        <f>IF(SCAN!Q749&lt;&gt;"-",SCAN!D749,0)</f>
        <v>0</v>
      </c>
      <c r="S749" s="53">
        <f>IF(SCAN!Q749&lt;&gt;"-",SCAN!E749,0)</f>
        <v>0</v>
      </c>
      <c r="T749" s="53">
        <f>IF(SCAN!Q749&lt;&gt;"-",SCAN!F749,0)</f>
        <v>0</v>
      </c>
    </row>
    <row r="750" spans="8:20" x14ac:dyDescent="0.25">
      <c r="H750" s="50">
        <f>IF(AND(SCAN!K750="-",SCAN!Q750="-"),SCAN!D750,0)</f>
        <v>0</v>
      </c>
      <c r="I750" s="50">
        <f>IF(AND(SCAN!K750="-",SCAN!Q750="-"),SCAN!E750,0)</f>
        <v>0</v>
      </c>
      <c r="J750" s="50">
        <f>IF(AND(SCAN!K750="-",SCAN!Q750="-"),SCAN!F750,0)</f>
        <v>0</v>
      </c>
      <c r="M750" s="55">
        <f>IF(SCAN!K750&lt;&gt;"-",SCAN!D750,0)</f>
        <v>0</v>
      </c>
      <c r="N750" s="55">
        <f>IF(SCAN!K750&lt;&gt;"-",SCAN!E750,0)</f>
        <v>0</v>
      </c>
      <c r="O750" s="55">
        <f>IF(SCAN!K750&lt;&gt;"-",SCAN!F750,0)</f>
        <v>0</v>
      </c>
      <c r="R750" s="53">
        <f>IF(SCAN!Q750&lt;&gt;"-",SCAN!D750,0)</f>
        <v>0</v>
      </c>
      <c r="S750" s="53">
        <f>IF(SCAN!Q750&lt;&gt;"-",SCAN!E750,0)</f>
        <v>0</v>
      </c>
      <c r="T750" s="53">
        <f>IF(SCAN!Q750&lt;&gt;"-",SCAN!F750,0)</f>
        <v>0</v>
      </c>
    </row>
    <row r="751" spans="8:20" x14ac:dyDescent="0.25">
      <c r="H751" s="50">
        <f>IF(AND(SCAN!K751="-",SCAN!Q751="-"),SCAN!D751,0)</f>
        <v>0</v>
      </c>
      <c r="I751" s="50">
        <f>IF(AND(SCAN!K751="-",SCAN!Q751="-"),SCAN!E751,0)</f>
        <v>0</v>
      </c>
      <c r="J751" s="50">
        <f>IF(AND(SCAN!K751="-",SCAN!Q751="-"),SCAN!F751,0)</f>
        <v>0</v>
      </c>
      <c r="M751" s="55">
        <f>IF(SCAN!K751&lt;&gt;"-",SCAN!D751,0)</f>
        <v>0</v>
      </c>
      <c r="N751" s="55">
        <f>IF(SCAN!K751&lt;&gt;"-",SCAN!E751,0)</f>
        <v>0</v>
      </c>
      <c r="O751" s="55">
        <f>IF(SCAN!K751&lt;&gt;"-",SCAN!F751,0)</f>
        <v>0</v>
      </c>
      <c r="R751" s="53">
        <f>IF(SCAN!Q751&lt;&gt;"-",SCAN!D751,0)</f>
        <v>0</v>
      </c>
      <c r="S751" s="53">
        <f>IF(SCAN!Q751&lt;&gt;"-",SCAN!E751,0)</f>
        <v>0</v>
      </c>
      <c r="T751" s="53">
        <f>IF(SCAN!Q751&lt;&gt;"-",SCAN!F751,0)</f>
        <v>0</v>
      </c>
    </row>
    <row r="752" spans="8:20" x14ac:dyDescent="0.25">
      <c r="H752" s="50">
        <f>IF(AND(SCAN!K752="-",SCAN!Q752="-"),SCAN!D752,0)</f>
        <v>0</v>
      </c>
      <c r="I752" s="50">
        <f>IF(AND(SCAN!K752="-",SCAN!Q752="-"),SCAN!E752,0)</f>
        <v>0</v>
      </c>
      <c r="J752" s="50">
        <f>IF(AND(SCAN!K752="-",SCAN!Q752="-"),SCAN!F752,0)</f>
        <v>0</v>
      </c>
      <c r="M752" s="55">
        <f>IF(SCAN!K752&lt;&gt;"-",SCAN!D752,0)</f>
        <v>0</v>
      </c>
      <c r="N752" s="55">
        <f>IF(SCAN!K752&lt;&gt;"-",SCAN!E752,0)</f>
        <v>0</v>
      </c>
      <c r="O752" s="55">
        <f>IF(SCAN!K752&lt;&gt;"-",SCAN!F752,0)</f>
        <v>0</v>
      </c>
      <c r="R752" s="53">
        <f>IF(SCAN!Q752&lt;&gt;"-",SCAN!D752,0)</f>
        <v>0</v>
      </c>
      <c r="S752" s="53">
        <f>IF(SCAN!Q752&lt;&gt;"-",SCAN!E752,0)</f>
        <v>0</v>
      </c>
      <c r="T752" s="53">
        <f>IF(SCAN!Q752&lt;&gt;"-",SCAN!F752,0)</f>
        <v>0</v>
      </c>
    </row>
    <row r="753" spans="8:20" x14ac:dyDescent="0.25">
      <c r="H753" s="50">
        <f>IF(AND(SCAN!K753="-",SCAN!Q753="-"),SCAN!D753,0)</f>
        <v>0</v>
      </c>
      <c r="I753" s="50">
        <f>IF(AND(SCAN!K753="-",SCAN!Q753="-"),SCAN!E753,0)</f>
        <v>0</v>
      </c>
      <c r="J753" s="50">
        <f>IF(AND(SCAN!K753="-",SCAN!Q753="-"),SCAN!F753,0)</f>
        <v>0</v>
      </c>
      <c r="M753" s="55">
        <f>IF(SCAN!K753&lt;&gt;"-",SCAN!D753,0)</f>
        <v>0</v>
      </c>
      <c r="N753" s="55">
        <f>IF(SCAN!K753&lt;&gt;"-",SCAN!E753,0)</f>
        <v>0</v>
      </c>
      <c r="O753" s="55">
        <f>IF(SCAN!K753&lt;&gt;"-",SCAN!F753,0)</f>
        <v>0</v>
      </c>
      <c r="R753" s="53">
        <f>IF(SCAN!Q753&lt;&gt;"-",SCAN!D753,0)</f>
        <v>0</v>
      </c>
      <c r="S753" s="53">
        <f>IF(SCAN!Q753&lt;&gt;"-",SCAN!E753,0)</f>
        <v>0</v>
      </c>
      <c r="T753" s="53">
        <f>IF(SCAN!Q753&lt;&gt;"-",SCAN!F753,0)</f>
        <v>0</v>
      </c>
    </row>
    <row r="754" spans="8:20" x14ac:dyDescent="0.25">
      <c r="H754" s="50">
        <f>IF(AND(SCAN!K754="-",SCAN!Q754="-"),SCAN!D754,0)</f>
        <v>0</v>
      </c>
      <c r="I754" s="50">
        <f>IF(AND(SCAN!K754="-",SCAN!Q754="-"),SCAN!E754,0)</f>
        <v>0</v>
      </c>
      <c r="J754" s="50">
        <f>IF(AND(SCAN!K754="-",SCAN!Q754="-"),SCAN!F754,0)</f>
        <v>0</v>
      </c>
      <c r="M754" s="55">
        <f>IF(SCAN!K754&lt;&gt;"-",SCAN!D754,0)</f>
        <v>0</v>
      </c>
      <c r="N754" s="55">
        <f>IF(SCAN!K754&lt;&gt;"-",SCAN!E754,0)</f>
        <v>0</v>
      </c>
      <c r="O754" s="55">
        <f>IF(SCAN!K754&lt;&gt;"-",SCAN!F754,0)</f>
        <v>0</v>
      </c>
      <c r="R754" s="53">
        <f>IF(SCAN!Q754&lt;&gt;"-",SCAN!D754,0)</f>
        <v>0</v>
      </c>
      <c r="S754" s="53">
        <f>IF(SCAN!Q754&lt;&gt;"-",SCAN!E754,0)</f>
        <v>0</v>
      </c>
      <c r="T754" s="53">
        <f>IF(SCAN!Q754&lt;&gt;"-",SCAN!F754,0)</f>
        <v>0</v>
      </c>
    </row>
    <row r="755" spans="8:20" x14ac:dyDescent="0.25">
      <c r="H755" s="50">
        <f>IF(AND(SCAN!K755="-",SCAN!Q755="-"),SCAN!D755,0)</f>
        <v>0</v>
      </c>
      <c r="I755" s="50">
        <f>IF(AND(SCAN!K755="-",SCAN!Q755="-"),SCAN!E755,0)</f>
        <v>0</v>
      </c>
      <c r="J755" s="50">
        <f>IF(AND(SCAN!K755="-",SCAN!Q755="-"),SCAN!F755,0)</f>
        <v>0</v>
      </c>
      <c r="M755" s="55">
        <f>IF(SCAN!K755&lt;&gt;"-",SCAN!D755,0)</f>
        <v>0</v>
      </c>
      <c r="N755" s="55">
        <f>IF(SCAN!K755&lt;&gt;"-",SCAN!E755,0)</f>
        <v>0</v>
      </c>
      <c r="O755" s="55">
        <f>IF(SCAN!K755&lt;&gt;"-",SCAN!F755,0)</f>
        <v>0</v>
      </c>
      <c r="R755" s="53">
        <f>IF(SCAN!Q755&lt;&gt;"-",SCAN!D755,0)</f>
        <v>0</v>
      </c>
      <c r="S755" s="53">
        <f>IF(SCAN!Q755&lt;&gt;"-",SCAN!E755,0)</f>
        <v>0</v>
      </c>
      <c r="T755" s="53">
        <f>IF(SCAN!Q755&lt;&gt;"-",SCAN!F755,0)</f>
        <v>0</v>
      </c>
    </row>
    <row r="756" spans="8:20" x14ac:dyDescent="0.25">
      <c r="H756" s="50">
        <f>IF(AND(SCAN!K756="-",SCAN!Q756="-"),SCAN!D756,0)</f>
        <v>0</v>
      </c>
      <c r="I756" s="50">
        <f>IF(AND(SCAN!K756="-",SCAN!Q756="-"),SCAN!E756,0)</f>
        <v>0</v>
      </c>
      <c r="J756" s="50">
        <f>IF(AND(SCAN!K756="-",SCAN!Q756="-"),SCAN!F756,0)</f>
        <v>0</v>
      </c>
      <c r="M756" s="55">
        <f>IF(SCAN!K756&lt;&gt;"-",SCAN!D756,0)</f>
        <v>0</v>
      </c>
      <c r="N756" s="55">
        <f>IF(SCAN!K756&lt;&gt;"-",SCAN!E756,0)</f>
        <v>0</v>
      </c>
      <c r="O756" s="55">
        <f>IF(SCAN!K756&lt;&gt;"-",SCAN!F756,0)</f>
        <v>0</v>
      </c>
      <c r="R756" s="53">
        <f>IF(SCAN!Q756&lt;&gt;"-",SCAN!D756,0)</f>
        <v>0</v>
      </c>
      <c r="S756" s="53">
        <f>IF(SCAN!Q756&lt;&gt;"-",SCAN!E756,0)</f>
        <v>0</v>
      </c>
      <c r="T756" s="53">
        <f>IF(SCAN!Q756&lt;&gt;"-",SCAN!F756,0)</f>
        <v>0</v>
      </c>
    </row>
    <row r="757" spans="8:20" x14ac:dyDescent="0.25">
      <c r="H757" s="50">
        <f>IF(AND(SCAN!K757="-",SCAN!Q757="-"),SCAN!D757,0)</f>
        <v>0</v>
      </c>
      <c r="I757" s="50">
        <f>IF(AND(SCAN!K757="-",SCAN!Q757="-"),SCAN!E757,0)</f>
        <v>0</v>
      </c>
      <c r="J757" s="50">
        <f>IF(AND(SCAN!K757="-",SCAN!Q757="-"),SCAN!F757,0)</f>
        <v>0</v>
      </c>
      <c r="M757" s="55">
        <f>IF(SCAN!K757&lt;&gt;"-",SCAN!D757,0)</f>
        <v>0</v>
      </c>
      <c r="N757" s="55">
        <f>IF(SCAN!K757&lt;&gt;"-",SCAN!E757,0)</f>
        <v>0</v>
      </c>
      <c r="O757" s="55">
        <f>IF(SCAN!K757&lt;&gt;"-",SCAN!F757,0)</f>
        <v>0</v>
      </c>
      <c r="R757" s="53">
        <f>IF(SCAN!Q757&lt;&gt;"-",SCAN!D757,0)</f>
        <v>0</v>
      </c>
      <c r="S757" s="53">
        <f>IF(SCAN!Q757&lt;&gt;"-",SCAN!E757,0)</f>
        <v>0</v>
      </c>
      <c r="T757" s="53">
        <f>IF(SCAN!Q757&lt;&gt;"-",SCAN!F757,0)</f>
        <v>0</v>
      </c>
    </row>
    <row r="758" spans="8:20" x14ac:dyDescent="0.25">
      <c r="H758" s="50">
        <f>IF(AND(SCAN!K758="-",SCAN!Q758="-"),SCAN!D758,0)</f>
        <v>0</v>
      </c>
      <c r="I758" s="50">
        <f>IF(AND(SCAN!K758="-",SCAN!Q758="-"),SCAN!E758,0)</f>
        <v>0</v>
      </c>
      <c r="J758" s="50">
        <f>IF(AND(SCAN!K758="-",SCAN!Q758="-"),SCAN!F758,0)</f>
        <v>0</v>
      </c>
      <c r="M758" s="55">
        <f>IF(SCAN!K758&lt;&gt;"-",SCAN!D758,0)</f>
        <v>0</v>
      </c>
      <c r="N758" s="55">
        <f>IF(SCAN!K758&lt;&gt;"-",SCAN!E758,0)</f>
        <v>0</v>
      </c>
      <c r="O758" s="55">
        <f>IF(SCAN!K758&lt;&gt;"-",SCAN!F758,0)</f>
        <v>0</v>
      </c>
      <c r="R758" s="53">
        <f>IF(SCAN!Q758&lt;&gt;"-",SCAN!D758,0)</f>
        <v>0</v>
      </c>
      <c r="S758" s="53">
        <f>IF(SCAN!Q758&lt;&gt;"-",SCAN!E758,0)</f>
        <v>0</v>
      </c>
      <c r="T758" s="53">
        <f>IF(SCAN!Q758&lt;&gt;"-",SCAN!F758,0)</f>
        <v>0</v>
      </c>
    </row>
    <row r="759" spans="8:20" x14ac:dyDescent="0.25">
      <c r="H759" s="50">
        <f>IF(AND(SCAN!K759="-",SCAN!Q759="-"),SCAN!D759,0)</f>
        <v>0</v>
      </c>
      <c r="I759" s="50">
        <f>IF(AND(SCAN!K759="-",SCAN!Q759="-"),SCAN!E759,0)</f>
        <v>0</v>
      </c>
      <c r="J759" s="50">
        <f>IF(AND(SCAN!K759="-",SCAN!Q759="-"),SCAN!F759,0)</f>
        <v>0</v>
      </c>
      <c r="M759" s="55">
        <f>IF(SCAN!K759&lt;&gt;"-",SCAN!D759,0)</f>
        <v>0</v>
      </c>
      <c r="N759" s="55">
        <f>IF(SCAN!K759&lt;&gt;"-",SCAN!E759,0)</f>
        <v>0</v>
      </c>
      <c r="O759" s="55">
        <f>IF(SCAN!K759&lt;&gt;"-",SCAN!F759,0)</f>
        <v>0</v>
      </c>
      <c r="R759" s="53">
        <f>IF(SCAN!Q759&lt;&gt;"-",SCAN!D759,0)</f>
        <v>0</v>
      </c>
      <c r="S759" s="53">
        <f>IF(SCAN!Q759&lt;&gt;"-",SCAN!E759,0)</f>
        <v>0</v>
      </c>
      <c r="T759" s="53">
        <f>IF(SCAN!Q759&lt;&gt;"-",SCAN!F759,0)</f>
        <v>0</v>
      </c>
    </row>
    <row r="760" spans="8:20" x14ac:dyDescent="0.25">
      <c r="H760" s="50">
        <f>IF(AND(SCAN!K760="-",SCAN!Q760="-"),SCAN!D760,0)</f>
        <v>0</v>
      </c>
      <c r="I760" s="50">
        <f>IF(AND(SCAN!K760="-",SCAN!Q760="-"),SCAN!E760,0)</f>
        <v>0</v>
      </c>
      <c r="J760" s="50">
        <f>IF(AND(SCAN!K760="-",SCAN!Q760="-"),SCAN!F760,0)</f>
        <v>0</v>
      </c>
      <c r="M760" s="55">
        <f>IF(SCAN!K760&lt;&gt;"-",SCAN!D760,0)</f>
        <v>0</v>
      </c>
      <c r="N760" s="55">
        <f>IF(SCAN!K760&lt;&gt;"-",SCAN!E760,0)</f>
        <v>0</v>
      </c>
      <c r="O760" s="55">
        <f>IF(SCAN!K760&lt;&gt;"-",SCAN!F760,0)</f>
        <v>0</v>
      </c>
      <c r="R760" s="53">
        <f>IF(SCAN!Q760&lt;&gt;"-",SCAN!D760,0)</f>
        <v>0</v>
      </c>
      <c r="S760" s="53">
        <f>IF(SCAN!Q760&lt;&gt;"-",SCAN!E760,0)</f>
        <v>0</v>
      </c>
      <c r="T760" s="53">
        <f>IF(SCAN!Q760&lt;&gt;"-",SCAN!F760,0)</f>
        <v>0</v>
      </c>
    </row>
    <row r="761" spans="8:20" x14ac:dyDescent="0.25">
      <c r="H761" s="50">
        <f>IF(AND(SCAN!K761="-",SCAN!Q761="-"),SCAN!D761,0)</f>
        <v>0</v>
      </c>
      <c r="I761" s="50">
        <f>IF(AND(SCAN!K761="-",SCAN!Q761="-"),SCAN!E761,0)</f>
        <v>0</v>
      </c>
      <c r="J761" s="50">
        <f>IF(AND(SCAN!K761="-",SCAN!Q761="-"),SCAN!F761,0)</f>
        <v>0</v>
      </c>
      <c r="M761" s="55">
        <f>IF(SCAN!K761&lt;&gt;"-",SCAN!D761,0)</f>
        <v>0</v>
      </c>
      <c r="N761" s="55">
        <f>IF(SCAN!K761&lt;&gt;"-",SCAN!E761,0)</f>
        <v>0</v>
      </c>
      <c r="O761" s="55">
        <f>IF(SCAN!K761&lt;&gt;"-",SCAN!F761,0)</f>
        <v>0</v>
      </c>
      <c r="R761" s="53">
        <f>IF(SCAN!Q761&lt;&gt;"-",SCAN!D761,0)</f>
        <v>0</v>
      </c>
      <c r="S761" s="53">
        <f>IF(SCAN!Q761&lt;&gt;"-",SCAN!E761,0)</f>
        <v>0</v>
      </c>
      <c r="T761" s="53">
        <f>IF(SCAN!Q761&lt;&gt;"-",SCAN!F761,0)</f>
        <v>0</v>
      </c>
    </row>
    <row r="762" spans="8:20" x14ac:dyDescent="0.25">
      <c r="H762" s="50">
        <f>IF(AND(SCAN!K762="-",SCAN!Q762="-"),SCAN!D762,0)</f>
        <v>0</v>
      </c>
      <c r="I762" s="50">
        <f>IF(AND(SCAN!K762="-",SCAN!Q762="-"),SCAN!E762,0)</f>
        <v>0</v>
      </c>
      <c r="J762" s="50">
        <f>IF(AND(SCAN!K762="-",SCAN!Q762="-"),SCAN!F762,0)</f>
        <v>0</v>
      </c>
      <c r="M762" s="55">
        <f>IF(SCAN!K762&lt;&gt;"-",SCAN!D762,0)</f>
        <v>0</v>
      </c>
      <c r="N762" s="55">
        <f>IF(SCAN!K762&lt;&gt;"-",SCAN!E762,0)</f>
        <v>0</v>
      </c>
      <c r="O762" s="55">
        <f>IF(SCAN!K762&lt;&gt;"-",SCAN!F762,0)</f>
        <v>0</v>
      </c>
      <c r="R762" s="53">
        <f>IF(SCAN!Q762&lt;&gt;"-",SCAN!D762,0)</f>
        <v>0</v>
      </c>
      <c r="S762" s="53">
        <f>IF(SCAN!Q762&lt;&gt;"-",SCAN!E762,0)</f>
        <v>0</v>
      </c>
      <c r="T762" s="53">
        <f>IF(SCAN!Q762&lt;&gt;"-",SCAN!F762,0)</f>
        <v>0</v>
      </c>
    </row>
    <row r="763" spans="8:20" x14ac:dyDescent="0.25">
      <c r="H763" s="50">
        <f>IF(AND(SCAN!K763="-",SCAN!Q763="-"),SCAN!D763,0)</f>
        <v>0</v>
      </c>
      <c r="I763" s="50">
        <f>IF(AND(SCAN!K763="-",SCAN!Q763="-"),SCAN!E763,0)</f>
        <v>0</v>
      </c>
      <c r="J763" s="50">
        <f>IF(AND(SCAN!K763="-",SCAN!Q763="-"),SCAN!F763,0)</f>
        <v>0</v>
      </c>
      <c r="M763" s="55">
        <f>IF(SCAN!K763&lt;&gt;"-",SCAN!D763,0)</f>
        <v>0</v>
      </c>
      <c r="N763" s="55">
        <f>IF(SCAN!K763&lt;&gt;"-",SCAN!E763,0)</f>
        <v>0</v>
      </c>
      <c r="O763" s="55">
        <f>IF(SCAN!K763&lt;&gt;"-",SCAN!F763,0)</f>
        <v>0</v>
      </c>
      <c r="R763" s="53">
        <f>IF(SCAN!Q763&lt;&gt;"-",SCAN!D763,0)</f>
        <v>0</v>
      </c>
      <c r="S763" s="53">
        <f>IF(SCAN!Q763&lt;&gt;"-",SCAN!E763,0)</f>
        <v>0</v>
      </c>
      <c r="T763" s="53">
        <f>IF(SCAN!Q763&lt;&gt;"-",SCAN!F763,0)</f>
        <v>0</v>
      </c>
    </row>
    <row r="764" spans="8:20" x14ac:dyDescent="0.25">
      <c r="H764" s="50">
        <f>IF(AND(SCAN!K764="-",SCAN!Q764="-"),SCAN!D764,0)</f>
        <v>0</v>
      </c>
      <c r="I764" s="50">
        <f>IF(AND(SCAN!K764="-",SCAN!Q764="-"),SCAN!E764,0)</f>
        <v>0</v>
      </c>
      <c r="J764" s="50">
        <f>IF(AND(SCAN!K764="-",SCAN!Q764="-"),SCAN!F764,0)</f>
        <v>0</v>
      </c>
      <c r="M764" s="55">
        <f>IF(SCAN!K764&lt;&gt;"-",SCAN!D764,0)</f>
        <v>0</v>
      </c>
      <c r="N764" s="55">
        <f>IF(SCAN!K764&lt;&gt;"-",SCAN!E764,0)</f>
        <v>0</v>
      </c>
      <c r="O764" s="55">
        <f>IF(SCAN!K764&lt;&gt;"-",SCAN!F764,0)</f>
        <v>0</v>
      </c>
      <c r="R764" s="53">
        <f>IF(SCAN!Q764&lt;&gt;"-",SCAN!D764,0)</f>
        <v>0</v>
      </c>
      <c r="S764" s="53">
        <f>IF(SCAN!Q764&lt;&gt;"-",SCAN!E764,0)</f>
        <v>0</v>
      </c>
      <c r="T764" s="53">
        <f>IF(SCAN!Q764&lt;&gt;"-",SCAN!F764,0)</f>
        <v>0</v>
      </c>
    </row>
    <row r="765" spans="8:20" x14ac:dyDescent="0.25">
      <c r="H765" s="50">
        <f>IF(AND(SCAN!K765="-",SCAN!Q765="-"),SCAN!D765,0)</f>
        <v>0</v>
      </c>
      <c r="I765" s="50">
        <f>IF(AND(SCAN!K765="-",SCAN!Q765="-"),SCAN!E765,0)</f>
        <v>0</v>
      </c>
      <c r="J765" s="50">
        <f>IF(AND(SCAN!K765="-",SCAN!Q765="-"),SCAN!F765,0)</f>
        <v>0</v>
      </c>
      <c r="M765" s="55">
        <f>IF(SCAN!K765&lt;&gt;"-",SCAN!D765,0)</f>
        <v>0</v>
      </c>
      <c r="N765" s="55">
        <f>IF(SCAN!K765&lt;&gt;"-",SCAN!E765,0)</f>
        <v>0</v>
      </c>
      <c r="O765" s="55">
        <f>IF(SCAN!K765&lt;&gt;"-",SCAN!F765,0)</f>
        <v>0</v>
      </c>
      <c r="R765" s="53">
        <f>IF(SCAN!Q765&lt;&gt;"-",SCAN!D765,0)</f>
        <v>0</v>
      </c>
      <c r="S765" s="53">
        <f>IF(SCAN!Q765&lt;&gt;"-",SCAN!E765,0)</f>
        <v>0</v>
      </c>
      <c r="T765" s="53">
        <f>IF(SCAN!Q765&lt;&gt;"-",SCAN!F765,0)</f>
        <v>0</v>
      </c>
    </row>
    <row r="766" spans="8:20" x14ac:dyDescent="0.25">
      <c r="H766" s="50">
        <f>IF(AND(SCAN!K766="-",SCAN!Q766="-"),SCAN!D766,0)</f>
        <v>0</v>
      </c>
      <c r="I766" s="50">
        <f>IF(AND(SCAN!K766="-",SCAN!Q766="-"),SCAN!E766,0)</f>
        <v>0</v>
      </c>
      <c r="J766" s="50">
        <f>IF(AND(SCAN!K766="-",SCAN!Q766="-"),SCAN!F766,0)</f>
        <v>0</v>
      </c>
      <c r="M766" s="55">
        <f>IF(SCAN!K766&lt;&gt;"-",SCAN!D766,0)</f>
        <v>0</v>
      </c>
      <c r="N766" s="55">
        <f>IF(SCAN!K766&lt;&gt;"-",SCAN!E766,0)</f>
        <v>0</v>
      </c>
      <c r="O766" s="55">
        <f>IF(SCAN!K766&lt;&gt;"-",SCAN!F766,0)</f>
        <v>0</v>
      </c>
      <c r="R766" s="53">
        <f>IF(SCAN!Q766&lt;&gt;"-",SCAN!D766,0)</f>
        <v>0</v>
      </c>
      <c r="S766" s="53">
        <f>IF(SCAN!Q766&lt;&gt;"-",SCAN!E766,0)</f>
        <v>0</v>
      </c>
      <c r="T766" s="53">
        <f>IF(SCAN!Q766&lt;&gt;"-",SCAN!F766,0)</f>
        <v>0</v>
      </c>
    </row>
    <row r="767" spans="8:20" x14ac:dyDescent="0.25">
      <c r="H767" s="50">
        <f>IF(AND(SCAN!K767="-",SCAN!Q767="-"),SCAN!D767,0)</f>
        <v>0</v>
      </c>
      <c r="I767" s="50">
        <f>IF(AND(SCAN!K767="-",SCAN!Q767="-"),SCAN!E767,0)</f>
        <v>0</v>
      </c>
      <c r="J767" s="50">
        <f>IF(AND(SCAN!K767="-",SCAN!Q767="-"),SCAN!F767,0)</f>
        <v>0</v>
      </c>
      <c r="M767" s="55">
        <f>IF(SCAN!K767&lt;&gt;"-",SCAN!D767,0)</f>
        <v>0</v>
      </c>
      <c r="N767" s="55">
        <f>IF(SCAN!K767&lt;&gt;"-",SCAN!E767,0)</f>
        <v>0</v>
      </c>
      <c r="O767" s="55">
        <f>IF(SCAN!K767&lt;&gt;"-",SCAN!F767,0)</f>
        <v>0</v>
      </c>
      <c r="R767" s="53">
        <f>IF(SCAN!Q767&lt;&gt;"-",SCAN!D767,0)</f>
        <v>0</v>
      </c>
      <c r="S767" s="53">
        <f>IF(SCAN!Q767&lt;&gt;"-",SCAN!E767,0)</f>
        <v>0</v>
      </c>
      <c r="T767" s="53">
        <f>IF(SCAN!Q767&lt;&gt;"-",SCAN!F767,0)</f>
        <v>0</v>
      </c>
    </row>
    <row r="768" spans="8:20" x14ac:dyDescent="0.25">
      <c r="H768" s="50">
        <f>IF(AND(SCAN!K768="-",SCAN!Q768="-"),SCAN!D768,0)</f>
        <v>0</v>
      </c>
      <c r="I768" s="50">
        <f>IF(AND(SCAN!K768="-",SCAN!Q768="-"),SCAN!E768,0)</f>
        <v>0</v>
      </c>
      <c r="J768" s="50">
        <f>IF(AND(SCAN!K768="-",SCAN!Q768="-"),SCAN!F768,0)</f>
        <v>0</v>
      </c>
      <c r="M768" s="55">
        <f>IF(SCAN!K768&lt;&gt;"-",SCAN!D768,0)</f>
        <v>0</v>
      </c>
      <c r="N768" s="55">
        <f>IF(SCAN!K768&lt;&gt;"-",SCAN!E768,0)</f>
        <v>0</v>
      </c>
      <c r="O768" s="55">
        <f>IF(SCAN!K768&lt;&gt;"-",SCAN!F768,0)</f>
        <v>0</v>
      </c>
      <c r="R768" s="53">
        <f>IF(SCAN!Q768&lt;&gt;"-",SCAN!D768,0)</f>
        <v>0</v>
      </c>
      <c r="S768" s="53">
        <f>IF(SCAN!Q768&lt;&gt;"-",SCAN!E768,0)</f>
        <v>0</v>
      </c>
      <c r="T768" s="53">
        <f>IF(SCAN!Q768&lt;&gt;"-",SCAN!F768,0)</f>
        <v>0</v>
      </c>
    </row>
    <row r="769" spans="8:20" x14ac:dyDescent="0.25">
      <c r="H769" s="50">
        <f>IF(AND(SCAN!K769="-",SCAN!Q769="-"),SCAN!D769,0)</f>
        <v>0</v>
      </c>
      <c r="I769" s="50">
        <f>IF(AND(SCAN!K769="-",SCAN!Q769="-"),SCAN!E769,0)</f>
        <v>0</v>
      </c>
      <c r="J769" s="50">
        <f>IF(AND(SCAN!K769="-",SCAN!Q769="-"),SCAN!F769,0)</f>
        <v>0</v>
      </c>
      <c r="M769" s="55">
        <f>IF(SCAN!K769&lt;&gt;"-",SCAN!D769,0)</f>
        <v>0</v>
      </c>
      <c r="N769" s="55">
        <f>IF(SCAN!K769&lt;&gt;"-",SCAN!E769,0)</f>
        <v>0</v>
      </c>
      <c r="O769" s="55">
        <f>IF(SCAN!K769&lt;&gt;"-",SCAN!F769,0)</f>
        <v>0</v>
      </c>
      <c r="R769" s="53">
        <f>IF(SCAN!Q769&lt;&gt;"-",SCAN!D769,0)</f>
        <v>0</v>
      </c>
      <c r="S769" s="53">
        <f>IF(SCAN!Q769&lt;&gt;"-",SCAN!E769,0)</f>
        <v>0</v>
      </c>
      <c r="T769" s="53">
        <f>IF(SCAN!Q769&lt;&gt;"-",SCAN!F769,0)</f>
        <v>0</v>
      </c>
    </row>
    <row r="770" spans="8:20" x14ac:dyDescent="0.25">
      <c r="H770" s="50">
        <f>IF(AND(SCAN!K770="-",SCAN!Q770="-"),SCAN!D770,0)</f>
        <v>0</v>
      </c>
      <c r="I770" s="50">
        <f>IF(AND(SCAN!K770="-",SCAN!Q770="-"),SCAN!E770,0)</f>
        <v>0</v>
      </c>
      <c r="J770" s="50">
        <f>IF(AND(SCAN!K770="-",SCAN!Q770="-"),SCAN!F770,0)</f>
        <v>0</v>
      </c>
      <c r="M770" s="55">
        <f>IF(SCAN!K770&lt;&gt;"-",SCAN!D770,0)</f>
        <v>0</v>
      </c>
      <c r="N770" s="55">
        <f>IF(SCAN!K770&lt;&gt;"-",SCAN!E770,0)</f>
        <v>0</v>
      </c>
      <c r="O770" s="55">
        <f>IF(SCAN!K770&lt;&gt;"-",SCAN!F770,0)</f>
        <v>0</v>
      </c>
      <c r="R770" s="53">
        <f>IF(SCAN!Q770&lt;&gt;"-",SCAN!D770,0)</f>
        <v>0</v>
      </c>
      <c r="S770" s="53">
        <f>IF(SCAN!Q770&lt;&gt;"-",SCAN!E770,0)</f>
        <v>0</v>
      </c>
      <c r="T770" s="53">
        <f>IF(SCAN!Q770&lt;&gt;"-",SCAN!F770,0)</f>
        <v>0</v>
      </c>
    </row>
    <row r="771" spans="8:20" x14ac:dyDescent="0.25">
      <c r="H771" s="50">
        <f>IF(AND(SCAN!K771="-",SCAN!Q771="-"),SCAN!D771,0)</f>
        <v>0</v>
      </c>
      <c r="I771" s="50">
        <f>IF(AND(SCAN!K771="-",SCAN!Q771="-"),SCAN!E771,0)</f>
        <v>0</v>
      </c>
      <c r="J771" s="50">
        <f>IF(AND(SCAN!K771="-",SCAN!Q771="-"),SCAN!F771,0)</f>
        <v>0</v>
      </c>
      <c r="M771" s="55">
        <f>IF(SCAN!K771&lt;&gt;"-",SCAN!D771,0)</f>
        <v>0</v>
      </c>
      <c r="N771" s="55">
        <f>IF(SCAN!K771&lt;&gt;"-",SCAN!E771,0)</f>
        <v>0</v>
      </c>
      <c r="O771" s="55">
        <f>IF(SCAN!K771&lt;&gt;"-",SCAN!F771,0)</f>
        <v>0</v>
      </c>
      <c r="R771" s="53">
        <f>IF(SCAN!Q771&lt;&gt;"-",SCAN!D771,0)</f>
        <v>0</v>
      </c>
      <c r="S771" s="53">
        <f>IF(SCAN!Q771&lt;&gt;"-",SCAN!E771,0)</f>
        <v>0</v>
      </c>
      <c r="T771" s="53">
        <f>IF(SCAN!Q771&lt;&gt;"-",SCAN!F771,0)</f>
        <v>0</v>
      </c>
    </row>
    <row r="772" spans="8:20" x14ac:dyDescent="0.25">
      <c r="H772" s="50">
        <f>IF(AND(SCAN!K772="-",SCAN!Q772="-"),SCAN!D772,0)</f>
        <v>0</v>
      </c>
      <c r="I772" s="50">
        <f>IF(AND(SCAN!K772="-",SCAN!Q772="-"),SCAN!E772,0)</f>
        <v>0</v>
      </c>
      <c r="J772" s="50">
        <f>IF(AND(SCAN!K772="-",SCAN!Q772="-"),SCAN!F772,0)</f>
        <v>0</v>
      </c>
      <c r="M772" s="55">
        <f>IF(SCAN!K772&lt;&gt;"-",SCAN!D772,0)</f>
        <v>0</v>
      </c>
      <c r="N772" s="55">
        <f>IF(SCAN!K772&lt;&gt;"-",SCAN!E772,0)</f>
        <v>0</v>
      </c>
      <c r="O772" s="55">
        <f>IF(SCAN!K772&lt;&gt;"-",SCAN!F772,0)</f>
        <v>0</v>
      </c>
      <c r="R772" s="53">
        <f>IF(SCAN!Q772&lt;&gt;"-",SCAN!D772,0)</f>
        <v>0</v>
      </c>
      <c r="S772" s="53">
        <f>IF(SCAN!Q772&lt;&gt;"-",SCAN!E772,0)</f>
        <v>0</v>
      </c>
      <c r="T772" s="53">
        <f>IF(SCAN!Q772&lt;&gt;"-",SCAN!F772,0)</f>
        <v>0</v>
      </c>
    </row>
    <row r="773" spans="8:20" x14ac:dyDescent="0.25">
      <c r="H773" s="50">
        <f>IF(AND(SCAN!K773="-",SCAN!Q773="-"),SCAN!D773,0)</f>
        <v>0</v>
      </c>
      <c r="I773" s="50">
        <f>IF(AND(SCAN!K773="-",SCAN!Q773="-"),SCAN!E773,0)</f>
        <v>0</v>
      </c>
      <c r="J773" s="50">
        <f>IF(AND(SCAN!K773="-",SCAN!Q773="-"),SCAN!F773,0)</f>
        <v>0</v>
      </c>
      <c r="M773" s="55">
        <f>IF(SCAN!K773&lt;&gt;"-",SCAN!D773,0)</f>
        <v>0</v>
      </c>
      <c r="N773" s="55">
        <f>IF(SCAN!K773&lt;&gt;"-",SCAN!E773,0)</f>
        <v>0</v>
      </c>
      <c r="O773" s="55">
        <f>IF(SCAN!K773&lt;&gt;"-",SCAN!F773,0)</f>
        <v>0</v>
      </c>
      <c r="R773" s="53">
        <f>IF(SCAN!Q773&lt;&gt;"-",SCAN!D773,0)</f>
        <v>0</v>
      </c>
      <c r="S773" s="53">
        <f>IF(SCAN!Q773&lt;&gt;"-",SCAN!E773,0)</f>
        <v>0</v>
      </c>
      <c r="T773" s="53">
        <f>IF(SCAN!Q773&lt;&gt;"-",SCAN!F773,0)</f>
        <v>0</v>
      </c>
    </row>
    <row r="774" spans="8:20" x14ac:dyDescent="0.25">
      <c r="H774" s="50">
        <f>IF(AND(SCAN!K774="-",SCAN!Q774="-"),SCAN!D774,0)</f>
        <v>0</v>
      </c>
      <c r="I774" s="50">
        <f>IF(AND(SCAN!K774="-",SCAN!Q774="-"),SCAN!E774,0)</f>
        <v>0</v>
      </c>
      <c r="J774" s="50">
        <f>IF(AND(SCAN!K774="-",SCAN!Q774="-"),SCAN!F774,0)</f>
        <v>0</v>
      </c>
      <c r="M774" s="55">
        <f>IF(SCAN!K774&lt;&gt;"-",SCAN!D774,0)</f>
        <v>0</v>
      </c>
      <c r="N774" s="55">
        <f>IF(SCAN!K774&lt;&gt;"-",SCAN!E774,0)</f>
        <v>0</v>
      </c>
      <c r="O774" s="55">
        <f>IF(SCAN!K774&lt;&gt;"-",SCAN!F774,0)</f>
        <v>0</v>
      </c>
      <c r="R774" s="53">
        <f>IF(SCAN!Q774&lt;&gt;"-",SCAN!D774,0)</f>
        <v>0</v>
      </c>
      <c r="S774" s="53">
        <f>IF(SCAN!Q774&lt;&gt;"-",SCAN!E774,0)</f>
        <v>0</v>
      </c>
      <c r="T774" s="53">
        <f>IF(SCAN!Q774&lt;&gt;"-",SCAN!F774,0)</f>
        <v>0</v>
      </c>
    </row>
    <row r="775" spans="8:20" x14ac:dyDescent="0.25">
      <c r="H775" s="50">
        <f>IF(AND(SCAN!K775="-",SCAN!Q775="-"),SCAN!D775,0)</f>
        <v>0</v>
      </c>
      <c r="I775" s="50">
        <f>IF(AND(SCAN!K775="-",SCAN!Q775="-"),SCAN!E775,0)</f>
        <v>0</v>
      </c>
      <c r="J775" s="50">
        <f>IF(AND(SCAN!K775="-",SCAN!Q775="-"),SCAN!F775,0)</f>
        <v>0</v>
      </c>
      <c r="M775" s="55">
        <f>IF(SCAN!K775&lt;&gt;"-",SCAN!D775,0)</f>
        <v>0</v>
      </c>
      <c r="N775" s="55">
        <f>IF(SCAN!K775&lt;&gt;"-",SCAN!E775,0)</f>
        <v>0</v>
      </c>
      <c r="O775" s="55">
        <f>IF(SCAN!K775&lt;&gt;"-",SCAN!F775,0)</f>
        <v>0</v>
      </c>
      <c r="R775" s="53">
        <f>IF(SCAN!Q775&lt;&gt;"-",SCAN!D775,0)</f>
        <v>0</v>
      </c>
      <c r="S775" s="53">
        <f>IF(SCAN!Q775&lt;&gt;"-",SCAN!E775,0)</f>
        <v>0</v>
      </c>
      <c r="T775" s="53">
        <f>IF(SCAN!Q775&lt;&gt;"-",SCAN!F775,0)</f>
        <v>0</v>
      </c>
    </row>
    <row r="776" spans="8:20" x14ac:dyDescent="0.25">
      <c r="H776" s="50">
        <f>IF(AND(SCAN!K776="-",SCAN!Q776="-"),SCAN!D776,0)</f>
        <v>0</v>
      </c>
      <c r="I776" s="50">
        <f>IF(AND(SCAN!K776="-",SCAN!Q776="-"),SCAN!E776,0)</f>
        <v>0</v>
      </c>
      <c r="J776" s="50">
        <f>IF(AND(SCAN!K776="-",SCAN!Q776="-"),SCAN!F776,0)</f>
        <v>0</v>
      </c>
      <c r="M776" s="55">
        <f>IF(SCAN!K776&lt;&gt;"-",SCAN!D776,0)</f>
        <v>0</v>
      </c>
      <c r="N776" s="55">
        <f>IF(SCAN!K776&lt;&gt;"-",SCAN!E776,0)</f>
        <v>0</v>
      </c>
      <c r="O776" s="55">
        <f>IF(SCAN!K776&lt;&gt;"-",SCAN!F776,0)</f>
        <v>0</v>
      </c>
      <c r="R776" s="53">
        <f>IF(SCAN!Q776&lt;&gt;"-",SCAN!D776,0)</f>
        <v>0</v>
      </c>
      <c r="S776" s="53">
        <f>IF(SCAN!Q776&lt;&gt;"-",SCAN!E776,0)</f>
        <v>0</v>
      </c>
      <c r="T776" s="53">
        <f>IF(SCAN!Q776&lt;&gt;"-",SCAN!F776,0)</f>
        <v>0</v>
      </c>
    </row>
    <row r="777" spans="8:20" x14ac:dyDescent="0.25">
      <c r="H777" s="50">
        <f>IF(AND(SCAN!K777="-",SCAN!Q777="-"),SCAN!D777,0)</f>
        <v>0</v>
      </c>
      <c r="I777" s="50">
        <f>IF(AND(SCAN!K777="-",SCAN!Q777="-"),SCAN!E777,0)</f>
        <v>0</v>
      </c>
      <c r="J777" s="50">
        <f>IF(AND(SCAN!K777="-",SCAN!Q777="-"),SCAN!F777,0)</f>
        <v>0</v>
      </c>
      <c r="M777" s="55">
        <f>IF(SCAN!K777&lt;&gt;"-",SCAN!D777,0)</f>
        <v>0</v>
      </c>
      <c r="N777" s="55">
        <f>IF(SCAN!K777&lt;&gt;"-",SCAN!E777,0)</f>
        <v>0</v>
      </c>
      <c r="O777" s="55">
        <f>IF(SCAN!K777&lt;&gt;"-",SCAN!F777,0)</f>
        <v>0</v>
      </c>
      <c r="R777" s="53">
        <f>IF(SCAN!Q777&lt;&gt;"-",SCAN!D777,0)</f>
        <v>0</v>
      </c>
      <c r="S777" s="53">
        <f>IF(SCAN!Q777&lt;&gt;"-",SCAN!E777,0)</f>
        <v>0</v>
      </c>
      <c r="T777" s="53">
        <f>IF(SCAN!Q777&lt;&gt;"-",SCAN!F777,0)</f>
        <v>0</v>
      </c>
    </row>
    <row r="778" spans="8:20" x14ac:dyDescent="0.25">
      <c r="H778" s="50">
        <f>IF(AND(SCAN!K778="-",SCAN!Q778="-"),SCAN!D778,0)</f>
        <v>0</v>
      </c>
      <c r="I778" s="50">
        <f>IF(AND(SCAN!K778="-",SCAN!Q778="-"),SCAN!E778,0)</f>
        <v>0</v>
      </c>
      <c r="J778" s="50">
        <f>IF(AND(SCAN!K778="-",SCAN!Q778="-"),SCAN!F778,0)</f>
        <v>0</v>
      </c>
      <c r="M778" s="55">
        <f>IF(SCAN!K778&lt;&gt;"-",SCAN!D778,0)</f>
        <v>0</v>
      </c>
      <c r="N778" s="55">
        <f>IF(SCAN!K778&lt;&gt;"-",SCAN!E778,0)</f>
        <v>0</v>
      </c>
      <c r="O778" s="55">
        <f>IF(SCAN!K778&lt;&gt;"-",SCAN!F778,0)</f>
        <v>0</v>
      </c>
      <c r="R778" s="53">
        <f>IF(SCAN!Q778&lt;&gt;"-",SCAN!D778,0)</f>
        <v>0</v>
      </c>
      <c r="S778" s="53">
        <f>IF(SCAN!Q778&lt;&gt;"-",SCAN!E778,0)</f>
        <v>0</v>
      </c>
      <c r="T778" s="53">
        <f>IF(SCAN!Q778&lt;&gt;"-",SCAN!F778,0)</f>
        <v>0</v>
      </c>
    </row>
    <row r="779" spans="8:20" x14ac:dyDescent="0.25">
      <c r="H779" s="50">
        <f>IF(AND(SCAN!K779="-",SCAN!Q779="-"),SCAN!D779,0)</f>
        <v>0</v>
      </c>
      <c r="I779" s="50">
        <f>IF(AND(SCAN!K779="-",SCAN!Q779="-"),SCAN!E779,0)</f>
        <v>0</v>
      </c>
      <c r="J779" s="50">
        <f>IF(AND(SCAN!K779="-",SCAN!Q779="-"),SCAN!F779,0)</f>
        <v>0</v>
      </c>
      <c r="M779" s="55">
        <f>IF(SCAN!K779&lt;&gt;"-",SCAN!D779,0)</f>
        <v>0</v>
      </c>
      <c r="N779" s="55">
        <f>IF(SCAN!K779&lt;&gt;"-",SCAN!E779,0)</f>
        <v>0</v>
      </c>
      <c r="O779" s="55">
        <f>IF(SCAN!K779&lt;&gt;"-",SCAN!F779,0)</f>
        <v>0</v>
      </c>
      <c r="R779" s="53">
        <f>IF(SCAN!Q779&lt;&gt;"-",SCAN!D779,0)</f>
        <v>0</v>
      </c>
      <c r="S779" s="53">
        <f>IF(SCAN!Q779&lt;&gt;"-",SCAN!E779,0)</f>
        <v>0</v>
      </c>
      <c r="T779" s="53">
        <f>IF(SCAN!Q779&lt;&gt;"-",SCAN!F779,0)</f>
        <v>0</v>
      </c>
    </row>
    <row r="780" spans="8:20" x14ac:dyDescent="0.25">
      <c r="H780" s="50">
        <f>IF(AND(SCAN!K780="-",SCAN!Q780="-"),SCAN!D780,0)</f>
        <v>0</v>
      </c>
      <c r="I780" s="50">
        <f>IF(AND(SCAN!K780="-",SCAN!Q780="-"),SCAN!E780,0)</f>
        <v>0</v>
      </c>
      <c r="J780" s="50">
        <f>IF(AND(SCAN!K780="-",SCAN!Q780="-"),SCAN!F780,0)</f>
        <v>0</v>
      </c>
      <c r="M780" s="55">
        <f>IF(SCAN!K780&lt;&gt;"-",SCAN!D780,0)</f>
        <v>0</v>
      </c>
      <c r="N780" s="55">
        <f>IF(SCAN!K780&lt;&gt;"-",SCAN!E780,0)</f>
        <v>0</v>
      </c>
      <c r="O780" s="55">
        <f>IF(SCAN!K780&lt;&gt;"-",SCAN!F780,0)</f>
        <v>0</v>
      </c>
      <c r="R780" s="53">
        <f>IF(SCAN!Q780&lt;&gt;"-",SCAN!D780,0)</f>
        <v>0</v>
      </c>
      <c r="S780" s="53">
        <f>IF(SCAN!Q780&lt;&gt;"-",SCAN!E780,0)</f>
        <v>0</v>
      </c>
      <c r="T780" s="53">
        <f>IF(SCAN!Q780&lt;&gt;"-",SCAN!F780,0)</f>
        <v>0</v>
      </c>
    </row>
    <row r="781" spans="8:20" x14ac:dyDescent="0.25">
      <c r="H781" s="50">
        <f>IF(AND(SCAN!K781="-",SCAN!Q781="-"),SCAN!D781,0)</f>
        <v>0</v>
      </c>
      <c r="I781" s="50">
        <f>IF(AND(SCAN!K781="-",SCAN!Q781="-"),SCAN!E781,0)</f>
        <v>0</v>
      </c>
      <c r="J781" s="50">
        <f>IF(AND(SCAN!K781="-",SCAN!Q781="-"),SCAN!F781,0)</f>
        <v>0</v>
      </c>
      <c r="M781" s="55">
        <f>IF(SCAN!K781&lt;&gt;"-",SCAN!D781,0)</f>
        <v>0</v>
      </c>
      <c r="N781" s="55">
        <f>IF(SCAN!K781&lt;&gt;"-",SCAN!E781,0)</f>
        <v>0</v>
      </c>
      <c r="O781" s="55">
        <f>IF(SCAN!K781&lt;&gt;"-",SCAN!F781,0)</f>
        <v>0</v>
      </c>
      <c r="R781" s="53">
        <f>IF(SCAN!Q781&lt;&gt;"-",SCAN!D781,0)</f>
        <v>0</v>
      </c>
      <c r="S781" s="53">
        <f>IF(SCAN!Q781&lt;&gt;"-",SCAN!E781,0)</f>
        <v>0</v>
      </c>
      <c r="T781" s="53">
        <f>IF(SCAN!Q781&lt;&gt;"-",SCAN!F781,0)</f>
        <v>0</v>
      </c>
    </row>
    <row r="782" spans="8:20" x14ac:dyDescent="0.25">
      <c r="H782" s="50">
        <f>IF(AND(SCAN!K782="-",SCAN!Q782="-"),SCAN!D782,0)</f>
        <v>0</v>
      </c>
      <c r="I782" s="50">
        <f>IF(AND(SCAN!K782="-",SCAN!Q782="-"),SCAN!E782,0)</f>
        <v>0</v>
      </c>
      <c r="J782" s="50">
        <f>IF(AND(SCAN!K782="-",SCAN!Q782="-"),SCAN!F782,0)</f>
        <v>0</v>
      </c>
      <c r="M782" s="55">
        <f>IF(SCAN!K782&lt;&gt;"-",SCAN!D782,0)</f>
        <v>0</v>
      </c>
      <c r="N782" s="55">
        <f>IF(SCAN!K782&lt;&gt;"-",SCAN!E782,0)</f>
        <v>0</v>
      </c>
      <c r="O782" s="55">
        <f>IF(SCAN!K782&lt;&gt;"-",SCAN!F782,0)</f>
        <v>0</v>
      </c>
      <c r="R782" s="53">
        <f>IF(SCAN!Q782&lt;&gt;"-",SCAN!D782,0)</f>
        <v>0</v>
      </c>
      <c r="S782" s="53">
        <f>IF(SCAN!Q782&lt;&gt;"-",SCAN!E782,0)</f>
        <v>0</v>
      </c>
      <c r="T782" s="53">
        <f>IF(SCAN!Q782&lt;&gt;"-",SCAN!F782,0)</f>
        <v>0</v>
      </c>
    </row>
    <row r="783" spans="8:20" x14ac:dyDescent="0.25">
      <c r="H783" s="50">
        <f>IF(AND(SCAN!K783="-",SCAN!Q783="-"),SCAN!D783,0)</f>
        <v>0</v>
      </c>
      <c r="I783" s="50">
        <f>IF(AND(SCAN!K783="-",SCAN!Q783="-"),SCAN!E783,0)</f>
        <v>0</v>
      </c>
      <c r="J783" s="50">
        <f>IF(AND(SCAN!K783="-",SCAN!Q783="-"),SCAN!F783,0)</f>
        <v>0</v>
      </c>
      <c r="M783" s="55">
        <f>IF(SCAN!K783&lt;&gt;"-",SCAN!D783,0)</f>
        <v>0</v>
      </c>
      <c r="N783" s="55">
        <f>IF(SCAN!K783&lt;&gt;"-",SCAN!E783,0)</f>
        <v>0</v>
      </c>
      <c r="O783" s="55">
        <f>IF(SCAN!K783&lt;&gt;"-",SCAN!F783,0)</f>
        <v>0</v>
      </c>
      <c r="R783" s="53">
        <f>IF(SCAN!Q783&lt;&gt;"-",SCAN!D783,0)</f>
        <v>0</v>
      </c>
      <c r="S783" s="53">
        <f>IF(SCAN!Q783&lt;&gt;"-",SCAN!E783,0)</f>
        <v>0</v>
      </c>
      <c r="T783" s="53">
        <f>IF(SCAN!Q783&lt;&gt;"-",SCAN!F783,0)</f>
        <v>0</v>
      </c>
    </row>
    <row r="784" spans="8:20" x14ac:dyDescent="0.25">
      <c r="H784" s="50">
        <f>IF(AND(SCAN!K784="-",SCAN!Q784="-"),SCAN!D784,0)</f>
        <v>0</v>
      </c>
      <c r="I784" s="50">
        <f>IF(AND(SCAN!K784="-",SCAN!Q784="-"),SCAN!E784,0)</f>
        <v>0</v>
      </c>
      <c r="J784" s="50">
        <f>IF(AND(SCAN!K784="-",SCAN!Q784="-"),SCAN!F784,0)</f>
        <v>0</v>
      </c>
      <c r="M784" s="55">
        <f>IF(SCAN!K784&lt;&gt;"-",SCAN!D784,0)</f>
        <v>0</v>
      </c>
      <c r="N784" s="55">
        <f>IF(SCAN!K784&lt;&gt;"-",SCAN!E784,0)</f>
        <v>0</v>
      </c>
      <c r="O784" s="55">
        <f>IF(SCAN!K784&lt;&gt;"-",SCAN!F784,0)</f>
        <v>0</v>
      </c>
      <c r="R784" s="53">
        <f>IF(SCAN!Q784&lt;&gt;"-",SCAN!D784,0)</f>
        <v>0</v>
      </c>
      <c r="S784" s="53">
        <f>IF(SCAN!Q784&lt;&gt;"-",SCAN!E784,0)</f>
        <v>0</v>
      </c>
      <c r="T784" s="53">
        <f>IF(SCAN!Q784&lt;&gt;"-",SCAN!F784,0)</f>
        <v>0</v>
      </c>
    </row>
    <row r="785" spans="8:20" x14ac:dyDescent="0.25">
      <c r="H785" s="50">
        <f>IF(AND(SCAN!K785="-",SCAN!Q785="-"),SCAN!D785,0)</f>
        <v>0</v>
      </c>
      <c r="I785" s="50">
        <f>IF(AND(SCAN!K785="-",SCAN!Q785="-"),SCAN!E785,0)</f>
        <v>0</v>
      </c>
      <c r="J785" s="50">
        <f>IF(AND(SCAN!K785="-",SCAN!Q785="-"),SCAN!F785,0)</f>
        <v>0</v>
      </c>
      <c r="M785" s="55">
        <f>IF(SCAN!K785&lt;&gt;"-",SCAN!D785,0)</f>
        <v>0</v>
      </c>
      <c r="N785" s="55">
        <f>IF(SCAN!K785&lt;&gt;"-",SCAN!E785,0)</f>
        <v>0</v>
      </c>
      <c r="O785" s="55">
        <f>IF(SCAN!K785&lt;&gt;"-",SCAN!F785,0)</f>
        <v>0</v>
      </c>
      <c r="R785" s="53">
        <f>IF(SCAN!Q785&lt;&gt;"-",SCAN!D785,0)</f>
        <v>0</v>
      </c>
      <c r="S785" s="53">
        <f>IF(SCAN!Q785&lt;&gt;"-",SCAN!E785,0)</f>
        <v>0</v>
      </c>
      <c r="T785" s="53">
        <f>IF(SCAN!Q785&lt;&gt;"-",SCAN!F785,0)</f>
        <v>0</v>
      </c>
    </row>
    <row r="786" spans="8:20" x14ac:dyDescent="0.25">
      <c r="H786" s="50">
        <f>IF(AND(SCAN!K786="-",SCAN!Q786="-"),SCAN!D786,0)</f>
        <v>0</v>
      </c>
      <c r="I786" s="50">
        <f>IF(AND(SCAN!K786="-",SCAN!Q786="-"),SCAN!E786,0)</f>
        <v>0</v>
      </c>
      <c r="J786" s="50">
        <f>IF(AND(SCAN!K786="-",SCAN!Q786="-"),SCAN!F786,0)</f>
        <v>0</v>
      </c>
      <c r="M786" s="55">
        <f>IF(SCAN!K786&lt;&gt;"-",SCAN!D786,0)</f>
        <v>0</v>
      </c>
      <c r="N786" s="55">
        <f>IF(SCAN!K786&lt;&gt;"-",SCAN!E786,0)</f>
        <v>0</v>
      </c>
      <c r="O786" s="55">
        <f>IF(SCAN!K786&lt;&gt;"-",SCAN!F786,0)</f>
        <v>0</v>
      </c>
      <c r="R786" s="53">
        <f>IF(SCAN!Q786&lt;&gt;"-",SCAN!D786,0)</f>
        <v>0</v>
      </c>
      <c r="S786" s="53">
        <f>IF(SCAN!Q786&lt;&gt;"-",SCAN!E786,0)</f>
        <v>0</v>
      </c>
      <c r="T786" s="53">
        <f>IF(SCAN!Q786&lt;&gt;"-",SCAN!F786,0)</f>
        <v>0</v>
      </c>
    </row>
    <row r="787" spans="8:20" x14ac:dyDescent="0.25">
      <c r="H787" s="50">
        <f>IF(AND(SCAN!K787="-",SCAN!Q787="-"),SCAN!D787,0)</f>
        <v>0</v>
      </c>
      <c r="I787" s="50">
        <f>IF(AND(SCAN!K787="-",SCAN!Q787="-"),SCAN!E787,0)</f>
        <v>0</v>
      </c>
      <c r="J787" s="50">
        <f>IF(AND(SCAN!K787="-",SCAN!Q787="-"),SCAN!F787,0)</f>
        <v>0</v>
      </c>
      <c r="M787" s="55">
        <f>IF(SCAN!K787&lt;&gt;"-",SCAN!D787,0)</f>
        <v>0</v>
      </c>
      <c r="N787" s="55">
        <f>IF(SCAN!K787&lt;&gt;"-",SCAN!E787,0)</f>
        <v>0</v>
      </c>
      <c r="O787" s="55">
        <f>IF(SCAN!K787&lt;&gt;"-",SCAN!F787,0)</f>
        <v>0</v>
      </c>
      <c r="R787" s="53">
        <f>IF(SCAN!Q787&lt;&gt;"-",SCAN!D787,0)</f>
        <v>0</v>
      </c>
      <c r="S787" s="53">
        <f>IF(SCAN!Q787&lt;&gt;"-",SCAN!E787,0)</f>
        <v>0</v>
      </c>
      <c r="T787" s="53">
        <f>IF(SCAN!Q787&lt;&gt;"-",SCAN!F787,0)</f>
        <v>0</v>
      </c>
    </row>
    <row r="788" spans="8:20" x14ac:dyDescent="0.25">
      <c r="H788" s="50">
        <f>IF(AND(SCAN!K788="-",SCAN!Q788="-"),SCAN!D788,0)</f>
        <v>0</v>
      </c>
      <c r="I788" s="50">
        <f>IF(AND(SCAN!K788="-",SCAN!Q788="-"),SCAN!E788,0)</f>
        <v>0</v>
      </c>
      <c r="J788" s="50">
        <f>IF(AND(SCAN!K788="-",SCAN!Q788="-"),SCAN!F788,0)</f>
        <v>0</v>
      </c>
      <c r="M788" s="55">
        <f>IF(SCAN!K788&lt;&gt;"-",SCAN!D788,0)</f>
        <v>0</v>
      </c>
      <c r="N788" s="55">
        <f>IF(SCAN!K788&lt;&gt;"-",SCAN!E788,0)</f>
        <v>0</v>
      </c>
      <c r="O788" s="55">
        <f>IF(SCAN!K788&lt;&gt;"-",SCAN!F788,0)</f>
        <v>0</v>
      </c>
      <c r="R788" s="53">
        <f>IF(SCAN!Q788&lt;&gt;"-",SCAN!D788,0)</f>
        <v>0</v>
      </c>
      <c r="S788" s="53">
        <f>IF(SCAN!Q788&lt;&gt;"-",SCAN!E788,0)</f>
        <v>0</v>
      </c>
      <c r="T788" s="53">
        <f>IF(SCAN!Q788&lt;&gt;"-",SCAN!F788,0)</f>
        <v>0</v>
      </c>
    </row>
    <row r="789" spans="8:20" x14ac:dyDescent="0.25">
      <c r="H789" s="50">
        <f>IF(AND(SCAN!K789="-",SCAN!Q789="-"),SCAN!D789,0)</f>
        <v>0</v>
      </c>
      <c r="I789" s="50">
        <f>IF(AND(SCAN!K789="-",SCAN!Q789="-"),SCAN!E789,0)</f>
        <v>0</v>
      </c>
      <c r="J789" s="50">
        <f>IF(AND(SCAN!K789="-",SCAN!Q789="-"),SCAN!F789,0)</f>
        <v>0</v>
      </c>
      <c r="M789" s="55">
        <f>IF(SCAN!K789&lt;&gt;"-",SCAN!D789,0)</f>
        <v>0</v>
      </c>
      <c r="N789" s="55">
        <f>IF(SCAN!K789&lt;&gt;"-",SCAN!E789,0)</f>
        <v>0</v>
      </c>
      <c r="O789" s="55">
        <f>IF(SCAN!K789&lt;&gt;"-",SCAN!F789,0)</f>
        <v>0</v>
      </c>
      <c r="R789" s="53">
        <f>IF(SCAN!Q789&lt;&gt;"-",SCAN!D789,0)</f>
        <v>0</v>
      </c>
      <c r="S789" s="53">
        <f>IF(SCAN!Q789&lt;&gt;"-",SCAN!E789,0)</f>
        <v>0</v>
      </c>
      <c r="T789" s="53">
        <f>IF(SCAN!Q789&lt;&gt;"-",SCAN!F789,0)</f>
        <v>0</v>
      </c>
    </row>
    <row r="790" spans="8:20" x14ac:dyDescent="0.25">
      <c r="H790" s="50">
        <f>IF(AND(SCAN!K790="-",SCAN!Q790="-"),SCAN!D790,0)</f>
        <v>0</v>
      </c>
      <c r="I790" s="50">
        <f>IF(AND(SCAN!K790="-",SCAN!Q790="-"),SCAN!E790,0)</f>
        <v>0</v>
      </c>
      <c r="J790" s="50">
        <f>IF(AND(SCAN!K790="-",SCAN!Q790="-"),SCAN!F790,0)</f>
        <v>0</v>
      </c>
      <c r="M790" s="55">
        <f>IF(SCAN!K790&lt;&gt;"-",SCAN!D790,0)</f>
        <v>0</v>
      </c>
      <c r="N790" s="55">
        <f>IF(SCAN!K790&lt;&gt;"-",SCAN!E790,0)</f>
        <v>0</v>
      </c>
      <c r="O790" s="55">
        <f>IF(SCAN!K790&lt;&gt;"-",SCAN!F790,0)</f>
        <v>0</v>
      </c>
      <c r="R790" s="53">
        <f>IF(SCAN!Q790&lt;&gt;"-",SCAN!D790,0)</f>
        <v>0</v>
      </c>
      <c r="S790" s="53">
        <f>IF(SCAN!Q790&lt;&gt;"-",SCAN!E790,0)</f>
        <v>0</v>
      </c>
      <c r="T790" s="53">
        <f>IF(SCAN!Q790&lt;&gt;"-",SCAN!F790,0)</f>
        <v>0</v>
      </c>
    </row>
    <row r="791" spans="8:20" x14ac:dyDescent="0.25">
      <c r="H791" s="50">
        <f>IF(AND(SCAN!K791="-",SCAN!Q791="-"),SCAN!D791,0)</f>
        <v>0</v>
      </c>
      <c r="I791" s="50">
        <f>IF(AND(SCAN!K791="-",SCAN!Q791="-"),SCAN!E791,0)</f>
        <v>0</v>
      </c>
      <c r="J791" s="50">
        <f>IF(AND(SCAN!K791="-",SCAN!Q791="-"),SCAN!F791,0)</f>
        <v>0</v>
      </c>
      <c r="M791" s="55">
        <f>IF(SCAN!K791&lt;&gt;"-",SCAN!D791,0)</f>
        <v>0</v>
      </c>
      <c r="N791" s="55">
        <f>IF(SCAN!K791&lt;&gt;"-",SCAN!E791,0)</f>
        <v>0</v>
      </c>
      <c r="O791" s="55">
        <f>IF(SCAN!K791&lt;&gt;"-",SCAN!F791,0)</f>
        <v>0</v>
      </c>
      <c r="R791" s="53">
        <f>IF(SCAN!Q791&lt;&gt;"-",SCAN!D791,0)</f>
        <v>0</v>
      </c>
      <c r="S791" s="53">
        <f>IF(SCAN!Q791&lt;&gt;"-",SCAN!E791,0)</f>
        <v>0</v>
      </c>
      <c r="T791" s="53">
        <f>IF(SCAN!Q791&lt;&gt;"-",SCAN!F791,0)</f>
        <v>0</v>
      </c>
    </row>
    <row r="792" spans="8:20" x14ac:dyDescent="0.25">
      <c r="H792" s="50">
        <f>IF(AND(SCAN!K792="-",SCAN!Q792="-"),SCAN!D792,0)</f>
        <v>0</v>
      </c>
      <c r="I792" s="50">
        <f>IF(AND(SCAN!K792="-",SCAN!Q792="-"),SCAN!E792,0)</f>
        <v>0</v>
      </c>
      <c r="J792" s="50">
        <f>IF(AND(SCAN!K792="-",SCAN!Q792="-"),SCAN!F792,0)</f>
        <v>0</v>
      </c>
      <c r="M792" s="55">
        <f>IF(SCAN!K792&lt;&gt;"-",SCAN!D792,0)</f>
        <v>0</v>
      </c>
      <c r="N792" s="55">
        <f>IF(SCAN!K792&lt;&gt;"-",SCAN!E792,0)</f>
        <v>0</v>
      </c>
      <c r="O792" s="55">
        <f>IF(SCAN!K792&lt;&gt;"-",SCAN!F792,0)</f>
        <v>0</v>
      </c>
      <c r="R792" s="53">
        <f>IF(SCAN!Q792&lt;&gt;"-",SCAN!D792,0)</f>
        <v>0</v>
      </c>
      <c r="S792" s="53">
        <f>IF(SCAN!Q792&lt;&gt;"-",SCAN!E792,0)</f>
        <v>0</v>
      </c>
      <c r="T792" s="53">
        <f>IF(SCAN!Q792&lt;&gt;"-",SCAN!F792,0)</f>
        <v>0</v>
      </c>
    </row>
    <row r="793" spans="8:20" x14ac:dyDescent="0.25">
      <c r="H793" s="50">
        <f>IF(AND(SCAN!K793="-",SCAN!Q793="-"),SCAN!D793,0)</f>
        <v>0</v>
      </c>
      <c r="I793" s="50">
        <f>IF(AND(SCAN!K793="-",SCAN!Q793="-"),SCAN!E793,0)</f>
        <v>0</v>
      </c>
      <c r="J793" s="50">
        <f>IF(AND(SCAN!K793="-",SCAN!Q793="-"),SCAN!F793,0)</f>
        <v>0</v>
      </c>
      <c r="M793" s="55">
        <f>IF(SCAN!K793&lt;&gt;"-",SCAN!D793,0)</f>
        <v>0</v>
      </c>
      <c r="N793" s="55">
        <f>IF(SCAN!K793&lt;&gt;"-",SCAN!E793,0)</f>
        <v>0</v>
      </c>
      <c r="O793" s="55">
        <f>IF(SCAN!K793&lt;&gt;"-",SCAN!F793,0)</f>
        <v>0</v>
      </c>
      <c r="R793" s="53">
        <f>IF(SCAN!Q793&lt;&gt;"-",SCAN!D793,0)</f>
        <v>0</v>
      </c>
      <c r="S793" s="53">
        <f>IF(SCAN!Q793&lt;&gt;"-",SCAN!E793,0)</f>
        <v>0</v>
      </c>
      <c r="T793" s="53">
        <f>IF(SCAN!Q793&lt;&gt;"-",SCAN!F793,0)</f>
        <v>0</v>
      </c>
    </row>
    <row r="794" spans="8:20" x14ac:dyDescent="0.25">
      <c r="H794" s="50">
        <f>IF(AND(SCAN!K794="-",SCAN!Q794="-"),SCAN!D794,0)</f>
        <v>0</v>
      </c>
      <c r="I794" s="50">
        <f>IF(AND(SCAN!K794="-",SCAN!Q794="-"),SCAN!E794,0)</f>
        <v>0</v>
      </c>
      <c r="J794" s="50">
        <f>IF(AND(SCAN!K794="-",SCAN!Q794="-"),SCAN!F794,0)</f>
        <v>0</v>
      </c>
      <c r="M794" s="55">
        <f>IF(SCAN!K794&lt;&gt;"-",SCAN!D794,0)</f>
        <v>0</v>
      </c>
      <c r="N794" s="55">
        <f>IF(SCAN!K794&lt;&gt;"-",SCAN!E794,0)</f>
        <v>0</v>
      </c>
      <c r="O794" s="55">
        <f>IF(SCAN!K794&lt;&gt;"-",SCAN!F794,0)</f>
        <v>0</v>
      </c>
      <c r="R794" s="53">
        <f>IF(SCAN!Q794&lt;&gt;"-",SCAN!D794,0)</f>
        <v>0</v>
      </c>
      <c r="S794" s="53">
        <f>IF(SCAN!Q794&lt;&gt;"-",SCAN!E794,0)</f>
        <v>0</v>
      </c>
      <c r="T794" s="53">
        <f>IF(SCAN!Q794&lt;&gt;"-",SCAN!F794,0)</f>
        <v>0</v>
      </c>
    </row>
    <row r="795" spans="8:20" x14ac:dyDescent="0.25">
      <c r="H795" s="50">
        <f>IF(AND(SCAN!K795="-",SCAN!Q795="-"),SCAN!D795,0)</f>
        <v>0</v>
      </c>
      <c r="I795" s="50">
        <f>IF(AND(SCAN!K795="-",SCAN!Q795="-"),SCAN!E795,0)</f>
        <v>0</v>
      </c>
      <c r="J795" s="50">
        <f>IF(AND(SCAN!K795="-",SCAN!Q795="-"),SCAN!F795,0)</f>
        <v>0</v>
      </c>
      <c r="M795" s="55">
        <f>IF(SCAN!K795&lt;&gt;"-",SCAN!D795,0)</f>
        <v>0</v>
      </c>
      <c r="N795" s="55">
        <f>IF(SCAN!K795&lt;&gt;"-",SCAN!E795,0)</f>
        <v>0</v>
      </c>
      <c r="O795" s="55">
        <f>IF(SCAN!K795&lt;&gt;"-",SCAN!F795,0)</f>
        <v>0</v>
      </c>
      <c r="R795" s="53">
        <f>IF(SCAN!Q795&lt;&gt;"-",SCAN!D795,0)</f>
        <v>0</v>
      </c>
      <c r="S795" s="53">
        <f>IF(SCAN!Q795&lt;&gt;"-",SCAN!E795,0)</f>
        <v>0</v>
      </c>
      <c r="T795" s="53">
        <f>IF(SCAN!Q795&lt;&gt;"-",SCAN!F795,0)</f>
        <v>0</v>
      </c>
    </row>
    <row r="796" spans="8:20" x14ac:dyDescent="0.25">
      <c r="H796" s="50">
        <f>IF(AND(SCAN!K796="-",SCAN!Q796="-"),SCAN!D796,0)</f>
        <v>0</v>
      </c>
      <c r="I796" s="50">
        <f>IF(AND(SCAN!K796="-",SCAN!Q796="-"),SCAN!E796,0)</f>
        <v>0</v>
      </c>
      <c r="J796" s="50">
        <f>IF(AND(SCAN!K796="-",SCAN!Q796="-"),SCAN!F796,0)</f>
        <v>0</v>
      </c>
      <c r="M796" s="55">
        <f>IF(SCAN!K796&lt;&gt;"-",SCAN!D796,0)</f>
        <v>0</v>
      </c>
      <c r="N796" s="55">
        <f>IF(SCAN!K796&lt;&gt;"-",SCAN!E796,0)</f>
        <v>0</v>
      </c>
      <c r="O796" s="55">
        <f>IF(SCAN!K796&lt;&gt;"-",SCAN!F796,0)</f>
        <v>0</v>
      </c>
      <c r="R796" s="53">
        <f>IF(SCAN!Q796&lt;&gt;"-",SCAN!D796,0)</f>
        <v>0</v>
      </c>
      <c r="S796" s="53">
        <f>IF(SCAN!Q796&lt;&gt;"-",SCAN!E796,0)</f>
        <v>0</v>
      </c>
      <c r="T796" s="53">
        <f>IF(SCAN!Q796&lt;&gt;"-",SCAN!F796,0)</f>
        <v>0</v>
      </c>
    </row>
    <row r="797" spans="8:20" x14ac:dyDescent="0.25">
      <c r="H797" s="50">
        <f>IF(AND(SCAN!K797="-",SCAN!Q797="-"),SCAN!D797,0)</f>
        <v>0</v>
      </c>
      <c r="I797" s="50">
        <f>IF(AND(SCAN!K797="-",SCAN!Q797="-"),SCAN!E797,0)</f>
        <v>0</v>
      </c>
      <c r="J797" s="50">
        <f>IF(AND(SCAN!K797="-",SCAN!Q797="-"),SCAN!F797,0)</f>
        <v>0</v>
      </c>
      <c r="M797" s="55">
        <f>IF(SCAN!K797&lt;&gt;"-",SCAN!D797,0)</f>
        <v>0</v>
      </c>
      <c r="N797" s="55">
        <f>IF(SCAN!K797&lt;&gt;"-",SCAN!E797,0)</f>
        <v>0</v>
      </c>
      <c r="O797" s="55">
        <f>IF(SCAN!K797&lt;&gt;"-",SCAN!F797,0)</f>
        <v>0</v>
      </c>
      <c r="R797" s="53">
        <f>IF(SCAN!Q797&lt;&gt;"-",SCAN!D797,0)</f>
        <v>0</v>
      </c>
      <c r="S797" s="53">
        <f>IF(SCAN!Q797&lt;&gt;"-",SCAN!E797,0)</f>
        <v>0</v>
      </c>
      <c r="T797" s="53">
        <f>IF(SCAN!Q797&lt;&gt;"-",SCAN!F797,0)</f>
        <v>0</v>
      </c>
    </row>
    <row r="798" spans="8:20" x14ac:dyDescent="0.25">
      <c r="H798" s="50">
        <f>IF(AND(SCAN!K798="-",SCAN!Q798="-"),SCAN!D798,0)</f>
        <v>0</v>
      </c>
      <c r="I798" s="50">
        <f>IF(AND(SCAN!K798="-",SCAN!Q798="-"),SCAN!E798,0)</f>
        <v>0</v>
      </c>
      <c r="J798" s="50">
        <f>IF(AND(SCAN!K798="-",SCAN!Q798="-"),SCAN!F798,0)</f>
        <v>0</v>
      </c>
      <c r="M798" s="55">
        <f>IF(SCAN!K798&lt;&gt;"-",SCAN!D798,0)</f>
        <v>0</v>
      </c>
      <c r="N798" s="55">
        <f>IF(SCAN!K798&lt;&gt;"-",SCAN!E798,0)</f>
        <v>0</v>
      </c>
      <c r="O798" s="55">
        <f>IF(SCAN!K798&lt;&gt;"-",SCAN!F798,0)</f>
        <v>0</v>
      </c>
      <c r="R798" s="53">
        <f>IF(SCAN!Q798&lt;&gt;"-",SCAN!D798,0)</f>
        <v>0</v>
      </c>
      <c r="S798" s="53">
        <f>IF(SCAN!Q798&lt;&gt;"-",SCAN!E798,0)</f>
        <v>0</v>
      </c>
      <c r="T798" s="53">
        <f>IF(SCAN!Q798&lt;&gt;"-",SCAN!F798,0)</f>
        <v>0</v>
      </c>
    </row>
    <row r="799" spans="8:20" x14ac:dyDescent="0.25">
      <c r="H799" s="50">
        <f>IF(AND(SCAN!K799="-",SCAN!Q799="-"),SCAN!D799,0)</f>
        <v>0</v>
      </c>
      <c r="I799" s="50">
        <f>IF(AND(SCAN!K799="-",SCAN!Q799="-"),SCAN!E799,0)</f>
        <v>0</v>
      </c>
      <c r="J799" s="50">
        <f>IF(AND(SCAN!K799="-",SCAN!Q799="-"),SCAN!F799,0)</f>
        <v>0</v>
      </c>
      <c r="M799" s="55">
        <f>IF(SCAN!K799&lt;&gt;"-",SCAN!D799,0)</f>
        <v>0</v>
      </c>
      <c r="N799" s="55">
        <f>IF(SCAN!K799&lt;&gt;"-",SCAN!E799,0)</f>
        <v>0</v>
      </c>
      <c r="O799" s="55">
        <f>IF(SCAN!K799&lt;&gt;"-",SCAN!F799,0)</f>
        <v>0</v>
      </c>
      <c r="R799" s="53">
        <f>IF(SCAN!Q799&lt;&gt;"-",SCAN!D799,0)</f>
        <v>0</v>
      </c>
      <c r="S799" s="53">
        <f>IF(SCAN!Q799&lt;&gt;"-",SCAN!E799,0)</f>
        <v>0</v>
      </c>
      <c r="T799" s="53">
        <f>IF(SCAN!Q799&lt;&gt;"-",SCAN!F799,0)</f>
        <v>0</v>
      </c>
    </row>
    <row r="800" spans="8:20" x14ac:dyDescent="0.25">
      <c r="H800" s="50">
        <f>IF(AND(SCAN!K800="-",SCAN!Q800="-"),SCAN!D800,0)</f>
        <v>0</v>
      </c>
      <c r="I800" s="50">
        <f>IF(AND(SCAN!K800="-",SCAN!Q800="-"),SCAN!E800,0)</f>
        <v>0</v>
      </c>
      <c r="J800" s="50">
        <f>IF(AND(SCAN!K800="-",SCAN!Q800="-"),SCAN!F800,0)</f>
        <v>0</v>
      </c>
      <c r="M800" s="55">
        <f>IF(SCAN!K800&lt;&gt;"-",SCAN!D800,0)</f>
        <v>0</v>
      </c>
      <c r="N800" s="55">
        <f>IF(SCAN!K800&lt;&gt;"-",SCAN!E800,0)</f>
        <v>0</v>
      </c>
      <c r="O800" s="55">
        <f>IF(SCAN!K800&lt;&gt;"-",SCAN!F800,0)</f>
        <v>0</v>
      </c>
      <c r="R800" s="53">
        <f>IF(SCAN!Q800&lt;&gt;"-",SCAN!D800,0)</f>
        <v>0</v>
      </c>
      <c r="S800" s="53">
        <f>IF(SCAN!Q800&lt;&gt;"-",SCAN!E800,0)</f>
        <v>0</v>
      </c>
      <c r="T800" s="53">
        <f>IF(SCAN!Q800&lt;&gt;"-",SCAN!F800,0)</f>
        <v>0</v>
      </c>
    </row>
    <row r="801" spans="8:20" x14ac:dyDescent="0.25">
      <c r="H801" s="50">
        <f>IF(AND(SCAN!K801="-",SCAN!Q801="-"),SCAN!D801,0)</f>
        <v>0</v>
      </c>
      <c r="I801" s="50">
        <f>IF(AND(SCAN!K801="-",SCAN!Q801="-"),SCAN!E801,0)</f>
        <v>0</v>
      </c>
      <c r="J801" s="50">
        <f>IF(AND(SCAN!K801="-",SCAN!Q801="-"),SCAN!F801,0)</f>
        <v>0</v>
      </c>
      <c r="M801" s="55">
        <f>IF(SCAN!K801&lt;&gt;"-",SCAN!D801,0)</f>
        <v>0</v>
      </c>
      <c r="N801" s="55">
        <f>IF(SCAN!K801&lt;&gt;"-",SCAN!E801,0)</f>
        <v>0</v>
      </c>
      <c r="O801" s="55">
        <f>IF(SCAN!K801&lt;&gt;"-",SCAN!F801,0)</f>
        <v>0</v>
      </c>
      <c r="R801" s="53">
        <f>IF(SCAN!Q801&lt;&gt;"-",SCAN!D801,0)</f>
        <v>0</v>
      </c>
      <c r="S801" s="53">
        <f>IF(SCAN!Q801&lt;&gt;"-",SCAN!E801,0)</f>
        <v>0</v>
      </c>
      <c r="T801" s="53">
        <f>IF(SCAN!Q801&lt;&gt;"-",SCAN!F801,0)</f>
        <v>0</v>
      </c>
    </row>
    <row r="802" spans="8:20" x14ac:dyDescent="0.25">
      <c r="H802" s="50">
        <f>IF(AND(SCAN!K802="-",SCAN!Q802="-"),SCAN!D802,0)</f>
        <v>0</v>
      </c>
      <c r="I802" s="50">
        <f>IF(AND(SCAN!K802="-",SCAN!Q802="-"),SCAN!E802,0)</f>
        <v>0</v>
      </c>
      <c r="J802" s="50">
        <f>IF(AND(SCAN!K802="-",SCAN!Q802="-"),SCAN!F802,0)</f>
        <v>0</v>
      </c>
      <c r="M802" s="55">
        <f>IF(SCAN!K802&lt;&gt;"-",SCAN!D802,0)</f>
        <v>0</v>
      </c>
      <c r="N802" s="55">
        <f>IF(SCAN!K802&lt;&gt;"-",SCAN!E802,0)</f>
        <v>0</v>
      </c>
      <c r="O802" s="55">
        <f>IF(SCAN!K802&lt;&gt;"-",SCAN!F802,0)</f>
        <v>0</v>
      </c>
      <c r="R802" s="53">
        <f>IF(SCAN!Q802&lt;&gt;"-",SCAN!D802,0)</f>
        <v>0</v>
      </c>
      <c r="S802" s="53">
        <f>IF(SCAN!Q802&lt;&gt;"-",SCAN!E802,0)</f>
        <v>0</v>
      </c>
      <c r="T802" s="53">
        <f>IF(SCAN!Q802&lt;&gt;"-",SCAN!F802,0)</f>
        <v>0</v>
      </c>
    </row>
    <row r="803" spans="8:20" x14ac:dyDescent="0.25">
      <c r="H803" s="50">
        <f>IF(AND(SCAN!K803="-",SCAN!Q803="-"),SCAN!D803,0)</f>
        <v>0</v>
      </c>
      <c r="I803" s="50">
        <f>IF(AND(SCAN!K803="-",SCAN!Q803="-"),SCAN!E803,0)</f>
        <v>0</v>
      </c>
      <c r="J803" s="50">
        <f>IF(AND(SCAN!K803="-",SCAN!Q803="-"),SCAN!F803,0)</f>
        <v>0</v>
      </c>
      <c r="M803" s="55">
        <f>IF(SCAN!K803&lt;&gt;"-",SCAN!D803,0)</f>
        <v>0</v>
      </c>
      <c r="N803" s="55">
        <f>IF(SCAN!K803&lt;&gt;"-",SCAN!E803,0)</f>
        <v>0</v>
      </c>
      <c r="O803" s="55">
        <f>IF(SCAN!K803&lt;&gt;"-",SCAN!F803,0)</f>
        <v>0</v>
      </c>
      <c r="R803" s="53">
        <f>IF(SCAN!Q803&lt;&gt;"-",SCAN!D803,0)</f>
        <v>0</v>
      </c>
      <c r="S803" s="53">
        <f>IF(SCAN!Q803&lt;&gt;"-",SCAN!E803,0)</f>
        <v>0</v>
      </c>
      <c r="T803" s="53">
        <f>IF(SCAN!Q803&lt;&gt;"-",SCAN!F803,0)</f>
        <v>0</v>
      </c>
    </row>
    <row r="804" spans="8:20" x14ac:dyDescent="0.25">
      <c r="H804" s="50">
        <f>IF(AND(SCAN!K804="-",SCAN!Q804="-"),SCAN!D804,0)</f>
        <v>0</v>
      </c>
      <c r="I804" s="50">
        <f>IF(AND(SCAN!K804="-",SCAN!Q804="-"),SCAN!E804,0)</f>
        <v>0</v>
      </c>
      <c r="J804" s="50">
        <f>IF(AND(SCAN!K804="-",SCAN!Q804="-"),SCAN!F804,0)</f>
        <v>0</v>
      </c>
      <c r="M804" s="55">
        <f>IF(SCAN!K804&lt;&gt;"-",SCAN!D804,0)</f>
        <v>0</v>
      </c>
      <c r="N804" s="55">
        <f>IF(SCAN!K804&lt;&gt;"-",SCAN!E804,0)</f>
        <v>0</v>
      </c>
      <c r="O804" s="55">
        <f>IF(SCAN!K804&lt;&gt;"-",SCAN!F804,0)</f>
        <v>0</v>
      </c>
      <c r="R804" s="53">
        <f>IF(SCAN!Q804&lt;&gt;"-",SCAN!D804,0)</f>
        <v>0</v>
      </c>
      <c r="S804" s="53">
        <f>IF(SCAN!Q804&lt;&gt;"-",SCAN!E804,0)</f>
        <v>0</v>
      </c>
      <c r="T804" s="53">
        <f>IF(SCAN!Q804&lt;&gt;"-",SCAN!F804,0)</f>
        <v>0</v>
      </c>
    </row>
    <row r="805" spans="8:20" x14ac:dyDescent="0.25">
      <c r="H805" s="50">
        <f>IF(AND(SCAN!K805="-",SCAN!Q805="-"),SCAN!D805,0)</f>
        <v>0</v>
      </c>
      <c r="I805" s="50">
        <f>IF(AND(SCAN!K805="-",SCAN!Q805="-"),SCAN!E805,0)</f>
        <v>0</v>
      </c>
      <c r="J805" s="50">
        <f>IF(AND(SCAN!K805="-",SCAN!Q805="-"),SCAN!F805,0)</f>
        <v>0</v>
      </c>
      <c r="M805" s="55">
        <f>IF(SCAN!K805&lt;&gt;"-",SCAN!D805,0)</f>
        <v>0</v>
      </c>
      <c r="N805" s="55">
        <f>IF(SCAN!K805&lt;&gt;"-",SCAN!E805,0)</f>
        <v>0</v>
      </c>
      <c r="O805" s="55">
        <f>IF(SCAN!K805&lt;&gt;"-",SCAN!F805,0)</f>
        <v>0</v>
      </c>
      <c r="R805" s="53">
        <f>IF(SCAN!Q805&lt;&gt;"-",SCAN!D805,0)</f>
        <v>0</v>
      </c>
      <c r="S805" s="53">
        <f>IF(SCAN!Q805&lt;&gt;"-",SCAN!E805,0)</f>
        <v>0</v>
      </c>
      <c r="T805" s="53">
        <f>IF(SCAN!Q805&lt;&gt;"-",SCAN!F805,0)</f>
        <v>0</v>
      </c>
    </row>
    <row r="806" spans="8:20" x14ac:dyDescent="0.25">
      <c r="H806" s="50">
        <f>IF(AND(SCAN!K806="-",SCAN!Q806="-"),SCAN!D806,0)</f>
        <v>0</v>
      </c>
      <c r="I806" s="50">
        <f>IF(AND(SCAN!K806="-",SCAN!Q806="-"),SCAN!E806,0)</f>
        <v>0</v>
      </c>
      <c r="J806" s="50">
        <f>IF(AND(SCAN!K806="-",SCAN!Q806="-"),SCAN!F806,0)</f>
        <v>0</v>
      </c>
      <c r="M806" s="55">
        <f>IF(SCAN!K806&lt;&gt;"-",SCAN!D806,0)</f>
        <v>0</v>
      </c>
      <c r="N806" s="55">
        <f>IF(SCAN!K806&lt;&gt;"-",SCAN!E806,0)</f>
        <v>0</v>
      </c>
      <c r="O806" s="55">
        <f>IF(SCAN!K806&lt;&gt;"-",SCAN!F806,0)</f>
        <v>0</v>
      </c>
      <c r="R806" s="53">
        <f>IF(SCAN!Q806&lt;&gt;"-",SCAN!D806,0)</f>
        <v>0</v>
      </c>
      <c r="S806" s="53">
        <f>IF(SCAN!Q806&lt;&gt;"-",SCAN!E806,0)</f>
        <v>0</v>
      </c>
      <c r="T806" s="53">
        <f>IF(SCAN!Q806&lt;&gt;"-",SCAN!F806,0)</f>
        <v>0</v>
      </c>
    </row>
    <row r="807" spans="8:20" x14ac:dyDescent="0.25">
      <c r="H807" s="50">
        <f>IF(AND(SCAN!K807="-",SCAN!Q807="-"),SCAN!D807,0)</f>
        <v>0</v>
      </c>
      <c r="I807" s="50">
        <f>IF(AND(SCAN!K807="-",SCAN!Q807="-"),SCAN!E807,0)</f>
        <v>0</v>
      </c>
      <c r="J807" s="50">
        <f>IF(AND(SCAN!K807="-",SCAN!Q807="-"),SCAN!F807,0)</f>
        <v>0</v>
      </c>
      <c r="M807" s="55">
        <f>IF(SCAN!K807&lt;&gt;"-",SCAN!D807,0)</f>
        <v>0</v>
      </c>
      <c r="N807" s="55">
        <f>IF(SCAN!K807&lt;&gt;"-",SCAN!E807,0)</f>
        <v>0</v>
      </c>
      <c r="O807" s="55">
        <f>IF(SCAN!K807&lt;&gt;"-",SCAN!F807,0)</f>
        <v>0</v>
      </c>
      <c r="R807" s="53">
        <f>IF(SCAN!Q807&lt;&gt;"-",SCAN!D807,0)</f>
        <v>0</v>
      </c>
      <c r="S807" s="53">
        <f>IF(SCAN!Q807&lt;&gt;"-",SCAN!E807,0)</f>
        <v>0</v>
      </c>
      <c r="T807" s="53">
        <f>IF(SCAN!Q807&lt;&gt;"-",SCAN!F807,0)</f>
        <v>0</v>
      </c>
    </row>
    <row r="808" spans="8:20" x14ac:dyDescent="0.25">
      <c r="H808" s="50">
        <f>IF(AND(SCAN!K808="-",SCAN!Q808="-"),SCAN!D808,0)</f>
        <v>0</v>
      </c>
      <c r="I808" s="50">
        <f>IF(AND(SCAN!K808="-",SCAN!Q808="-"),SCAN!E808,0)</f>
        <v>0</v>
      </c>
      <c r="J808" s="50">
        <f>IF(AND(SCAN!K808="-",SCAN!Q808="-"),SCAN!F808,0)</f>
        <v>0</v>
      </c>
      <c r="M808" s="55">
        <f>IF(SCAN!K808&lt;&gt;"-",SCAN!D808,0)</f>
        <v>0</v>
      </c>
      <c r="N808" s="55">
        <f>IF(SCAN!K808&lt;&gt;"-",SCAN!E808,0)</f>
        <v>0</v>
      </c>
      <c r="O808" s="55">
        <f>IF(SCAN!K808&lt;&gt;"-",SCAN!F808,0)</f>
        <v>0</v>
      </c>
      <c r="R808" s="53">
        <f>IF(SCAN!Q808&lt;&gt;"-",SCAN!D808,0)</f>
        <v>0</v>
      </c>
      <c r="S808" s="53">
        <f>IF(SCAN!Q808&lt;&gt;"-",SCAN!E808,0)</f>
        <v>0</v>
      </c>
      <c r="T808" s="53">
        <f>IF(SCAN!Q808&lt;&gt;"-",SCAN!F808,0)</f>
        <v>0</v>
      </c>
    </row>
    <row r="809" spans="8:20" x14ac:dyDescent="0.25">
      <c r="H809" s="50">
        <f>IF(AND(SCAN!K809="-",SCAN!Q809="-"),SCAN!D809,0)</f>
        <v>0</v>
      </c>
      <c r="I809" s="50">
        <f>IF(AND(SCAN!K809="-",SCAN!Q809="-"),SCAN!E809,0)</f>
        <v>0</v>
      </c>
      <c r="J809" s="50">
        <f>IF(AND(SCAN!K809="-",SCAN!Q809="-"),SCAN!F809,0)</f>
        <v>0</v>
      </c>
      <c r="M809" s="55">
        <f>IF(SCAN!K809&lt;&gt;"-",SCAN!D809,0)</f>
        <v>0</v>
      </c>
      <c r="N809" s="55">
        <f>IF(SCAN!K809&lt;&gt;"-",SCAN!E809,0)</f>
        <v>0</v>
      </c>
      <c r="O809" s="55">
        <f>IF(SCAN!K809&lt;&gt;"-",SCAN!F809,0)</f>
        <v>0</v>
      </c>
      <c r="R809" s="53">
        <f>IF(SCAN!Q809&lt;&gt;"-",SCAN!D809,0)</f>
        <v>0</v>
      </c>
      <c r="S809" s="53">
        <f>IF(SCAN!Q809&lt;&gt;"-",SCAN!E809,0)</f>
        <v>0</v>
      </c>
      <c r="T809" s="53">
        <f>IF(SCAN!Q809&lt;&gt;"-",SCAN!F809,0)</f>
        <v>0</v>
      </c>
    </row>
    <row r="810" spans="8:20" x14ac:dyDescent="0.25">
      <c r="H810" s="50">
        <f>IF(AND(SCAN!K810="-",SCAN!Q810="-"),SCAN!D810,0)</f>
        <v>0</v>
      </c>
      <c r="I810" s="50">
        <f>IF(AND(SCAN!K810="-",SCAN!Q810="-"),SCAN!E810,0)</f>
        <v>0</v>
      </c>
      <c r="J810" s="50">
        <f>IF(AND(SCAN!K810="-",SCAN!Q810="-"),SCAN!F810,0)</f>
        <v>0</v>
      </c>
      <c r="M810" s="55">
        <f>IF(SCAN!K810&lt;&gt;"-",SCAN!D810,0)</f>
        <v>0</v>
      </c>
      <c r="N810" s="55">
        <f>IF(SCAN!K810&lt;&gt;"-",SCAN!E810,0)</f>
        <v>0</v>
      </c>
      <c r="O810" s="55">
        <f>IF(SCAN!K810&lt;&gt;"-",SCAN!F810,0)</f>
        <v>0</v>
      </c>
      <c r="R810" s="53">
        <f>IF(SCAN!Q810&lt;&gt;"-",SCAN!D810,0)</f>
        <v>0</v>
      </c>
      <c r="S810" s="53">
        <f>IF(SCAN!Q810&lt;&gt;"-",SCAN!E810,0)</f>
        <v>0</v>
      </c>
      <c r="T810" s="53">
        <f>IF(SCAN!Q810&lt;&gt;"-",SCAN!F810,0)</f>
        <v>0</v>
      </c>
    </row>
    <row r="811" spans="8:20" x14ac:dyDescent="0.25">
      <c r="H811" s="50">
        <f>IF(AND(SCAN!K811="-",SCAN!Q811="-"),SCAN!D811,0)</f>
        <v>0</v>
      </c>
      <c r="I811" s="50">
        <f>IF(AND(SCAN!K811="-",SCAN!Q811="-"),SCAN!E811,0)</f>
        <v>0</v>
      </c>
      <c r="J811" s="50">
        <f>IF(AND(SCAN!K811="-",SCAN!Q811="-"),SCAN!F811,0)</f>
        <v>0</v>
      </c>
      <c r="M811" s="55">
        <f>IF(SCAN!K811&lt;&gt;"-",SCAN!D811,0)</f>
        <v>0</v>
      </c>
      <c r="N811" s="55">
        <f>IF(SCAN!K811&lt;&gt;"-",SCAN!E811,0)</f>
        <v>0</v>
      </c>
      <c r="O811" s="55">
        <f>IF(SCAN!K811&lt;&gt;"-",SCAN!F811,0)</f>
        <v>0</v>
      </c>
      <c r="R811" s="53">
        <f>IF(SCAN!Q811&lt;&gt;"-",SCAN!D811,0)</f>
        <v>0</v>
      </c>
      <c r="S811" s="53">
        <f>IF(SCAN!Q811&lt;&gt;"-",SCAN!E811,0)</f>
        <v>0</v>
      </c>
      <c r="T811" s="53">
        <f>IF(SCAN!Q811&lt;&gt;"-",SCAN!F811,0)</f>
        <v>0</v>
      </c>
    </row>
    <row r="812" spans="8:20" x14ac:dyDescent="0.25">
      <c r="H812" s="50">
        <f>IF(AND(SCAN!K812="-",SCAN!Q812="-"),SCAN!D812,0)</f>
        <v>0</v>
      </c>
      <c r="I812" s="50">
        <f>IF(AND(SCAN!K812="-",SCAN!Q812="-"),SCAN!E812,0)</f>
        <v>0</v>
      </c>
      <c r="J812" s="50">
        <f>IF(AND(SCAN!K812="-",SCAN!Q812="-"),SCAN!F812,0)</f>
        <v>0</v>
      </c>
      <c r="M812" s="55">
        <f>IF(SCAN!K812&lt;&gt;"-",SCAN!D812,0)</f>
        <v>0</v>
      </c>
      <c r="N812" s="55">
        <f>IF(SCAN!K812&lt;&gt;"-",SCAN!E812,0)</f>
        <v>0</v>
      </c>
      <c r="O812" s="55">
        <f>IF(SCAN!K812&lt;&gt;"-",SCAN!F812,0)</f>
        <v>0</v>
      </c>
      <c r="R812" s="53">
        <f>IF(SCAN!Q812&lt;&gt;"-",SCAN!D812,0)</f>
        <v>0</v>
      </c>
      <c r="S812" s="53">
        <f>IF(SCAN!Q812&lt;&gt;"-",SCAN!E812,0)</f>
        <v>0</v>
      </c>
      <c r="T812" s="53">
        <f>IF(SCAN!Q812&lt;&gt;"-",SCAN!F812,0)</f>
        <v>0</v>
      </c>
    </row>
    <row r="813" spans="8:20" x14ac:dyDescent="0.25">
      <c r="H813" s="50">
        <f>IF(AND(SCAN!K813="-",SCAN!Q813="-"),SCAN!D813,0)</f>
        <v>0</v>
      </c>
      <c r="I813" s="50">
        <f>IF(AND(SCAN!K813="-",SCAN!Q813="-"),SCAN!E813,0)</f>
        <v>0</v>
      </c>
      <c r="J813" s="50">
        <f>IF(AND(SCAN!K813="-",SCAN!Q813="-"),SCAN!F813,0)</f>
        <v>0</v>
      </c>
      <c r="M813" s="55">
        <f>IF(SCAN!K813&lt;&gt;"-",SCAN!D813,0)</f>
        <v>0</v>
      </c>
      <c r="N813" s="55">
        <f>IF(SCAN!K813&lt;&gt;"-",SCAN!E813,0)</f>
        <v>0</v>
      </c>
      <c r="O813" s="55">
        <f>IF(SCAN!K813&lt;&gt;"-",SCAN!F813,0)</f>
        <v>0</v>
      </c>
      <c r="R813" s="53">
        <f>IF(SCAN!Q813&lt;&gt;"-",SCAN!D813,0)</f>
        <v>0</v>
      </c>
      <c r="S813" s="53">
        <f>IF(SCAN!Q813&lt;&gt;"-",SCAN!E813,0)</f>
        <v>0</v>
      </c>
      <c r="T813" s="53">
        <f>IF(SCAN!Q813&lt;&gt;"-",SCAN!F813,0)</f>
        <v>0</v>
      </c>
    </row>
    <row r="814" spans="8:20" x14ac:dyDescent="0.25">
      <c r="H814" s="50">
        <f>IF(AND(SCAN!K814="-",SCAN!Q814="-"),SCAN!D814,0)</f>
        <v>0</v>
      </c>
      <c r="I814" s="50">
        <f>IF(AND(SCAN!K814="-",SCAN!Q814="-"),SCAN!E814,0)</f>
        <v>0</v>
      </c>
      <c r="J814" s="50">
        <f>IF(AND(SCAN!K814="-",SCAN!Q814="-"),SCAN!F814,0)</f>
        <v>0</v>
      </c>
      <c r="M814" s="55">
        <f>IF(SCAN!K814&lt;&gt;"-",SCAN!D814,0)</f>
        <v>0</v>
      </c>
      <c r="N814" s="55">
        <f>IF(SCAN!K814&lt;&gt;"-",SCAN!E814,0)</f>
        <v>0</v>
      </c>
      <c r="O814" s="55">
        <f>IF(SCAN!K814&lt;&gt;"-",SCAN!F814,0)</f>
        <v>0</v>
      </c>
      <c r="R814" s="53">
        <f>IF(SCAN!Q814&lt;&gt;"-",SCAN!D814,0)</f>
        <v>0</v>
      </c>
      <c r="S814" s="53">
        <f>IF(SCAN!Q814&lt;&gt;"-",SCAN!E814,0)</f>
        <v>0</v>
      </c>
      <c r="T814" s="53">
        <f>IF(SCAN!Q814&lt;&gt;"-",SCAN!F814,0)</f>
        <v>0</v>
      </c>
    </row>
    <row r="815" spans="8:20" x14ac:dyDescent="0.25">
      <c r="H815" s="50">
        <f>IF(AND(SCAN!K815="-",SCAN!Q815="-"),SCAN!D815,0)</f>
        <v>0</v>
      </c>
      <c r="I815" s="50">
        <f>IF(AND(SCAN!K815="-",SCAN!Q815="-"),SCAN!E815,0)</f>
        <v>0</v>
      </c>
      <c r="J815" s="50">
        <f>IF(AND(SCAN!K815="-",SCAN!Q815="-"),SCAN!F815,0)</f>
        <v>0</v>
      </c>
      <c r="M815" s="55">
        <f>IF(SCAN!K815&lt;&gt;"-",SCAN!D815,0)</f>
        <v>0</v>
      </c>
      <c r="N815" s="55">
        <f>IF(SCAN!K815&lt;&gt;"-",SCAN!E815,0)</f>
        <v>0</v>
      </c>
      <c r="O815" s="55">
        <f>IF(SCAN!K815&lt;&gt;"-",SCAN!F815,0)</f>
        <v>0</v>
      </c>
      <c r="R815" s="53">
        <f>IF(SCAN!Q815&lt;&gt;"-",SCAN!D815,0)</f>
        <v>0</v>
      </c>
      <c r="S815" s="53">
        <f>IF(SCAN!Q815&lt;&gt;"-",SCAN!E815,0)</f>
        <v>0</v>
      </c>
      <c r="T815" s="53">
        <f>IF(SCAN!Q815&lt;&gt;"-",SCAN!F815,0)</f>
        <v>0</v>
      </c>
    </row>
    <row r="816" spans="8:20" x14ac:dyDescent="0.25">
      <c r="H816" s="50">
        <f>IF(AND(SCAN!K816="-",SCAN!Q816="-"),SCAN!D816,0)</f>
        <v>0</v>
      </c>
      <c r="I816" s="50">
        <f>IF(AND(SCAN!K816="-",SCAN!Q816="-"),SCAN!E816,0)</f>
        <v>0</v>
      </c>
      <c r="J816" s="50">
        <f>IF(AND(SCAN!K816="-",SCAN!Q816="-"),SCAN!F816,0)</f>
        <v>0</v>
      </c>
      <c r="M816" s="55">
        <f>IF(SCAN!K816&lt;&gt;"-",SCAN!D816,0)</f>
        <v>0</v>
      </c>
      <c r="N816" s="55">
        <f>IF(SCAN!K816&lt;&gt;"-",SCAN!E816,0)</f>
        <v>0</v>
      </c>
      <c r="O816" s="55">
        <f>IF(SCAN!K816&lt;&gt;"-",SCAN!F816,0)</f>
        <v>0</v>
      </c>
      <c r="R816" s="53">
        <f>IF(SCAN!Q816&lt;&gt;"-",SCAN!D816,0)</f>
        <v>0</v>
      </c>
      <c r="S816" s="53">
        <f>IF(SCAN!Q816&lt;&gt;"-",SCAN!E816,0)</f>
        <v>0</v>
      </c>
      <c r="T816" s="53">
        <f>IF(SCAN!Q816&lt;&gt;"-",SCAN!F816,0)</f>
        <v>0</v>
      </c>
    </row>
    <row r="817" spans="8:20" x14ac:dyDescent="0.25">
      <c r="H817" s="50">
        <f>IF(AND(SCAN!K817="-",SCAN!Q817="-"),SCAN!D817,0)</f>
        <v>0</v>
      </c>
      <c r="I817" s="50">
        <f>IF(AND(SCAN!K817="-",SCAN!Q817="-"),SCAN!E817,0)</f>
        <v>0</v>
      </c>
      <c r="J817" s="50">
        <f>IF(AND(SCAN!K817="-",SCAN!Q817="-"),SCAN!F817,0)</f>
        <v>0</v>
      </c>
      <c r="M817" s="55">
        <f>IF(SCAN!K817&lt;&gt;"-",SCAN!D817,0)</f>
        <v>0</v>
      </c>
      <c r="N817" s="55">
        <f>IF(SCAN!K817&lt;&gt;"-",SCAN!E817,0)</f>
        <v>0</v>
      </c>
      <c r="O817" s="55">
        <f>IF(SCAN!K817&lt;&gt;"-",SCAN!F817,0)</f>
        <v>0</v>
      </c>
      <c r="R817" s="53">
        <f>IF(SCAN!Q817&lt;&gt;"-",SCAN!D817,0)</f>
        <v>0</v>
      </c>
      <c r="S817" s="53">
        <f>IF(SCAN!Q817&lt;&gt;"-",SCAN!E817,0)</f>
        <v>0</v>
      </c>
      <c r="T817" s="53">
        <f>IF(SCAN!Q817&lt;&gt;"-",SCAN!F817,0)</f>
        <v>0</v>
      </c>
    </row>
    <row r="818" spans="8:20" x14ac:dyDescent="0.25">
      <c r="H818" s="50">
        <f>IF(AND(SCAN!K818="-",SCAN!Q818="-"),SCAN!D818,0)</f>
        <v>0</v>
      </c>
      <c r="I818" s="50">
        <f>IF(AND(SCAN!K818="-",SCAN!Q818="-"),SCAN!E818,0)</f>
        <v>0</v>
      </c>
      <c r="J818" s="50">
        <f>IF(AND(SCAN!K818="-",SCAN!Q818="-"),SCAN!F818,0)</f>
        <v>0</v>
      </c>
      <c r="M818" s="55">
        <f>IF(SCAN!K818&lt;&gt;"-",SCAN!D818,0)</f>
        <v>0</v>
      </c>
      <c r="N818" s="55">
        <f>IF(SCAN!K818&lt;&gt;"-",SCAN!E818,0)</f>
        <v>0</v>
      </c>
      <c r="O818" s="55">
        <f>IF(SCAN!K818&lt;&gt;"-",SCAN!F818,0)</f>
        <v>0</v>
      </c>
      <c r="R818" s="53">
        <f>IF(SCAN!Q818&lt;&gt;"-",SCAN!D818,0)</f>
        <v>0</v>
      </c>
      <c r="S818" s="53">
        <f>IF(SCAN!Q818&lt;&gt;"-",SCAN!E818,0)</f>
        <v>0</v>
      </c>
      <c r="T818" s="53">
        <f>IF(SCAN!Q818&lt;&gt;"-",SCAN!F818,0)</f>
        <v>0</v>
      </c>
    </row>
    <row r="819" spans="8:20" x14ac:dyDescent="0.25">
      <c r="H819" s="50">
        <f>IF(AND(SCAN!K819="-",SCAN!Q819="-"),SCAN!D819,0)</f>
        <v>0</v>
      </c>
      <c r="I819" s="50">
        <f>IF(AND(SCAN!K819="-",SCAN!Q819="-"),SCAN!E819,0)</f>
        <v>0</v>
      </c>
      <c r="J819" s="50">
        <f>IF(AND(SCAN!K819="-",SCAN!Q819="-"),SCAN!F819,0)</f>
        <v>0</v>
      </c>
      <c r="M819" s="55">
        <f>IF(SCAN!K819&lt;&gt;"-",SCAN!D819,0)</f>
        <v>0</v>
      </c>
      <c r="N819" s="55">
        <f>IF(SCAN!K819&lt;&gt;"-",SCAN!E819,0)</f>
        <v>0</v>
      </c>
      <c r="O819" s="55">
        <f>IF(SCAN!K819&lt;&gt;"-",SCAN!F819,0)</f>
        <v>0</v>
      </c>
      <c r="R819" s="53">
        <f>IF(SCAN!Q819&lt;&gt;"-",SCAN!D819,0)</f>
        <v>0</v>
      </c>
      <c r="S819" s="53">
        <f>IF(SCAN!Q819&lt;&gt;"-",SCAN!E819,0)</f>
        <v>0</v>
      </c>
      <c r="T819" s="53">
        <f>IF(SCAN!Q819&lt;&gt;"-",SCAN!F819,0)</f>
        <v>0</v>
      </c>
    </row>
    <row r="820" spans="8:20" x14ac:dyDescent="0.25">
      <c r="H820" s="50">
        <f>IF(AND(SCAN!K820="-",SCAN!Q820="-"),SCAN!D820,0)</f>
        <v>0</v>
      </c>
      <c r="I820" s="50">
        <f>IF(AND(SCAN!K820="-",SCAN!Q820="-"),SCAN!E820,0)</f>
        <v>0</v>
      </c>
      <c r="J820" s="50">
        <f>IF(AND(SCAN!K820="-",SCAN!Q820="-"),SCAN!F820,0)</f>
        <v>0</v>
      </c>
      <c r="M820" s="55">
        <f>IF(SCAN!K820&lt;&gt;"-",SCAN!D820,0)</f>
        <v>0</v>
      </c>
      <c r="N820" s="55">
        <f>IF(SCAN!K820&lt;&gt;"-",SCAN!E820,0)</f>
        <v>0</v>
      </c>
      <c r="O820" s="55">
        <f>IF(SCAN!K820&lt;&gt;"-",SCAN!F820,0)</f>
        <v>0</v>
      </c>
      <c r="R820" s="53">
        <f>IF(SCAN!Q820&lt;&gt;"-",SCAN!D820,0)</f>
        <v>0</v>
      </c>
      <c r="S820" s="53">
        <f>IF(SCAN!Q820&lt;&gt;"-",SCAN!E820,0)</f>
        <v>0</v>
      </c>
      <c r="T820" s="53">
        <f>IF(SCAN!Q820&lt;&gt;"-",SCAN!F820,0)</f>
        <v>0</v>
      </c>
    </row>
    <row r="821" spans="8:20" x14ac:dyDescent="0.25">
      <c r="H821" s="50">
        <f>IF(AND(SCAN!K821="-",SCAN!Q821="-"),SCAN!D821,0)</f>
        <v>0</v>
      </c>
      <c r="I821" s="50">
        <f>IF(AND(SCAN!K821="-",SCAN!Q821="-"),SCAN!E821,0)</f>
        <v>0</v>
      </c>
      <c r="J821" s="50">
        <f>IF(AND(SCAN!K821="-",SCAN!Q821="-"),SCAN!F821,0)</f>
        <v>0</v>
      </c>
      <c r="M821" s="55">
        <f>IF(SCAN!K821&lt;&gt;"-",SCAN!D821,0)</f>
        <v>0</v>
      </c>
      <c r="N821" s="55">
        <f>IF(SCAN!K821&lt;&gt;"-",SCAN!E821,0)</f>
        <v>0</v>
      </c>
      <c r="O821" s="55">
        <f>IF(SCAN!K821&lt;&gt;"-",SCAN!F821,0)</f>
        <v>0</v>
      </c>
      <c r="R821" s="53">
        <f>IF(SCAN!Q821&lt;&gt;"-",SCAN!D821,0)</f>
        <v>0</v>
      </c>
      <c r="S821" s="53">
        <f>IF(SCAN!Q821&lt;&gt;"-",SCAN!E821,0)</f>
        <v>0</v>
      </c>
      <c r="T821" s="53">
        <f>IF(SCAN!Q821&lt;&gt;"-",SCAN!F821,0)</f>
        <v>0</v>
      </c>
    </row>
    <row r="822" spans="8:20" x14ac:dyDescent="0.25">
      <c r="H822" s="50">
        <f>IF(AND(SCAN!K822="-",SCAN!Q822="-"),SCAN!D822,0)</f>
        <v>0</v>
      </c>
      <c r="I822" s="50">
        <f>IF(AND(SCAN!K822="-",SCAN!Q822="-"),SCAN!E822,0)</f>
        <v>0</v>
      </c>
      <c r="J822" s="50">
        <f>IF(AND(SCAN!K822="-",SCAN!Q822="-"),SCAN!F822,0)</f>
        <v>0</v>
      </c>
      <c r="M822" s="55">
        <f>IF(SCAN!K822&lt;&gt;"-",SCAN!D822,0)</f>
        <v>0</v>
      </c>
      <c r="N822" s="55">
        <f>IF(SCAN!K822&lt;&gt;"-",SCAN!E822,0)</f>
        <v>0</v>
      </c>
      <c r="O822" s="55">
        <f>IF(SCAN!K822&lt;&gt;"-",SCAN!F822,0)</f>
        <v>0</v>
      </c>
      <c r="R822" s="53">
        <f>IF(SCAN!Q822&lt;&gt;"-",SCAN!D822,0)</f>
        <v>0</v>
      </c>
      <c r="S822" s="53">
        <f>IF(SCAN!Q822&lt;&gt;"-",SCAN!E822,0)</f>
        <v>0</v>
      </c>
      <c r="T822" s="53">
        <f>IF(SCAN!Q822&lt;&gt;"-",SCAN!F822,0)</f>
        <v>0</v>
      </c>
    </row>
    <row r="823" spans="8:20" x14ac:dyDescent="0.25">
      <c r="H823" s="50">
        <f>IF(AND(SCAN!K823="-",SCAN!Q823="-"),SCAN!D823,0)</f>
        <v>0</v>
      </c>
      <c r="I823" s="50">
        <f>IF(AND(SCAN!K823="-",SCAN!Q823="-"),SCAN!E823,0)</f>
        <v>0</v>
      </c>
      <c r="J823" s="50">
        <f>IF(AND(SCAN!K823="-",SCAN!Q823="-"),SCAN!F823,0)</f>
        <v>0</v>
      </c>
      <c r="M823" s="55">
        <f>IF(SCAN!K823&lt;&gt;"-",SCAN!D823,0)</f>
        <v>0</v>
      </c>
      <c r="N823" s="55">
        <f>IF(SCAN!K823&lt;&gt;"-",SCAN!E823,0)</f>
        <v>0</v>
      </c>
      <c r="O823" s="55">
        <f>IF(SCAN!K823&lt;&gt;"-",SCAN!F823,0)</f>
        <v>0</v>
      </c>
      <c r="R823" s="53">
        <f>IF(SCAN!Q823&lt;&gt;"-",SCAN!D823,0)</f>
        <v>0</v>
      </c>
      <c r="S823" s="53">
        <f>IF(SCAN!Q823&lt;&gt;"-",SCAN!E823,0)</f>
        <v>0</v>
      </c>
      <c r="T823" s="53">
        <f>IF(SCAN!Q823&lt;&gt;"-",SCAN!F823,0)</f>
        <v>0</v>
      </c>
    </row>
    <row r="824" spans="8:20" x14ac:dyDescent="0.25">
      <c r="H824" s="50">
        <f>IF(AND(SCAN!K824="-",SCAN!Q824="-"),SCAN!D824,0)</f>
        <v>0</v>
      </c>
      <c r="I824" s="50">
        <f>IF(AND(SCAN!K824="-",SCAN!Q824="-"),SCAN!E824,0)</f>
        <v>0</v>
      </c>
      <c r="J824" s="50">
        <f>IF(AND(SCAN!K824="-",SCAN!Q824="-"),SCAN!F824,0)</f>
        <v>0</v>
      </c>
      <c r="M824" s="55">
        <f>IF(SCAN!K824&lt;&gt;"-",SCAN!D824,0)</f>
        <v>0</v>
      </c>
      <c r="N824" s="55">
        <f>IF(SCAN!K824&lt;&gt;"-",SCAN!E824,0)</f>
        <v>0</v>
      </c>
      <c r="O824" s="55">
        <f>IF(SCAN!K824&lt;&gt;"-",SCAN!F824,0)</f>
        <v>0</v>
      </c>
      <c r="R824" s="53">
        <f>IF(SCAN!Q824&lt;&gt;"-",SCAN!D824,0)</f>
        <v>0</v>
      </c>
      <c r="S824" s="53">
        <f>IF(SCAN!Q824&lt;&gt;"-",SCAN!E824,0)</f>
        <v>0</v>
      </c>
      <c r="T824" s="53">
        <f>IF(SCAN!Q824&lt;&gt;"-",SCAN!F824,0)</f>
        <v>0</v>
      </c>
    </row>
    <row r="825" spans="8:20" x14ac:dyDescent="0.25">
      <c r="H825" s="50">
        <f>IF(AND(SCAN!K825="-",SCAN!Q825="-"),SCAN!D825,0)</f>
        <v>0</v>
      </c>
      <c r="I825" s="50">
        <f>IF(AND(SCAN!K825="-",SCAN!Q825="-"),SCAN!E825,0)</f>
        <v>0</v>
      </c>
      <c r="J825" s="50">
        <f>IF(AND(SCAN!K825="-",SCAN!Q825="-"),SCAN!F825,0)</f>
        <v>0</v>
      </c>
      <c r="M825" s="55">
        <f>IF(SCAN!K825&lt;&gt;"-",SCAN!D825,0)</f>
        <v>0</v>
      </c>
      <c r="N825" s="55">
        <f>IF(SCAN!K825&lt;&gt;"-",SCAN!E825,0)</f>
        <v>0</v>
      </c>
      <c r="O825" s="55">
        <f>IF(SCAN!K825&lt;&gt;"-",SCAN!F825,0)</f>
        <v>0</v>
      </c>
      <c r="R825" s="53">
        <f>IF(SCAN!Q825&lt;&gt;"-",SCAN!D825,0)</f>
        <v>0</v>
      </c>
      <c r="S825" s="53">
        <f>IF(SCAN!Q825&lt;&gt;"-",SCAN!E825,0)</f>
        <v>0</v>
      </c>
      <c r="T825" s="53">
        <f>IF(SCAN!Q825&lt;&gt;"-",SCAN!F825,0)</f>
        <v>0</v>
      </c>
    </row>
    <row r="826" spans="8:20" x14ac:dyDescent="0.25">
      <c r="H826" s="50">
        <f>IF(AND(SCAN!K826="-",SCAN!Q826="-"),SCAN!D826,0)</f>
        <v>0</v>
      </c>
      <c r="I826" s="50">
        <f>IF(AND(SCAN!K826="-",SCAN!Q826="-"),SCAN!E826,0)</f>
        <v>0</v>
      </c>
      <c r="J826" s="50">
        <f>IF(AND(SCAN!K826="-",SCAN!Q826="-"),SCAN!F826,0)</f>
        <v>0</v>
      </c>
      <c r="M826" s="55">
        <f>IF(SCAN!K826&lt;&gt;"-",SCAN!D826,0)</f>
        <v>0</v>
      </c>
      <c r="N826" s="55">
        <f>IF(SCAN!K826&lt;&gt;"-",SCAN!E826,0)</f>
        <v>0</v>
      </c>
      <c r="O826" s="55">
        <f>IF(SCAN!K826&lt;&gt;"-",SCAN!F826,0)</f>
        <v>0</v>
      </c>
      <c r="R826" s="53">
        <f>IF(SCAN!Q826&lt;&gt;"-",SCAN!D826,0)</f>
        <v>0</v>
      </c>
      <c r="S826" s="53">
        <f>IF(SCAN!Q826&lt;&gt;"-",SCAN!E826,0)</f>
        <v>0</v>
      </c>
      <c r="T826" s="53">
        <f>IF(SCAN!Q826&lt;&gt;"-",SCAN!F826,0)</f>
        <v>0</v>
      </c>
    </row>
    <row r="827" spans="8:20" x14ac:dyDescent="0.25">
      <c r="H827" s="50">
        <f>IF(AND(SCAN!K827="-",SCAN!Q827="-"),SCAN!D827,0)</f>
        <v>0</v>
      </c>
      <c r="I827" s="50">
        <f>IF(AND(SCAN!K827="-",SCAN!Q827="-"),SCAN!E827,0)</f>
        <v>0</v>
      </c>
      <c r="J827" s="50">
        <f>IF(AND(SCAN!K827="-",SCAN!Q827="-"),SCAN!F827,0)</f>
        <v>0</v>
      </c>
      <c r="M827" s="55">
        <f>IF(SCAN!K827&lt;&gt;"-",SCAN!D827,0)</f>
        <v>0</v>
      </c>
      <c r="N827" s="55">
        <f>IF(SCAN!K827&lt;&gt;"-",SCAN!E827,0)</f>
        <v>0</v>
      </c>
      <c r="O827" s="55">
        <f>IF(SCAN!K827&lt;&gt;"-",SCAN!F827,0)</f>
        <v>0</v>
      </c>
      <c r="R827" s="53">
        <f>IF(SCAN!Q827&lt;&gt;"-",SCAN!D827,0)</f>
        <v>0</v>
      </c>
      <c r="S827" s="53">
        <f>IF(SCAN!Q827&lt;&gt;"-",SCAN!E827,0)</f>
        <v>0</v>
      </c>
      <c r="T827" s="53">
        <f>IF(SCAN!Q827&lt;&gt;"-",SCAN!F827,0)</f>
        <v>0</v>
      </c>
    </row>
    <row r="828" spans="8:20" x14ac:dyDescent="0.25">
      <c r="H828" s="50">
        <f>IF(AND(SCAN!K828="-",SCAN!Q828="-"),SCAN!D828,0)</f>
        <v>0</v>
      </c>
      <c r="I828" s="50">
        <f>IF(AND(SCAN!K828="-",SCAN!Q828="-"),SCAN!E828,0)</f>
        <v>0</v>
      </c>
      <c r="J828" s="50">
        <f>IF(AND(SCAN!K828="-",SCAN!Q828="-"),SCAN!F828,0)</f>
        <v>0</v>
      </c>
      <c r="M828" s="55">
        <f>IF(SCAN!K828&lt;&gt;"-",SCAN!D828,0)</f>
        <v>0</v>
      </c>
      <c r="N828" s="55">
        <f>IF(SCAN!K828&lt;&gt;"-",SCAN!E828,0)</f>
        <v>0</v>
      </c>
      <c r="O828" s="55">
        <f>IF(SCAN!K828&lt;&gt;"-",SCAN!F828,0)</f>
        <v>0</v>
      </c>
      <c r="R828" s="53">
        <f>IF(SCAN!Q828&lt;&gt;"-",SCAN!D828,0)</f>
        <v>0</v>
      </c>
      <c r="S828" s="53">
        <f>IF(SCAN!Q828&lt;&gt;"-",SCAN!E828,0)</f>
        <v>0</v>
      </c>
      <c r="T828" s="53">
        <f>IF(SCAN!Q828&lt;&gt;"-",SCAN!F828,0)</f>
        <v>0</v>
      </c>
    </row>
    <row r="829" spans="8:20" x14ac:dyDescent="0.25">
      <c r="H829" s="50">
        <f>IF(AND(SCAN!K829="-",SCAN!Q829="-"),SCAN!D829,0)</f>
        <v>0</v>
      </c>
      <c r="I829" s="50">
        <f>IF(AND(SCAN!K829="-",SCAN!Q829="-"),SCAN!E829,0)</f>
        <v>0</v>
      </c>
      <c r="J829" s="50">
        <f>IF(AND(SCAN!K829="-",SCAN!Q829="-"),SCAN!F829,0)</f>
        <v>0</v>
      </c>
      <c r="M829" s="55">
        <f>IF(SCAN!K829&lt;&gt;"-",SCAN!D829,0)</f>
        <v>0</v>
      </c>
      <c r="N829" s="55">
        <f>IF(SCAN!K829&lt;&gt;"-",SCAN!E829,0)</f>
        <v>0</v>
      </c>
      <c r="O829" s="55">
        <f>IF(SCAN!K829&lt;&gt;"-",SCAN!F829,0)</f>
        <v>0</v>
      </c>
      <c r="R829" s="53">
        <f>IF(SCAN!Q829&lt;&gt;"-",SCAN!D829,0)</f>
        <v>0</v>
      </c>
      <c r="S829" s="53">
        <f>IF(SCAN!Q829&lt;&gt;"-",SCAN!E829,0)</f>
        <v>0</v>
      </c>
      <c r="T829" s="53">
        <f>IF(SCAN!Q829&lt;&gt;"-",SCAN!F829,0)</f>
        <v>0</v>
      </c>
    </row>
    <row r="830" spans="8:20" x14ac:dyDescent="0.25">
      <c r="H830" s="50">
        <f>IF(AND(SCAN!K830="-",SCAN!Q830="-"),SCAN!D830,0)</f>
        <v>0</v>
      </c>
      <c r="I830" s="50">
        <f>IF(AND(SCAN!K830="-",SCAN!Q830="-"),SCAN!E830,0)</f>
        <v>0</v>
      </c>
      <c r="J830" s="50">
        <f>IF(AND(SCAN!K830="-",SCAN!Q830="-"),SCAN!F830,0)</f>
        <v>0</v>
      </c>
      <c r="M830" s="55">
        <f>IF(SCAN!K830&lt;&gt;"-",SCAN!D830,0)</f>
        <v>0</v>
      </c>
      <c r="N830" s="55">
        <f>IF(SCAN!K830&lt;&gt;"-",SCAN!E830,0)</f>
        <v>0</v>
      </c>
      <c r="O830" s="55">
        <f>IF(SCAN!K830&lt;&gt;"-",SCAN!F830,0)</f>
        <v>0</v>
      </c>
      <c r="R830" s="53">
        <f>IF(SCAN!Q830&lt;&gt;"-",SCAN!D830,0)</f>
        <v>0</v>
      </c>
      <c r="S830" s="53">
        <f>IF(SCAN!Q830&lt;&gt;"-",SCAN!E830,0)</f>
        <v>0</v>
      </c>
      <c r="T830" s="53">
        <f>IF(SCAN!Q830&lt;&gt;"-",SCAN!F830,0)</f>
        <v>0</v>
      </c>
    </row>
    <row r="831" spans="8:20" x14ac:dyDescent="0.25">
      <c r="H831" s="50">
        <f>IF(AND(SCAN!K831="-",SCAN!Q831="-"),SCAN!D831,0)</f>
        <v>0</v>
      </c>
      <c r="I831" s="50">
        <f>IF(AND(SCAN!K831="-",SCAN!Q831="-"),SCAN!E831,0)</f>
        <v>0</v>
      </c>
      <c r="J831" s="50">
        <f>IF(AND(SCAN!K831="-",SCAN!Q831="-"),SCAN!F831,0)</f>
        <v>0</v>
      </c>
      <c r="M831" s="55">
        <f>IF(SCAN!K831&lt;&gt;"-",SCAN!D831,0)</f>
        <v>0</v>
      </c>
      <c r="N831" s="55">
        <f>IF(SCAN!K831&lt;&gt;"-",SCAN!E831,0)</f>
        <v>0</v>
      </c>
      <c r="O831" s="55">
        <f>IF(SCAN!K831&lt;&gt;"-",SCAN!F831,0)</f>
        <v>0</v>
      </c>
      <c r="R831" s="53">
        <f>IF(SCAN!Q831&lt;&gt;"-",SCAN!D831,0)</f>
        <v>0</v>
      </c>
      <c r="S831" s="53">
        <f>IF(SCAN!Q831&lt;&gt;"-",SCAN!E831,0)</f>
        <v>0</v>
      </c>
      <c r="T831" s="53">
        <f>IF(SCAN!Q831&lt;&gt;"-",SCAN!F831,0)</f>
        <v>0</v>
      </c>
    </row>
    <row r="832" spans="8:20" x14ac:dyDescent="0.25">
      <c r="H832" s="50">
        <f>IF(AND(SCAN!K832="-",SCAN!Q832="-"),SCAN!D832,0)</f>
        <v>0</v>
      </c>
      <c r="I832" s="50">
        <f>IF(AND(SCAN!K832="-",SCAN!Q832="-"),SCAN!E832,0)</f>
        <v>0</v>
      </c>
      <c r="J832" s="50">
        <f>IF(AND(SCAN!K832="-",SCAN!Q832="-"),SCAN!F832,0)</f>
        <v>0</v>
      </c>
      <c r="M832" s="55">
        <f>IF(SCAN!K832&lt;&gt;"-",SCAN!D832,0)</f>
        <v>0</v>
      </c>
      <c r="N832" s="55">
        <f>IF(SCAN!K832&lt;&gt;"-",SCAN!E832,0)</f>
        <v>0</v>
      </c>
      <c r="O832" s="55">
        <f>IF(SCAN!K832&lt;&gt;"-",SCAN!F832,0)</f>
        <v>0</v>
      </c>
      <c r="R832" s="53">
        <f>IF(SCAN!Q832&lt;&gt;"-",SCAN!D832,0)</f>
        <v>0</v>
      </c>
      <c r="S832" s="53">
        <f>IF(SCAN!Q832&lt;&gt;"-",SCAN!E832,0)</f>
        <v>0</v>
      </c>
      <c r="T832" s="53">
        <f>IF(SCAN!Q832&lt;&gt;"-",SCAN!F832,0)</f>
        <v>0</v>
      </c>
    </row>
    <row r="833" spans="8:20" x14ac:dyDescent="0.25">
      <c r="H833" s="50">
        <f>IF(AND(SCAN!K833="-",SCAN!Q833="-"),SCAN!D833,0)</f>
        <v>0</v>
      </c>
      <c r="I833" s="50">
        <f>IF(AND(SCAN!K833="-",SCAN!Q833="-"),SCAN!E833,0)</f>
        <v>0</v>
      </c>
      <c r="J833" s="50">
        <f>IF(AND(SCAN!K833="-",SCAN!Q833="-"),SCAN!F833,0)</f>
        <v>0</v>
      </c>
      <c r="M833" s="55">
        <f>IF(SCAN!K833&lt;&gt;"-",SCAN!D833,0)</f>
        <v>0</v>
      </c>
      <c r="N833" s="55">
        <f>IF(SCAN!K833&lt;&gt;"-",SCAN!E833,0)</f>
        <v>0</v>
      </c>
      <c r="O833" s="55">
        <f>IF(SCAN!K833&lt;&gt;"-",SCAN!F833,0)</f>
        <v>0</v>
      </c>
      <c r="R833" s="53">
        <f>IF(SCAN!Q833&lt;&gt;"-",SCAN!D833,0)</f>
        <v>0</v>
      </c>
      <c r="S833" s="53">
        <f>IF(SCAN!Q833&lt;&gt;"-",SCAN!E833,0)</f>
        <v>0</v>
      </c>
      <c r="T833" s="53">
        <f>IF(SCAN!Q833&lt;&gt;"-",SCAN!F833,0)</f>
        <v>0</v>
      </c>
    </row>
    <row r="834" spans="8:20" x14ac:dyDescent="0.25">
      <c r="H834" s="50">
        <f>IF(AND(SCAN!K834="-",SCAN!Q834="-"),SCAN!D834,0)</f>
        <v>0</v>
      </c>
      <c r="I834" s="50">
        <f>IF(AND(SCAN!K834="-",SCAN!Q834="-"),SCAN!E834,0)</f>
        <v>0</v>
      </c>
      <c r="J834" s="50">
        <f>IF(AND(SCAN!K834="-",SCAN!Q834="-"),SCAN!F834,0)</f>
        <v>0</v>
      </c>
      <c r="M834" s="55">
        <f>IF(SCAN!K834&lt;&gt;"-",SCAN!D834,0)</f>
        <v>0</v>
      </c>
      <c r="N834" s="55">
        <f>IF(SCAN!K834&lt;&gt;"-",SCAN!E834,0)</f>
        <v>0</v>
      </c>
      <c r="O834" s="55">
        <f>IF(SCAN!K834&lt;&gt;"-",SCAN!F834,0)</f>
        <v>0</v>
      </c>
      <c r="R834" s="53">
        <f>IF(SCAN!Q834&lt;&gt;"-",SCAN!D834,0)</f>
        <v>0</v>
      </c>
      <c r="S834" s="53">
        <f>IF(SCAN!Q834&lt;&gt;"-",SCAN!E834,0)</f>
        <v>0</v>
      </c>
      <c r="T834" s="53">
        <f>IF(SCAN!Q834&lt;&gt;"-",SCAN!F834,0)</f>
        <v>0</v>
      </c>
    </row>
    <row r="835" spans="8:20" x14ac:dyDescent="0.25">
      <c r="H835" s="50">
        <f>IF(AND(SCAN!K835="-",SCAN!Q835="-"),SCAN!D835,0)</f>
        <v>0</v>
      </c>
      <c r="I835" s="50">
        <f>IF(AND(SCAN!K835="-",SCAN!Q835="-"),SCAN!E835,0)</f>
        <v>0</v>
      </c>
      <c r="J835" s="50">
        <f>IF(AND(SCAN!K835="-",SCAN!Q835="-"),SCAN!F835,0)</f>
        <v>0</v>
      </c>
      <c r="M835" s="55">
        <f>IF(SCAN!K835&lt;&gt;"-",SCAN!D835,0)</f>
        <v>0</v>
      </c>
      <c r="N835" s="55">
        <f>IF(SCAN!K835&lt;&gt;"-",SCAN!E835,0)</f>
        <v>0</v>
      </c>
      <c r="O835" s="55">
        <f>IF(SCAN!K835&lt;&gt;"-",SCAN!F835,0)</f>
        <v>0</v>
      </c>
      <c r="R835" s="53">
        <f>IF(SCAN!Q835&lt;&gt;"-",SCAN!D835,0)</f>
        <v>0</v>
      </c>
      <c r="S835" s="53">
        <f>IF(SCAN!Q835&lt;&gt;"-",SCAN!E835,0)</f>
        <v>0</v>
      </c>
      <c r="T835" s="53">
        <f>IF(SCAN!Q835&lt;&gt;"-",SCAN!F835,0)</f>
        <v>0</v>
      </c>
    </row>
    <row r="836" spans="8:20" x14ac:dyDescent="0.25">
      <c r="H836" s="50">
        <f>IF(AND(SCAN!K836="-",SCAN!Q836="-"),SCAN!D836,0)</f>
        <v>0</v>
      </c>
      <c r="I836" s="50">
        <f>IF(AND(SCAN!K836="-",SCAN!Q836="-"),SCAN!E836,0)</f>
        <v>0</v>
      </c>
      <c r="J836" s="50">
        <f>IF(AND(SCAN!K836="-",SCAN!Q836="-"),SCAN!F836,0)</f>
        <v>0</v>
      </c>
      <c r="M836" s="55">
        <f>IF(SCAN!K836&lt;&gt;"-",SCAN!D836,0)</f>
        <v>0</v>
      </c>
      <c r="N836" s="55">
        <f>IF(SCAN!K836&lt;&gt;"-",SCAN!E836,0)</f>
        <v>0</v>
      </c>
      <c r="O836" s="55">
        <f>IF(SCAN!K836&lt;&gt;"-",SCAN!F836,0)</f>
        <v>0</v>
      </c>
      <c r="R836" s="53">
        <f>IF(SCAN!Q836&lt;&gt;"-",SCAN!D836,0)</f>
        <v>0</v>
      </c>
      <c r="S836" s="53">
        <f>IF(SCAN!Q836&lt;&gt;"-",SCAN!E836,0)</f>
        <v>0</v>
      </c>
      <c r="T836" s="53">
        <f>IF(SCAN!Q836&lt;&gt;"-",SCAN!F836,0)</f>
        <v>0</v>
      </c>
    </row>
    <row r="837" spans="8:20" x14ac:dyDescent="0.25">
      <c r="H837" s="50">
        <f>IF(AND(SCAN!K837="-",SCAN!Q837="-"),SCAN!D837,0)</f>
        <v>0</v>
      </c>
      <c r="I837" s="50">
        <f>IF(AND(SCAN!K837="-",SCAN!Q837="-"),SCAN!E837,0)</f>
        <v>0</v>
      </c>
      <c r="J837" s="50">
        <f>IF(AND(SCAN!K837="-",SCAN!Q837="-"),SCAN!F837,0)</f>
        <v>0</v>
      </c>
      <c r="M837" s="55">
        <f>IF(SCAN!K837&lt;&gt;"-",SCAN!D837,0)</f>
        <v>0</v>
      </c>
      <c r="N837" s="55">
        <f>IF(SCAN!K837&lt;&gt;"-",SCAN!E837,0)</f>
        <v>0</v>
      </c>
      <c r="O837" s="55">
        <f>IF(SCAN!K837&lt;&gt;"-",SCAN!F837,0)</f>
        <v>0</v>
      </c>
      <c r="R837" s="53">
        <f>IF(SCAN!Q837&lt;&gt;"-",SCAN!D837,0)</f>
        <v>0</v>
      </c>
      <c r="S837" s="53">
        <f>IF(SCAN!Q837&lt;&gt;"-",SCAN!E837,0)</f>
        <v>0</v>
      </c>
      <c r="T837" s="53">
        <f>IF(SCAN!Q837&lt;&gt;"-",SCAN!F837,0)</f>
        <v>0</v>
      </c>
    </row>
    <row r="838" spans="8:20" x14ac:dyDescent="0.25">
      <c r="H838" s="50">
        <f>IF(AND(SCAN!K838="-",SCAN!Q838="-"),SCAN!D838,0)</f>
        <v>0</v>
      </c>
      <c r="I838" s="50">
        <f>IF(AND(SCAN!K838="-",SCAN!Q838="-"),SCAN!E838,0)</f>
        <v>0</v>
      </c>
      <c r="J838" s="50">
        <f>IF(AND(SCAN!K838="-",SCAN!Q838="-"),SCAN!F838,0)</f>
        <v>0</v>
      </c>
      <c r="M838" s="55">
        <f>IF(SCAN!K838&lt;&gt;"-",SCAN!D838,0)</f>
        <v>0</v>
      </c>
      <c r="N838" s="55">
        <f>IF(SCAN!K838&lt;&gt;"-",SCAN!E838,0)</f>
        <v>0</v>
      </c>
      <c r="O838" s="55">
        <f>IF(SCAN!K838&lt;&gt;"-",SCAN!F838,0)</f>
        <v>0</v>
      </c>
      <c r="R838" s="53">
        <f>IF(SCAN!Q838&lt;&gt;"-",SCAN!D838,0)</f>
        <v>0</v>
      </c>
      <c r="S838" s="53">
        <f>IF(SCAN!Q838&lt;&gt;"-",SCAN!E838,0)</f>
        <v>0</v>
      </c>
      <c r="T838" s="53">
        <f>IF(SCAN!Q838&lt;&gt;"-",SCAN!F838,0)</f>
        <v>0</v>
      </c>
    </row>
    <row r="839" spans="8:20" x14ac:dyDescent="0.25">
      <c r="H839" s="50">
        <f>IF(AND(SCAN!K839="-",SCAN!Q839="-"),SCAN!D839,0)</f>
        <v>0</v>
      </c>
      <c r="I839" s="50">
        <f>IF(AND(SCAN!K839="-",SCAN!Q839="-"),SCAN!E839,0)</f>
        <v>0</v>
      </c>
      <c r="J839" s="50">
        <f>IF(AND(SCAN!K839="-",SCAN!Q839="-"),SCAN!F839,0)</f>
        <v>0</v>
      </c>
      <c r="M839" s="55">
        <f>IF(SCAN!K839&lt;&gt;"-",SCAN!D839,0)</f>
        <v>0</v>
      </c>
      <c r="N839" s="55">
        <f>IF(SCAN!K839&lt;&gt;"-",SCAN!E839,0)</f>
        <v>0</v>
      </c>
      <c r="O839" s="55">
        <f>IF(SCAN!K839&lt;&gt;"-",SCAN!F839,0)</f>
        <v>0</v>
      </c>
      <c r="R839" s="53">
        <f>IF(SCAN!Q839&lt;&gt;"-",SCAN!D839,0)</f>
        <v>0</v>
      </c>
      <c r="S839" s="53">
        <f>IF(SCAN!Q839&lt;&gt;"-",SCAN!E839,0)</f>
        <v>0</v>
      </c>
      <c r="T839" s="53">
        <f>IF(SCAN!Q839&lt;&gt;"-",SCAN!F839,0)</f>
        <v>0</v>
      </c>
    </row>
    <row r="840" spans="8:20" x14ac:dyDescent="0.25">
      <c r="H840" s="50">
        <f>IF(AND(SCAN!K840="-",SCAN!Q840="-"),SCAN!D840,0)</f>
        <v>0</v>
      </c>
      <c r="I840" s="50">
        <f>IF(AND(SCAN!K840="-",SCAN!Q840="-"),SCAN!E840,0)</f>
        <v>0</v>
      </c>
      <c r="J840" s="50">
        <f>IF(AND(SCAN!K840="-",SCAN!Q840="-"),SCAN!F840,0)</f>
        <v>0</v>
      </c>
      <c r="M840" s="55">
        <f>IF(SCAN!K840&lt;&gt;"-",SCAN!D840,0)</f>
        <v>0</v>
      </c>
      <c r="N840" s="55">
        <f>IF(SCAN!K840&lt;&gt;"-",SCAN!E840,0)</f>
        <v>0</v>
      </c>
      <c r="O840" s="55">
        <f>IF(SCAN!K840&lt;&gt;"-",SCAN!F840,0)</f>
        <v>0</v>
      </c>
      <c r="R840" s="53">
        <f>IF(SCAN!Q840&lt;&gt;"-",SCAN!D840,0)</f>
        <v>0</v>
      </c>
      <c r="S840" s="53">
        <f>IF(SCAN!Q840&lt;&gt;"-",SCAN!E840,0)</f>
        <v>0</v>
      </c>
      <c r="T840" s="53">
        <f>IF(SCAN!Q840&lt;&gt;"-",SCAN!F840,0)</f>
        <v>0</v>
      </c>
    </row>
    <row r="841" spans="8:20" x14ac:dyDescent="0.25">
      <c r="H841" s="50">
        <f>IF(AND(SCAN!K841="-",SCAN!Q841="-"),SCAN!D841,0)</f>
        <v>0</v>
      </c>
      <c r="I841" s="50">
        <f>IF(AND(SCAN!K841="-",SCAN!Q841="-"),SCAN!E841,0)</f>
        <v>0</v>
      </c>
      <c r="J841" s="50">
        <f>IF(AND(SCAN!K841="-",SCAN!Q841="-"),SCAN!F841,0)</f>
        <v>0</v>
      </c>
      <c r="M841" s="55">
        <f>IF(SCAN!K841&lt;&gt;"-",SCAN!D841,0)</f>
        <v>0</v>
      </c>
      <c r="N841" s="55">
        <f>IF(SCAN!K841&lt;&gt;"-",SCAN!E841,0)</f>
        <v>0</v>
      </c>
      <c r="O841" s="55">
        <f>IF(SCAN!K841&lt;&gt;"-",SCAN!F841,0)</f>
        <v>0</v>
      </c>
      <c r="R841" s="53">
        <f>IF(SCAN!Q841&lt;&gt;"-",SCAN!D841,0)</f>
        <v>0</v>
      </c>
      <c r="S841" s="53">
        <f>IF(SCAN!Q841&lt;&gt;"-",SCAN!E841,0)</f>
        <v>0</v>
      </c>
      <c r="T841" s="53">
        <f>IF(SCAN!Q841&lt;&gt;"-",SCAN!F841,0)</f>
        <v>0</v>
      </c>
    </row>
    <row r="842" spans="8:20" x14ac:dyDescent="0.25">
      <c r="H842" s="50">
        <f>IF(AND(SCAN!K842="-",SCAN!Q842="-"),SCAN!D842,0)</f>
        <v>0</v>
      </c>
      <c r="I842" s="50">
        <f>IF(AND(SCAN!K842="-",SCAN!Q842="-"),SCAN!E842,0)</f>
        <v>0</v>
      </c>
      <c r="J842" s="50">
        <f>IF(AND(SCAN!K842="-",SCAN!Q842="-"),SCAN!F842,0)</f>
        <v>0</v>
      </c>
      <c r="M842" s="55">
        <f>IF(SCAN!K842&lt;&gt;"-",SCAN!D842,0)</f>
        <v>0</v>
      </c>
      <c r="N842" s="55">
        <f>IF(SCAN!K842&lt;&gt;"-",SCAN!E842,0)</f>
        <v>0</v>
      </c>
      <c r="O842" s="55">
        <f>IF(SCAN!K842&lt;&gt;"-",SCAN!F842,0)</f>
        <v>0</v>
      </c>
      <c r="R842" s="53">
        <f>IF(SCAN!Q842&lt;&gt;"-",SCAN!D842,0)</f>
        <v>0</v>
      </c>
      <c r="S842" s="53">
        <f>IF(SCAN!Q842&lt;&gt;"-",SCAN!E842,0)</f>
        <v>0</v>
      </c>
      <c r="T842" s="53">
        <f>IF(SCAN!Q842&lt;&gt;"-",SCAN!F842,0)</f>
        <v>0</v>
      </c>
    </row>
    <row r="843" spans="8:20" x14ac:dyDescent="0.25">
      <c r="H843" s="50">
        <f>IF(AND(SCAN!K843="-",SCAN!Q843="-"),SCAN!D843,0)</f>
        <v>0</v>
      </c>
      <c r="I843" s="50">
        <f>IF(AND(SCAN!K843="-",SCAN!Q843="-"),SCAN!E843,0)</f>
        <v>0</v>
      </c>
      <c r="J843" s="50">
        <f>IF(AND(SCAN!K843="-",SCAN!Q843="-"),SCAN!F843,0)</f>
        <v>0</v>
      </c>
      <c r="M843" s="55">
        <f>IF(SCAN!K843&lt;&gt;"-",SCAN!D843,0)</f>
        <v>0</v>
      </c>
      <c r="N843" s="55">
        <f>IF(SCAN!K843&lt;&gt;"-",SCAN!E843,0)</f>
        <v>0</v>
      </c>
      <c r="O843" s="55">
        <f>IF(SCAN!K843&lt;&gt;"-",SCAN!F843,0)</f>
        <v>0</v>
      </c>
      <c r="R843" s="53">
        <f>IF(SCAN!Q843&lt;&gt;"-",SCAN!D843,0)</f>
        <v>0</v>
      </c>
      <c r="S843" s="53">
        <f>IF(SCAN!Q843&lt;&gt;"-",SCAN!E843,0)</f>
        <v>0</v>
      </c>
      <c r="T843" s="53">
        <f>IF(SCAN!Q843&lt;&gt;"-",SCAN!F843,0)</f>
        <v>0</v>
      </c>
    </row>
    <row r="844" spans="8:20" x14ac:dyDescent="0.25">
      <c r="H844" s="50">
        <f>IF(AND(SCAN!K844="-",SCAN!Q844="-"),SCAN!D844,0)</f>
        <v>0</v>
      </c>
      <c r="I844" s="50">
        <f>IF(AND(SCAN!K844="-",SCAN!Q844="-"),SCAN!E844,0)</f>
        <v>0</v>
      </c>
      <c r="J844" s="50">
        <f>IF(AND(SCAN!K844="-",SCAN!Q844="-"),SCAN!F844,0)</f>
        <v>0</v>
      </c>
      <c r="M844" s="55">
        <f>IF(SCAN!K844&lt;&gt;"-",SCAN!D844,0)</f>
        <v>0</v>
      </c>
      <c r="N844" s="55">
        <f>IF(SCAN!K844&lt;&gt;"-",SCAN!E844,0)</f>
        <v>0</v>
      </c>
      <c r="O844" s="55">
        <f>IF(SCAN!K844&lt;&gt;"-",SCAN!F844,0)</f>
        <v>0</v>
      </c>
      <c r="R844" s="53">
        <f>IF(SCAN!Q844&lt;&gt;"-",SCAN!D844,0)</f>
        <v>0</v>
      </c>
      <c r="S844" s="53">
        <f>IF(SCAN!Q844&lt;&gt;"-",SCAN!E844,0)</f>
        <v>0</v>
      </c>
      <c r="T844" s="53">
        <f>IF(SCAN!Q844&lt;&gt;"-",SCAN!F844,0)</f>
        <v>0</v>
      </c>
    </row>
    <row r="845" spans="8:20" x14ac:dyDescent="0.25">
      <c r="H845" s="50">
        <f>IF(AND(SCAN!K845="-",SCAN!Q845="-"),SCAN!D845,0)</f>
        <v>0</v>
      </c>
      <c r="I845" s="50">
        <f>IF(AND(SCAN!K845="-",SCAN!Q845="-"),SCAN!E845,0)</f>
        <v>0</v>
      </c>
      <c r="J845" s="50">
        <f>IF(AND(SCAN!K845="-",SCAN!Q845="-"),SCAN!F845,0)</f>
        <v>0</v>
      </c>
      <c r="M845" s="55">
        <f>IF(SCAN!K845&lt;&gt;"-",SCAN!D845,0)</f>
        <v>0</v>
      </c>
      <c r="N845" s="55">
        <f>IF(SCAN!K845&lt;&gt;"-",SCAN!E845,0)</f>
        <v>0</v>
      </c>
      <c r="O845" s="55">
        <f>IF(SCAN!K845&lt;&gt;"-",SCAN!F845,0)</f>
        <v>0</v>
      </c>
      <c r="R845" s="53">
        <f>IF(SCAN!Q845&lt;&gt;"-",SCAN!D845,0)</f>
        <v>0</v>
      </c>
      <c r="S845" s="53">
        <f>IF(SCAN!Q845&lt;&gt;"-",SCAN!E845,0)</f>
        <v>0</v>
      </c>
      <c r="T845" s="53">
        <f>IF(SCAN!Q845&lt;&gt;"-",SCAN!F845,0)</f>
        <v>0</v>
      </c>
    </row>
    <row r="846" spans="8:20" x14ac:dyDescent="0.25">
      <c r="H846" s="50">
        <f>IF(AND(SCAN!K846="-",SCAN!Q846="-"),SCAN!D846,0)</f>
        <v>0</v>
      </c>
      <c r="I846" s="50">
        <f>IF(AND(SCAN!K846="-",SCAN!Q846="-"),SCAN!E846,0)</f>
        <v>0</v>
      </c>
      <c r="J846" s="50">
        <f>IF(AND(SCAN!K846="-",SCAN!Q846="-"),SCAN!F846,0)</f>
        <v>0</v>
      </c>
      <c r="M846" s="55">
        <f>IF(SCAN!K846&lt;&gt;"-",SCAN!D846,0)</f>
        <v>0</v>
      </c>
      <c r="N846" s="55">
        <f>IF(SCAN!K846&lt;&gt;"-",SCAN!E846,0)</f>
        <v>0</v>
      </c>
      <c r="O846" s="55">
        <f>IF(SCAN!K846&lt;&gt;"-",SCAN!F846,0)</f>
        <v>0</v>
      </c>
      <c r="R846" s="53">
        <f>IF(SCAN!Q846&lt;&gt;"-",SCAN!D846,0)</f>
        <v>0</v>
      </c>
      <c r="S846" s="53">
        <f>IF(SCAN!Q846&lt;&gt;"-",SCAN!E846,0)</f>
        <v>0</v>
      </c>
      <c r="T846" s="53">
        <f>IF(SCAN!Q846&lt;&gt;"-",SCAN!F846,0)</f>
        <v>0</v>
      </c>
    </row>
    <row r="847" spans="8:20" x14ac:dyDescent="0.25">
      <c r="H847" s="50">
        <f>IF(AND(SCAN!K847="-",SCAN!Q847="-"),SCAN!D847,0)</f>
        <v>0</v>
      </c>
      <c r="I847" s="50">
        <f>IF(AND(SCAN!K847="-",SCAN!Q847="-"),SCAN!E847,0)</f>
        <v>0</v>
      </c>
      <c r="J847" s="50">
        <f>IF(AND(SCAN!K847="-",SCAN!Q847="-"),SCAN!F847,0)</f>
        <v>0</v>
      </c>
      <c r="M847" s="55">
        <f>IF(SCAN!K847&lt;&gt;"-",SCAN!D847,0)</f>
        <v>0</v>
      </c>
      <c r="N847" s="55">
        <f>IF(SCAN!K847&lt;&gt;"-",SCAN!E847,0)</f>
        <v>0</v>
      </c>
      <c r="O847" s="55">
        <f>IF(SCAN!K847&lt;&gt;"-",SCAN!F847,0)</f>
        <v>0</v>
      </c>
      <c r="R847" s="53">
        <f>IF(SCAN!Q847&lt;&gt;"-",SCAN!D847,0)</f>
        <v>0</v>
      </c>
      <c r="S847" s="53">
        <f>IF(SCAN!Q847&lt;&gt;"-",SCAN!E847,0)</f>
        <v>0</v>
      </c>
      <c r="T847" s="53">
        <f>IF(SCAN!Q847&lt;&gt;"-",SCAN!F847,0)</f>
        <v>0</v>
      </c>
    </row>
    <row r="848" spans="8:20" x14ac:dyDescent="0.25">
      <c r="H848" s="50">
        <f>IF(AND(SCAN!K848="-",SCAN!Q848="-"),SCAN!D848,0)</f>
        <v>0</v>
      </c>
      <c r="I848" s="50">
        <f>IF(AND(SCAN!K848="-",SCAN!Q848="-"),SCAN!E848,0)</f>
        <v>0</v>
      </c>
      <c r="J848" s="50">
        <f>IF(AND(SCAN!K848="-",SCAN!Q848="-"),SCAN!F848,0)</f>
        <v>0</v>
      </c>
      <c r="M848" s="55">
        <f>IF(SCAN!K848&lt;&gt;"-",SCAN!D848,0)</f>
        <v>0</v>
      </c>
      <c r="N848" s="55">
        <f>IF(SCAN!K848&lt;&gt;"-",SCAN!E848,0)</f>
        <v>0</v>
      </c>
      <c r="O848" s="55">
        <f>IF(SCAN!K848&lt;&gt;"-",SCAN!F848,0)</f>
        <v>0</v>
      </c>
      <c r="R848" s="53">
        <f>IF(SCAN!Q848&lt;&gt;"-",SCAN!D848,0)</f>
        <v>0</v>
      </c>
      <c r="S848" s="53">
        <f>IF(SCAN!Q848&lt;&gt;"-",SCAN!E848,0)</f>
        <v>0</v>
      </c>
      <c r="T848" s="53">
        <f>IF(SCAN!Q848&lt;&gt;"-",SCAN!F848,0)</f>
        <v>0</v>
      </c>
    </row>
    <row r="849" spans="8:20" x14ac:dyDescent="0.25">
      <c r="H849" s="50">
        <f>IF(AND(SCAN!K849="-",SCAN!Q849="-"),SCAN!D849,0)</f>
        <v>0</v>
      </c>
      <c r="I849" s="50">
        <f>IF(AND(SCAN!K849="-",SCAN!Q849="-"),SCAN!E849,0)</f>
        <v>0</v>
      </c>
      <c r="J849" s="50">
        <f>IF(AND(SCAN!K849="-",SCAN!Q849="-"),SCAN!F849,0)</f>
        <v>0</v>
      </c>
      <c r="M849" s="55">
        <f>IF(SCAN!K849&lt;&gt;"-",SCAN!D849,0)</f>
        <v>0</v>
      </c>
      <c r="N849" s="55">
        <f>IF(SCAN!K849&lt;&gt;"-",SCAN!E849,0)</f>
        <v>0</v>
      </c>
      <c r="O849" s="55">
        <f>IF(SCAN!K849&lt;&gt;"-",SCAN!F849,0)</f>
        <v>0</v>
      </c>
      <c r="R849" s="53">
        <f>IF(SCAN!Q849&lt;&gt;"-",SCAN!D849,0)</f>
        <v>0</v>
      </c>
      <c r="S849" s="53">
        <f>IF(SCAN!Q849&lt;&gt;"-",SCAN!E849,0)</f>
        <v>0</v>
      </c>
      <c r="T849" s="53">
        <f>IF(SCAN!Q849&lt;&gt;"-",SCAN!F849,0)</f>
        <v>0</v>
      </c>
    </row>
    <row r="850" spans="8:20" x14ac:dyDescent="0.25">
      <c r="H850" s="50">
        <f>IF(AND(SCAN!K850="-",SCAN!Q850="-"),SCAN!D850,0)</f>
        <v>0</v>
      </c>
      <c r="I850" s="50">
        <f>IF(AND(SCAN!K850="-",SCAN!Q850="-"),SCAN!E850,0)</f>
        <v>0</v>
      </c>
      <c r="J850" s="50">
        <f>IF(AND(SCAN!K850="-",SCAN!Q850="-"),SCAN!F850,0)</f>
        <v>0</v>
      </c>
      <c r="M850" s="55">
        <f>IF(SCAN!K850&lt;&gt;"-",SCAN!D850,0)</f>
        <v>0</v>
      </c>
      <c r="N850" s="55">
        <f>IF(SCAN!K850&lt;&gt;"-",SCAN!E850,0)</f>
        <v>0</v>
      </c>
      <c r="O850" s="55">
        <f>IF(SCAN!K850&lt;&gt;"-",SCAN!F850,0)</f>
        <v>0</v>
      </c>
      <c r="R850" s="53">
        <f>IF(SCAN!Q850&lt;&gt;"-",SCAN!D850,0)</f>
        <v>0</v>
      </c>
      <c r="S850" s="53">
        <f>IF(SCAN!Q850&lt;&gt;"-",SCAN!E850,0)</f>
        <v>0</v>
      </c>
      <c r="T850" s="53">
        <f>IF(SCAN!Q850&lt;&gt;"-",SCAN!F850,0)</f>
        <v>0</v>
      </c>
    </row>
    <row r="851" spans="8:20" x14ac:dyDescent="0.25">
      <c r="H851" s="50">
        <f>IF(AND(SCAN!K851="-",SCAN!Q851="-"),SCAN!D851,0)</f>
        <v>0</v>
      </c>
      <c r="I851" s="50">
        <f>IF(AND(SCAN!K851="-",SCAN!Q851="-"),SCAN!E851,0)</f>
        <v>0</v>
      </c>
      <c r="J851" s="50">
        <f>IF(AND(SCAN!K851="-",SCAN!Q851="-"),SCAN!F851,0)</f>
        <v>0</v>
      </c>
      <c r="M851" s="55">
        <f>IF(SCAN!K851&lt;&gt;"-",SCAN!D851,0)</f>
        <v>0</v>
      </c>
      <c r="N851" s="55">
        <f>IF(SCAN!K851&lt;&gt;"-",SCAN!E851,0)</f>
        <v>0</v>
      </c>
      <c r="O851" s="55">
        <f>IF(SCAN!K851&lt;&gt;"-",SCAN!F851,0)</f>
        <v>0</v>
      </c>
      <c r="R851" s="53">
        <f>IF(SCAN!Q851&lt;&gt;"-",SCAN!D851,0)</f>
        <v>0</v>
      </c>
      <c r="S851" s="53">
        <f>IF(SCAN!Q851&lt;&gt;"-",SCAN!E851,0)</f>
        <v>0</v>
      </c>
      <c r="T851" s="53">
        <f>IF(SCAN!Q851&lt;&gt;"-",SCAN!F851,0)</f>
        <v>0</v>
      </c>
    </row>
    <row r="852" spans="8:20" x14ac:dyDescent="0.25">
      <c r="H852" s="50">
        <f>IF(AND(SCAN!K852="-",SCAN!Q852="-"),SCAN!D852,0)</f>
        <v>0</v>
      </c>
      <c r="I852" s="50">
        <f>IF(AND(SCAN!K852="-",SCAN!Q852="-"),SCAN!E852,0)</f>
        <v>0</v>
      </c>
      <c r="J852" s="50">
        <f>IF(AND(SCAN!K852="-",SCAN!Q852="-"),SCAN!F852,0)</f>
        <v>0</v>
      </c>
      <c r="M852" s="55">
        <f>IF(SCAN!K852&lt;&gt;"-",SCAN!D852,0)</f>
        <v>0</v>
      </c>
      <c r="N852" s="55">
        <f>IF(SCAN!K852&lt;&gt;"-",SCAN!E852,0)</f>
        <v>0</v>
      </c>
      <c r="O852" s="55">
        <f>IF(SCAN!K852&lt;&gt;"-",SCAN!F852,0)</f>
        <v>0</v>
      </c>
      <c r="R852" s="53">
        <f>IF(SCAN!Q852&lt;&gt;"-",SCAN!D852,0)</f>
        <v>0</v>
      </c>
      <c r="S852" s="53">
        <f>IF(SCAN!Q852&lt;&gt;"-",SCAN!E852,0)</f>
        <v>0</v>
      </c>
      <c r="T852" s="53">
        <f>IF(SCAN!Q852&lt;&gt;"-",SCAN!F852,0)</f>
        <v>0</v>
      </c>
    </row>
    <row r="853" spans="8:20" x14ac:dyDescent="0.25">
      <c r="H853" s="50">
        <f>IF(AND(SCAN!K853="-",SCAN!Q853="-"),SCAN!D853,0)</f>
        <v>0</v>
      </c>
      <c r="I853" s="50">
        <f>IF(AND(SCAN!K853="-",SCAN!Q853="-"),SCAN!E853,0)</f>
        <v>0</v>
      </c>
      <c r="J853" s="50">
        <f>IF(AND(SCAN!K853="-",SCAN!Q853="-"),SCAN!F853,0)</f>
        <v>0</v>
      </c>
      <c r="M853" s="55">
        <f>IF(SCAN!K853&lt;&gt;"-",SCAN!D853,0)</f>
        <v>0</v>
      </c>
      <c r="N853" s="55">
        <f>IF(SCAN!K853&lt;&gt;"-",SCAN!E853,0)</f>
        <v>0</v>
      </c>
      <c r="O853" s="55">
        <f>IF(SCAN!K853&lt;&gt;"-",SCAN!F853,0)</f>
        <v>0</v>
      </c>
      <c r="R853" s="53">
        <f>IF(SCAN!Q853&lt;&gt;"-",SCAN!D853,0)</f>
        <v>0</v>
      </c>
      <c r="S853" s="53">
        <f>IF(SCAN!Q853&lt;&gt;"-",SCAN!E853,0)</f>
        <v>0</v>
      </c>
      <c r="T853" s="53">
        <f>IF(SCAN!Q853&lt;&gt;"-",SCAN!F853,0)</f>
        <v>0</v>
      </c>
    </row>
    <row r="854" spans="8:20" x14ac:dyDescent="0.25">
      <c r="H854" s="50">
        <f>IF(AND(SCAN!K854="-",SCAN!Q854="-"),SCAN!D854,0)</f>
        <v>0</v>
      </c>
      <c r="I854" s="50">
        <f>IF(AND(SCAN!K854="-",SCAN!Q854="-"),SCAN!E854,0)</f>
        <v>0</v>
      </c>
      <c r="J854" s="50">
        <f>IF(AND(SCAN!K854="-",SCAN!Q854="-"),SCAN!F854,0)</f>
        <v>0</v>
      </c>
      <c r="M854" s="55">
        <f>IF(SCAN!K854&lt;&gt;"-",SCAN!D854,0)</f>
        <v>0</v>
      </c>
      <c r="N854" s="55">
        <f>IF(SCAN!K854&lt;&gt;"-",SCAN!E854,0)</f>
        <v>0</v>
      </c>
      <c r="O854" s="55">
        <f>IF(SCAN!K854&lt;&gt;"-",SCAN!F854,0)</f>
        <v>0</v>
      </c>
      <c r="R854" s="53">
        <f>IF(SCAN!Q854&lt;&gt;"-",SCAN!D854,0)</f>
        <v>0</v>
      </c>
      <c r="S854" s="53">
        <f>IF(SCAN!Q854&lt;&gt;"-",SCAN!E854,0)</f>
        <v>0</v>
      </c>
      <c r="T854" s="53">
        <f>IF(SCAN!Q854&lt;&gt;"-",SCAN!F854,0)</f>
        <v>0</v>
      </c>
    </row>
    <row r="855" spans="8:20" x14ac:dyDescent="0.25">
      <c r="H855" s="50">
        <f>IF(AND(SCAN!K855="-",SCAN!Q855="-"),SCAN!D855,0)</f>
        <v>0</v>
      </c>
      <c r="I855" s="50">
        <f>IF(AND(SCAN!K855="-",SCAN!Q855="-"),SCAN!E855,0)</f>
        <v>0</v>
      </c>
      <c r="J855" s="50">
        <f>IF(AND(SCAN!K855="-",SCAN!Q855="-"),SCAN!F855,0)</f>
        <v>0</v>
      </c>
      <c r="M855" s="55">
        <f>IF(SCAN!K855&lt;&gt;"-",SCAN!D855,0)</f>
        <v>0</v>
      </c>
      <c r="N855" s="55">
        <f>IF(SCAN!K855&lt;&gt;"-",SCAN!E855,0)</f>
        <v>0</v>
      </c>
      <c r="O855" s="55">
        <f>IF(SCAN!K855&lt;&gt;"-",SCAN!F855,0)</f>
        <v>0</v>
      </c>
      <c r="R855" s="53">
        <f>IF(SCAN!Q855&lt;&gt;"-",SCAN!D855,0)</f>
        <v>0</v>
      </c>
      <c r="S855" s="53">
        <f>IF(SCAN!Q855&lt;&gt;"-",SCAN!E855,0)</f>
        <v>0</v>
      </c>
      <c r="T855" s="53">
        <f>IF(SCAN!Q855&lt;&gt;"-",SCAN!F855,0)</f>
        <v>0</v>
      </c>
    </row>
    <row r="856" spans="8:20" x14ac:dyDescent="0.25">
      <c r="H856" s="50">
        <f>IF(AND(SCAN!K856="-",SCAN!Q856="-"),SCAN!D856,0)</f>
        <v>0</v>
      </c>
      <c r="I856" s="50">
        <f>IF(AND(SCAN!K856="-",SCAN!Q856="-"),SCAN!E856,0)</f>
        <v>0</v>
      </c>
      <c r="J856" s="50">
        <f>IF(AND(SCAN!K856="-",SCAN!Q856="-"),SCAN!F856,0)</f>
        <v>0</v>
      </c>
      <c r="M856" s="55">
        <f>IF(SCAN!K856&lt;&gt;"-",SCAN!D856,0)</f>
        <v>0</v>
      </c>
      <c r="N856" s="55">
        <f>IF(SCAN!K856&lt;&gt;"-",SCAN!E856,0)</f>
        <v>0</v>
      </c>
      <c r="O856" s="55">
        <f>IF(SCAN!K856&lt;&gt;"-",SCAN!F856,0)</f>
        <v>0</v>
      </c>
      <c r="R856" s="53">
        <f>IF(SCAN!Q856&lt;&gt;"-",SCAN!D856,0)</f>
        <v>0</v>
      </c>
      <c r="S856" s="53">
        <f>IF(SCAN!Q856&lt;&gt;"-",SCAN!E856,0)</f>
        <v>0</v>
      </c>
      <c r="T856" s="53">
        <f>IF(SCAN!Q856&lt;&gt;"-",SCAN!F856,0)</f>
        <v>0</v>
      </c>
    </row>
    <row r="857" spans="8:20" x14ac:dyDescent="0.25">
      <c r="H857" s="50">
        <f>IF(AND(SCAN!K857="-",SCAN!Q857="-"),SCAN!D857,0)</f>
        <v>0</v>
      </c>
      <c r="I857" s="50">
        <f>IF(AND(SCAN!K857="-",SCAN!Q857="-"),SCAN!E857,0)</f>
        <v>0</v>
      </c>
      <c r="J857" s="50">
        <f>IF(AND(SCAN!K857="-",SCAN!Q857="-"),SCAN!F857,0)</f>
        <v>0</v>
      </c>
      <c r="M857" s="55">
        <f>IF(SCAN!K857&lt;&gt;"-",SCAN!D857,0)</f>
        <v>0</v>
      </c>
      <c r="N857" s="55">
        <f>IF(SCAN!K857&lt;&gt;"-",SCAN!E857,0)</f>
        <v>0</v>
      </c>
      <c r="O857" s="55">
        <f>IF(SCAN!K857&lt;&gt;"-",SCAN!F857,0)</f>
        <v>0</v>
      </c>
      <c r="R857" s="53">
        <f>IF(SCAN!Q857&lt;&gt;"-",SCAN!D857,0)</f>
        <v>0</v>
      </c>
      <c r="S857" s="53">
        <f>IF(SCAN!Q857&lt;&gt;"-",SCAN!E857,0)</f>
        <v>0</v>
      </c>
      <c r="T857" s="53">
        <f>IF(SCAN!Q857&lt;&gt;"-",SCAN!F857,0)</f>
        <v>0</v>
      </c>
    </row>
    <row r="858" spans="8:20" x14ac:dyDescent="0.25">
      <c r="H858" s="50">
        <f>IF(AND(SCAN!K858="-",SCAN!Q858="-"),SCAN!D858,0)</f>
        <v>0</v>
      </c>
      <c r="I858" s="50">
        <f>IF(AND(SCAN!K858="-",SCAN!Q858="-"),SCAN!E858,0)</f>
        <v>0</v>
      </c>
      <c r="J858" s="50">
        <f>IF(AND(SCAN!K858="-",SCAN!Q858="-"),SCAN!F858,0)</f>
        <v>0</v>
      </c>
      <c r="M858" s="55">
        <f>IF(SCAN!K858&lt;&gt;"-",SCAN!D858,0)</f>
        <v>0</v>
      </c>
      <c r="N858" s="55">
        <f>IF(SCAN!K858&lt;&gt;"-",SCAN!E858,0)</f>
        <v>0</v>
      </c>
      <c r="O858" s="55">
        <f>IF(SCAN!K858&lt;&gt;"-",SCAN!F858,0)</f>
        <v>0</v>
      </c>
      <c r="R858" s="53">
        <f>IF(SCAN!Q858&lt;&gt;"-",SCAN!D858,0)</f>
        <v>0</v>
      </c>
      <c r="S858" s="53">
        <f>IF(SCAN!Q858&lt;&gt;"-",SCAN!E858,0)</f>
        <v>0</v>
      </c>
      <c r="T858" s="53">
        <f>IF(SCAN!Q858&lt;&gt;"-",SCAN!F858,0)</f>
        <v>0</v>
      </c>
    </row>
    <row r="859" spans="8:20" x14ac:dyDescent="0.25">
      <c r="H859" s="50">
        <f>IF(AND(SCAN!K859="-",SCAN!Q859="-"),SCAN!D859,0)</f>
        <v>0</v>
      </c>
      <c r="I859" s="50">
        <f>IF(AND(SCAN!K859="-",SCAN!Q859="-"),SCAN!E859,0)</f>
        <v>0</v>
      </c>
      <c r="J859" s="50">
        <f>IF(AND(SCAN!K859="-",SCAN!Q859="-"),SCAN!F859,0)</f>
        <v>0</v>
      </c>
      <c r="M859" s="55">
        <f>IF(SCAN!K859&lt;&gt;"-",SCAN!D859,0)</f>
        <v>0</v>
      </c>
      <c r="N859" s="55">
        <f>IF(SCAN!K859&lt;&gt;"-",SCAN!E859,0)</f>
        <v>0</v>
      </c>
      <c r="O859" s="55">
        <f>IF(SCAN!K859&lt;&gt;"-",SCAN!F859,0)</f>
        <v>0</v>
      </c>
      <c r="R859" s="53">
        <f>IF(SCAN!Q859&lt;&gt;"-",SCAN!D859,0)</f>
        <v>0</v>
      </c>
      <c r="S859" s="53">
        <f>IF(SCAN!Q859&lt;&gt;"-",SCAN!E859,0)</f>
        <v>0</v>
      </c>
      <c r="T859" s="53">
        <f>IF(SCAN!Q859&lt;&gt;"-",SCAN!F859,0)</f>
        <v>0</v>
      </c>
    </row>
    <row r="860" spans="8:20" x14ac:dyDescent="0.25">
      <c r="H860" s="50">
        <f>IF(AND(SCAN!K860="-",SCAN!Q860="-"),SCAN!D860,0)</f>
        <v>0</v>
      </c>
      <c r="I860" s="50">
        <f>IF(AND(SCAN!K860="-",SCAN!Q860="-"),SCAN!E860,0)</f>
        <v>0</v>
      </c>
      <c r="J860" s="50">
        <f>IF(AND(SCAN!K860="-",SCAN!Q860="-"),SCAN!F860,0)</f>
        <v>0</v>
      </c>
      <c r="M860" s="55">
        <f>IF(SCAN!K860&lt;&gt;"-",SCAN!D860,0)</f>
        <v>0</v>
      </c>
      <c r="N860" s="55">
        <f>IF(SCAN!K860&lt;&gt;"-",SCAN!E860,0)</f>
        <v>0</v>
      </c>
      <c r="O860" s="55">
        <f>IF(SCAN!K860&lt;&gt;"-",SCAN!F860,0)</f>
        <v>0</v>
      </c>
      <c r="R860" s="53">
        <f>IF(SCAN!Q860&lt;&gt;"-",SCAN!D860,0)</f>
        <v>0</v>
      </c>
      <c r="S860" s="53">
        <f>IF(SCAN!Q860&lt;&gt;"-",SCAN!E860,0)</f>
        <v>0</v>
      </c>
      <c r="T860" s="53">
        <f>IF(SCAN!Q860&lt;&gt;"-",SCAN!F860,0)</f>
        <v>0</v>
      </c>
    </row>
    <row r="861" spans="8:20" x14ac:dyDescent="0.25">
      <c r="H861" s="50">
        <f>IF(AND(SCAN!K861="-",SCAN!Q861="-"),SCAN!D861,0)</f>
        <v>0</v>
      </c>
      <c r="I861" s="50">
        <f>IF(AND(SCAN!K861="-",SCAN!Q861="-"),SCAN!E861,0)</f>
        <v>0</v>
      </c>
      <c r="J861" s="50">
        <f>IF(AND(SCAN!K861="-",SCAN!Q861="-"),SCAN!F861,0)</f>
        <v>0</v>
      </c>
      <c r="M861" s="55">
        <f>IF(SCAN!K861&lt;&gt;"-",SCAN!D861,0)</f>
        <v>0</v>
      </c>
      <c r="N861" s="55">
        <f>IF(SCAN!K861&lt;&gt;"-",SCAN!E861,0)</f>
        <v>0</v>
      </c>
      <c r="O861" s="55">
        <f>IF(SCAN!K861&lt;&gt;"-",SCAN!F861,0)</f>
        <v>0</v>
      </c>
      <c r="R861" s="53">
        <f>IF(SCAN!Q861&lt;&gt;"-",SCAN!D861,0)</f>
        <v>0</v>
      </c>
      <c r="S861" s="53">
        <f>IF(SCAN!Q861&lt;&gt;"-",SCAN!E861,0)</f>
        <v>0</v>
      </c>
      <c r="T861" s="53">
        <f>IF(SCAN!Q861&lt;&gt;"-",SCAN!F861,0)</f>
        <v>0</v>
      </c>
    </row>
    <row r="862" spans="8:20" x14ac:dyDescent="0.25">
      <c r="H862" s="50">
        <f>IF(AND(SCAN!K862="-",SCAN!Q862="-"),SCAN!D862,0)</f>
        <v>0</v>
      </c>
      <c r="I862" s="50">
        <f>IF(AND(SCAN!K862="-",SCAN!Q862="-"),SCAN!E862,0)</f>
        <v>0</v>
      </c>
      <c r="J862" s="50">
        <f>IF(AND(SCAN!K862="-",SCAN!Q862="-"),SCAN!F862,0)</f>
        <v>0</v>
      </c>
      <c r="M862" s="55">
        <f>IF(SCAN!K862&lt;&gt;"-",SCAN!D862,0)</f>
        <v>0</v>
      </c>
      <c r="N862" s="55">
        <f>IF(SCAN!K862&lt;&gt;"-",SCAN!E862,0)</f>
        <v>0</v>
      </c>
      <c r="O862" s="55">
        <f>IF(SCAN!K862&lt;&gt;"-",SCAN!F862,0)</f>
        <v>0</v>
      </c>
      <c r="R862" s="53">
        <f>IF(SCAN!Q862&lt;&gt;"-",SCAN!D862,0)</f>
        <v>0</v>
      </c>
      <c r="S862" s="53">
        <f>IF(SCAN!Q862&lt;&gt;"-",SCAN!E862,0)</f>
        <v>0</v>
      </c>
      <c r="T862" s="53">
        <f>IF(SCAN!Q862&lt;&gt;"-",SCAN!F862,0)</f>
        <v>0</v>
      </c>
    </row>
    <row r="863" spans="8:20" x14ac:dyDescent="0.25">
      <c r="H863" s="50">
        <f>IF(AND(SCAN!K863="-",SCAN!Q863="-"),SCAN!D863,0)</f>
        <v>0</v>
      </c>
      <c r="I863" s="50">
        <f>IF(AND(SCAN!K863="-",SCAN!Q863="-"),SCAN!E863,0)</f>
        <v>0</v>
      </c>
      <c r="J863" s="50">
        <f>IF(AND(SCAN!K863="-",SCAN!Q863="-"),SCAN!F863,0)</f>
        <v>0</v>
      </c>
      <c r="M863" s="55">
        <f>IF(SCAN!K863&lt;&gt;"-",SCAN!D863,0)</f>
        <v>0</v>
      </c>
      <c r="N863" s="55">
        <f>IF(SCAN!K863&lt;&gt;"-",SCAN!E863,0)</f>
        <v>0</v>
      </c>
      <c r="O863" s="55">
        <f>IF(SCAN!K863&lt;&gt;"-",SCAN!F863,0)</f>
        <v>0</v>
      </c>
      <c r="R863" s="53">
        <f>IF(SCAN!Q863&lt;&gt;"-",SCAN!D863,0)</f>
        <v>0</v>
      </c>
      <c r="S863" s="53">
        <f>IF(SCAN!Q863&lt;&gt;"-",SCAN!E863,0)</f>
        <v>0</v>
      </c>
      <c r="T863" s="53">
        <f>IF(SCAN!Q863&lt;&gt;"-",SCAN!F863,0)</f>
        <v>0</v>
      </c>
    </row>
    <row r="864" spans="8:20" x14ac:dyDescent="0.25">
      <c r="H864" s="50">
        <f>IF(AND(SCAN!K864="-",SCAN!Q864="-"),SCAN!D864,0)</f>
        <v>0</v>
      </c>
      <c r="I864" s="50">
        <f>IF(AND(SCAN!K864="-",SCAN!Q864="-"),SCAN!E864,0)</f>
        <v>0</v>
      </c>
      <c r="J864" s="50">
        <f>IF(AND(SCAN!K864="-",SCAN!Q864="-"),SCAN!F864,0)</f>
        <v>0</v>
      </c>
      <c r="M864" s="55">
        <f>IF(SCAN!K864&lt;&gt;"-",SCAN!D864,0)</f>
        <v>0</v>
      </c>
      <c r="N864" s="55">
        <f>IF(SCAN!K864&lt;&gt;"-",SCAN!E864,0)</f>
        <v>0</v>
      </c>
      <c r="O864" s="55">
        <f>IF(SCAN!K864&lt;&gt;"-",SCAN!F864,0)</f>
        <v>0</v>
      </c>
      <c r="R864" s="53">
        <f>IF(SCAN!Q864&lt;&gt;"-",SCAN!D864,0)</f>
        <v>0</v>
      </c>
      <c r="S864" s="53">
        <f>IF(SCAN!Q864&lt;&gt;"-",SCAN!E864,0)</f>
        <v>0</v>
      </c>
      <c r="T864" s="53">
        <f>IF(SCAN!Q864&lt;&gt;"-",SCAN!F864,0)</f>
        <v>0</v>
      </c>
    </row>
    <row r="865" spans="8:20" x14ac:dyDescent="0.25">
      <c r="H865" s="50">
        <f>IF(AND(SCAN!K865="-",SCAN!Q865="-"),SCAN!D865,0)</f>
        <v>0</v>
      </c>
      <c r="I865" s="50">
        <f>IF(AND(SCAN!K865="-",SCAN!Q865="-"),SCAN!E865,0)</f>
        <v>0</v>
      </c>
      <c r="J865" s="50">
        <f>IF(AND(SCAN!K865="-",SCAN!Q865="-"),SCAN!F865,0)</f>
        <v>0</v>
      </c>
      <c r="M865" s="55">
        <f>IF(SCAN!K865&lt;&gt;"-",SCAN!D865,0)</f>
        <v>0</v>
      </c>
      <c r="N865" s="55">
        <f>IF(SCAN!K865&lt;&gt;"-",SCAN!E865,0)</f>
        <v>0</v>
      </c>
      <c r="O865" s="55">
        <f>IF(SCAN!K865&lt;&gt;"-",SCAN!F865,0)</f>
        <v>0</v>
      </c>
      <c r="R865" s="53">
        <f>IF(SCAN!Q865&lt;&gt;"-",SCAN!D865,0)</f>
        <v>0</v>
      </c>
      <c r="S865" s="53">
        <f>IF(SCAN!Q865&lt;&gt;"-",SCAN!E865,0)</f>
        <v>0</v>
      </c>
      <c r="T865" s="53">
        <f>IF(SCAN!Q865&lt;&gt;"-",SCAN!F865,0)</f>
        <v>0</v>
      </c>
    </row>
    <row r="866" spans="8:20" x14ac:dyDescent="0.25">
      <c r="H866" s="50">
        <f>IF(AND(SCAN!K866="-",SCAN!Q866="-"),SCAN!D866,0)</f>
        <v>0</v>
      </c>
      <c r="I866" s="50">
        <f>IF(AND(SCAN!K866="-",SCAN!Q866="-"),SCAN!E866,0)</f>
        <v>0</v>
      </c>
      <c r="J866" s="50">
        <f>IF(AND(SCAN!K866="-",SCAN!Q866="-"),SCAN!F866,0)</f>
        <v>0</v>
      </c>
      <c r="M866" s="55">
        <f>IF(SCAN!K866&lt;&gt;"-",SCAN!D866,0)</f>
        <v>0</v>
      </c>
      <c r="N866" s="55">
        <f>IF(SCAN!K866&lt;&gt;"-",SCAN!E866,0)</f>
        <v>0</v>
      </c>
      <c r="O866" s="55">
        <f>IF(SCAN!K866&lt;&gt;"-",SCAN!F866,0)</f>
        <v>0</v>
      </c>
      <c r="R866" s="53">
        <f>IF(SCAN!Q866&lt;&gt;"-",SCAN!D866,0)</f>
        <v>0</v>
      </c>
      <c r="S866" s="53">
        <f>IF(SCAN!Q866&lt;&gt;"-",SCAN!E866,0)</f>
        <v>0</v>
      </c>
      <c r="T866" s="53">
        <f>IF(SCAN!Q866&lt;&gt;"-",SCAN!F866,0)</f>
        <v>0</v>
      </c>
    </row>
    <row r="867" spans="8:20" x14ac:dyDescent="0.25">
      <c r="H867" s="50">
        <f>IF(AND(SCAN!K867="-",SCAN!Q867="-"),SCAN!D867,0)</f>
        <v>0</v>
      </c>
      <c r="I867" s="50">
        <f>IF(AND(SCAN!K867="-",SCAN!Q867="-"),SCAN!E867,0)</f>
        <v>0</v>
      </c>
      <c r="J867" s="50">
        <f>IF(AND(SCAN!K867="-",SCAN!Q867="-"),SCAN!F867,0)</f>
        <v>0</v>
      </c>
      <c r="M867" s="55">
        <f>IF(SCAN!K867&lt;&gt;"-",SCAN!D867,0)</f>
        <v>0</v>
      </c>
      <c r="N867" s="55">
        <f>IF(SCAN!K867&lt;&gt;"-",SCAN!E867,0)</f>
        <v>0</v>
      </c>
      <c r="O867" s="55">
        <f>IF(SCAN!K867&lt;&gt;"-",SCAN!F867,0)</f>
        <v>0</v>
      </c>
      <c r="R867" s="53">
        <f>IF(SCAN!Q867&lt;&gt;"-",SCAN!D867,0)</f>
        <v>0</v>
      </c>
      <c r="S867" s="53">
        <f>IF(SCAN!Q867&lt;&gt;"-",SCAN!E867,0)</f>
        <v>0</v>
      </c>
      <c r="T867" s="53">
        <f>IF(SCAN!Q867&lt;&gt;"-",SCAN!F867,0)</f>
        <v>0</v>
      </c>
    </row>
    <row r="868" spans="8:20" x14ac:dyDescent="0.25">
      <c r="H868" s="50">
        <f>IF(AND(SCAN!K868="-",SCAN!Q868="-"),SCAN!D868,0)</f>
        <v>0</v>
      </c>
      <c r="I868" s="50">
        <f>IF(AND(SCAN!K868="-",SCAN!Q868="-"),SCAN!E868,0)</f>
        <v>0</v>
      </c>
      <c r="J868" s="50">
        <f>IF(AND(SCAN!K868="-",SCAN!Q868="-"),SCAN!F868,0)</f>
        <v>0</v>
      </c>
      <c r="M868" s="55">
        <f>IF(SCAN!K868&lt;&gt;"-",SCAN!D868,0)</f>
        <v>0</v>
      </c>
      <c r="N868" s="55">
        <f>IF(SCAN!K868&lt;&gt;"-",SCAN!E868,0)</f>
        <v>0</v>
      </c>
      <c r="O868" s="55">
        <f>IF(SCAN!K868&lt;&gt;"-",SCAN!F868,0)</f>
        <v>0</v>
      </c>
      <c r="R868" s="53">
        <f>IF(SCAN!Q868&lt;&gt;"-",SCAN!D868,0)</f>
        <v>0</v>
      </c>
      <c r="S868" s="53">
        <f>IF(SCAN!Q868&lt;&gt;"-",SCAN!E868,0)</f>
        <v>0</v>
      </c>
      <c r="T868" s="53">
        <f>IF(SCAN!Q868&lt;&gt;"-",SCAN!F868,0)</f>
        <v>0</v>
      </c>
    </row>
    <row r="869" spans="8:20" x14ac:dyDescent="0.25">
      <c r="H869" s="50">
        <f>IF(AND(SCAN!K869="-",SCAN!Q869="-"),SCAN!D869,0)</f>
        <v>0</v>
      </c>
      <c r="I869" s="50">
        <f>IF(AND(SCAN!K869="-",SCAN!Q869="-"),SCAN!E869,0)</f>
        <v>0</v>
      </c>
      <c r="J869" s="50">
        <f>IF(AND(SCAN!K869="-",SCAN!Q869="-"),SCAN!F869,0)</f>
        <v>0</v>
      </c>
      <c r="M869" s="55">
        <f>IF(SCAN!K869&lt;&gt;"-",SCAN!D869,0)</f>
        <v>0</v>
      </c>
      <c r="N869" s="55">
        <f>IF(SCAN!K869&lt;&gt;"-",SCAN!E869,0)</f>
        <v>0</v>
      </c>
      <c r="O869" s="55">
        <f>IF(SCAN!K869&lt;&gt;"-",SCAN!F869,0)</f>
        <v>0</v>
      </c>
      <c r="R869" s="53">
        <f>IF(SCAN!Q869&lt;&gt;"-",SCAN!D869,0)</f>
        <v>0</v>
      </c>
      <c r="S869" s="53">
        <f>IF(SCAN!Q869&lt;&gt;"-",SCAN!E869,0)</f>
        <v>0</v>
      </c>
      <c r="T869" s="53">
        <f>IF(SCAN!Q869&lt;&gt;"-",SCAN!F869,0)</f>
        <v>0</v>
      </c>
    </row>
    <row r="870" spans="8:20" x14ac:dyDescent="0.25">
      <c r="H870" s="50">
        <f>IF(AND(SCAN!K870="-",SCAN!Q870="-"),SCAN!D870,0)</f>
        <v>0</v>
      </c>
      <c r="I870" s="50">
        <f>IF(AND(SCAN!K870="-",SCAN!Q870="-"),SCAN!E870,0)</f>
        <v>0</v>
      </c>
      <c r="J870" s="50">
        <f>IF(AND(SCAN!K870="-",SCAN!Q870="-"),SCAN!F870,0)</f>
        <v>0</v>
      </c>
      <c r="M870" s="55">
        <f>IF(SCAN!K870&lt;&gt;"-",SCAN!D870,0)</f>
        <v>0</v>
      </c>
      <c r="N870" s="55">
        <f>IF(SCAN!K870&lt;&gt;"-",SCAN!E870,0)</f>
        <v>0</v>
      </c>
      <c r="O870" s="55">
        <f>IF(SCAN!K870&lt;&gt;"-",SCAN!F870,0)</f>
        <v>0</v>
      </c>
      <c r="R870" s="53">
        <f>IF(SCAN!Q870&lt;&gt;"-",SCAN!D870,0)</f>
        <v>0</v>
      </c>
      <c r="S870" s="53">
        <f>IF(SCAN!Q870&lt;&gt;"-",SCAN!E870,0)</f>
        <v>0</v>
      </c>
      <c r="T870" s="53">
        <f>IF(SCAN!Q870&lt;&gt;"-",SCAN!F870,0)</f>
        <v>0</v>
      </c>
    </row>
    <row r="871" spans="8:20" x14ac:dyDescent="0.25">
      <c r="H871" s="50">
        <f>IF(AND(SCAN!K871="-",SCAN!Q871="-"),SCAN!D871,0)</f>
        <v>0</v>
      </c>
      <c r="I871" s="50">
        <f>IF(AND(SCAN!K871="-",SCAN!Q871="-"),SCAN!E871,0)</f>
        <v>0</v>
      </c>
      <c r="J871" s="50">
        <f>IF(AND(SCAN!K871="-",SCAN!Q871="-"),SCAN!F871,0)</f>
        <v>0</v>
      </c>
      <c r="M871" s="55">
        <f>IF(SCAN!K871&lt;&gt;"-",SCAN!D871,0)</f>
        <v>0</v>
      </c>
      <c r="N871" s="55">
        <f>IF(SCAN!K871&lt;&gt;"-",SCAN!E871,0)</f>
        <v>0</v>
      </c>
      <c r="O871" s="55">
        <f>IF(SCAN!K871&lt;&gt;"-",SCAN!F871,0)</f>
        <v>0</v>
      </c>
      <c r="R871" s="53">
        <f>IF(SCAN!Q871&lt;&gt;"-",SCAN!D871,0)</f>
        <v>0</v>
      </c>
      <c r="S871" s="53">
        <f>IF(SCAN!Q871&lt;&gt;"-",SCAN!E871,0)</f>
        <v>0</v>
      </c>
      <c r="T871" s="53">
        <f>IF(SCAN!Q871&lt;&gt;"-",SCAN!F871,0)</f>
        <v>0</v>
      </c>
    </row>
    <row r="872" spans="8:20" x14ac:dyDescent="0.25">
      <c r="H872" s="50">
        <f>IF(AND(SCAN!K872="-",SCAN!Q872="-"),SCAN!D872,0)</f>
        <v>0</v>
      </c>
      <c r="I872" s="50">
        <f>IF(AND(SCAN!K872="-",SCAN!Q872="-"),SCAN!E872,0)</f>
        <v>0</v>
      </c>
      <c r="J872" s="50">
        <f>IF(AND(SCAN!K872="-",SCAN!Q872="-"),SCAN!F872,0)</f>
        <v>0</v>
      </c>
      <c r="M872" s="55">
        <f>IF(SCAN!K872&lt;&gt;"-",SCAN!D872,0)</f>
        <v>0</v>
      </c>
      <c r="N872" s="55">
        <f>IF(SCAN!K872&lt;&gt;"-",SCAN!E872,0)</f>
        <v>0</v>
      </c>
      <c r="O872" s="55">
        <f>IF(SCAN!K872&lt;&gt;"-",SCAN!F872,0)</f>
        <v>0</v>
      </c>
      <c r="R872" s="53">
        <f>IF(SCAN!Q872&lt;&gt;"-",SCAN!D872,0)</f>
        <v>0</v>
      </c>
      <c r="S872" s="53">
        <f>IF(SCAN!Q872&lt;&gt;"-",SCAN!E872,0)</f>
        <v>0</v>
      </c>
      <c r="T872" s="53">
        <f>IF(SCAN!Q872&lt;&gt;"-",SCAN!F872,0)</f>
        <v>0</v>
      </c>
    </row>
    <row r="873" spans="8:20" x14ac:dyDescent="0.25">
      <c r="H873" s="50">
        <f>IF(AND(SCAN!K873="-",SCAN!Q873="-"),SCAN!D873,0)</f>
        <v>0</v>
      </c>
      <c r="I873" s="50">
        <f>IF(AND(SCAN!K873="-",SCAN!Q873="-"),SCAN!E873,0)</f>
        <v>0</v>
      </c>
      <c r="J873" s="50">
        <f>IF(AND(SCAN!K873="-",SCAN!Q873="-"),SCAN!F873,0)</f>
        <v>0</v>
      </c>
      <c r="M873" s="55">
        <f>IF(SCAN!K873&lt;&gt;"-",SCAN!D873,0)</f>
        <v>0</v>
      </c>
      <c r="N873" s="55">
        <f>IF(SCAN!K873&lt;&gt;"-",SCAN!E873,0)</f>
        <v>0</v>
      </c>
      <c r="O873" s="55">
        <f>IF(SCAN!K873&lt;&gt;"-",SCAN!F873,0)</f>
        <v>0</v>
      </c>
      <c r="R873" s="53">
        <f>IF(SCAN!Q873&lt;&gt;"-",SCAN!D873,0)</f>
        <v>0</v>
      </c>
      <c r="S873" s="53">
        <f>IF(SCAN!Q873&lt;&gt;"-",SCAN!E873,0)</f>
        <v>0</v>
      </c>
      <c r="T873" s="53">
        <f>IF(SCAN!Q873&lt;&gt;"-",SCAN!F873,0)</f>
        <v>0</v>
      </c>
    </row>
    <row r="874" spans="8:20" x14ac:dyDescent="0.25">
      <c r="H874" s="50">
        <f>IF(AND(SCAN!K874="-",SCAN!Q874="-"),SCAN!D874,0)</f>
        <v>0</v>
      </c>
      <c r="I874" s="50">
        <f>IF(AND(SCAN!K874="-",SCAN!Q874="-"),SCAN!E874,0)</f>
        <v>0</v>
      </c>
      <c r="J874" s="50">
        <f>IF(AND(SCAN!K874="-",SCAN!Q874="-"),SCAN!F874,0)</f>
        <v>0</v>
      </c>
      <c r="M874" s="55">
        <f>IF(SCAN!K874&lt;&gt;"-",SCAN!D874,0)</f>
        <v>0</v>
      </c>
      <c r="N874" s="55">
        <f>IF(SCAN!K874&lt;&gt;"-",SCAN!E874,0)</f>
        <v>0</v>
      </c>
      <c r="O874" s="55">
        <f>IF(SCAN!K874&lt;&gt;"-",SCAN!F874,0)</f>
        <v>0</v>
      </c>
      <c r="R874" s="53">
        <f>IF(SCAN!Q874&lt;&gt;"-",SCAN!D874,0)</f>
        <v>0</v>
      </c>
      <c r="S874" s="53">
        <f>IF(SCAN!Q874&lt;&gt;"-",SCAN!E874,0)</f>
        <v>0</v>
      </c>
      <c r="T874" s="53">
        <f>IF(SCAN!Q874&lt;&gt;"-",SCAN!F874,0)</f>
        <v>0</v>
      </c>
    </row>
    <row r="875" spans="8:20" x14ac:dyDescent="0.25">
      <c r="H875" s="50">
        <f>IF(AND(SCAN!K875="-",SCAN!Q875="-"),SCAN!D875,0)</f>
        <v>0</v>
      </c>
      <c r="I875" s="50">
        <f>IF(AND(SCAN!K875="-",SCAN!Q875="-"),SCAN!E875,0)</f>
        <v>0</v>
      </c>
      <c r="J875" s="50">
        <f>IF(AND(SCAN!K875="-",SCAN!Q875="-"),SCAN!F875,0)</f>
        <v>0</v>
      </c>
      <c r="M875" s="55">
        <f>IF(SCAN!K875&lt;&gt;"-",SCAN!D875,0)</f>
        <v>0</v>
      </c>
      <c r="N875" s="55">
        <f>IF(SCAN!K875&lt;&gt;"-",SCAN!E875,0)</f>
        <v>0</v>
      </c>
      <c r="O875" s="55">
        <f>IF(SCAN!K875&lt;&gt;"-",SCAN!F875,0)</f>
        <v>0</v>
      </c>
      <c r="R875" s="53">
        <f>IF(SCAN!Q875&lt;&gt;"-",SCAN!D875,0)</f>
        <v>0</v>
      </c>
      <c r="S875" s="53">
        <f>IF(SCAN!Q875&lt;&gt;"-",SCAN!E875,0)</f>
        <v>0</v>
      </c>
      <c r="T875" s="53">
        <f>IF(SCAN!Q875&lt;&gt;"-",SCAN!F875,0)</f>
        <v>0</v>
      </c>
    </row>
    <row r="876" spans="8:20" x14ac:dyDescent="0.25">
      <c r="H876" s="50">
        <f>IF(AND(SCAN!K876="-",SCAN!Q876="-"),SCAN!D876,0)</f>
        <v>0</v>
      </c>
      <c r="I876" s="50">
        <f>IF(AND(SCAN!K876="-",SCAN!Q876="-"),SCAN!E876,0)</f>
        <v>0</v>
      </c>
      <c r="J876" s="50">
        <f>IF(AND(SCAN!K876="-",SCAN!Q876="-"),SCAN!F876,0)</f>
        <v>0</v>
      </c>
      <c r="M876" s="55">
        <f>IF(SCAN!K876&lt;&gt;"-",SCAN!D876,0)</f>
        <v>0</v>
      </c>
      <c r="N876" s="55">
        <f>IF(SCAN!K876&lt;&gt;"-",SCAN!E876,0)</f>
        <v>0</v>
      </c>
      <c r="O876" s="55">
        <f>IF(SCAN!K876&lt;&gt;"-",SCAN!F876,0)</f>
        <v>0</v>
      </c>
      <c r="R876" s="53">
        <f>IF(SCAN!Q876&lt;&gt;"-",SCAN!D876,0)</f>
        <v>0</v>
      </c>
      <c r="S876" s="53">
        <f>IF(SCAN!Q876&lt;&gt;"-",SCAN!E876,0)</f>
        <v>0</v>
      </c>
      <c r="T876" s="53">
        <f>IF(SCAN!Q876&lt;&gt;"-",SCAN!F876,0)</f>
        <v>0</v>
      </c>
    </row>
    <row r="877" spans="8:20" x14ac:dyDescent="0.25">
      <c r="H877" s="50">
        <f>IF(AND(SCAN!K877="-",SCAN!Q877="-"),SCAN!D877,0)</f>
        <v>0</v>
      </c>
      <c r="I877" s="50">
        <f>IF(AND(SCAN!K877="-",SCAN!Q877="-"),SCAN!E877,0)</f>
        <v>0</v>
      </c>
      <c r="J877" s="50">
        <f>IF(AND(SCAN!K877="-",SCAN!Q877="-"),SCAN!F877,0)</f>
        <v>0</v>
      </c>
      <c r="M877" s="55">
        <f>IF(SCAN!K877&lt;&gt;"-",SCAN!D877,0)</f>
        <v>0</v>
      </c>
      <c r="N877" s="55">
        <f>IF(SCAN!K877&lt;&gt;"-",SCAN!E877,0)</f>
        <v>0</v>
      </c>
      <c r="O877" s="55">
        <f>IF(SCAN!K877&lt;&gt;"-",SCAN!F877,0)</f>
        <v>0</v>
      </c>
      <c r="R877" s="53">
        <f>IF(SCAN!Q877&lt;&gt;"-",SCAN!D877,0)</f>
        <v>0</v>
      </c>
      <c r="S877" s="53">
        <f>IF(SCAN!Q877&lt;&gt;"-",SCAN!E877,0)</f>
        <v>0</v>
      </c>
      <c r="T877" s="53">
        <f>IF(SCAN!Q877&lt;&gt;"-",SCAN!F877,0)</f>
        <v>0</v>
      </c>
    </row>
    <row r="878" spans="8:20" x14ac:dyDescent="0.25">
      <c r="H878" s="50">
        <f>IF(AND(SCAN!K878="-",SCAN!Q878="-"),SCAN!D878,0)</f>
        <v>0</v>
      </c>
      <c r="I878" s="50">
        <f>IF(AND(SCAN!K878="-",SCAN!Q878="-"),SCAN!E878,0)</f>
        <v>0</v>
      </c>
      <c r="J878" s="50">
        <f>IF(AND(SCAN!K878="-",SCAN!Q878="-"),SCAN!F878,0)</f>
        <v>0</v>
      </c>
      <c r="M878" s="55">
        <f>IF(SCAN!K878&lt;&gt;"-",SCAN!D878,0)</f>
        <v>0</v>
      </c>
      <c r="N878" s="55">
        <f>IF(SCAN!K878&lt;&gt;"-",SCAN!E878,0)</f>
        <v>0</v>
      </c>
      <c r="O878" s="55">
        <f>IF(SCAN!K878&lt;&gt;"-",SCAN!F878,0)</f>
        <v>0</v>
      </c>
      <c r="R878" s="53">
        <f>IF(SCAN!Q878&lt;&gt;"-",SCAN!D878,0)</f>
        <v>0</v>
      </c>
      <c r="S878" s="53">
        <f>IF(SCAN!Q878&lt;&gt;"-",SCAN!E878,0)</f>
        <v>0</v>
      </c>
      <c r="T878" s="53">
        <f>IF(SCAN!Q878&lt;&gt;"-",SCAN!F878,0)</f>
        <v>0</v>
      </c>
    </row>
    <row r="879" spans="8:20" x14ac:dyDescent="0.25">
      <c r="H879" s="50">
        <f>IF(AND(SCAN!K879="-",SCAN!Q879="-"),SCAN!D879,0)</f>
        <v>0</v>
      </c>
      <c r="I879" s="50">
        <f>IF(AND(SCAN!K879="-",SCAN!Q879="-"),SCAN!E879,0)</f>
        <v>0</v>
      </c>
      <c r="J879" s="50">
        <f>IF(AND(SCAN!K879="-",SCAN!Q879="-"),SCAN!F879,0)</f>
        <v>0</v>
      </c>
      <c r="M879" s="55">
        <f>IF(SCAN!K879&lt;&gt;"-",SCAN!D879,0)</f>
        <v>0</v>
      </c>
      <c r="N879" s="55">
        <f>IF(SCAN!K879&lt;&gt;"-",SCAN!E879,0)</f>
        <v>0</v>
      </c>
      <c r="O879" s="55">
        <f>IF(SCAN!K879&lt;&gt;"-",SCAN!F879,0)</f>
        <v>0</v>
      </c>
      <c r="R879" s="53">
        <f>IF(SCAN!Q879&lt;&gt;"-",SCAN!D879,0)</f>
        <v>0</v>
      </c>
      <c r="S879" s="53">
        <f>IF(SCAN!Q879&lt;&gt;"-",SCAN!E879,0)</f>
        <v>0</v>
      </c>
      <c r="T879" s="53">
        <f>IF(SCAN!Q879&lt;&gt;"-",SCAN!F879,0)</f>
        <v>0</v>
      </c>
    </row>
    <row r="880" spans="8:20" x14ac:dyDescent="0.25">
      <c r="H880" s="50">
        <f>IF(AND(SCAN!K880="-",SCAN!Q880="-"),SCAN!D880,0)</f>
        <v>0</v>
      </c>
      <c r="I880" s="50">
        <f>IF(AND(SCAN!K880="-",SCAN!Q880="-"),SCAN!E880,0)</f>
        <v>0</v>
      </c>
      <c r="J880" s="50">
        <f>IF(AND(SCAN!K880="-",SCAN!Q880="-"),SCAN!F880,0)</f>
        <v>0</v>
      </c>
      <c r="M880" s="55">
        <f>IF(SCAN!K880&lt;&gt;"-",SCAN!D880,0)</f>
        <v>0</v>
      </c>
      <c r="N880" s="55">
        <f>IF(SCAN!K880&lt;&gt;"-",SCAN!E880,0)</f>
        <v>0</v>
      </c>
      <c r="O880" s="55">
        <f>IF(SCAN!K880&lt;&gt;"-",SCAN!F880,0)</f>
        <v>0</v>
      </c>
      <c r="R880" s="53">
        <f>IF(SCAN!Q880&lt;&gt;"-",SCAN!D880,0)</f>
        <v>0</v>
      </c>
      <c r="S880" s="53">
        <f>IF(SCAN!Q880&lt;&gt;"-",SCAN!E880,0)</f>
        <v>0</v>
      </c>
      <c r="T880" s="53">
        <f>IF(SCAN!Q880&lt;&gt;"-",SCAN!F880,0)</f>
        <v>0</v>
      </c>
    </row>
    <row r="881" spans="8:20" x14ac:dyDescent="0.25">
      <c r="H881" s="50">
        <f>IF(AND(SCAN!K881="-",SCAN!Q881="-"),SCAN!D881,0)</f>
        <v>0</v>
      </c>
      <c r="I881" s="50">
        <f>IF(AND(SCAN!K881="-",SCAN!Q881="-"),SCAN!E881,0)</f>
        <v>0</v>
      </c>
      <c r="J881" s="50">
        <f>IF(AND(SCAN!K881="-",SCAN!Q881="-"),SCAN!F881,0)</f>
        <v>0</v>
      </c>
      <c r="M881" s="55">
        <f>IF(SCAN!K881&lt;&gt;"-",SCAN!D881,0)</f>
        <v>0</v>
      </c>
      <c r="N881" s="55">
        <f>IF(SCAN!K881&lt;&gt;"-",SCAN!E881,0)</f>
        <v>0</v>
      </c>
      <c r="O881" s="55">
        <f>IF(SCAN!K881&lt;&gt;"-",SCAN!F881,0)</f>
        <v>0</v>
      </c>
      <c r="R881" s="53">
        <f>IF(SCAN!Q881&lt;&gt;"-",SCAN!D881,0)</f>
        <v>0</v>
      </c>
      <c r="S881" s="53">
        <f>IF(SCAN!Q881&lt;&gt;"-",SCAN!E881,0)</f>
        <v>0</v>
      </c>
      <c r="T881" s="53">
        <f>IF(SCAN!Q881&lt;&gt;"-",SCAN!F881,0)</f>
        <v>0</v>
      </c>
    </row>
    <row r="882" spans="8:20" x14ac:dyDescent="0.25">
      <c r="H882" s="50">
        <f>IF(AND(SCAN!K882="-",SCAN!Q882="-"),SCAN!D882,0)</f>
        <v>0</v>
      </c>
      <c r="I882" s="50">
        <f>IF(AND(SCAN!K882="-",SCAN!Q882="-"),SCAN!E882,0)</f>
        <v>0</v>
      </c>
      <c r="J882" s="50">
        <f>IF(AND(SCAN!K882="-",SCAN!Q882="-"),SCAN!F882,0)</f>
        <v>0</v>
      </c>
      <c r="M882" s="55">
        <f>IF(SCAN!K882&lt;&gt;"-",SCAN!D882,0)</f>
        <v>0</v>
      </c>
      <c r="N882" s="55">
        <f>IF(SCAN!K882&lt;&gt;"-",SCAN!E882,0)</f>
        <v>0</v>
      </c>
      <c r="O882" s="55">
        <f>IF(SCAN!K882&lt;&gt;"-",SCAN!F882,0)</f>
        <v>0</v>
      </c>
      <c r="R882" s="53">
        <f>IF(SCAN!Q882&lt;&gt;"-",SCAN!D882,0)</f>
        <v>0</v>
      </c>
      <c r="S882" s="53">
        <f>IF(SCAN!Q882&lt;&gt;"-",SCAN!E882,0)</f>
        <v>0</v>
      </c>
      <c r="T882" s="53">
        <f>IF(SCAN!Q882&lt;&gt;"-",SCAN!F882,0)</f>
        <v>0</v>
      </c>
    </row>
    <row r="883" spans="8:20" x14ac:dyDescent="0.25">
      <c r="H883" s="50">
        <f>IF(AND(SCAN!K883="-",SCAN!Q883="-"),SCAN!D883,0)</f>
        <v>0</v>
      </c>
      <c r="I883" s="50">
        <f>IF(AND(SCAN!K883="-",SCAN!Q883="-"),SCAN!E883,0)</f>
        <v>0</v>
      </c>
      <c r="J883" s="50">
        <f>IF(AND(SCAN!K883="-",SCAN!Q883="-"),SCAN!F883,0)</f>
        <v>0</v>
      </c>
      <c r="M883" s="55">
        <f>IF(SCAN!K883&lt;&gt;"-",SCAN!D883,0)</f>
        <v>0</v>
      </c>
      <c r="N883" s="55">
        <f>IF(SCAN!K883&lt;&gt;"-",SCAN!E883,0)</f>
        <v>0</v>
      </c>
      <c r="O883" s="55">
        <f>IF(SCAN!K883&lt;&gt;"-",SCAN!F883,0)</f>
        <v>0</v>
      </c>
      <c r="R883" s="53">
        <f>IF(SCAN!Q883&lt;&gt;"-",SCAN!D883,0)</f>
        <v>0</v>
      </c>
      <c r="S883" s="53">
        <f>IF(SCAN!Q883&lt;&gt;"-",SCAN!E883,0)</f>
        <v>0</v>
      </c>
      <c r="T883" s="53">
        <f>IF(SCAN!Q883&lt;&gt;"-",SCAN!F883,0)</f>
        <v>0</v>
      </c>
    </row>
    <row r="884" spans="8:20" x14ac:dyDescent="0.25">
      <c r="H884" s="50">
        <f>IF(AND(SCAN!K884="-",SCAN!Q884="-"),SCAN!D884,0)</f>
        <v>0</v>
      </c>
      <c r="I884" s="50">
        <f>IF(AND(SCAN!K884="-",SCAN!Q884="-"),SCAN!E884,0)</f>
        <v>0</v>
      </c>
      <c r="J884" s="50">
        <f>IF(AND(SCAN!K884="-",SCAN!Q884="-"),SCAN!F884,0)</f>
        <v>0</v>
      </c>
      <c r="M884" s="55">
        <f>IF(SCAN!K884&lt;&gt;"-",SCAN!D884,0)</f>
        <v>0</v>
      </c>
      <c r="N884" s="55">
        <f>IF(SCAN!K884&lt;&gt;"-",SCAN!E884,0)</f>
        <v>0</v>
      </c>
      <c r="O884" s="55">
        <f>IF(SCAN!K884&lt;&gt;"-",SCAN!F884,0)</f>
        <v>0</v>
      </c>
      <c r="R884" s="53">
        <f>IF(SCAN!Q884&lt;&gt;"-",SCAN!D884,0)</f>
        <v>0</v>
      </c>
      <c r="S884" s="53">
        <f>IF(SCAN!Q884&lt;&gt;"-",SCAN!E884,0)</f>
        <v>0</v>
      </c>
      <c r="T884" s="53">
        <f>IF(SCAN!Q884&lt;&gt;"-",SCAN!F884,0)</f>
        <v>0</v>
      </c>
    </row>
    <row r="885" spans="8:20" x14ac:dyDescent="0.25">
      <c r="H885" s="50">
        <f>IF(AND(SCAN!K885="-",SCAN!Q885="-"),SCAN!D885,0)</f>
        <v>0</v>
      </c>
      <c r="I885" s="50">
        <f>IF(AND(SCAN!K885="-",SCAN!Q885="-"),SCAN!E885,0)</f>
        <v>0</v>
      </c>
      <c r="J885" s="50">
        <f>IF(AND(SCAN!K885="-",SCAN!Q885="-"),SCAN!F885,0)</f>
        <v>0</v>
      </c>
      <c r="M885" s="55">
        <f>IF(SCAN!K885&lt;&gt;"-",SCAN!D885,0)</f>
        <v>0</v>
      </c>
      <c r="N885" s="55">
        <f>IF(SCAN!K885&lt;&gt;"-",SCAN!E885,0)</f>
        <v>0</v>
      </c>
      <c r="O885" s="55">
        <f>IF(SCAN!K885&lt;&gt;"-",SCAN!F885,0)</f>
        <v>0</v>
      </c>
      <c r="R885" s="53">
        <f>IF(SCAN!Q885&lt;&gt;"-",SCAN!D885,0)</f>
        <v>0</v>
      </c>
      <c r="S885" s="53">
        <f>IF(SCAN!Q885&lt;&gt;"-",SCAN!E885,0)</f>
        <v>0</v>
      </c>
      <c r="T885" s="53">
        <f>IF(SCAN!Q885&lt;&gt;"-",SCAN!F885,0)</f>
        <v>0</v>
      </c>
    </row>
    <row r="886" spans="8:20" x14ac:dyDescent="0.25">
      <c r="H886" s="50">
        <f>IF(AND(SCAN!K886="-",SCAN!Q886="-"),SCAN!D886,0)</f>
        <v>0</v>
      </c>
      <c r="I886" s="50">
        <f>IF(AND(SCAN!K886="-",SCAN!Q886="-"),SCAN!E886,0)</f>
        <v>0</v>
      </c>
      <c r="J886" s="50">
        <f>IF(AND(SCAN!K886="-",SCAN!Q886="-"),SCAN!F886,0)</f>
        <v>0</v>
      </c>
      <c r="M886" s="55">
        <f>IF(SCAN!K886&lt;&gt;"-",SCAN!D886,0)</f>
        <v>0</v>
      </c>
      <c r="N886" s="55">
        <f>IF(SCAN!K886&lt;&gt;"-",SCAN!E886,0)</f>
        <v>0</v>
      </c>
      <c r="O886" s="55">
        <f>IF(SCAN!K886&lt;&gt;"-",SCAN!F886,0)</f>
        <v>0</v>
      </c>
      <c r="R886" s="53">
        <f>IF(SCAN!Q886&lt;&gt;"-",SCAN!D886,0)</f>
        <v>0</v>
      </c>
      <c r="S886" s="53">
        <f>IF(SCAN!Q886&lt;&gt;"-",SCAN!E886,0)</f>
        <v>0</v>
      </c>
      <c r="T886" s="53">
        <f>IF(SCAN!Q886&lt;&gt;"-",SCAN!F886,0)</f>
        <v>0</v>
      </c>
    </row>
    <row r="887" spans="8:20" x14ac:dyDescent="0.25">
      <c r="H887" s="50">
        <f>IF(AND(SCAN!K887="-",SCAN!Q887="-"),SCAN!D887,0)</f>
        <v>0</v>
      </c>
      <c r="I887" s="50">
        <f>IF(AND(SCAN!K887="-",SCAN!Q887="-"),SCAN!E887,0)</f>
        <v>0</v>
      </c>
      <c r="J887" s="50">
        <f>IF(AND(SCAN!K887="-",SCAN!Q887="-"),SCAN!F887,0)</f>
        <v>0</v>
      </c>
      <c r="M887" s="55">
        <f>IF(SCAN!K887&lt;&gt;"-",SCAN!D887,0)</f>
        <v>0</v>
      </c>
      <c r="N887" s="55">
        <f>IF(SCAN!K887&lt;&gt;"-",SCAN!E887,0)</f>
        <v>0</v>
      </c>
      <c r="O887" s="55">
        <f>IF(SCAN!K887&lt;&gt;"-",SCAN!F887,0)</f>
        <v>0</v>
      </c>
      <c r="R887" s="53">
        <f>IF(SCAN!Q887&lt;&gt;"-",SCAN!D887,0)</f>
        <v>0</v>
      </c>
      <c r="S887" s="53">
        <f>IF(SCAN!Q887&lt;&gt;"-",SCAN!E887,0)</f>
        <v>0</v>
      </c>
      <c r="T887" s="53">
        <f>IF(SCAN!Q887&lt;&gt;"-",SCAN!F887,0)</f>
        <v>0</v>
      </c>
    </row>
    <row r="888" spans="8:20" x14ac:dyDescent="0.25">
      <c r="H888" s="50">
        <f>IF(AND(SCAN!K888="-",SCAN!Q888="-"),SCAN!D888,0)</f>
        <v>0</v>
      </c>
      <c r="I888" s="50">
        <f>IF(AND(SCAN!K888="-",SCAN!Q888="-"),SCAN!E888,0)</f>
        <v>0</v>
      </c>
      <c r="J888" s="50">
        <f>IF(AND(SCAN!K888="-",SCAN!Q888="-"),SCAN!F888,0)</f>
        <v>0</v>
      </c>
      <c r="M888" s="55">
        <f>IF(SCAN!K888&lt;&gt;"-",SCAN!D888,0)</f>
        <v>0</v>
      </c>
      <c r="N888" s="55">
        <f>IF(SCAN!K888&lt;&gt;"-",SCAN!E888,0)</f>
        <v>0</v>
      </c>
      <c r="O888" s="55">
        <f>IF(SCAN!K888&lt;&gt;"-",SCAN!F888,0)</f>
        <v>0</v>
      </c>
      <c r="R888" s="53">
        <f>IF(SCAN!Q888&lt;&gt;"-",SCAN!D888,0)</f>
        <v>0</v>
      </c>
      <c r="S888" s="53">
        <f>IF(SCAN!Q888&lt;&gt;"-",SCAN!E888,0)</f>
        <v>0</v>
      </c>
      <c r="T888" s="53">
        <f>IF(SCAN!Q888&lt;&gt;"-",SCAN!F888,0)</f>
        <v>0</v>
      </c>
    </row>
    <row r="889" spans="8:20" x14ac:dyDescent="0.25">
      <c r="H889" s="50">
        <f>IF(AND(SCAN!K889="-",SCAN!Q889="-"),SCAN!D889,0)</f>
        <v>0</v>
      </c>
      <c r="I889" s="50">
        <f>IF(AND(SCAN!K889="-",SCAN!Q889="-"),SCAN!E889,0)</f>
        <v>0</v>
      </c>
      <c r="J889" s="50">
        <f>IF(AND(SCAN!K889="-",SCAN!Q889="-"),SCAN!F889,0)</f>
        <v>0</v>
      </c>
      <c r="M889" s="55">
        <f>IF(SCAN!K889&lt;&gt;"-",SCAN!D889,0)</f>
        <v>0</v>
      </c>
      <c r="N889" s="55">
        <f>IF(SCAN!K889&lt;&gt;"-",SCAN!E889,0)</f>
        <v>0</v>
      </c>
      <c r="O889" s="55">
        <f>IF(SCAN!K889&lt;&gt;"-",SCAN!F889,0)</f>
        <v>0</v>
      </c>
      <c r="R889" s="53">
        <f>IF(SCAN!Q889&lt;&gt;"-",SCAN!D889,0)</f>
        <v>0</v>
      </c>
      <c r="S889" s="53">
        <f>IF(SCAN!Q889&lt;&gt;"-",SCAN!E889,0)</f>
        <v>0</v>
      </c>
      <c r="T889" s="53">
        <f>IF(SCAN!Q889&lt;&gt;"-",SCAN!F889,0)</f>
        <v>0</v>
      </c>
    </row>
    <row r="890" spans="8:20" x14ac:dyDescent="0.25">
      <c r="H890" s="50">
        <f>IF(AND(SCAN!K890="-",SCAN!Q890="-"),SCAN!D890,0)</f>
        <v>0</v>
      </c>
      <c r="I890" s="50">
        <f>IF(AND(SCAN!K890="-",SCAN!Q890="-"),SCAN!E890,0)</f>
        <v>0</v>
      </c>
      <c r="J890" s="50">
        <f>IF(AND(SCAN!K890="-",SCAN!Q890="-"),SCAN!F890,0)</f>
        <v>0</v>
      </c>
      <c r="M890" s="55">
        <f>IF(SCAN!K890&lt;&gt;"-",SCAN!D890,0)</f>
        <v>0</v>
      </c>
      <c r="N890" s="55">
        <f>IF(SCAN!K890&lt;&gt;"-",SCAN!E890,0)</f>
        <v>0</v>
      </c>
      <c r="O890" s="55">
        <f>IF(SCAN!K890&lt;&gt;"-",SCAN!F890,0)</f>
        <v>0</v>
      </c>
      <c r="R890" s="53">
        <f>IF(SCAN!Q890&lt;&gt;"-",SCAN!D890,0)</f>
        <v>0</v>
      </c>
      <c r="S890" s="53">
        <f>IF(SCAN!Q890&lt;&gt;"-",SCAN!E890,0)</f>
        <v>0</v>
      </c>
      <c r="T890" s="53">
        <f>IF(SCAN!Q890&lt;&gt;"-",SCAN!F890,0)</f>
        <v>0</v>
      </c>
    </row>
    <row r="891" spans="8:20" x14ac:dyDescent="0.25">
      <c r="H891" s="50">
        <f>IF(AND(SCAN!K891="-",SCAN!Q891="-"),SCAN!D891,0)</f>
        <v>0</v>
      </c>
      <c r="I891" s="50">
        <f>IF(AND(SCAN!K891="-",SCAN!Q891="-"),SCAN!E891,0)</f>
        <v>0</v>
      </c>
      <c r="J891" s="50">
        <f>IF(AND(SCAN!K891="-",SCAN!Q891="-"),SCAN!F891,0)</f>
        <v>0</v>
      </c>
      <c r="M891" s="55">
        <f>IF(SCAN!K891&lt;&gt;"-",SCAN!D891,0)</f>
        <v>0</v>
      </c>
      <c r="N891" s="55">
        <f>IF(SCAN!K891&lt;&gt;"-",SCAN!E891,0)</f>
        <v>0</v>
      </c>
      <c r="O891" s="55">
        <f>IF(SCAN!K891&lt;&gt;"-",SCAN!F891,0)</f>
        <v>0</v>
      </c>
      <c r="R891" s="53">
        <f>IF(SCAN!Q891&lt;&gt;"-",SCAN!D891,0)</f>
        <v>0</v>
      </c>
      <c r="S891" s="53">
        <f>IF(SCAN!Q891&lt;&gt;"-",SCAN!E891,0)</f>
        <v>0</v>
      </c>
      <c r="T891" s="53">
        <f>IF(SCAN!Q891&lt;&gt;"-",SCAN!F891,0)</f>
        <v>0</v>
      </c>
    </row>
    <row r="892" spans="8:20" x14ac:dyDescent="0.25">
      <c r="H892" s="50">
        <f>IF(AND(SCAN!K892="-",SCAN!Q892="-"),SCAN!D892,0)</f>
        <v>0</v>
      </c>
      <c r="I892" s="50">
        <f>IF(AND(SCAN!K892="-",SCAN!Q892="-"),SCAN!E892,0)</f>
        <v>0</v>
      </c>
      <c r="J892" s="50">
        <f>IF(AND(SCAN!K892="-",SCAN!Q892="-"),SCAN!F892,0)</f>
        <v>0</v>
      </c>
      <c r="M892" s="55">
        <f>IF(SCAN!K892&lt;&gt;"-",SCAN!D892,0)</f>
        <v>0</v>
      </c>
      <c r="N892" s="55">
        <f>IF(SCAN!K892&lt;&gt;"-",SCAN!E892,0)</f>
        <v>0</v>
      </c>
      <c r="O892" s="55">
        <f>IF(SCAN!K892&lt;&gt;"-",SCAN!F892,0)</f>
        <v>0</v>
      </c>
      <c r="R892" s="53">
        <f>IF(SCAN!Q892&lt;&gt;"-",SCAN!D892,0)</f>
        <v>0</v>
      </c>
      <c r="S892" s="53">
        <f>IF(SCAN!Q892&lt;&gt;"-",SCAN!E892,0)</f>
        <v>0</v>
      </c>
      <c r="T892" s="53">
        <f>IF(SCAN!Q892&lt;&gt;"-",SCAN!F892,0)</f>
        <v>0</v>
      </c>
    </row>
    <row r="893" spans="8:20" x14ac:dyDescent="0.25">
      <c r="H893" s="50">
        <f>IF(AND(SCAN!K893="-",SCAN!Q893="-"),SCAN!D893,0)</f>
        <v>0</v>
      </c>
      <c r="I893" s="50">
        <f>IF(AND(SCAN!K893="-",SCAN!Q893="-"),SCAN!E893,0)</f>
        <v>0</v>
      </c>
      <c r="J893" s="50">
        <f>IF(AND(SCAN!K893="-",SCAN!Q893="-"),SCAN!F893,0)</f>
        <v>0</v>
      </c>
      <c r="M893" s="55">
        <f>IF(SCAN!K893&lt;&gt;"-",SCAN!D893,0)</f>
        <v>0</v>
      </c>
      <c r="N893" s="55">
        <f>IF(SCAN!K893&lt;&gt;"-",SCAN!E893,0)</f>
        <v>0</v>
      </c>
      <c r="O893" s="55">
        <f>IF(SCAN!K893&lt;&gt;"-",SCAN!F893,0)</f>
        <v>0</v>
      </c>
      <c r="R893" s="53">
        <f>IF(SCAN!Q893&lt;&gt;"-",SCAN!D893,0)</f>
        <v>0</v>
      </c>
      <c r="S893" s="53">
        <f>IF(SCAN!Q893&lt;&gt;"-",SCAN!E893,0)</f>
        <v>0</v>
      </c>
      <c r="T893" s="53">
        <f>IF(SCAN!Q893&lt;&gt;"-",SCAN!F893,0)</f>
        <v>0</v>
      </c>
    </row>
    <row r="894" spans="8:20" x14ac:dyDescent="0.25">
      <c r="H894" s="50">
        <f>IF(AND(SCAN!K894="-",SCAN!Q894="-"),SCAN!D894,0)</f>
        <v>0</v>
      </c>
      <c r="I894" s="50">
        <f>IF(AND(SCAN!K894="-",SCAN!Q894="-"),SCAN!E894,0)</f>
        <v>0</v>
      </c>
      <c r="J894" s="50">
        <f>IF(AND(SCAN!K894="-",SCAN!Q894="-"),SCAN!F894,0)</f>
        <v>0</v>
      </c>
      <c r="M894" s="55">
        <f>IF(SCAN!K894&lt;&gt;"-",SCAN!D894,0)</f>
        <v>0</v>
      </c>
      <c r="N894" s="55">
        <f>IF(SCAN!K894&lt;&gt;"-",SCAN!E894,0)</f>
        <v>0</v>
      </c>
      <c r="O894" s="55">
        <f>IF(SCAN!K894&lt;&gt;"-",SCAN!F894,0)</f>
        <v>0</v>
      </c>
      <c r="R894" s="53">
        <f>IF(SCAN!Q894&lt;&gt;"-",SCAN!D894,0)</f>
        <v>0</v>
      </c>
      <c r="S894" s="53">
        <f>IF(SCAN!Q894&lt;&gt;"-",SCAN!E894,0)</f>
        <v>0</v>
      </c>
      <c r="T894" s="53">
        <f>IF(SCAN!Q894&lt;&gt;"-",SCAN!F894,0)</f>
        <v>0</v>
      </c>
    </row>
    <row r="895" spans="8:20" x14ac:dyDescent="0.25">
      <c r="H895" s="50">
        <f>IF(AND(SCAN!K895="-",SCAN!Q895="-"),SCAN!D895,0)</f>
        <v>0</v>
      </c>
      <c r="I895" s="50">
        <f>IF(AND(SCAN!K895="-",SCAN!Q895="-"),SCAN!E895,0)</f>
        <v>0</v>
      </c>
      <c r="J895" s="50">
        <f>IF(AND(SCAN!K895="-",SCAN!Q895="-"),SCAN!F895,0)</f>
        <v>0</v>
      </c>
      <c r="M895" s="55">
        <f>IF(SCAN!K895&lt;&gt;"-",SCAN!D895,0)</f>
        <v>0</v>
      </c>
      <c r="N895" s="55">
        <f>IF(SCAN!K895&lt;&gt;"-",SCAN!E895,0)</f>
        <v>0</v>
      </c>
      <c r="O895" s="55">
        <f>IF(SCAN!K895&lt;&gt;"-",SCAN!F895,0)</f>
        <v>0</v>
      </c>
      <c r="R895" s="53">
        <f>IF(SCAN!Q895&lt;&gt;"-",SCAN!D895,0)</f>
        <v>0</v>
      </c>
      <c r="S895" s="53">
        <f>IF(SCAN!Q895&lt;&gt;"-",SCAN!E895,0)</f>
        <v>0</v>
      </c>
      <c r="T895" s="53">
        <f>IF(SCAN!Q895&lt;&gt;"-",SCAN!F895,0)</f>
        <v>0</v>
      </c>
    </row>
    <row r="896" spans="8:20" x14ac:dyDescent="0.25">
      <c r="H896" s="50">
        <f>IF(AND(SCAN!K896="-",SCAN!Q896="-"),SCAN!D896,0)</f>
        <v>0</v>
      </c>
      <c r="I896" s="50">
        <f>IF(AND(SCAN!K896="-",SCAN!Q896="-"),SCAN!E896,0)</f>
        <v>0</v>
      </c>
      <c r="J896" s="50">
        <f>IF(AND(SCAN!K896="-",SCAN!Q896="-"),SCAN!F896,0)</f>
        <v>0</v>
      </c>
      <c r="M896" s="55">
        <f>IF(SCAN!K896&lt;&gt;"-",SCAN!D896,0)</f>
        <v>0</v>
      </c>
      <c r="N896" s="55">
        <f>IF(SCAN!K896&lt;&gt;"-",SCAN!E896,0)</f>
        <v>0</v>
      </c>
      <c r="O896" s="55">
        <f>IF(SCAN!K896&lt;&gt;"-",SCAN!F896,0)</f>
        <v>0</v>
      </c>
      <c r="R896" s="53">
        <f>IF(SCAN!Q896&lt;&gt;"-",SCAN!D896,0)</f>
        <v>0</v>
      </c>
      <c r="S896" s="53">
        <f>IF(SCAN!Q896&lt;&gt;"-",SCAN!E896,0)</f>
        <v>0</v>
      </c>
      <c r="T896" s="53">
        <f>IF(SCAN!Q896&lt;&gt;"-",SCAN!F896,0)</f>
        <v>0</v>
      </c>
    </row>
    <row r="897" spans="8:20" x14ac:dyDescent="0.25">
      <c r="H897" s="50">
        <f>IF(AND(SCAN!K897="-",SCAN!Q897="-"),SCAN!D897,0)</f>
        <v>0</v>
      </c>
      <c r="I897" s="50">
        <f>IF(AND(SCAN!K897="-",SCAN!Q897="-"),SCAN!E897,0)</f>
        <v>0</v>
      </c>
      <c r="J897" s="50">
        <f>IF(AND(SCAN!K897="-",SCAN!Q897="-"),SCAN!F897,0)</f>
        <v>0</v>
      </c>
      <c r="M897" s="55">
        <f>IF(SCAN!K897&lt;&gt;"-",SCAN!D897,0)</f>
        <v>0</v>
      </c>
      <c r="N897" s="55">
        <f>IF(SCAN!K897&lt;&gt;"-",SCAN!E897,0)</f>
        <v>0</v>
      </c>
      <c r="O897" s="55">
        <f>IF(SCAN!K897&lt;&gt;"-",SCAN!F897,0)</f>
        <v>0</v>
      </c>
      <c r="R897" s="53">
        <f>IF(SCAN!Q897&lt;&gt;"-",SCAN!D897,0)</f>
        <v>0</v>
      </c>
      <c r="S897" s="53">
        <f>IF(SCAN!Q897&lt;&gt;"-",SCAN!E897,0)</f>
        <v>0</v>
      </c>
      <c r="T897" s="53">
        <f>IF(SCAN!Q897&lt;&gt;"-",SCAN!F897,0)</f>
        <v>0</v>
      </c>
    </row>
    <row r="898" spans="8:20" x14ac:dyDescent="0.25">
      <c r="H898" s="50">
        <f>IF(AND(SCAN!K898="-",SCAN!Q898="-"),SCAN!D898,0)</f>
        <v>0</v>
      </c>
      <c r="I898" s="50">
        <f>IF(AND(SCAN!K898="-",SCAN!Q898="-"),SCAN!E898,0)</f>
        <v>0</v>
      </c>
      <c r="J898" s="50">
        <f>IF(AND(SCAN!K898="-",SCAN!Q898="-"),SCAN!F898,0)</f>
        <v>0</v>
      </c>
      <c r="M898" s="55">
        <f>IF(SCAN!K898&lt;&gt;"-",SCAN!D898,0)</f>
        <v>0</v>
      </c>
      <c r="N898" s="55">
        <f>IF(SCAN!K898&lt;&gt;"-",SCAN!E898,0)</f>
        <v>0</v>
      </c>
      <c r="O898" s="55">
        <f>IF(SCAN!K898&lt;&gt;"-",SCAN!F898,0)</f>
        <v>0</v>
      </c>
      <c r="R898" s="53">
        <f>IF(SCAN!Q898&lt;&gt;"-",SCAN!D898,0)</f>
        <v>0</v>
      </c>
      <c r="S898" s="53">
        <f>IF(SCAN!Q898&lt;&gt;"-",SCAN!E898,0)</f>
        <v>0</v>
      </c>
      <c r="T898" s="53">
        <f>IF(SCAN!Q898&lt;&gt;"-",SCAN!F898,0)</f>
        <v>0</v>
      </c>
    </row>
    <row r="899" spans="8:20" x14ac:dyDescent="0.25">
      <c r="H899" s="50">
        <f>IF(AND(SCAN!K899="-",SCAN!Q899="-"),SCAN!D899,0)</f>
        <v>0</v>
      </c>
      <c r="I899" s="50">
        <f>IF(AND(SCAN!K899="-",SCAN!Q899="-"),SCAN!E899,0)</f>
        <v>0</v>
      </c>
      <c r="J899" s="50">
        <f>IF(AND(SCAN!K899="-",SCAN!Q899="-"),SCAN!F899,0)</f>
        <v>0</v>
      </c>
      <c r="M899" s="55">
        <f>IF(SCAN!K899&lt;&gt;"-",SCAN!D899,0)</f>
        <v>0</v>
      </c>
      <c r="N899" s="55">
        <f>IF(SCAN!K899&lt;&gt;"-",SCAN!E899,0)</f>
        <v>0</v>
      </c>
      <c r="O899" s="55">
        <f>IF(SCAN!K899&lt;&gt;"-",SCAN!F899,0)</f>
        <v>0</v>
      </c>
      <c r="R899" s="53">
        <f>IF(SCAN!Q899&lt;&gt;"-",SCAN!D899,0)</f>
        <v>0</v>
      </c>
      <c r="S899" s="53">
        <f>IF(SCAN!Q899&lt;&gt;"-",SCAN!E899,0)</f>
        <v>0</v>
      </c>
      <c r="T899" s="53">
        <f>IF(SCAN!Q899&lt;&gt;"-",SCAN!F899,0)</f>
        <v>0</v>
      </c>
    </row>
    <row r="900" spans="8:20" x14ac:dyDescent="0.25">
      <c r="H900" s="50">
        <f>IF(AND(SCAN!K900="-",SCAN!Q900="-"),SCAN!D900,0)</f>
        <v>0</v>
      </c>
      <c r="I900" s="50">
        <f>IF(AND(SCAN!K900="-",SCAN!Q900="-"),SCAN!E900,0)</f>
        <v>0</v>
      </c>
      <c r="J900" s="50">
        <f>IF(AND(SCAN!K900="-",SCAN!Q900="-"),SCAN!F900,0)</f>
        <v>0</v>
      </c>
      <c r="M900" s="55">
        <f>IF(SCAN!K900&lt;&gt;"-",SCAN!D900,0)</f>
        <v>0</v>
      </c>
      <c r="N900" s="55">
        <f>IF(SCAN!K900&lt;&gt;"-",SCAN!E900,0)</f>
        <v>0</v>
      </c>
      <c r="O900" s="55">
        <f>IF(SCAN!K900&lt;&gt;"-",SCAN!F900,0)</f>
        <v>0</v>
      </c>
      <c r="R900" s="53">
        <f>IF(SCAN!Q900&lt;&gt;"-",SCAN!D900,0)</f>
        <v>0</v>
      </c>
      <c r="S900" s="53">
        <f>IF(SCAN!Q900&lt;&gt;"-",SCAN!E900,0)</f>
        <v>0</v>
      </c>
      <c r="T900" s="53">
        <f>IF(SCAN!Q900&lt;&gt;"-",SCAN!F900,0)</f>
        <v>0</v>
      </c>
    </row>
    <row r="901" spans="8:20" x14ac:dyDescent="0.25">
      <c r="H901" s="50">
        <f>IF(AND(SCAN!K901="-",SCAN!Q901="-"),SCAN!D901,0)</f>
        <v>0</v>
      </c>
      <c r="I901" s="50">
        <f>IF(AND(SCAN!K901="-",SCAN!Q901="-"),SCAN!E901,0)</f>
        <v>0</v>
      </c>
      <c r="J901" s="50">
        <f>IF(AND(SCAN!K901="-",SCAN!Q901="-"),SCAN!F901,0)</f>
        <v>0</v>
      </c>
      <c r="M901" s="55">
        <f>IF(SCAN!K901&lt;&gt;"-",SCAN!D901,0)</f>
        <v>0</v>
      </c>
      <c r="N901" s="55">
        <f>IF(SCAN!K901&lt;&gt;"-",SCAN!E901,0)</f>
        <v>0</v>
      </c>
      <c r="O901" s="55">
        <f>IF(SCAN!K901&lt;&gt;"-",SCAN!F901,0)</f>
        <v>0</v>
      </c>
      <c r="R901" s="53">
        <f>IF(SCAN!Q901&lt;&gt;"-",SCAN!D901,0)</f>
        <v>0</v>
      </c>
      <c r="S901" s="53">
        <f>IF(SCAN!Q901&lt;&gt;"-",SCAN!E901,0)</f>
        <v>0</v>
      </c>
      <c r="T901" s="53">
        <f>IF(SCAN!Q901&lt;&gt;"-",SCAN!F901,0)</f>
        <v>0</v>
      </c>
    </row>
    <row r="902" spans="8:20" x14ac:dyDescent="0.25">
      <c r="H902" s="50">
        <f>IF(AND(SCAN!K902="-",SCAN!Q902="-"),SCAN!D902,0)</f>
        <v>0</v>
      </c>
      <c r="I902" s="50">
        <f>IF(AND(SCAN!K902="-",SCAN!Q902="-"),SCAN!E902,0)</f>
        <v>0</v>
      </c>
      <c r="J902" s="50">
        <f>IF(AND(SCAN!K902="-",SCAN!Q902="-"),SCAN!F902,0)</f>
        <v>0</v>
      </c>
      <c r="M902" s="55">
        <f>IF(SCAN!K902&lt;&gt;"-",SCAN!D902,0)</f>
        <v>0</v>
      </c>
      <c r="N902" s="55">
        <f>IF(SCAN!K902&lt;&gt;"-",SCAN!E902,0)</f>
        <v>0</v>
      </c>
      <c r="O902" s="55">
        <f>IF(SCAN!K902&lt;&gt;"-",SCAN!F902,0)</f>
        <v>0</v>
      </c>
      <c r="R902" s="53">
        <f>IF(SCAN!Q902&lt;&gt;"-",SCAN!D902,0)</f>
        <v>0</v>
      </c>
      <c r="S902" s="53">
        <f>IF(SCAN!Q902&lt;&gt;"-",SCAN!E902,0)</f>
        <v>0</v>
      </c>
      <c r="T902" s="53">
        <f>IF(SCAN!Q902&lt;&gt;"-",SCAN!F902,0)</f>
        <v>0</v>
      </c>
    </row>
    <row r="903" spans="8:20" x14ac:dyDescent="0.25">
      <c r="H903" s="50">
        <f>IF(AND(SCAN!K903="-",SCAN!Q903="-"),SCAN!D903,0)</f>
        <v>0</v>
      </c>
      <c r="I903" s="50">
        <f>IF(AND(SCAN!K903="-",SCAN!Q903="-"),SCAN!E903,0)</f>
        <v>0</v>
      </c>
      <c r="J903" s="50">
        <f>IF(AND(SCAN!K903="-",SCAN!Q903="-"),SCAN!F903,0)</f>
        <v>0</v>
      </c>
      <c r="M903" s="55">
        <f>IF(SCAN!K903&lt;&gt;"-",SCAN!D903,0)</f>
        <v>0</v>
      </c>
      <c r="N903" s="55">
        <f>IF(SCAN!K903&lt;&gt;"-",SCAN!E903,0)</f>
        <v>0</v>
      </c>
      <c r="O903" s="55">
        <f>IF(SCAN!K903&lt;&gt;"-",SCAN!F903,0)</f>
        <v>0</v>
      </c>
      <c r="R903" s="53">
        <f>IF(SCAN!Q903&lt;&gt;"-",SCAN!D903,0)</f>
        <v>0</v>
      </c>
      <c r="S903" s="53">
        <f>IF(SCAN!Q903&lt;&gt;"-",SCAN!E903,0)</f>
        <v>0</v>
      </c>
      <c r="T903" s="53">
        <f>IF(SCAN!Q903&lt;&gt;"-",SCAN!F903,0)</f>
        <v>0</v>
      </c>
    </row>
    <row r="904" spans="8:20" x14ac:dyDescent="0.25">
      <c r="H904" s="50">
        <f>IF(AND(SCAN!K904="-",SCAN!Q904="-"),SCAN!D904,0)</f>
        <v>0</v>
      </c>
      <c r="I904" s="50">
        <f>IF(AND(SCAN!K904="-",SCAN!Q904="-"),SCAN!E904,0)</f>
        <v>0</v>
      </c>
      <c r="J904" s="50">
        <f>IF(AND(SCAN!K904="-",SCAN!Q904="-"),SCAN!F904,0)</f>
        <v>0</v>
      </c>
      <c r="M904" s="55">
        <f>IF(SCAN!K904&lt;&gt;"-",SCAN!D904,0)</f>
        <v>0</v>
      </c>
      <c r="N904" s="55">
        <f>IF(SCAN!K904&lt;&gt;"-",SCAN!E904,0)</f>
        <v>0</v>
      </c>
      <c r="O904" s="55">
        <f>IF(SCAN!K904&lt;&gt;"-",SCAN!F904,0)</f>
        <v>0</v>
      </c>
      <c r="R904" s="53">
        <f>IF(SCAN!Q904&lt;&gt;"-",SCAN!D904,0)</f>
        <v>0</v>
      </c>
      <c r="S904" s="53">
        <f>IF(SCAN!Q904&lt;&gt;"-",SCAN!E904,0)</f>
        <v>0</v>
      </c>
      <c r="T904" s="53">
        <f>IF(SCAN!Q904&lt;&gt;"-",SCAN!F904,0)</f>
        <v>0</v>
      </c>
    </row>
    <row r="905" spans="8:20" x14ac:dyDescent="0.25">
      <c r="H905" s="50">
        <f>IF(AND(SCAN!K905="-",SCAN!Q905="-"),SCAN!D905,0)</f>
        <v>0</v>
      </c>
      <c r="I905" s="50">
        <f>IF(AND(SCAN!K905="-",SCAN!Q905="-"),SCAN!E905,0)</f>
        <v>0</v>
      </c>
      <c r="J905" s="50">
        <f>IF(AND(SCAN!K905="-",SCAN!Q905="-"),SCAN!F905,0)</f>
        <v>0</v>
      </c>
      <c r="M905" s="55">
        <f>IF(SCAN!K905&lt;&gt;"-",SCAN!D905,0)</f>
        <v>0</v>
      </c>
      <c r="N905" s="55">
        <f>IF(SCAN!K905&lt;&gt;"-",SCAN!E905,0)</f>
        <v>0</v>
      </c>
      <c r="O905" s="55">
        <f>IF(SCAN!K905&lt;&gt;"-",SCAN!F905,0)</f>
        <v>0</v>
      </c>
      <c r="R905" s="53">
        <f>IF(SCAN!Q905&lt;&gt;"-",SCAN!D905,0)</f>
        <v>0</v>
      </c>
      <c r="S905" s="53">
        <f>IF(SCAN!Q905&lt;&gt;"-",SCAN!E905,0)</f>
        <v>0</v>
      </c>
      <c r="T905" s="53">
        <f>IF(SCAN!Q905&lt;&gt;"-",SCAN!F905,0)</f>
        <v>0</v>
      </c>
    </row>
    <row r="906" spans="8:20" x14ac:dyDescent="0.25">
      <c r="H906" s="50">
        <f>IF(AND(SCAN!K906="-",SCAN!Q906="-"),SCAN!D906,0)</f>
        <v>0</v>
      </c>
      <c r="I906" s="50">
        <f>IF(AND(SCAN!K906="-",SCAN!Q906="-"),SCAN!E906,0)</f>
        <v>0</v>
      </c>
      <c r="J906" s="50">
        <f>IF(AND(SCAN!K906="-",SCAN!Q906="-"),SCAN!F906,0)</f>
        <v>0</v>
      </c>
      <c r="M906" s="55">
        <f>IF(SCAN!K906&lt;&gt;"-",SCAN!D906,0)</f>
        <v>0</v>
      </c>
      <c r="N906" s="55">
        <f>IF(SCAN!K906&lt;&gt;"-",SCAN!E906,0)</f>
        <v>0</v>
      </c>
      <c r="O906" s="55">
        <f>IF(SCAN!K906&lt;&gt;"-",SCAN!F906,0)</f>
        <v>0</v>
      </c>
      <c r="R906" s="53">
        <f>IF(SCAN!Q906&lt;&gt;"-",SCAN!D906,0)</f>
        <v>0</v>
      </c>
      <c r="S906" s="53">
        <f>IF(SCAN!Q906&lt;&gt;"-",SCAN!E906,0)</f>
        <v>0</v>
      </c>
      <c r="T906" s="53">
        <f>IF(SCAN!Q906&lt;&gt;"-",SCAN!F906,0)</f>
        <v>0</v>
      </c>
    </row>
    <row r="907" spans="8:20" x14ac:dyDescent="0.25">
      <c r="H907" s="50">
        <f>IF(AND(SCAN!K907="-",SCAN!Q907="-"),SCAN!D907,0)</f>
        <v>0</v>
      </c>
      <c r="I907" s="50">
        <f>IF(AND(SCAN!K907="-",SCAN!Q907="-"),SCAN!E907,0)</f>
        <v>0</v>
      </c>
      <c r="J907" s="50">
        <f>IF(AND(SCAN!K907="-",SCAN!Q907="-"),SCAN!F907,0)</f>
        <v>0</v>
      </c>
      <c r="M907" s="55">
        <f>IF(SCAN!K907&lt;&gt;"-",SCAN!D907,0)</f>
        <v>0</v>
      </c>
      <c r="N907" s="55">
        <f>IF(SCAN!K907&lt;&gt;"-",SCAN!E907,0)</f>
        <v>0</v>
      </c>
      <c r="O907" s="55">
        <f>IF(SCAN!K907&lt;&gt;"-",SCAN!F907,0)</f>
        <v>0</v>
      </c>
      <c r="R907" s="53">
        <f>IF(SCAN!Q907&lt;&gt;"-",SCAN!D907,0)</f>
        <v>0</v>
      </c>
      <c r="S907" s="53">
        <f>IF(SCAN!Q907&lt;&gt;"-",SCAN!E907,0)</f>
        <v>0</v>
      </c>
      <c r="T907" s="53">
        <f>IF(SCAN!Q907&lt;&gt;"-",SCAN!F907,0)</f>
        <v>0</v>
      </c>
    </row>
    <row r="908" spans="8:20" x14ac:dyDescent="0.25">
      <c r="H908" s="50">
        <f>IF(AND(SCAN!K908="-",SCAN!Q908="-"),SCAN!D908,0)</f>
        <v>0</v>
      </c>
      <c r="I908" s="50">
        <f>IF(AND(SCAN!K908="-",SCAN!Q908="-"),SCAN!E908,0)</f>
        <v>0</v>
      </c>
      <c r="J908" s="50">
        <f>IF(AND(SCAN!K908="-",SCAN!Q908="-"),SCAN!F908,0)</f>
        <v>0</v>
      </c>
      <c r="M908" s="55">
        <f>IF(SCAN!K908&lt;&gt;"-",SCAN!D908,0)</f>
        <v>0</v>
      </c>
      <c r="N908" s="55">
        <f>IF(SCAN!K908&lt;&gt;"-",SCAN!E908,0)</f>
        <v>0</v>
      </c>
      <c r="O908" s="55">
        <f>IF(SCAN!K908&lt;&gt;"-",SCAN!F908,0)</f>
        <v>0</v>
      </c>
      <c r="R908" s="53">
        <f>IF(SCAN!Q908&lt;&gt;"-",SCAN!D908,0)</f>
        <v>0</v>
      </c>
      <c r="S908" s="53">
        <f>IF(SCAN!Q908&lt;&gt;"-",SCAN!E908,0)</f>
        <v>0</v>
      </c>
      <c r="T908" s="53">
        <f>IF(SCAN!Q908&lt;&gt;"-",SCAN!F908,0)</f>
        <v>0</v>
      </c>
    </row>
    <row r="909" spans="8:20" x14ac:dyDescent="0.25">
      <c r="H909" s="50">
        <f>IF(AND(SCAN!K909="-",SCAN!Q909="-"),SCAN!D909,0)</f>
        <v>0</v>
      </c>
      <c r="I909" s="50">
        <f>IF(AND(SCAN!K909="-",SCAN!Q909="-"),SCAN!E909,0)</f>
        <v>0</v>
      </c>
      <c r="J909" s="50">
        <f>IF(AND(SCAN!K909="-",SCAN!Q909="-"),SCAN!F909,0)</f>
        <v>0</v>
      </c>
      <c r="M909" s="55">
        <f>IF(SCAN!K909&lt;&gt;"-",SCAN!D909,0)</f>
        <v>0</v>
      </c>
      <c r="N909" s="55">
        <f>IF(SCAN!K909&lt;&gt;"-",SCAN!E909,0)</f>
        <v>0</v>
      </c>
      <c r="O909" s="55">
        <f>IF(SCAN!K909&lt;&gt;"-",SCAN!F909,0)</f>
        <v>0</v>
      </c>
      <c r="R909" s="53">
        <f>IF(SCAN!Q909&lt;&gt;"-",SCAN!D909,0)</f>
        <v>0</v>
      </c>
      <c r="S909" s="53">
        <f>IF(SCAN!Q909&lt;&gt;"-",SCAN!E909,0)</f>
        <v>0</v>
      </c>
      <c r="T909" s="53">
        <f>IF(SCAN!Q909&lt;&gt;"-",SCAN!F909,0)</f>
        <v>0</v>
      </c>
    </row>
    <row r="910" spans="8:20" x14ac:dyDescent="0.25">
      <c r="H910" s="50">
        <f>IF(AND(SCAN!K910="-",SCAN!Q910="-"),SCAN!D910,0)</f>
        <v>0</v>
      </c>
      <c r="I910" s="50">
        <f>IF(AND(SCAN!K910="-",SCAN!Q910="-"),SCAN!E910,0)</f>
        <v>0</v>
      </c>
      <c r="J910" s="50">
        <f>IF(AND(SCAN!K910="-",SCAN!Q910="-"),SCAN!F910,0)</f>
        <v>0</v>
      </c>
      <c r="M910" s="55">
        <f>IF(SCAN!K910&lt;&gt;"-",SCAN!D910,0)</f>
        <v>0</v>
      </c>
      <c r="N910" s="55">
        <f>IF(SCAN!K910&lt;&gt;"-",SCAN!E910,0)</f>
        <v>0</v>
      </c>
      <c r="O910" s="55">
        <f>IF(SCAN!K910&lt;&gt;"-",SCAN!F910,0)</f>
        <v>0</v>
      </c>
      <c r="R910" s="53">
        <f>IF(SCAN!Q910&lt;&gt;"-",SCAN!D910,0)</f>
        <v>0</v>
      </c>
      <c r="S910" s="53">
        <f>IF(SCAN!Q910&lt;&gt;"-",SCAN!E910,0)</f>
        <v>0</v>
      </c>
      <c r="T910" s="53">
        <f>IF(SCAN!Q910&lt;&gt;"-",SCAN!F910,0)</f>
        <v>0</v>
      </c>
    </row>
    <row r="911" spans="8:20" x14ac:dyDescent="0.25">
      <c r="H911" s="50">
        <f>IF(AND(SCAN!K911="-",SCAN!Q911="-"),SCAN!D911,0)</f>
        <v>0</v>
      </c>
      <c r="I911" s="50">
        <f>IF(AND(SCAN!K911="-",SCAN!Q911="-"),SCAN!E911,0)</f>
        <v>0</v>
      </c>
      <c r="J911" s="50">
        <f>IF(AND(SCAN!K911="-",SCAN!Q911="-"),SCAN!F911,0)</f>
        <v>0</v>
      </c>
      <c r="M911" s="55">
        <f>IF(SCAN!K911&lt;&gt;"-",SCAN!D911,0)</f>
        <v>0</v>
      </c>
      <c r="N911" s="55">
        <f>IF(SCAN!K911&lt;&gt;"-",SCAN!E911,0)</f>
        <v>0</v>
      </c>
      <c r="O911" s="55">
        <f>IF(SCAN!K911&lt;&gt;"-",SCAN!F911,0)</f>
        <v>0</v>
      </c>
      <c r="R911" s="53">
        <f>IF(SCAN!Q911&lt;&gt;"-",SCAN!D911,0)</f>
        <v>0</v>
      </c>
      <c r="S911" s="53">
        <f>IF(SCAN!Q911&lt;&gt;"-",SCAN!E911,0)</f>
        <v>0</v>
      </c>
      <c r="T911" s="53">
        <f>IF(SCAN!Q911&lt;&gt;"-",SCAN!F911,0)</f>
        <v>0</v>
      </c>
    </row>
    <row r="912" spans="8:20" x14ac:dyDescent="0.25">
      <c r="H912" s="50">
        <f>IF(AND(SCAN!K912="-",SCAN!Q912="-"),SCAN!D912,0)</f>
        <v>0</v>
      </c>
      <c r="I912" s="50">
        <f>IF(AND(SCAN!K912="-",SCAN!Q912="-"),SCAN!E912,0)</f>
        <v>0</v>
      </c>
      <c r="J912" s="50">
        <f>IF(AND(SCAN!K912="-",SCAN!Q912="-"),SCAN!F912,0)</f>
        <v>0</v>
      </c>
      <c r="M912" s="55">
        <f>IF(SCAN!K912&lt;&gt;"-",SCAN!D912,0)</f>
        <v>0</v>
      </c>
      <c r="N912" s="55">
        <f>IF(SCAN!K912&lt;&gt;"-",SCAN!E912,0)</f>
        <v>0</v>
      </c>
      <c r="O912" s="55">
        <f>IF(SCAN!K912&lt;&gt;"-",SCAN!F912,0)</f>
        <v>0</v>
      </c>
      <c r="R912" s="53">
        <f>IF(SCAN!Q912&lt;&gt;"-",SCAN!D912,0)</f>
        <v>0</v>
      </c>
      <c r="S912" s="53">
        <f>IF(SCAN!Q912&lt;&gt;"-",SCAN!E912,0)</f>
        <v>0</v>
      </c>
      <c r="T912" s="53">
        <f>IF(SCAN!Q912&lt;&gt;"-",SCAN!F912,0)</f>
        <v>0</v>
      </c>
    </row>
    <row r="913" spans="8:20" x14ac:dyDescent="0.25">
      <c r="H913" s="50">
        <f>IF(AND(SCAN!K913="-",SCAN!Q913="-"),SCAN!D913,0)</f>
        <v>0</v>
      </c>
      <c r="I913" s="50">
        <f>IF(AND(SCAN!K913="-",SCAN!Q913="-"),SCAN!E913,0)</f>
        <v>0</v>
      </c>
      <c r="J913" s="50">
        <f>IF(AND(SCAN!K913="-",SCAN!Q913="-"),SCAN!F913,0)</f>
        <v>0</v>
      </c>
      <c r="M913" s="55">
        <f>IF(SCAN!K913&lt;&gt;"-",SCAN!D913,0)</f>
        <v>0</v>
      </c>
      <c r="N913" s="55">
        <f>IF(SCAN!K913&lt;&gt;"-",SCAN!E913,0)</f>
        <v>0</v>
      </c>
      <c r="O913" s="55">
        <f>IF(SCAN!K913&lt;&gt;"-",SCAN!F913,0)</f>
        <v>0</v>
      </c>
      <c r="R913" s="53">
        <f>IF(SCAN!Q913&lt;&gt;"-",SCAN!D913,0)</f>
        <v>0</v>
      </c>
      <c r="S913" s="53">
        <f>IF(SCAN!Q913&lt;&gt;"-",SCAN!E913,0)</f>
        <v>0</v>
      </c>
      <c r="T913" s="53">
        <f>IF(SCAN!Q913&lt;&gt;"-",SCAN!F913,0)</f>
        <v>0</v>
      </c>
    </row>
    <row r="914" spans="8:20" x14ac:dyDescent="0.25">
      <c r="H914" s="50">
        <f>IF(AND(SCAN!K914="-",SCAN!Q914="-"),SCAN!D914,0)</f>
        <v>0</v>
      </c>
      <c r="I914" s="50">
        <f>IF(AND(SCAN!K914="-",SCAN!Q914="-"),SCAN!E914,0)</f>
        <v>0</v>
      </c>
      <c r="J914" s="50">
        <f>IF(AND(SCAN!K914="-",SCAN!Q914="-"),SCAN!F914,0)</f>
        <v>0</v>
      </c>
      <c r="M914" s="55">
        <f>IF(SCAN!K914&lt;&gt;"-",SCAN!D914,0)</f>
        <v>0</v>
      </c>
      <c r="N914" s="55">
        <f>IF(SCAN!K914&lt;&gt;"-",SCAN!E914,0)</f>
        <v>0</v>
      </c>
      <c r="O914" s="55">
        <f>IF(SCAN!K914&lt;&gt;"-",SCAN!F914,0)</f>
        <v>0</v>
      </c>
      <c r="R914" s="53">
        <f>IF(SCAN!Q914&lt;&gt;"-",SCAN!D914,0)</f>
        <v>0</v>
      </c>
      <c r="S914" s="53">
        <f>IF(SCAN!Q914&lt;&gt;"-",SCAN!E914,0)</f>
        <v>0</v>
      </c>
      <c r="T914" s="53">
        <f>IF(SCAN!Q914&lt;&gt;"-",SCAN!F914,0)</f>
        <v>0</v>
      </c>
    </row>
    <row r="915" spans="8:20" x14ac:dyDescent="0.25">
      <c r="H915" s="50">
        <f>IF(AND(SCAN!K915="-",SCAN!Q915="-"),SCAN!D915,0)</f>
        <v>0</v>
      </c>
      <c r="I915" s="50">
        <f>IF(AND(SCAN!K915="-",SCAN!Q915="-"),SCAN!E915,0)</f>
        <v>0</v>
      </c>
      <c r="J915" s="50">
        <f>IF(AND(SCAN!K915="-",SCAN!Q915="-"),SCAN!F915,0)</f>
        <v>0</v>
      </c>
      <c r="M915" s="55">
        <f>IF(SCAN!K915&lt;&gt;"-",SCAN!D915,0)</f>
        <v>0</v>
      </c>
      <c r="N915" s="55">
        <f>IF(SCAN!K915&lt;&gt;"-",SCAN!E915,0)</f>
        <v>0</v>
      </c>
      <c r="O915" s="55">
        <f>IF(SCAN!K915&lt;&gt;"-",SCAN!F915,0)</f>
        <v>0</v>
      </c>
      <c r="R915" s="53">
        <f>IF(SCAN!Q915&lt;&gt;"-",SCAN!D915,0)</f>
        <v>0</v>
      </c>
      <c r="S915" s="53">
        <f>IF(SCAN!Q915&lt;&gt;"-",SCAN!E915,0)</f>
        <v>0</v>
      </c>
      <c r="T915" s="53">
        <f>IF(SCAN!Q915&lt;&gt;"-",SCAN!F915,0)</f>
        <v>0</v>
      </c>
    </row>
    <row r="916" spans="8:20" x14ac:dyDescent="0.25">
      <c r="H916" s="50">
        <f>IF(AND(SCAN!K916="-",SCAN!Q916="-"),SCAN!D916,0)</f>
        <v>0</v>
      </c>
      <c r="I916" s="50">
        <f>IF(AND(SCAN!K916="-",SCAN!Q916="-"),SCAN!E916,0)</f>
        <v>0</v>
      </c>
      <c r="J916" s="50">
        <f>IF(AND(SCAN!K916="-",SCAN!Q916="-"),SCAN!F916,0)</f>
        <v>0</v>
      </c>
      <c r="M916" s="55">
        <f>IF(SCAN!K916&lt;&gt;"-",SCAN!D916,0)</f>
        <v>0</v>
      </c>
      <c r="N916" s="55">
        <f>IF(SCAN!K916&lt;&gt;"-",SCAN!E916,0)</f>
        <v>0</v>
      </c>
      <c r="O916" s="55">
        <f>IF(SCAN!K916&lt;&gt;"-",SCAN!F916,0)</f>
        <v>0</v>
      </c>
      <c r="R916" s="53">
        <f>IF(SCAN!Q916&lt;&gt;"-",SCAN!D916,0)</f>
        <v>0</v>
      </c>
      <c r="S916" s="53">
        <f>IF(SCAN!Q916&lt;&gt;"-",SCAN!E916,0)</f>
        <v>0</v>
      </c>
      <c r="T916" s="53">
        <f>IF(SCAN!Q916&lt;&gt;"-",SCAN!F916,0)</f>
        <v>0</v>
      </c>
    </row>
    <row r="917" spans="8:20" x14ac:dyDescent="0.25">
      <c r="H917" s="50">
        <f>IF(AND(SCAN!K917="-",SCAN!Q917="-"),SCAN!D917,0)</f>
        <v>0</v>
      </c>
      <c r="I917" s="50">
        <f>IF(AND(SCAN!K917="-",SCAN!Q917="-"),SCAN!E917,0)</f>
        <v>0</v>
      </c>
      <c r="J917" s="50">
        <f>IF(AND(SCAN!K917="-",SCAN!Q917="-"),SCAN!F917,0)</f>
        <v>0</v>
      </c>
      <c r="M917" s="55">
        <f>IF(SCAN!K917&lt;&gt;"-",SCAN!D917,0)</f>
        <v>0</v>
      </c>
      <c r="N917" s="55">
        <f>IF(SCAN!K917&lt;&gt;"-",SCAN!E917,0)</f>
        <v>0</v>
      </c>
      <c r="O917" s="55">
        <f>IF(SCAN!K917&lt;&gt;"-",SCAN!F917,0)</f>
        <v>0</v>
      </c>
      <c r="R917" s="53">
        <f>IF(SCAN!Q917&lt;&gt;"-",SCAN!D917,0)</f>
        <v>0</v>
      </c>
      <c r="S917" s="53">
        <f>IF(SCAN!Q917&lt;&gt;"-",SCAN!E917,0)</f>
        <v>0</v>
      </c>
      <c r="T917" s="53">
        <f>IF(SCAN!Q917&lt;&gt;"-",SCAN!F917,0)</f>
        <v>0</v>
      </c>
    </row>
    <row r="918" spans="8:20" x14ac:dyDescent="0.25">
      <c r="H918" s="50">
        <f>IF(AND(SCAN!K918="-",SCAN!Q918="-"),SCAN!D918,0)</f>
        <v>0</v>
      </c>
      <c r="I918" s="50">
        <f>IF(AND(SCAN!K918="-",SCAN!Q918="-"),SCAN!E918,0)</f>
        <v>0</v>
      </c>
      <c r="J918" s="50">
        <f>IF(AND(SCAN!K918="-",SCAN!Q918="-"),SCAN!F918,0)</f>
        <v>0</v>
      </c>
      <c r="M918" s="55">
        <f>IF(SCAN!K918&lt;&gt;"-",SCAN!D918,0)</f>
        <v>0</v>
      </c>
      <c r="N918" s="55">
        <f>IF(SCAN!K918&lt;&gt;"-",SCAN!E918,0)</f>
        <v>0</v>
      </c>
      <c r="O918" s="55">
        <f>IF(SCAN!K918&lt;&gt;"-",SCAN!F918,0)</f>
        <v>0</v>
      </c>
      <c r="R918" s="53">
        <f>IF(SCAN!Q918&lt;&gt;"-",SCAN!D918,0)</f>
        <v>0</v>
      </c>
      <c r="S918" s="53">
        <f>IF(SCAN!Q918&lt;&gt;"-",SCAN!E918,0)</f>
        <v>0</v>
      </c>
      <c r="T918" s="53">
        <f>IF(SCAN!Q918&lt;&gt;"-",SCAN!F918,0)</f>
        <v>0</v>
      </c>
    </row>
    <row r="919" spans="8:20" x14ac:dyDescent="0.25">
      <c r="H919" s="50">
        <f>IF(AND(SCAN!K919="-",SCAN!Q919="-"),SCAN!D919,0)</f>
        <v>0</v>
      </c>
      <c r="I919" s="50">
        <f>IF(AND(SCAN!K919="-",SCAN!Q919="-"),SCAN!E919,0)</f>
        <v>0</v>
      </c>
      <c r="J919" s="50">
        <f>IF(AND(SCAN!K919="-",SCAN!Q919="-"),SCAN!F919,0)</f>
        <v>0</v>
      </c>
      <c r="M919" s="55">
        <f>IF(SCAN!K919&lt;&gt;"-",SCAN!D919,0)</f>
        <v>0</v>
      </c>
      <c r="N919" s="55">
        <f>IF(SCAN!K919&lt;&gt;"-",SCAN!E919,0)</f>
        <v>0</v>
      </c>
      <c r="O919" s="55">
        <f>IF(SCAN!K919&lt;&gt;"-",SCAN!F919,0)</f>
        <v>0</v>
      </c>
      <c r="R919" s="53">
        <f>IF(SCAN!Q919&lt;&gt;"-",SCAN!D919,0)</f>
        <v>0</v>
      </c>
      <c r="S919" s="53">
        <f>IF(SCAN!Q919&lt;&gt;"-",SCAN!E919,0)</f>
        <v>0</v>
      </c>
      <c r="T919" s="53">
        <f>IF(SCAN!Q919&lt;&gt;"-",SCAN!F919,0)</f>
        <v>0</v>
      </c>
    </row>
    <row r="920" spans="8:20" x14ac:dyDescent="0.25">
      <c r="H920" s="50">
        <f>IF(AND(SCAN!K920="-",SCAN!Q920="-"),SCAN!D920,0)</f>
        <v>0</v>
      </c>
      <c r="I920" s="50">
        <f>IF(AND(SCAN!K920="-",SCAN!Q920="-"),SCAN!E920,0)</f>
        <v>0</v>
      </c>
      <c r="J920" s="50">
        <f>IF(AND(SCAN!K920="-",SCAN!Q920="-"),SCAN!F920,0)</f>
        <v>0</v>
      </c>
      <c r="M920" s="55">
        <f>IF(SCAN!K920&lt;&gt;"-",SCAN!D920,0)</f>
        <v>0</v>
      </c>
      <c r="N920" s="55">
        <f>IF(SCAN!K920&lt;&gt;"-",SCAN!E920,0)</f>
        <v>0</v>
      </c>
      <c r="O920" s="55">
        <f>IF(SCAN!K920&lt;&gt;"-",SCAN!F920,0)</f>
        <v>0</v>
      </c>
      <c r="R920" s="53">
        <f>IF(SCAN!Q920&lt;&gt;"-",SCAN!D920,0)</f>
        <v>0</v>
      </c>
      <c r="S920" s="53">
        <f>IF(SCAN!Q920&lt;&gt;"-",SCAN!E920,0)</f>
        <v>0</v>
      </c>
      <c r="T920" s="53">
        <f>IF(SCAN!Q920&lt;&gt;"-",SCAN!F920,0)</f>
        <v>0</v>
      </c>
    </row>
    <row r="921" spans="8:20" x14ac:dyDescent="0.25">
      <c r="H921" s="50">
        <f>IF(AND(SCAN!K921="-",SCAN!Q921="-"),SCAN!D921,0)</f>
        <v>0</v>
      </c>
      <c r="I921" s="50">
        <f>IF(AND(SCAN!K921="-",SCAN!Q921="-"),SCAN!E921,0)</f>
        <v>0</v>
      </c>
      <c r="J921" s="50">
        <f>IF(AND(SCAN!K921="-",SCAN!Q921="-"),SCAN!F921,0)</f>
        <v>0</v>
      </c>
      <c r="M921" s="55">
        <f>IF(SCAN!K921&lt;&gt;"-",SCAN!D921,0)</f>
        <v>0</v>
      </c>
      <c r="N921" s="55">
        <f>IF(SCAN!K921&lt;&gt;"-",SCAN!E921,0)</f>
        <v>0</v>
      </c>
      <c r="O921" s="55">
        <f>IF(SCAN!K921&lt;&gt;"-",SCAN!F921,0)</f>
        <v>0</v>
      </c>
      <c r="R921" s="53">
        <f>IF(SCAN!Q921&lt;&gt;"-",SCAN!D921,0)</f>
        <v>0</v>
      </c>
      <c r="S921" s="53">
        <f>IF(SCAN!Q921&lt;&gt;"-",SCAN!E921,0)</f>
        <v>0</v>
      </c>
      <c r="T921" s="53">
        <f>IF(SCAN!Q921&lt;&gt;"-",SCAN!F921,0)</f>
        <v>0</v>
      </c>
    </row>
    <row r="922" spans="8:20" x14ac:dyDescent="0.25">
      <c r="H922" s="50">
        <f>IF(AND(SCAN!K922="-",SCAN!Q922="-"),SCAN!D922,0)</f>
        <v>0</v>
      </c>
      <c r="I922" s="50">
        <f>IF(AND(SCAN!K922="-",SCAN!Q922="-"),SCAN!E922,0)</f>
        <v>0</v>
      </c>
      <c r="J922" s="50">
        <f>IF(AND(SCAN!K922="-",SCAN!Q922="-"),SCAN!F922,0)</f>
        <v>0</v>
      </c>
      <c r="M922" s="55">
        <f>IF(SCAN!K922&lt;&gt;"-",SCAN!D922,0)</f>
        <v>0</v>
      </c>
      <c r="N922" s="55">
        <f>IF(SCAN!K922&lt;&gt;"-",SCAN!E922,0)</f>
        <v>0</v>
      </c>
      <c r="O922" s="55">
        <f>IF(SCAN!K922&lt;&gt;"-",SCAN!F922,0)</f>
        <v>0</v>
      </c>
      <c r="R922" s="53">
        <f>IF(SCAN!Q922&lt;&gt;"-",SCAN!D922,0)</f>
        <v>0</v>
      </c>
      <c r="S922" s="53">
        <f>IF(SCAN!Q922&lt;&gt;"-",SCAN!E922,0)</f>
        <v>0</v>
      </c>
      <c r="T922" s="53">
        <f>IF(SCAN!Q922&lt;&gt;"-",SCAN!F922,0)</f>
        <v>0</v>
      </c>
    </row>
    <row r="923" spans="8:20" x14ac:dyDescent="0.25">
      <c r="H923" s="50">
        <f>IF(AND(SCAN!K923="-",SCAN!Q923="-"),SCAN!D923,0)</f>
        <v>0</v>
      </c>
      <c r="I923" s="50">
        <f>IF(AND(SCAN!K923="-",SCAN!Q923="-"),SCAN!E923,0)</f>
        <v>0</v>
      </c>
      <c r="J923" s="50">
        <f>IF(AND(SCAN!K923="-",SCAN!Q923="-"),SCAN!F923,0)</f>
        <v>0</v>
      </c>
      <c r="M923" s="55">
        <f>IF(SCAN!K923&lt;&gt;"-",SCAN!D923,0)</f>
        <v>0</v>
      </c>
      <c r="N923" s="55">
        <f>IF(SCAN!K923&lt;&gt;"-",SCAN!E923,0)</f>
        <v>0</v>
      </c>
      <c r="O923" s="55">
        <f>IF(SCAN!K923&lt;&gt;"-",SCAN!F923,0)</f>
        <v>0</v>
      </c>
      <c r="R923" s="53">
        <f>IF(SCAN!Q923&lt;&gt;"-",SCAN!D923,0)</f>
        <v>0</v>
      </c>
      <c r="S923" s="53">
        <f>IF(SCAN!Q923&lt;&gt;"-",SCAN!E923,0)</f>
        <v>0</v>
      </c>
      <c r="T923" s="53">
        <f>IF(SCAN!Q923&lt;&gt;"-",SCAN!F923,0)</f>
        <v>0</v>
      </c>
    </row>
    <row r="924" spans="8:20" x14ac:dyDescent="0.25">
      <c r="H924" s="50">
        <f>IF(AND(SCAN!K924="-",SCAN!Q924="-"),SCAN!D924,0)</f>
        <v>0</v>
      </c>
      <c r="I924" s="50">
        <f>IF(AND(SCAN!K924="-",SCAN!Q924="-"),SCAN!E924,0)</f>
        <v>0</v>
      </c>
      <c r="J924" s="50">
        <f>IF(AND(SCAN!K924="-",SCAN!Q924="-"),SCAN!F924,0)</f>
        <v>0</v>
      </c>
      <c r="M924" s="55">
        <f>IF(SCAN!K924&lt;&gt;"-",SCAN!D924,0)</f>
        <v>0</v>
      </c>
      <c r="N924" s="55">
        <f>IF(SCAN!K924&lt;&gt;"-",SCAN!E924,0)</f>
        <v>0</v>
      </c>
      <c r="O924" s="55">
        <f>IF(SCAN!K924&lt;&gt;"-",SCAN!F924,0)</f>
        <v>0</v>
      </c>
      <c r="R924" s="53">
        <f>IF(SCAN!Q924&lt;&gt;"-",SCAN!D924,0)</f>
        <v>0</v>
      </c>
      <c r="S924" s="53">
        <f>IF(SCAN!Q924&lt;&gt;"-",SCAN!E924,0)</f>
        <v>0</v>
      </c>
      <c r="T924" s="53">
        <f>IF(SCAN!Q924&lt;&gt;"-",SCAN!F924,0)</f>
        <v>0</v>
      </c>
    </row>
    <row r="925" spans="8:20" x14ac:dyDescent="0.25">
      <c r="H925" s="50">
        <f>IF(AND(SCAN!K925="-",SCAN!Q925="-"),SCAN!D925,0)</f>
        <v>0</v>
      </c>
      <c r="I925" s="50">
        <f>IF(AND(SCAN!K925="-",SCAN!Q925="-"),SCAN!E925,0)</f>
        <v>0</v>
      </c>
      <c r="J925" s="50">
        <f>IF(AND(SCAN!K925="-",SCAN!Q925="-"),SCAN!F925,0)</f>
        <v>0</v>
      </c>
      <c r="M925" s="55">
        <f>IF(SCAN!K925&lt;&gt;"-",SCAN!D925,0)</f>
        <v>0</v>
      </c>
      <c r="N925" s="55">
        <f>IF(SCAN!K925&lt;&gt;"-",SCAN!E925,0)</f>
        <v>0</v>
      </c>
      <c r="O925" s="55">
        <f>IF(SCAN!K925&lt;&gt;"-",SCAN!F925,0)</f>
        <v>0</v>
      </c>
      <c r="R925" s="53">
        <f>IF(SCAN!Q925&lt;&gt;"-",SCAN!D925,0)</f>
        <v>0</v>
      </c>
      <c r="S925" s="53">
        <f>IF(SCAN!Q925&lt;&gt;"-",SCAN!E925,0)</f>
        <v>0</v>
      </c>
      <c r="T925" s="53">
        <f>IF(SCAN!Q925&lt;&gt;"-",SCAN!F925,0)</f>
        <v>0</v>
      </c>
    </row>
    <row r="926" spans="8:20" x14ac:dyDescent="0.25">
      <c r="H926" s="50">
        <f>IF(AND(SCAN!K926="-",SCAN!Q926="-"),SCAN!D926,0)</f>
        <v>0</v>
      </c>
      <c r="I926" s="50">
        <f>IF(AND(SCAN!K926="-",SCAN!Q926="-"),SCAN!E926,0)</f>
        <v>0</v>
      </c>
      <c r="J926" s="50">
        <f>IF(AND(SCAN!K926="-",SCAN!Q926="-"),SCAN!F926,0)</f>
        <v>0</v>
      </c>
      <c r="M926" s="55">
        <f>IF(SCAN!K926&lt;&gt;"-",SCAN!D926,0)</f>
        <v>0</v>
      </c>
      <c r="N926" s="55">
        <f>IF(SCAN!K926&lt;&gt;"-",SCAN!E926,0)</f>
        <v>0</v>
      </c>
      <c r="O926" s="55">
        <f>IF(SCAN!K926&lt;&gt;"-",SCAN!F926,0)</f>
        <v>0</v>
      </c>
      <c r="R926" s="53">
        <f>IF(SCAN!Q926&lt;&gt;"-",SCAN!D926,0)</f>
        <v>0</v>
      </c>
      <c r="S926" s="53">
        <f>IF(SCAN!Q926&lt;&gt;"-",SCAN!E926,0)</f>
        <v>0</v>
      </c>
      <c r="T926" s="53">
        <f>IF(SCAN!Q926&lt;&gt;"-",SCAN!F926,0)</f>
        <v>0</v>
      </c>
    </row>
    <row r="927" spans="8:20" x14ac:dyDescent="0.25">
      <c r="H927" s="50">
        <f>IF(AND(SCAN!K927="-",SCAN!Q927="-"),SCAN!D927,0)</f>
        <v>0</v>
      </c>
      <c r="I927" s="50">
        <f>IF(AND(SCAN!K927="-",SCAN!Q927="-"),SCAN!E927,0)</f>
        <v>0</v>
      </c>
      <c r="J927" s="50">
        <f>IF(AND(SCAN!K927="-",SCAN!Q927="-"),SCAN!F927,0)</f>
        <v>0</v>
      </c>
      <c r="M927" s="55">
        <f>IF(SCAN!K927&lt;&gt;"-",SCAN!D927,0)</f>
        <v>0</v>
      </c>
      <c r="N927" s="55">
        <f>IF(SCAN!K927&lt;&gt;"-",SCAN!E927,0)</f>
        <v>0</v>
      </c>
      <c r="O927" s="55">
        <f>IF(SCAN!K927&lt;&gt;"-",SCAN!F927,0)</f>
        <v>0</v>
      </c>
      <c r="R927" s="53">
        <f>IF(SCAN!Q927&lt;&gt;"-",SCAN!D927,0)</f>
        <v>0</v>
      </c>
      <c r="S927" s="53">
        <f>IF(SCAN!Q927&lt;&gt;"-",SCAN!E927,0)</f>
        <v>0</v>
      </c>
      <c r="T927" s="53">
        <f>IF(SCAN!Q927&lt;&gt;"-",SCAN!F927,0)</f>
        <v>0</v>
      </c>
    </row>
    <row r="928" spans="8:20" x14ac:dyDescent="0.25">
      <c r="H928" s="50">
        <f>IF(AND(SCAN!K928="-",SCAN!Q928="-"),SCAN!D928,0)</f>
        <v>0</v>
      </c>
      <c r="I928" s="50">
        <f>IF(AND(SCAN!K928="-",SCAN!Q928="-"),SCAN!E928,0)</f>
        <v>0</v>
      </c>
      <c r="J928" s="50">
        <f>IF(AND(SCAN!K928="-",SCAN!Q928="-"),SCAN!F928,0)</f>
        <v>0</v>
      </c>
      <c r="M928" s="55">
        <f>IF(SCAN!K928&lt;&gt;"-",SCAN!D928,0)</f>
        <v>0</v>
      </c>
      <c r="N928" s="55">
        <f>IF(SCAN!K928&lt;&gt;"-",SCAN!E928,0)</f>
        <v>0</v>
      </c>
      <c r="O928" s="55">
        <f>IF(SCAN!K928&lt;&gt;"-",SCAN!F928,0)</f>
        <v>0</v>
      </c>
      <c r="R928" s="53">
        <f>IF(SCAN!Q928&lt;&gt;"-",SCAN!D928,0)</f>
        <v>0</v>
      </c>
      <c r="S928" s="53">
        <f>IF(SCAN!Q928&lt;&gt;"-",SCAN!E928,0)</f>
        <v>0</v>
      </c>
      <c r="T928" s="53">
        <f>IF(SCAN!Q928&lt;&gt;"-",SCAN!F928,0)</f>
        <v>0</v>
      </c>
    </row>
    <row r="929" spans="8:20" x14ac:dyDescent="0.25">
      <c r="H929" s="50">
        <f>IF(AND(SCAN!K929="-",SCAN!Q929="-"),SCAN!D929,0)</f>
        <v>0</v>
      </c>
      <c r="I929" s="50">
        <f>IF(AND(SCAN!K929="-",SCAN!Q929="-"),SCAN!E929,0)</f>
        <v>0</v>
      </c>
      <c r="J929" s="50">
        <f>IF(AND(SCAN!K929="-",SCAN!Q929="-"),SCAN!F929,0)</f>
        <v>0</v>
      </c>
      <c r="M929" s="55">
        <f>IF(SCAN!K929&lt;&gt;"-",SCAN!D929,0)</f>
        <v>0</v>
      </c>
      <c r="N929" s="55">
        <f>IF(SCAN!K929&lt;&gt;"-",SCAN!E929,0)</f>
        <v>0</v>
      </c>
      <c r="O929" s="55">
        <f>IF(SCAN!K929&lt;&gt;"-",SCAN!F929,0)</f>
        <v>0</v>
      </c>
      <c r="R929" s="53">
        <f>IF(SCAN!Q929&lt;&gt;"-",SCAN!D929,0)</f>
        <v>0</v>
      </c>
      <c r="S929" s="53">
        <f>IF(SCAN!Q929&lt;&gt;"-",SCAN!E929,0)</f>
        <v>0</v>
      </c>
      <c r="T929" s="53">
        <f>IF(SCAN!Q929&lt;&gt;"-",SCAN!F929,0)</f>
        <v>0</v>
      </c>
    </row>
    <row r="930" spans="8:20" x14ac:dyDescent="0.25">
      <c r="H930" s="50">
        <f>IF(AND(SCAN!K930="-",SCAN!Q930="-"),SCAN!D930,0)</f>
        <v>0</v>
      </c>
      <c r="I930" s="50">
        <f>IF(AND(SCAN!K930="-",SCAN!Q930="-"),SCAN!E930,0)</f>
        <v>0</v>
      </c>
      <c r="J930" s="50">
        <f>IF(AND(SCAN!K930="-",SCAN!Q930="-"),SCAN!F930,0)</f>
        <v>0</v>
      </c>
      <c r="M930" s="55">
        <f>IF(SCAN!K930&lt;&gt;"-",SCAN!D930,0)</f>
        <v>0</v>
      </c>
      <c r="N930" s="55">
        <f>IF(SCAN!K930&lt;&gt;"-",SCAN!E930,0)</f>
        <v>0</v>
      </c>
      <c r="O930" s="55">
        <f>IF(SCAN!K930&lt;&gt;"-",SCAN!F930,0)</f>
        <v>0</v>
      </c>
      <c r="R930" s="53">
        <f>IF(SCAN!Q930&lt;&gt;"-",SCAN!D930,0)</f>
        <v>0</v>
      </c>
      <c r="S930" s="53">
        <f>IF(SCAN!Q930&lt;&gt;"-",SCAN!E930,0)</f>
        <v>0</v>
      </c>
      <c r="T930" s="53">
        <f>IF(SCAN!Q930&lt;&gt;"-",SCAN!F930,0)</f>
        <v>0</v>
      </c>
    </row>
    <row r="931" spans="8:20" x14ac:dyDescent="0.25">
      <c r="H931" s="50">
        <f>IF(AND(SCAN!K931="-",SCAN!Q931="-"),SCAN!D931,0)</f>
        <v>0</v>
      </c>
      <c r="I931" s="50">
        <f>IF(AND(SCAN!K931="-",SCAN!Q931="-"),SCAN!E931,0)</f>
        <v>0</v>
      </c>
      <c r="J931" s="50">
        <f>IF(AND(SCAN!K931="-",SCAN!Q931="-"),SCAN!F931,0)</f>
        <v>0</v>
      </c>
      <c r="M931" s="55">
        <f>IF(SCAN!K931&lt;&gt;"-",SCAN!D931,0)</f>
        <v>0</v>
      </c>
      <c r="N931" s="55">
        <f>IF(SCAN!K931&lt;&gt;"-",SCAN!E931,0)</f>
        <v>0</v>
      </c>
      <c r="O931" s="55">
        <f>IF(SCAN!K931&lt;&gt;"-",SCAN!F931,0)</f>
        <v>0</v>
      </c>
      <c r="R931" s="53">
        <f>IF(SCAN!Q931&lt;&gt;"-",SCAN!D931,0)</f>
        <v>0</v>
      </c>
      <c r="S931" s="53">
        <f>IF(SCAN!Q931&lt;&gt;"-",SCAN!E931,0)</f>
        <v>0</v>
      </c>
      <c r="T931" s="53">
        <f>IF(SCAN!Q931&lt;&gt;"-",SCAN!F931,0)</f>
        <v>0</v>
      </c>
    </row>
    <row r="932" spans="8:20" x14ac:dyDescent="0.25">
      <c r="H932" s="50">
        <f>IF(AND(SCAN!K932="-",SCAN!Q932="-"),SCAN!D932,0)</f>
        <v>0</v>
      </c>
      <c r="I932" s="50">
        <f>IF(AND(SCAN!K932="-",SCAN!Q932="-"),SCAN!E932,0)</f>
        <v>0</v>
      </c>
      <c r="J932" s="50">
        <f>IF(AND(SCAN!K932="-",SCAN!Q932="-"),SCAN!F932,0)</f>
        <v>0</v>
      </c>
      <c r="M932" s="55">
        <f>IF(SCAN!K932&lt;&gt;"-",SCAN!D932,0)</f>
        <v>0</v>
      </c>
      <c r="N932" s="55">
        <f>IF(SCAN!K932&lt;&gt;"-",SCAN!E932,0)</f>
        <v>0</v>
      </c>
      <c r="O932" s="55">
        <f>IF(SCAN!K932&lt;&gt;"-",SCAN!F932,0)</f>
        <v>0</v>
      </c>
      <c r="R932" s="53">
        <f>IF(SCAN!Q932&lt;&gt;"-",SCAN!D932,0)</f>
        <v>0</v>
      </c>
      <c r="S932" s="53">
        <f>IF(SCAN!Q932&lt;&gt;"-",SCAN!E932,0)</f>
        <v>0</v>
      </c>
      <c r="T932" s="53">
        <f>IF(SCAN!Q932&lt;&gt;"-",SCAN!F932,0)</f>
        <v>0</v>
      </c>
    </row>
    <row r="933" spans="8:20" x14ac:dyDescent="0.25">
      <c r="H933" s="50">
        <f>IF(AND(SCAN!K933="-",SCAN!Q933="-"),SCAN!D933,0)</f>
        <v>0</v>
      </c>
      <c r="I933" s="50">
        <f>IF(AND(SCAN!K933="-",SCAN!Q933="-"),SCAN!E933,0)</f>
        <v>0</v>
      </c>
      <c r="J933" s="50">
        <f>IF(AND(SCAN!K933="-",SCAN!Q933="-"),SCAN!F933,0)</f>
        <v>0</v>
      </c>
      <c r="M933" s="55">
        <f>IF(SCAN!K933&lt;&gt;"-",SCAN!D933,0)</f>
        <v>0</v>
      </c>
      <c r="N933" s="55">
        <f>IF(SCAN!K933&lt;&gt;"-",SCAN!E933,0)</f>
        <v>0</v>
      </c>
      <c r="O933" s="55">
        <f>IF(SCAN!K933&lt;&gt;"-",SCAN!F933,0)</f>
        <v>0</v>
      </c>
      <c r="R933" s="53">
        <f>IF(SCAN!Q933&lt;&gt;"-",SCAN!D933,0)</f>
        <v>0</v>
      </c>
      <c r="S933" s="53">
        <f>IF(SCAN!Q933&lt;&gt;"-",SCAN!E933,0)</f>
        <v>0</v>
      </c>
      <c r="T933" s="53">
        <f>IF(SCAN!Q933&lt;&gt;"-",SCAN!F933,0)</f>
        <v>0</v>
      </c>
    </row>
    <row r="934" spans="8:20" x14ac:dyDescent="0.25">
      <c r="H934" s="50">
        <f>IF(AND(SCAN!K934="-",SCAN!Q934="-"),SCAN!D934,0)</f>
        <v>0</v>
      </c>
      <c r="I934" s="50">
        <f>IF(AND(SCAN!K934="-",SCAN!Q934="-"),SCAN!E934,0)</f>
        <v>0</v>
      </c>
      <c r="J934" s="50">
        <f>IF(AND(SCAN!K934="-",SCAN!Q934="-"),SCAN!F934,0)</f>
        <v>0</v>
      </c>
      <c r="M934" s="55">
        <f>IF(SCAN!K934&lt;&gt;"-",SCAN!D934,0)</f>
        <v>0</v>
      </c>
      <c r="N934" s="55">
        <f>IF(SCAN!K934&lt;&gt;"-",SCAN!E934,0)</f>
        <v>0</v>
      </c>
      <c r="O934" s="55">
        <f>IF(SCAN!K934&lt;&gt;"-",SCAN!F934,0)</f>
        <v>0</v>
      </c>
      <c r="R934" s="53">
        <f>IF(SCAN!Q934&lt;&gt;"-",SCAN!D934,0)</f>
        <v>0</v>
      </c>
      <c r="S934" s="53">
        <f>IF(SCAN!Q934&lt;&gt;"-",SCAN!E934,0)</f>
        <v>0</v>
      </c>
      <c r="T934" s="53">
        <f>IF(SCAN!Q934&lt;&gt;"-",SCAN!F934,0)</f>
        <v>0</v>
      </c>
    </row>
    <row r="935" spans="8:20" x14ac:dyDescent="0.25">
      <c r="H935" s="50">
        <f>IF(AND(SCAN!K935="-",SCAN!Q935="-"),SCAN!D935,0)</f>
        <v>0</v>
      </c>
      <c r="I935" s="50">
        <f>IF(AND(SCAN!K935="-",SCAN!Q935="-"),SCAN!E935,0)</f>
        <v>0</v>
      </c>
      <c r="J935" s="50">
        <f>IF(AND(SCAN!K935="-",SCAN!Q935="-"),SCAN!F935,0)</f>
        <v>0</v>
      </c>
      <c r="M935" s="55">
        <f>IF(SCAN!K935&lt;&gt;"-",SCAN!D935,0)</f>
        <v>0</v>
      </c>
      <c r="N935" s="55">
        <f>IF(SCAN!K935&lt;&gt;"-",SCAN!E935,0)</f>
        <v>0</v>
      </c>
      <c r="O935" s="55">
        <f>IF(SCAN!K935&lt;&gt;"-",SCAN!F935,0)</f>
        <v>0</v>
      </c>
      <c r="R935" s="53">
        <f>IF(SCAN!Q935&lt;&gt;"-",SCAN!D935,0)</f>
        <v>0</v>
      </c>
      <c r="S935" s="53">
        <f>IF(SCAN!Q935&lt;&gt;"-",SCAN!E935,0)</f>
        <v>0</v>
      </c>
      <c r="T935" s="53">
        <f>IF(SCAN!Q935&lt;&gt;"-",SCAN!F935,0)</f>
        <v>0</v>
      </c>
    </row>
    <row r="936" spans="8:20" x14ac:dyDescent="0.25">
      <c r="H936" s="50">
        <f>IF(AND(SCAN!K936="-",SCAN!Q936="-"),SCAN!D936,0)</f>
        <v>0</v>
      </c>
      <c r="I936" s="50">
        <f>IF(AND(SCAN!K936="-",SCAN!Q936="-"),SCAN!E936,0)</f>
        <v>0</v>
      </c>
      <c r="J936" s="50">
        <f>IF(AND(SCAN!K936="-",SCAN!Q936="-"),SCAN!F936,0)</f>
        <v>0</v>
      </c>
      <c r="M936" s="55">
        <f>IF(SCAN!K936&lt;&gt;"-",SCAN!D936,0)</f>
        <v>0</v>
      </c>
      <c r="N936" s="55">
        <f>IF(SCAN!K936&lt;&gt;"-",SCAN!E936,0)</f>
        <v>0</v>
      </c>
      <c r="O936" s="55">
        <f>IF(SCAN!K936&lt;&gt;"-",SCAN!F936,0)</f>
        <v>0</v>
      </c>
      <c r="R936" s="53">
        <f>IF(SCAN!Q936&lt;&gt;"-",SCAN!D936,0)</f>
        <v>0</v>
      </c>
      <c r="S936" s="53">
        <f>IF(SCAN!Q936&lt;&gt;"-",SCAN!E936,0)</f>
        <v>0</v>
      </c>
      <c r="T936" s="53">
        <f>IF(SCAN!Q936&lt;&gt;"-",SCAN!F936,0)</f>
        <v>0</v>
      </c>
    </row>
    <row r="937" spans="8:20" x14ac:dyDescent="0.25">
      <c r="H937" s="50">
        <f>IF(AND(SCAN!K937="-",SCAN!Q937="-"),SCAN!D937,0)</f>
        <v>0</v>
      </c>
      <c r="I937" s="50">
        <f>IF(AND(SCAN!K937="-",SCAN!Q937="-"),SCAN!E937,0)</f>
        <v>0</v>
      </c>
      <c r="J937" s="50">
        <f>IF(AND(SCAN!K937="-",SCAN!Q937="-"),SCAN!F937,0)</f>
        <v>0</v>
      </c>
      <c r="M937" s="55">
        <f>IF(SCAN!K937&lt;&gt;"-",SCAN!D937,0)</f>
        <v>0</v>
      </c>
      <c r="N937" s="55">
        <f>IF(SCAN!K937&lt;&gt;"-",SCAN!E937,0)</f>
        <v>0</v>
      </c>
      <c r="O937" s="55">
        <f>IF(SCAN!K937&lt;&gt;"-",SCAN!F937,0)</f>
        <v>0</v>
      </c>
      <c r="R937" s="53">
        <f>IF(SCAN!Q937&lt;&gt;"-",SCAN!D937,0)</f>
        <v>0</v>
      </c>
      <c r="S937" s="53">
        <f>IF(SCAN!Q937&lt;&gt;"-",SCAN!E937,0)</f>
        <v>0</v>
      </c>
      <c r="T937" s="53">
        <f>IF(SCAN!Q937&lt;&gt;"-",SCAN!F937,0)</f>
        <v>0</v>
      </c>
    </row>
    <row r="938" spans="8:20" x14ac:dyDescent="0.25">
      <c r="H938" s="50">
        <f>IF(AND(SCAN!K938="-",SCAN!Q938="-"),SCAN!D938,0)</f>
        <v>0</v>
      </c>
      <c r="I938" s="50">
        <f>IF(AND(SCAN!K938="-",SCAN!Q938="-"),SCAN!E938,0)</f>
        <v>0</v>
      </c>
      <c r="J938" s="50">
        <f>IF(AND(SCAN!K938="-",SCAN!Q938="-"),SCAN!F938,0)</f>
        <v>0</v>
      </c>
      <c r="M938" s="55">
        <f>IF(SCAN!K938&lt;&gt;"-",SCAN!D938,0)</f>
        <v>0</v>
      </c>
      <c r="N938" s="55">
        <f>IF(SCAN!K938&lt;&gt;"-",SCAN!E938,0)</f>
        <v>0</v>
      </c>
      <c r="O938" s="55">
        <f>IF(SCAN!K938&lt;&gt;"-",SCAN!F938,0)</f>
        <v>0</v>
      </c>
      <c r="R938" s="53">
        <f>IF(SCAN!Q938&lt;&gt;"-",SCAN!D938,0)</f>
        <v>0</v>
      </c>
      <c r="S938" s="53">
        <f>IF(SCAN!Q938&lt;&gt;"-",SCAN!E938,0)</f>
        <v>0</v>
      </c>
      <c r="T938" s="53">
        <f>IF(SCAN!Q938&lt;&gt;"-",SCAN!F938,0)</f>
        <v>0</v>
      </c>
    </row>
    <row r="939" spans="8:20" x14ac:dyDescent="0.25">
      <c r="H939" s="50">
        <f>IF(AND(SCAN!K939="-",SCAN!Q939="-"),SCAN!D939,0)</f>
        <v>0</v>
      </c>
      <c r="I939" s="50">
        <f>IF(AND(SCAN!K939="-",SCAN!Q939="-"),SCAN!E939,0)</f>
        <v>0</v>
      </c>
      <c r="J939" s="50">
        <f>IF(AND(SCAN!K939="-",SCAN!Q939="-"),SCAN!F939,0)</f>
        <v>0</v>
      </c>
      <c r="M939" s="55">
        <f>IF(SCAN!K939&lt;&gt;"-",SCAN!D939,0)</f>
        <v>0</v>
      </c>
      <c r="N939" s="55">
        <f>IF(SCAN!K939&lt;&gt;"-",SCAN!E939,0)</f>
        <v>0</v>
      </c>
      <c r="O939" s="55">
        <f>IF(SCAN!K939&lt;&gt;"-",SCAN!F939,0)</f>
        <v>0</v>
      </c>
      <c r="R939" s="53">
        <f>IF(SCAN!Q939&lt;&gt;"-",SCAN!D939,0)</f>
        <v>0</v>
      </c>
      <c r="S939" s="53">
        <f>IF(SCAN!Q939&lt;&gt;"-",SCAN!E939,0)</f>
        <v>0</v>
      </c>
      <c r="T939" s="53">
        <f>IF(SCAN!Q939&lt;&gt;"-",SCAN!F939,0)</f>
        <v>0</v>
      </c>
    </row>
    <row r="940" spans="8:20" x14ac:dyDescent="0.25">
      <c r="H940" s="50">
        <f>IF(AND(SCAN!K940="-",SCAN!Q940="-"),SCAN!D940,0)</f>
        <v>0</v>
      </c>
      <c r="I940" s="50">
        <f>IF(AND(SCAN!K940="-",SCAN!Q940="-"),SCAN!E940,0)</f>
        <v>0</v>
      </c>
      <c r="J940" s="50">
        <f>IF(AND(SCAN!K940="-",SCAN!Q940="-"),SCAN!F940,0)</f>
        <v>0</v>
      </c>
      <c r="M940" s="55">
        <f>IF(SCAN!K940&lt;&gt;"-",SCAN!D940,0)</f>
        <v>0</v>
      </c>
      <c r="N940" s="55">
        <f>IF(SCAN!K940&lt;&gt;"-",SCAN!E940,0)</f>
        <v>0</v>
      </c>
      <c r="O940" s="55">
        <f>IF(SCAN!K940&lt;&gt;"-",SCAN!F940,0)</f>
        <v>0</v>
      </c>
      <c r="R940" s="53">
        <f>IF(SCAN!Q940&lt;&gt;"-",SCAN!D940,0)</f>
        <v>0</v>
      </c>
      <c r="S940" s="53">
        <f>IF(SCAN!Q940&lt;&gt;"-",SCAN!E940,0)</f>
        <v>0</v>
      </c>
      <c r="T940" s="53">
        <f>IF(SCAN!Q940&lt;&gt;"-",SCAN!F940,0)</f>
        <v>0</v>
      </c>
    </row>
    <row r="941" spans="8:20" x14ac:dyDescent="0.25">
      <c r="H941" s="50">
        <f>IF(AND(SCAN!K941="-",SCAN!Q941="-"),SCAN!D941,0)</f>
        <v>0</v>
      </c>
      <c r="I941" s="50">
        <f>IF(AND(SCAN!K941="-",SCAN!Q941="-"),SCAN!E941,0)</f>
        <v>0</v>
      </c>
      <c r="J941" s="50">
        <f>IF(AND(SCAN!K941="-",SCAN!Q941="-"),SCAN!F941,0)</f>
        <v>0</v>
      </c>
      <c r="M941" s="55">
        <f>IF(SCAN!K941&lt;&gt;"-",SCAN!D941,0)</f>
        <v>0</v>
      </c>
      <c r="N941" s="55">
        <f>IF(SCAN!K941&lt;&gt;"-",SCAN!E941,0)</f>
        <v>0</v>
      </c>
      <c r="O941" s="55">
        <f>IF(SCAN!K941&lt;&gt;"-",SCAN!F941,0)</f>
        <v>0</v>
      </c>
      <c r="R941" s="53">
        <f>IF(SCAN!Q941&lt;&gt;"-",SCAN!D941,0)</f>
        <v>0</v>
      </c>
      <c r="S941" s="53">
        <f>IF(SCAN!Q941&lt;&gt;"-",SCAN!E941,0)</f>
        <v>0</v>
      </c>
      <c r="T941" s="53">
        <f>IF(SCAN!Q941&lt;&gt;"-",SCAN!F941,0)</f>
        <v>0</v>
      </c>
    </row>
    <row r="942" spans="8:20" x14ac:dyDescent="0.25">
      <c r="H942" s="50">
        <f>IF(AND(SCAN!K942="-",SCAN!Q942="-"),SCAN!D942,0)</f>
        <v>0</v>
      </c>
      <c r="I942" s="50">
        <f>IF(AND(SCAN!K942="-",SCAN!Q942="-"),SCAN!E942,0)</f>
        <v>0</v>
      </c>
      <c r="J942" s="50">
        <f>IF(AND(SCAN!K942="-",SCAN!Q942="-"),SCAN!F942,0)</f>
        <v>0</v>
      </c>
      <c r="M942" s="55">
        <f>IF(SCAN!K942&lt;&gt;"-",SCAN!D942,0)</f>
        <v>0</v>
      </c>
      <c r="N942" s="55">
        <f>IF(SCAN!K942&lt;&gt;"-",SCAN!E942,0)</f>
        <v>0</v>
      </c>
      <c r="O942" s="55">
        <f>IF(SCAN!K942&lt;&gt;"-",SCAN!F942,0)</f>
        <v>0</v>
      </c>
      <c r="R942" s="53">
        <f>IF(SCAN!Q942&lt;&gt;"-",SCAN!D942,0)</f>
        <v>0</v>
      </c>
      <c r="S942" s="53">
        <f>IF(SCAN!Q942&lt;&gt;"-",SCAN!E942,0)</f>
        <v>0</v>
      </c>
      <c r="T942" s="53">
        <f>IF(SCAN!Q942&lt;&gt;"-",SCAN!F942,0)</f>
        <v>0</v>
      </c>
    </row>
    <row r="943" spans="8:20" x14ac:dyDescent="0.25">
      <c r="H943" s="50">
        <f>IF(AND(SCAN!K943="-",SCAN!Q943="-"),SCAN!D943,0)</f>
        <v>0</v>
      </c>
      <c r="I943" s="50">
        <f>IF(AND(SCAN!K943="-",SCAN!Q943="-"),SCAN!E943,0)</f>
        <v>0</v>
      </c>
      <c r="J943" s="50">
        <f>IF(AND(SCAN!K943="-",SCAN!Q943="-"),SCAN!F943,0)</f>
        <v>0</v>
      </c>
      <c r="M943" s="55">
        <f>IF(SCAN!K943&lt;&gt;"-",SCAN!D943,0)</f>
        <v>0</v>
      </c>
      <c r="N943" s="55">
        <f>IF(SCAN!K943&lt;&gt;"-",SCAN!E943,0)</f>
        <v>0</v>
      </c>
      <c r="O943" s="55">
        <f>IF(SCAN!K943&lt;&gt;"-",SCAN!F943,0)</f>
        <v>0</v>
      </c>
      <c r="R943" s="53">
        <f>IF(SCAN!Q943&lt;&gt;"-",SCAN!D943,0)</f>
        <v>0</v>
      </c>
      <c r="S943" s="53">
        <f>IF(SCAN!Q943&lt;&gt;"-",SCAN!E943,0)</f>
        <v>0</v>
      </c>
      <c r="T943" s="53">
        <f>IF(SCAN!Q943&lt;&gt;"-",SCAN!F943,0)</f>
        <v>0</v>
      </c>
    </row>
    <row r="944" spans="8:20" x14ac:dyDescent="0.25">
      <c r="H944" s="50">
        <f>IF(AND(SCAN!K944="-",SCAN!Q944="-"),SCAN!D944,0)</f>
        <v>0</v>
      </c>
      <c r="I944" s="50">
        <f>IF(AND(SCAN!K944="-",SCAN!Q944="-"),SCAN!E944,0)</f>
        <v>0</v>
      </c>
      <c r="J944" s="50">
        <f>IF(AND(SCAN!K944="-",SCAN!Q944="-"),SCAN!F944,0)</f>
        <v>0</v>
      </c>
      <c r="M944" s="55">
        <f>IF(SCAN!K944&lt;&gt;"-",SCAN!D944,0)</f>
        <v>0</v>
      </c>
      <c r="N944" s="55">
        <f>IF(SCAN!K944&lt;&gt;"-",SCAN!E944,0)</f>
        <v>0</v>
      </c>
      <c r="O944" s="55">
        <f>IF(SCAN!K944&lt;&gt;"-",SCAN!F944,0)</f>
        <v>0</v>
      </c>
      <c r="R944" s="53">
        <f>IF(SCAN!Q944&lt;&gt;"-",SCAN!D944,0)</f>
        <v>0</v>
      </c>
      <c r="S944" s="53">
        <f>IF(SCAN!Q944&lt;&gt;"-",SCAN!E944,0)</f>
        <v>0</v>
      </c>
      <c r="T944" s="53">
        <f>IF(SCAN!Q944&lt;&gt;"-",SCAN!F944,0)</f>
        <v>0</v>
      </c>
    </row>
    <row r="945" spans="8:20" x14ac:dyDescent="0.25">
      <c r="H945" s="50">
        <f>IF(AND(SCAN!K945="-",SCAN!Q945="-"),SCAN!D945,0)</f>
        <v>0</v>
      </c>
      <c r="I945" s="50">
        <f>IF(AND(SCAN!K945="-",SCAN!Q945="-"),SCAN!E945,0)</f>
        <v>0</v>
      </c>
      <c r="J945" s="50">
        <f>IF(AND(SCAN!K945="-",SCAN!Q945="-"),SCAN!F945,0)</f>
        <v>0</v>
      </c>
      <c r="M945" s="55">
        <f>IF(SCAN!K945&lt;&gt;"-",SCAN!D945,0)</f>
        <v>0</v>
      </c>
      <c r="N945" s="55">
        <f>IF(SCAN!K945&lt;&gt;"-",SCAN!E945,0)</f>
        <v>0</v>
      </c>
      <c r="O945" s="55">
        <f>IF(SCAN!K945&lt;&gt;"-",SCAN!F945,0)</f>
        <v>0</v>
      </c>
      <c r="R945" s="53">
        <f>IF(SCAN!Q945&lt;&gt;"-",SCAN!D945,0)</f>
        <v>0</v>
      </c>
      <c r="S945" s="53">
        <f>IF(SCAN!Q945&lt;&gt;"-",SCAN!E945,0)</f>
        <v>0</v>
      </c>
      <c r="T945" s="53">
        <f>IF(SCAN!Q945&lt;&gt;"-",SCAN!F945,0)</f>
        <v>0</v>
      </c>
    </row>
    <row r="946" spans="8:20" x14ac:dyDescent="0.25">
      <c r="H946" s="50">
        <f>IF(AND(SCAN!K946="-",SCAN!Q946="-"),SCAN!D946,0)</f>
        <v>0</v>
      </c>
      <c r="I946" s="50">
        <f>IF(AND(SCAN!K946="-",SCAN!Q946="-"),SCAN!E946,0)</f>
        <v>0</v>
      </c>
      <c r="J946" s="50">
        <f>IF(AND(SCAN!K946="-",SCAN!Q946="-"),SCAN!F946,0)</f>
        <v>0</v>
      </c>
      <c r="M946" s="55">
        <f>IF(SCAN!K946&lt;&gt;"-",SCAN!D946,0)</f>
        <v>0</v>
      </c>
      <c r="N946" s="55">
        <f>IF(SCAN!K946&lt;&gt;"-",SCAN!E946,0)</f>
        <v>0</v>
      </c>
      <c r="O946" s="55">
        <f>IF(SCAN!K946&lt;&gt;"-",SCAN!F946,0)</f>
        <v>0</v>
      </c>
      <c r="R946" s="53">
        <f>IF(SCAN!Q946&lt;&gt;"-",SCAN!D946,0)</f>
        <v>0</v>
      </c>
      <c r="S946" s="53">
        <f>IF(SCAN!Q946&lt;&gt;"-",SCAN!E946,0)</f>
        <v>0</v>
      </c>
      <c r="T946" s="53">
        <f>IF(SCAN!Q946&lt;&gt;"-",SCAN!F946,0)</f>
        <v>0</v>
      </c>
    </row>
    <row r="947" spans="8:20" x14ac:dyDescent="0.25">
      <c r="H947" s="50">
        <f>IF(AND(SCAN!K947="-",SCAN!Q947="-"),SCAN!D947,0)</f>
        <v>0</v>
      </c>
      <c r="I947" s="50">
        <f>IF(AND(SCAN!K947="-",SCAN!Q947="-"),SCAN!E947,0)</f>
        <v>0</v>
      </c>
      <c r="J947" s="50">
        <f>IF(AND(SCAN!K947="-",SCAN!Q947="-"),SCAN!F947,0)</f>
        <v>0</v>
      </c>
      <c r="M947" s="55">
        <f>IF(SCAN!K947&lt;&gt;"-",SCAN!D947,0)</f>
        <v>0</v>
      </c>
      <c r="N947" s="55">
        <f>IF(SCAN!K947&lt;&gt;"-",SCAN!E947,0)</f>
        <v>0</v>
      </c>
      <c r="O947" s="55">
        <f>IF(SCAN!K947&lt;&gt;"-",SCAN!F947,0)</f>
        <v>0</v>
      </c>
      <c r="R947" s="53">
        <f>IF(SCAN!Q947&lt;&gt;"-",SCAN!D947,0)</f>
        <v>0</v>
      </c>
      <c r="S947" s="53">
        <f>IF(SCAN!Q947&lt;&gt;"-",SCAN!E947,0)</f>
        <v>0</v>
      </c>
      <c r="T947" s="53">
        <f>IF(SCAN!Q947&lt;&gt;"-",SCAN!F947,0)</f>
        <v>0</v>
      </c>
    </row>
    <row r="948" spans="8:20" x14ac:dyDescent="0.25">
      <c r="H948" s="50">
        <f>IF(AND(SCAN!K948="-",SCAN!Q948="-"),SCAN!D948,0)</f>
        <v>0</v>
      </c>
      <c r="I948" s="50">
        <f>IF(AND(SCAN!K948="-",SCAN!Q948="-"),SCAN!E948,0)</f>
        <v>0</v>
      </c>
      <c r="J948" s="50">
        <f>IF(AND(SCAN!K948="-",SCAN!Q948="-"),SCAN!F948,0)</f>
        <v>0</v>
      </c>
      <c r="M948" s="55">
        <f>IF(SCAN!K948&lt;&gt;"-",SCAN!D948,0)</f>
        <v>0</v>
      </c>
      <c r="N948" s="55">
        <f>IF(SCAN!K948&lt;&gt;"-",SCAN!E948,0)</f>
        <v>0</v>
      </c>
      <c r="O948" s="55">
        <f>IF(SCAN!K948&lt;&gt;"-",SCAN!F948,0)</f>
        <v>0</v>
      </c>
      <c r="R948" s="53">
        <f>IF(SCAN!Q948&lt;&gt;"-",SCAN!D948,0)</f>
        <v>0</v>
      </c>
      <c r="S948" s="53">
        <f>IF(SCAN!Q948&lt;&gt;"-",SCAN!E948,0)</f>
        <v>0</v>
      </c>
      <c r="T948" s="53">
        <f>IF(SCAN!Q948&lt;&gt;"-",SCAN!F948,0)</f>
        <v>0</v>
      </c>
    </row>
    <row r="949" spans="8:20" x14ac:dyDescent="0.25">
      <c r="H949" s="50">
        <f>IF(AND(SCAN!K949="-",SCAN!Q949="-"),SCAN!D949,0)</f>
        <v>0</v>
      </c>
      <c r="I949" s="50">
        <f>IF(AND(SCAN!K949="-",SCAN!Q949="-"),SCAN!E949,0)</f>
        <v>0</v>
      </c>
      <c r="J949" s="50">
        <f>IF(AND(SCAN!K949="-",SCAN!Q949="-"),SCAN!F949,0)</f>
        <v>0</v>
      </c>
      <c r="M949" s="55">
        <f>IF(SCAN!K949&lt;&gt;"-",SCAN!D949,0)</f>
        <v>0</v>
      </c>
      <c r="N949" s="55">
        <f>IF(SCAN!K949&lt;&gt;"-",SCAN!E949,0)</f>
        <v>0</v>
      </c>
      <c r="O949" s="55">
        <f>IF(SCAN!K949&lt;&gt;"-",SCAN!F949,0)</f>
        <v>0</v>
      </c>
      <c r="R949" s="53">
        <f>IF(SCAN!Q949&lt;&gt;"-",SCAN!D949,0)</f>
        <v>0</v>
      </c>
      <c r="S949" s="53">
        <f>IF(SCAN!Q949&lt;&gt;"-",SCAN!E949,0)</f>
        <v>0</v>
      </c>
      <c r="T949" s="53">
        <f>IF(SCAN!Q949&lt;&gt;"-",SCAN!F949,0)</f>
        <v>0</v>
      </c>
    </row>
    <row r="950" spans="8:20" x14ac:dyDescent="0.25">
      <c r="H950" s="50">
        <f>IF(AND(SCAN!K950="-",SCAN!Q950="-"),SCAN!D950,0)</f>
        <v>0</v>
      </c>
      <c r="I950" s="50">
        <f>IF(AND(SCAN!K950="-",SCAN!Q950="-"),SCAN!E950,0)</f>
        <v>0</v>
      </c>
      <c r="J950" s="50">
        <f>IF(AND(SCAN!K950="-",SCAN!Q950="-"),SCAN!F950,0)</f>
        <v>0</v>
      </c>
      <c r="M950" s="55">
        <f>IF(SCAN!K950&lt;&gt;"-",SCAN!D950,0)</f>
        <v>0</v>
      </c>
      <c r="N950" s="55">
        <f>IF(SCAN!K950&lt;&gt;"-",SCAN!E950,0)</f>
        <v>0</v>
      </c>
      <c r="O950" s="55">
        <f>IF(SCAN!K950&lt;&gt;"-",SCAN!F950,0)</f>
        <v>0</v>
      </c>
      <c r="R950" s="53">
        <f>IF(SCAN!Q950&lt;&gt;"-",SCAN!D950,0)</f>
        <v>0</v>
      </c>
      <c r="S950" s="53">
        <f>IF(SCAN!Q950&lt;&gt;"-",SCAN!E950,0)</f>
        <v>0</v>
      </c>
      <c r="T950" s="53">
        <f>IF(SCAN!Q950&lt;&gt;"-",SCAN!F950,0)</f>
        <v>0</v>
      </c>
    </row>
    <row r="951" spans="8:20" x14ac:dyDescent="0.25">
      <c r="H951" s="50">
        <f>IF(AND(SCAN!K951="-",SCAN!Q951="-"),SCAN!D951,0)</f>
        <v>0</v>
      </c>
      <c r="I951" s="50">
        <f>IF(AND(SCAN!K951="-",SCAN!Q951="-"),SCAN!E951,0)</f>
        <v>0</v>
      </c>
      <c r="J951" s="50">
        <f>IF(AND(SCAN!K951="-",SCAN!Q951="-"),SCAN!F951,0)</f>
        <v>0</v>
      </c>
      <c r="M951" s="55">
        <f>IF(SCAN!K951&lt;&gt;"-",SCAN!D951,0)</f>
        <v>0</v>
      </c>
      <c r="N951" s="55">
        <f>IF(SCAN!K951&lt;&gt;"-",SCAN!E951,0)</f>
        <v>0</v>
      </c>
      <c r="O951" s="55">
        <f>IF(SCAN!K951&lt;&gt;"-",SCAN!F951,0)</f>
        <v>0</v>
      </c>
      <c r="R951" s="53">
        <f>IF(SCAN!Q951&lt;&gt;"-",SCAN!D951,0)</f>
        <v>0</v>
      </c>
      <c r="S951" s="53">
        <f>IF(SCAN!Q951&lt;&gt;"-",SCAN!E951,0)</f>
        <v>0</v>
      </c>
      <c r="T951" s="53">
        <f>IF(SCAN!Q951&lt;&gt;"-",SCAN!F951,0)</f>
        <v>0</v>
      </c>
    </row>
    <row r="952" spans="8:20" x14ac:dyDescent="0.25">
      <c r="H952" s="50">
        <f>IF(AND(SCAN!K952="-",SCAN!Q952="-"),SCAN!D952,0)</f>
        <v>0</v>
      </c>
      <c r="I952" s="50">
        <f>IF(AND(SCAN!K952="-",SCAN!Q952="-"),SCAN!E952,0)</f>
        <v>0</v>
      </c>
      <c r="J952" s="50">
        <f>IF(AND(SCAN!K952="-",SCAN!Q952="-"),SCAN!F952,0)</f>
        <v>0</v>
      </c>
      <c r="M952" s="55">
        <f>IF(SCAN!K952&lt;&gt;"-",SCAN!D952,0)</f>
        <v>0</v>
      </c>
      <c r="N952" s="55">
        <f>IF(SCAN!K952&lt;&gt;"-",SCAN!E952,0)</f>
        <v>0</v>
      </c>
      <c r="O952" s="55">
        <f>IF(SCAN!K952&lt;&gt;"-",SCAN!F952,0)</f>
        <v>0</v>
      </c>
      <c r="R952" s="53">
        <f>IF(SCAN!Q952&lt;&gt;"-",SCAN!D952,0)</f>
        <v>0</v>
      </c>
      <c r="S952" s="53">
        <f>IF(SCAN!Q952&lt;&gt;"-",SCAN!E952,0)</f>
        <v>0</v>
      </c>
      <c r="T952" s="53">
        <f>IF(SCAN!Q952&lt;&gt;"-",SCAN!F952,0)</f>
        <v>0</v>
      </c>
    </row>
    <row r="953" spans="8:20" x14ac:dyDescent="0.25">
      <c r="H953" s="50">
        <f>IF(AND(SCAN!K953="-",SCAN!Q953="-"),SCAN!D953,0)</f>
        <v>0</v>
      </c>
      <c r="I953" s="50">
        <f>IF(AND(SCAN!K953="-",SCAN!Q953="-"),SCAN!E953,0)</f>
        <v>0</v>
      </c>
      <c r="J953" s="50">
        <f>IF(AND(SCAN!K953="-",SCAN!Q953="-"),SCAN!F953,0)</f>
        <v>0</v>
      </c>
      <c r="M953" s="55">
        <f>IF(SCAN!K953&lt;&gt;"-",SCAN!D953,0)</f>
        <v>0</v>
      </c>
      <c r="N953" s="55">
        <f>IF(SCAN!K953&lt;&gt;"-",SCAN!E953,0)</f>
        <v>0</v>
      </c>
      <c r="O953" s="55">
        <f>IF(SCAN!K953&lt;&gt;"-",SCAN!F953,0)</f>
        <v>0</v>
      </c>
      <c r="R953" s="53">
        <f>IF(SCAN!Q953&lt;&gt;"-",SCAN!D953,0)</f>
        <v>0</v>
      </c>
      <c r="S953" s="53">
        <f>IF(SCAN!Q953&lt;&gt;"-",SCAN!E953,0)</f>
        <v>0</v>
      </c>
      <c r="T953" s="53">
        <f>IF(SCAN!Q953&lt;&gt;"-",SCAN!F953,0)</f>
        <v>0</v>
      </c>
    </row>
    <row r="954" spans="8:20" x14ac:dyDescent="0.25">
      <c r="H954" s="50">
        <f>IF(AND(SCAN!K954="-",SCAN!Q954="-"),SCAN!D954,0)</f>
        <v>0</v>
      </c>
      <c r="I954" s="50">
        <f>IF(AND(SCAN!K954="-",SCAN!Q954="-"),SCAN!E954,0)</f>
        <v>0</v>
      </c>
      <c r="J954" s="50">
        <f>IF(AND(SCAN!K954="-",SCAN!Q954="-"),SCAN!F954,0)</f>
        <v>0</v>
      </c>
      <c r="M954" s="55">
        <f>IF(SCAN!K954&lt;&gt;"-",SCAN!D954,0)</f>
        <v>0</v>
      </c>
      <c r="N954" s="55">
        <f>IF(SCAN!K954&lt;&gt;"-",SCAN!E954,0)</f>
        <v>0</v>
      </c>
      <c r="O954" s="55">
        <f>IF(SCAN!K954&lt;&gt;"-",SCAN!F954,0)</f>
        <v>0</v>
      </c>
      <c r="R954" s="53">
        <f>IF(SCAN!Q954&lt;&gt;"-",SCAN!D954,0)</f>
        <v>0</v>
      </c>
      <c r="S954" s="53">
        <f>IF(SCAN!Q954&lt;&gt;"-",SCAN!E954,0)</f>
        <v>0</v>
      </c>
      <c r="T954" s="53">
        <f>IF(SCAN!Q954&lt;&gt;"-",SCAN!F954,0)</f>
        <v>0</v>
      </c>
    </row>
    <row r="955" spans="8:20" x14ac:dyDescent="0.25">
      <c r="H955" s="50">
        <f>IF(AND(SCAN!K955="-",SCAN!Q955="-"),SCAN!D955,0)</f>
        <v>0</v>
      </c>
      <c r="I955" s="50">
        <f>IF(AND(SCAN!K955="-",SCAN!Q955="-"),SCAN!E955,0)</f>
        <v>0</v>
      </c>
      <c r="J955" s="50">
        <f>IF(AND(SCAN!K955="-",SCAN!Q955="-"),SCAN!F955,0)</f>
        <v>0</v>
      </c>
      <c r="M955" s="55">
        <f>IF(SCAN!K955&lt;&gt;"-",SCAN!D955,0)</f>
        <v>0</v>
      </c>
      <c r="N955" s="55">
        <f>IF(SCAN!K955&lt;&gt;"-",SCAN!E955,0)</f>
        <v>0</v>
      </c>
      <c r="O955" s="55">
        <f>IF(SCAN!K955&lt;&gt;"-",SCAN!F955,0)</f>
        <v>0</v>
      </c>
      <c r="R955" s="53">
        <f>IF(SCAN!Q955&lt;&gt;"-",SCAN!D955,0)</f>
        <v>0</v>
      </c>
      <c r="S955" s="53">
        <f>IF(SCAN!Q955&lt;&gt;"-",SCAN!E955,0)</f>
        <v>0</v>
      </c>
      <c r="T955" s="53">
        <f>IF(SCAN!Q955&lt;&gt;"-",SCAN!F955,0)</f>
        <v>0</v>
      </c>
    </row>
    <row r="956" spans="8:20" x14ac:dyDescent="0.25">
      <c r="H956" s="50">
        <f>IF(AND(SCAN!K956="-",SCAN!Q956="-"),SCAN!D956,0)</f>
        <v>0</v>
      </c>
      <c r="I956" s="50">
        <f>IF(AND(SCAN!K956="-",SCAN!Q956="-"),SCAN!E956,0)</f>
        <v>0</v>
      </c>
      <c r="J956" s="50">
        <f>IF(AND(SCAN!K956="-",SCAN!Q956="-"),SCAN!F956,0)</f>
        <v>0</v>
      </c>
      <c r="M956" s="55">
        <f>IF(SCAN!K956&lt;&gt;"-",SCAN!D956,0)</f>
        <v>0</v>
      </c>
      <c r="N956" s="55">
        <f>IF(SCAN!K956&lt;&gt;"-",SCAN!E956,0)</f>
        <v>0</v>
      </c>
      <c r="O956" s="55">
        <f>IF(SCAN!K956&lt;&gt;"-",SCAN!F956,0)</f>
        <v>0</v>
      </c>
      <c r="R956" s="53">
        <f>IF(SCAN!Q956&lt;&gt;"-",SCAN!D956,0)</f>
        <v>0</v>
      </c>
      <c r="S956" s="53">
        <f>IF(SCAN!Q956&lt;&gt;"-",SCAN!E956,0)</f>
        <v>0</v>
      </c>
      <c r="T956" s="53">
        <f>IF(SCAN!Q956&lt;&gt;"-",SCAN!F956,0)</f>
        <v>0</v>
      </c>
    </row>
    <row r="957" spans="8:20" x14ac:dyDescent="0.25">
      <c r="H957" s="50">
        <f>IF(AND(SCAN!K957="-",SCAN!Q957="-"),SCAN!D957,0)</f>
        <v>0</v>
      </c>
      <c r="I957" s="50">
        <f>IF(AND(SCAN!K957="-",SCAN!Q957="-"),SCAN!E957,0)</f>
        <v>0</v>
      </c>
      <c r="J957" s="50">
        <f>IF(AND(SCAN!K957="-",SCAN!Q957="-"),SCAN!F957,0)</f>
        <v>0</v>
      </c>
      <c r="M957" s="55">
        <f>IF(SCAN!K957&lt;&gt;"-",SCAN!D957,0)</f>
        <v>0</v>
      </c>
      <c r="N957" s="55">
        <f>IF(SCAN!K957&lt;&gt;"-",SCAN!E957,0)</f>
        <v>0</v>
      </c>
      <c r="O957" s="55">
        <f>IF(SCAN!K957&lt;&gt;"-",SCAN!F957,0)</f>
        <v>0</v>
      </c>
      <c r="R957" s="53">
        <f>IF(SCAN!Q957&lt;&gt;"-",SCAN!D957,0)</f>
        <v>0</v>
      </c>
      <c r="S957" s="53">
        <f>IF(SCAN!Q957&lt;&gt;"-",SCAN!E957,0)</f>
        <v>0</v>
      </c>
      <c r="T957" s="53">
        <f>IF(SCAN!Q957&lt;&gt;"-",SCAN!F957,0)</f>
        <v>0</v>
      </c>
    </row>
    <row r="958" spans="8:20" x14ac:dyDescent="0.25">
      <c r="H958" s="50">
        <f>IF(AND(SCAN!K958="-",SCAN!Q958="-"),SCAN!D958,0)</f>
        <v>0</v>
      </c>
      <c r="I958" s="50">
        <f>IF(AND(SCAN!K958="-",SCAN!Q958="-"),SCAN!E958,0)</f>
        <v>0</v>
      </c>
      <c r="J958" s="50">
        <f>IF(AND(SCAN!K958="-",SCAN!Q958="-"),SCAN!F958,0)</f>
        <v>0</v>
      </c>
      <c r="M958" s="55">
        <f>IF(SCAN!K958&lt;&gt;"-",SCAN!D958,0)</f>
        <v>0</v>
      </c>
      <c r="N958" s="55">
        <f>IF(SCAN!K958&lt;&gt;"-",SCAN!E958,0)</f>
        <v>0</v>
      </c>
      <c r="O958" s="55">
        <f>IF(SCAN!K958&lt;&gt;"-",SCAN!F958,0)</f>
        <v>0</v>
      </c>
      <c r="R958" s="53">
        <f>IF(SCAN!Q958&lt;&gt;"-",SCAN!D958,0)</f>
        <v>0</v>
      </c>
      <c r="S958" s="53">
        <f>IF(SCAN!Q958&lt;&gt;"-",SCAN!E958,0)</f>
        <v>0</v>
      </c>
      <c r="T958" s="53">
        <f>IF(SCAN!Q958&lt;&gt;"-",SCAN!F958,0)</f>
        <v>0</v>
      </c>
    </row>
    <row r="959" spans="8:20" x14ac:dyDescent="0.25">
      <c r="H959" s="50">
        <f>IF(AND(SCAN!K959="-",SCAN!Q959="-"),SCAN!D959,0)</f>
        <v>0</v>
      </c>
      <c r="I959" s="50">
        <f>IF(AND(SCAN!K959="-",SCAN!Q959="-"),SCAN!E959,0)</f>
        <v>0</v>
      </c>
      <c r="J959" s="50">
        <f>IF(AND(SCAN!K959="-",SCAN!Q959="-"),SCAN!F959,0)</f>
        <v>0</v>
      </c>
      <c r="M959" s="55">
        <f>IF(SCAN!K959&lt;&gt;"-",SCAN!D959,0)</f>
        <v>0</v>
      </c>
      <c r="N959" s="55">
        <f>IF(SCAN!K959&lt;&gt;"-",SCAN!E959,0)</f>
        <v>0</v>
      </c>
      <c r="O959" s="55">
        <f>IF(SCAN!K959&lt;&gt;"-",SCAN!F959,0)</f>
        <v>0</v>
      </c>
      <c r="R959" s="53">
        <f>IF(SCAN!Q959&lt;&gt;"-",SCAN!D959,0)</f>
        <v>0</v>
      </c>
      <c r="S959" s="53">
        <f>IF(SCAN!Q959&lt;&gt;"-",SCAN!E959,0)</f>
        <v>0</v>
      </c>
      <c r="T959" s="53">
        <f>IF(SCAN!Q959&lt;&gt;"-",SCAN!F959,0)</f>
        <v>0</v>
      </c>
    </row>
    <row r="960" spans="8:20" x14ac:dyDescent="0.25">
      <c r="H960" s="50">
        <f>IF(AND(SCAN!K960="-",SCAN!Q960="-"),SCAN!D960,0)</f>
        <v>0</v>
      </c>
      <c r="I960" s="50">
        <f>IF(AND(SCAN!K960="-",SCAN!Q960="-"),SCAN!E960,0)</f>
        <v>0</v>
      </c>
      <c r="J960" s="50">
        <f>IF(AND(SCAN!K960="-",SCAN!Q960="-"),SCAN!F960,0)</f>
        <v>0</v>
      </c>
      <c r="M960" s="55">
        <f>IF(SCAN!K960&lt;&gt;"-",SCAN!D960,0)</f>
        <v>0</v>
      </c>
      <c r="N960" s="55">
        <f>IF(SCAN!K960&lt;&gt;"-",SCAN!E960,0)</f>
        <v>0</v>
      </c>
      <c r="O960" s="55">
        <f>IF(SCAN!K960&lt;&gt;"-",SCAN!F960,0)</f>
        <v>0</v>
      </c>
      <c r="R960" s="53">
        <f>IF(SCAN!Q960&lt;&gt;"-",SCAN!D960,0)</f>
        <v>0</v>
      </c>
      <c r="S960" s="53">
        <f>IF(SCAN!Q960&lt;&gt;"-",SCAN!E960,0)</f>
        <v>0</v>
      </c>
      <c r="T960" s="53">
        <f>IF(SCAN!Q960&lt;&gt;"-",SCAN!F960,0)</f>
        <v>0</v>
      </c>
    </row>
    <row r="961" spans="8:20" x14ac:dyDescent="0.25">
      <c r="H961" s="50">
        <f>IF(AND(SCAN!K961="-",SCAN!Q961="-"),SCAN!D961,0)</f>
        <v>0</v>
      </c>
      <c r="I961" s="50">
        <f>IF(AND(SCAN!K961="-",SCAN!Q961="-"),SCAN!E961,0)</f>
        <v>0</v>
      </c>
      <c r="J961" s="50">
        <f>IF(AND(SCAN!K961="-",SCAN!Q961="-"),SCAN!F961,0)</f>
        <v>0</v>
      </c>
      <c r="M961" s="55">
        <f>IF(SCAN!K961&lt;&gt;"-",SCAN!D961,0)</f>
        <v>0</v>
      </c>
      <c r="N961" s="55">
        <f>IF(SCAN!K961&lt;&gt;"-",SCAN!E961,0)</f>
        <v>0</v>
      </c>
      <c r="O961" s="55">
        <f>IF(SCAN!K961&lt;&gt;"-",SCAN!F961,0)</f>
        <v>0</v>
      </c>
      <c r="R961" s="53">
        <f>IF(SCAN!Q961&lt;&gt;"-",SCAN!D961,0)</f>
        <v>0</v>
      </c>
      <c r="S961" s="53">
        <f>IF(SCAN!Q961&lt;&gt;"-",SCAN!E961,0)</f>
        <v>0</v>
      </c>
      <c r="T961" s="53">
        <f>IF(SCAN!Q961&lt;&gt;"-",SCAN!F961,0)</f>
        <v>0</v>
      </c>
    </row>
    <row r="962" spans="8:20" x14ac:dyDescent="0.25">
      <c r="H962" s="50">
        <f>IF(AND(SCAN!K962="-",SCAN!Q962="-"),SCAN!D962,0)</f>
        <v>0</v>
      </c>
      <c r="I962" s="50">
        <f>IF(AND(SCAN!K962="-",SCAN!Q962="-"),SCAN!E962,0)</f>
        <v>0</v>
      </c>
      <c r="J962" s="50">
        <f>IF(AND(SCAN!K962="-",SCAN!Q962="-"),SCAN!F962,0)</f>
        <v>0</v>
      </c>
      <c r="M962" s="55">
        <f>IF(SCAN!K962&lt;&gt;"-",SCAN!D962,0)</f>
        <v>0</v>
      </c>
      <c r="N962" s="55">
        <f>IF(SCAN!K962&lt;&gt;"-",SCAN!E962,0)</f>
        <v>0</v>
      </c>
      <c r="O962" s="55">
        <f>IF(SCAN!K962&lt;&gt;"-",SCAN!F962,0)</f>
        <v>0</v>
      </c>
      <c r="R962" s="53">
        <f>IF(SCAN!Q962&lt;&gt;"-",SCAN!D962,0)</f>
        <v>0</v>
      </c>
      <c r="S962" s="53">
        <f>IF(SCAN!Q962&lt;&gt;"-",SCAN!E962,0)</f>
        <v>0</v>
      </c>
      <c r="T962" s="53">
        <f>IF(SCAN!Q962&lt;&gt;"-",SCAN!F962,0)</f>
        <v>0</v>
      </c>
    </row>
    <row r="963" spans="8:20" x14ac:dyDescent="0.25">
      <c r="H963" s="50">
        <f>IF(AND(SCAN!K963="-",SCAN!Q963="-"),SCAN!D963,0)</f>
        <v>0</v>
      </c>
      <c r="I963" s="50">
        <f>IF(AND(SCAN!K963="-",SCAN!Q963="-"),SCAN!E963,0)</f>
        <v>0</v>
      </c>
      <c r="J963" s="50">
        <f>IF(AND(SCAN!K963="-",SCAN!Q963="-"),SCAN!F963,0)</f>
        <v>0</v>
      </c>
      <c r="M963" s="55">
        <f>IF(SCAN!K963&lt;&gt;"-",SCAN!D963,0)</f>
        <v>0</v>
      </c>
      <c r="N963" s="55">
        <f>IF(SCAN!K963&lt;&gt;"-",SCAN!E963,0)</f>
        <v>0</v>
      </c>
      <c r="O963" s="55">
        <f>IF(SCAN!K963&lt;&gt;"-",SCAN!F963,0)</f>
        <v>0</v>
      </c>
      <c r="R963" s="53">
        <f>IF(SCAN!Q963&lt;&gt;"-",SCAN!D963,0)</f>
        <v>0</v>
      </c>
      <c r="S963" s="53">
        <f>IF(SCAN!Q963&lt;&gt;"-",SCAN!E963,0)</f>
        <v>0</v>
      </c>
      <c r="T963" s="53">
        <f>IF(SCAN!Q963&lt;&gt;"-",SCAN!F963,0)</f>
        <v>0</v>
      </c>
    </row>
    <row r="964" spans="8:20" x14ac:dyDescent="0.25">
      <c r="H964" s="50">
        <f>IF(AND(SCAN!K964="-",SCAN!Q964="-"),SCAN!D964,0)</f>
        <v>0</v>
      </c>
      <c r="I964" s="50">
        <f>IF(AND(SCAN!K964="-",SCAN!Q964="-"),SCAN!E964,0)</f>
        <v>0</v>
      </c>
      <c r="J964" s="50">
        <f>IF(AND(SCAN!K964="-",SCAN!Q964="-"),SCAN!F964,0)</f>
        <v>0</v>
      </c>
      <c r="M964" s="55">
        <f>IF(SCAN!K964&lt;&gt;"-",SCAN!D964,0)</f>
        <v>0</v>
      </c>
      <c r="N964" s="55">
        <f>IF(SCAN!K964&lt;&gt;"-",SCAN!E964,0)</f>
        <v>0</v>
      </c>
      <c r="O964" s="55">
        <f>IF(SCAN!K964&lt;&gt;"-",SCAN!F964,0)</f>
        <v>0</v>
      </c>
      <c r="R964" s="53">
        <f>IF(SCAN!Q964&lt;&gt;"-",SCAN!D964,0)</f>
        <v>0</v>
      </c>
      <c r="S964" s="53">
        <f>IF(SCAN!Q964&lt;&gt;"-",SCAN!E964,0)</f>
        <v>0</v>
      </c>
      <c r="T964" s="53">
        <f>IF(SCAN!Q964&lt;&gt;"-",SCAN!F964,0)</f>
        <v>0</v>
      </c>
    </row>
    <row r="965" spans="8:20" x14ac:dyDescent="0.25">
      <c r="H965" s="50">
        <f>IF(AND(SCAN!K965="-",SCAN!Q965="-"),SCAN!D965,0)</f>
        <v>0</v>
      </c>
      <c r="I965" s="50">
        <f>IF(AND(SCAN!K965="-",SCAN!Q965="-"),SCAN!E965,0)</f>
        <v>0</v>
      </c>
      <c r="J965" s="50">
        <f>IF(AND(SCAN!K965="-",SCAN!Q965="-"),SCAN!F965,0)</f>
        <v>0</v>
      </c>
      <c r="M965" s="55">
        <f>IF(SCAN!K965&lt;&gt;"-",SCAN!D965,0)</f>
        <v>0</v>
      </c>
      <c r="N965" s="55">
        <f>IF(SCAN!K965&lt;&gt;"-",SCAN!E965,0)</f>
        <v>0</v>
      </c>
      <c r="O965" s="55">
        <f>IF(SCAN!K965&lt;&gt;"-",SCAN!F965,0)</f>
        <v>0</v>
      </c>
      <c r="R965" s="53">
        <f>IF(SCAN!Q965&lt;&gt;"-",SCAN!D965,0)</f>
        <v>0</v>
      </c>
      <c r="S965" s="53">
        <f>IF(SCAN!Q965&lt;&gt;"-",SCAN!E965,0)</f>
        <v>0</v>
      </c>
      <c r="T965" s="53">
        <f>IF(SCAN!Q965&lt;&gt;"-",SCAN!F965,0)</f>
        <v>0</v>
      </c>
    </row>
    <row r="966" spans="8:20" x14ac:dyDescent="0.25">
      <c r="H966" s="50">
        <f>IF(AND(SCAN!K966="-",SCAN!Q966="-"),SCAN!D966,0)</f>
        <v>0</v>
      </c>
      <c r="I966" s="50">
        <f>IF(AND(SCAN!K966="-",SCAN!Q966="-"),SCAN!E966,0)</f>
        <v>0</v>
      </c>
      <c r="J966" s="50">
        <f>IF(AND(SCAN!K966="-",SCAN!Q966="-"),SCAN!F966,0)</f>
        <v>0</v>
      </c>
      <c r="M966" s="55">
        <f>IF(SCAN!K966&lt;&gt;"-",SCAN!D966,0)</f>
        <v>0</v>
      </c>
      <c r="N966" s="55">
        <f>IF(SCAN!K966&lt;&gt;"-",SCAN!E966,0)</f>
        <v>0</v>
      </c>
      <c r="O966" s="55">
        <f>IF(SCAN!K966&lt;&gt;"-",SCAN!F966,0)</f>
        <v>0</v>
      </c>
      <c r="R966" s="53">
        <f>IF(SCAN!Q966&lt;&gt;"-",SCAN!D966,0)</f>
        <v>0</v>
      </c>
      <c r="S966" s="53">
        <f>IF(SCAN!Q966&lt;&gt;"-",SCAN!E966,0)</f>
        <v>0</v>
      </c>
      <c r="T966" s="53">
        <f>IF(SCAN!Q966&lt;&gt;"-",SCAN!F966,0)</f>
        <v>0</v>
      </c>
    </row>
    <row r="967" spans="8:20" x14ac:dyDescent="0.25">
      <c r="H967" s="50">
        <f>IF(AND(SCAN!K967="-",SCAN!Q967="-"),SCAN!D967,0)</f>
        <v>0</v>
      </c>
      <c r="I967" s="50">
        <f>IF(AND(SCAN!K967="-",SCAN!Q967="-"),SCAN!E967,0)</f>
        <v>0</v>
      </c>
      <c r="J967" s="50">
        <f>IF(AND(SCAN!K967="-",SCAN!Q967="-"),SCAN!F967,0)</f>
        <v>0</v>
      </c>
      <c r="M967" s="55">
        <f>IF(SCAN!K967&lt;&gt;"-",SCAN!D967,0)</f>
        <v>0</v>
      </c>
      <c r="N967" s="55">
        <f>IF(SCAN!K967&lt;&gt;"-",SCAN!E967,0)</f>
        <v>0</v>
      </c>
      <c r="O967" s="55">
        <f>IF(SCAN!K967&lt;&gt;"-",SCAN!F967,0)</f>
        <v>0</v>
      </c>
      <c r="R967" s="53">
        <f>IF(SCAN!Q967&lt;&gt;"-",SCAN!D967,0)</f>
        <v>0</v>
      </c>
      <c r="S967" s="53">
        <f>IF(SCAN!Q967&lt;&gt;"-",SCAN!E967,0)</f>
        <v>0</v>
      </c>
      <c r="T967" s="53">
        <f>IF(SCAN!Q967&lt;&gt;"-",SCAN!F967,0)</f>
        <v>0</v>
      </c>
    </row>
    <row r="968" spans="8:20" x14ac:dyDescent="0.25">
      <c r="H968" s="50">
        <f>IF(AND(SCAN!K968="-",SCAN!Q968="-"),SCAN!D968,0)</f>
        <v>0</v>
      </c>
      <c r="I968" s="50">
        <f>IF(AND(SCAN!K968="-",SCAN!Q968="-"),SCAN!E968,0)</f>
        <v>0</v>
      </c>
      <c r="J968" s="50">
        <f>IF(AND(SCAN!K968="-",SCAN!Q968="-"),SCAN!F968,0)</f>
        <v>0</v>
      </c>
      <c r="M968" s="55">
        <f>IF(SCAN!K968&lt;&gt;"-",SCAN!D968,0)</f>
        <v>0</v>
      </c>
      <c r="N968" s="55">
        <f>IF(SCAN!K968&lt;&gt;"-",SCAN!E968,0)</f>
        <v>0</v>
      </c>
      <c r="O968" s="55">
        <f>IF(SCAN!K968&lt;&gt;"-",SCAN!F968,0)</f>
        <v>0</v>
      </c>
      <c r="R968" s="53">
        <f>IF(SCAN!Q968&lt;&gt;"-",SCAN!D968,0)</f>
        <v>0</v>
      </c>
      <c r="S968" s="53">
        <f>IF(SCAN!Q968&lt;&gt;"-",SCAN!E968,0)</f>
        <v>0</v>
      </c>
      <c r="T968" s="53">
        <f>IF(SCAN!Q968&lt;&gt;"-",SCAN!F968,0)</f>
        <v>0</v>
      </c>
    </row>
    <row r="969" spans="8:20" x14ac:dyDescent="0.25">
      <c r="H969" s="50">
        <f>IF(AND(SCAN!K969="-",SCAN!Q969="-"),SCAN!D969,0)</f>
        <v>0</v>
      </c>
      <c r="I969" s="50">
        <f>IF(AND(SCAN!K969="-",SCAN!Q969="-"),SCAN!E969,0)</f>
        <v>0</v>
      </c>
      <c r="J969" s="50">
        <f>IF(AND(SCAN!K969="-",SCAN!Q969="-"),SCAN!F969,0)</f>
        <v>0</v>
      </c>
      <c r="M969" s="55">
        <f>IF(SCAN!K969&lt;&gt;"-",SCAN!D969,0)</f>
        <v>0</v>
      </c>
      <c r="N969" s="55">
        <f>IF(SCAN!K969&lt;&gt;"-",SCAN!E969,0)</f>
        <v>0</v>
      </c>
      <c r="O969" s="55">
        <f>IF(SCAN!K969&lt;&gt;"-",SCAN!F969,0)</f>
        <v>0</v>
      </c>
      <c r="R969" s="53">
        <f>IF(SCAN!Q969&lt;&gt;"-",SCAN!D969,0)</f>
        <v>0</v>
      </c>
      <c r="S969" s="53">
        <f>IF(SCAN!Q969&lt;&gt;"-",SCAN!E969,0)</f>
        <v>0</v>
      </c>
      <c r="T969" s="53">
        <f>IF(SCAN!Q969&lt;&gt;"-",SCAN!F969,0)</f>
        <v>0</v>
      </c>
    </row>
    <row r="970" spans="8:20" x14ac:dyDescent="0.25">
      <c r="H970" s="50">
        <f>IF(AND(SCAN!K970="-",SCAN!Q970="-"),SCAN!D970,0)</f>
        <v>0</v>
      </c>
      <c r="I970" s="50">
        <f>IF(AND(SCAN!K970="-",SCAN!Q970="-"),SCAN!E970,0)</f>
        <v>0</v>
      </c>
      <c r="J970" s="50">
        <f>IF(AND(SCAN!K970="-",SCAN!Q970="-"),SCAN!F970,0)</f>
        <v>0</v>
      </c>
      <c r="M970" s="55">
        <f>IF(SCAN!K970&lt;&gt;"-",SCAN!D970,0)</f>
        <v>0</v>
      </c>
      <c r="N970" s="55">
        <f>IF(SCAN!K970&lt;&gt;"-",SCAN!E970,0)</f>
        <v>0</v>
      </c>
      <c r="O970" s="55">
        <f>IF(SCAN!K970&lt;&gt;"-",SCAN!F970,0)</f>
        <v>0</v>
      </c>
      <c r="R970" s="53">
        <f>IF(SCAN!Q970&lt;&gt;"-",SCAN!D970,0)</f>
        <v>0</v>
      </c>
      <c r="S970" s="53">
        <f>IF(SCAN!Q970&lt;&gt;"-",SCAN!E970,0)</f>
        <v>0</v>
      </c>
      <c r="T970" s="53">
        <f>IF(SCAN!Q970&lt;&gt;"-",SCAN!F970,0)</f>
        <v>0</v>
      </c>
    </row>
    <row r="971" spans="8:20" x14ac:dyDescent="0.25">
      <c r="H971" s="50">
        <f>IF(AND(SCAN!K971="-",SCAN!Q971="-"),SCAN!D971,0)</f>
        <v>0</v>
      </c>
      <c r="I971" s="50">
        <f>IF(AND(SCAN!K971="-",SCAN!Q971="-"),SCAN!E971,0)</f>
        <v>0</v>
      </c>
      <c r="J971" s="50">
        <f>IF(AND(SCAN!K971="-",SCAN!Q971="-"),SCAN!F971,0)</f>
        <v>0</v>
      </c>
      <c r="M971" s="55">
        <f>IF(SCAN!K971&lt;&gt;"-",SCAN!D971,0)</f>
        <v>0</v>
      </c>
      <c r="N971" s="55">
        <f>IF(SCAN!K971&lt;&gt;"-",SCAN!E971,0)</f>
        <v>0</v>
      </c>
      <c r="O971" s="55">
        <f>IF(SCAN!K971&lt;&gt;"-",SCAN!F971,0)</f>
        <v>0</v>
      </c>
      <c r="R971" s="53">
        <f>IF(SCAN!Q971&lt;&gt;"-",SCAN!D971,0)</f>
        <v>0</v>
      </c>
      <c r="S971" s="53">
        <f>IF(SCAN!Q971&lt;&gt;"-",SCAN!E971,0)</f>
        <v>0</v>
      </c>
      <c r="T971" s="53">
        <f>IF(SCAN!Q971&lt;&gt;"-",SCAN!F971,0)</f>
        <v>0</v>
      </c>
    </row>
    <row r="972" spans="8:20" x14ac:dyDescent="0.25">
      <c r="H972" s="50">
        <f>IF(AND(SCAN!K972="-",SCAN!Q972="-"),SCAN!D972,0)</f>
        <v>0</v>
      </c>
      <c r="I972" s="50">
        <f>IF(AND(SCAN!K972="-",SCAN!Q972="-"),SCAN!E972,0)</f>
        <v>0</v>
      </c>
      <c r="J972" s="50">
        <f>IF(AND(SCAN!K972="-",SCAN!Q972="-"),SCAN!F972,0)</f>
        <v>0</v>
      </c>
      <c r="M972" s="55">
        <f>IF(SCAN!K972&lt;&gt;"-",SCAN!D972,0)</f>
        <v>0</v>
      </c>
      <c r="N972" s="55">
        <f>IF(SCAN!K972&lt;&gt;"-",SCAN!E972,0)</f>
        <v>0</v>
      </c>
      <c r="O972" s="55">
        <f>IF(SCAN!K972&lt;&gt;"-",SCAN!F972,0)</f>
        <v>0</v>
      </c>
      <c r="R972" s="53">
        <f>IF(SCAN!Q972&lt;&gt;"-",SCAN!D972,0)</f>
        <v>0</v>
      </c>
      <c r="S972" s="53">
        <f>IF(SCAN!Q972&lt;&gt;"-",SCAN!E972,0)</f>
        <v>0</v>
      </c>
      <c r="T972" s="53">
        <f>IF(SCAN!Q972&lt;&gt;"-",SCAN!F972,0)</f>
        <v>0</v>
      </c>
    </row>
    <row r="973" spans="8:20" x14ac:dyDescent="0.25">
      <c r="H973" s="50">
        <f>IF(AND(SCAN!K973="-",SCAN!Q973="-"),SCAN!D973,0)</f>
        <v>0</v>
      </c>
      <c r="I973" s="50">
        <f>IF(AND(SCAN!K973="-",SCAN!Q973="-"),SCAN!E973,0)</f>
        <v>0</v>
      </c>
      <c r="J973" s="50">
        <f>IF(AND(SCAN!K973="-",SCAN!Q973="-"),SCAN!F973,0)</f>
        <v>0</v>
      </c>
      <c r="M973" s="55">
        <f>IF(SCAN!K973&lt;&gt;"-",SCAN!D973,0)</f>
        <v>0</v>
      </c>
      <c r="N973" s="55">
        <f>IF(SCAN!K973&lt;&gt;"-",SCAN!E973,0)</f>
        <v>0</v>
      </c>
      <c r="O973" s="55">
        <f>IF(SCAN!K973&lt;&gt;"-",SCAN!F973,0)</f>
        <v>0</v>
      </c>
      <c r="R973" s="53">
        <f>IF(SCAN!Q973&lt;&gt;"-",SCAN!D973,0)</f>
        <v>0</v>
      </c>
      <c r="S973" s="53">
        <f>IF(SCAN!Q973&lt;&gt;"-",SCAN!E973,0)</f>
        <v>0</v>
      </c>
      <c r="T973" s="53">
        <f>IF(SCAN!Q973&lt;&gt;"-",SCAN!F973,0)</f>
        <v>0</v>
      </c>
    </row>
    <row r="974" spans="8:20" x14ac:dyDescent="0.25">
      <c r="H974" s="50">
        <f>IF(AND(SCAN!K974="-",SCAN!Q974="-"),SCAN!D974,0)</f>
        <v>0</v>
      </c>
      <c r="I974" s="50">
        <f>IF(AND(SCAN!K974="-",SCAN!Q974="-"),SCAN!E974,0)</f>
        <v>0</v>
      </c>
      <c r="J974" s="50">
        <f>IF(AND(SCAN!K974="-",SCAN!Q974="-"),SCAN!F974,0)</f>
        <v>0</v>
      </c>
      <c r="M974" s="55">
        <f>IF(SCAN!K974&lt;&gt;"-",SCAN!D974,0)</f>
        <v>0</v>
      </c>
      <c r="N974" s="55">
        <f>IF(SCAN!K974&lt;&gt;"-",SCAN!E974,0)</f>
        <v>0</v>
      </c>
      <c r="O974" s="55">
        <f>IF(SCAN!K974&lt;&gt;"-",SCAN!F974,0)</f>
        <v>0</v>
      </c>
      <c r="R974" s="53">
        <f>IF(SCAN!Q974&lt;&gt;"-",SCAN!D974,0)</f>
        <v>0</v>
      </c>
      <c r="S974" s="53">
        <f>IF(SCAN!Q974&lt;&gt;"-",SCAN!E974,0)</f>
        <v>0</v>
      </c>
      <c r="T974" s="53">
        <f>IF(SCAN!Q974&lt;&gt;"-",SCAN!F974,0)</f>
        <v>0</v>
      </c>
    </row>
    <row r="975" spans="8:20" x14ac:dyDescent="0.25">
      <c r="H975" s="50">
        <f>IF(AND(SCAN!K975="-",SCAN!Q975="-"),SCAN!D975,0)</f>
        <v>0</v>
      </c>
      <c r="I975" s="50">
        <f>IF(AND(SCAN!K975="-",SCAN!Q975="-"),SCAN!E975,0)</f>
        <v>0</v>
      </c>
      <c r="J975" s="50">
        <f>IF(AND(SCAN!K975="-",SCAN!Q975="-"),SCAN!F975,0)</f>
        <v>0</v>
      </c>
      <c r="M975" s="55">
        <f>IF(SCAN!K975&lt;&gt;"-",SCAN!D975,0)</f>
        <v>0</v>
      </c>
      <c r="N975" s="55">
        <f>IF(SCAN!K975&lt;&gt;"-",SCAN!E975,0)</f>
        <v>0</v>
      </c>
      <c r="O975" s="55">
        <f>IF(SCAN!K975&lt;&gt;"-",SCAN!F975,0)</f>
        <v>0</v>
      </c>
      <c r="R975" s="53">
        <f>IF(SCAN!Q975&lt;&gt;"-",SCAN!D975,0)</f>
        <v>0</v>
      </c>
      <c r="S975" s="53">
        <f>IF(SCAN!Q975&lt;&gt;"-",SCAN!E975,0)</f>
        <v>0</v>
      </c>
      <c r="T975" s="53">
        <f>IF(SCAN!Q975&lt;&gt;"-",SCAN!F975,0)</f>
        <v>0</v>
      </c>
    </row>
    <row r="976" spans="8:20" x14ac:dyDescent="0.25">
      <c r="H976" s="50">
        <f>IF(AND(SCAN!K976="-",SCAN!Q976="-"),SCAN!D976,0)</f>
        <v>0</v>
      </c>
      <c r="I976" s="50">
        <f>IF(AND(SCAN!K976="-",SCAN!Q976="-"),SCAN!E976,0)</f>
        <v>0</v>
      </c>
      <c r="J976" s="50">
        <f>IF(AND(SCAN!K976="-",SCAN!Q976="-"),SCAN!F976,0)</f>
        <v>0</v>
      </c>
      <c r="M976" s="55">
        <f>IF(SCAN!K976&lt;&gt;"-",SCAN!D976,0)</f>
        <v>0</v>
      </c>
      <c r="N976" s="55">
        <f>IF(SCAN!K976&lt;&gt;"-",SCAN!E976,0)</f>
        <v>0</v>
      </c>
      <c r="O976" s="55">
        <f>IF(SCAN!K976&lt;&gt;"-",SCAN!F976,0)</f>
        <v>0</v>
      </c>
      <c r="R976" s="53">
        <f>IF(SCAN!Q976&lt;&gt;"-",SCAN!D976,0)</f>
        <v>0</v>
      </c>
      <c r="S976" s="53">
        <f>IF(SCAN!Q976&lt;&gt;"-",SCAN!E976,0)</f>
        <v>0</v>
      </c>
      <c r="T976" s="53">
        <f>IF(SCAN!Q976&lt;&gt;"-",SCAN!F976,0)</f>
        <v>0</v>
      </c>
    </row>
    <row r="977" spans="8:20" x14ac:dyDescent="0.25">
      <c r="H977" s="50">
        <f>IF(AND(SCAN!K977="-",SCAN!Q977="-"),SCAN!D977,0)</f>
        <v>0</v>
      </c>
      <c r="I977" s="50">
        <f>IF(AND(SCAN!K977="-",SCAN!Q977="-"),SCAN!E977,0)</f>
        <v>0</v>
      </c>
      <c r="J977" s="50">
        <f>IF(AND(SCAN!K977="-",SCAN!Q977="-"),SCAN!F977,0)</f>
        <v>0</v>
      </c>
      <c r="M977" s="55">
        <f>IF(SCAN!K977&lt;&gt;"-",SCAN!D977,0)</f>
        <v>0</v>
      </c>
      <c r="N977" s="55">
        <f>IF(SCAN!K977&lt;&gt;"-",SCAN!E977,0)</f>
        <v>0</v>
      </c>
      <c r="O977" s="55">
        <f>IF(SCAN!K977&lt;&gt;"-",SCAN!F977,0)</f>
        <v>0</v>
      </c>
      <c r="R977" s="53">
        <f>IF(SCAN!Q977&lt;&gt;"-",SCAN!D977,0)</f>
        <v>0</v>
      </c>
      <c r="S977" s="53">
        <f>IF(SCAN!Q977&lt;&gt;"-",SCAN!E977,0)</f>
        <v>0</v>
      </c>
      <c r="T977" s="53">
        <f>IF(SCAN!Q977&lt;&gt;"-",SCAN!F977,0)</f>
        <v>0</v>
      </c>
    </row>
    <row r="978" spans="8:20" x14ac:dyDescent="0.25">
      <c r="H978" s="50">
        <f>IF(AND(SCAN!K978="-",SCAN!Q978="-"),SCAN!D978,0)</f>
        <v>0</v>
      </c>
      <c r="I978" s="50">
        <f>IF(AND(SCAN!K978="-",SCAN!Q978="-"),SCAN!E978,0)</f>
        <v>0</v>
      </c>
      <c r="J978" s="50">
        <f>IF(AND(SCAN!K978="-",SCAN!Q978="-"),SCAN!F978,0)</f>
        <v>0</v>
      </c>
      <c r="M978" s="55">
        <f>IF(SCAN!K978&lt;&gt;"-",SCAN!D978,0)</f>
        <v>0</v>
      </c>
      <c r="N978" s="55">
        <f>IF(SCAN!K978&lt;&gt;"-",SCAN!E978,0)</f>
        <v>0</v>
      </c>
      <c r="O978" s="55">
        <f>IF(SCAN!K978&lt;&gt;"-",SCAN!F978,0)</f>
        <v>0</v>
      </c>
      <c r="R978" s="53">
        <f>IF(SCAN!Q978&lt;&gt;"-",SCAN!D978,0)</f>
        <v>0</v>
      </c>
      <c r="S978" s="53">
        <f>IF(SCAN!Q978&lt;&gt;"-",SCAN!E978,0)</f>
        <v>0</v>
      </c>
      <c r="T978" s="53">
        <f>IF(SCAN!Q978&lt;&gt;"-",SCAN!F978,0)</f>
        <v>0</v>
      </c>
    </row>
    <row r="979" spans="8:20" x14ac:dyDescent="0.25">
      <c r="H979" s="50">
        <f>IF(AND(SCAN!K979="-",SCAN!Q979="-"),SCAN!D979,0)</f>
        <v>0</v>
      </c>
      <c r="I979" s="50">
        <f>IF(AND(SCAN!K979="-",SCAN!Q979="-"),SCAN!E979,0)</f>
        <v>0</v>
      </c>
      <c r="J979" s="50">
        <f>IF(AND(SCAN!K979="-",SCAN!Q979="-"),SCAN!F979,0)</f>
        <v>0</v>
      </c>
      <c r="M979" s="55">
        <f>IF(SCAN!K979&lt;&gt;"-",SCAN!D979,0)</f>
        <v>0</v>
      </c>
      <c r="N979" s="55">
        <f>IF(SCAN!K979&lt;&gt;"-",SCAN!E979,0)</f>
        <v>0</v>
      </c>
      <c r="O979" s="55">
        <f>IF(SCAN!K979&lt;&gt;"-",SCAN!F979,0)</f>
        <v>0</v>
      </c>
      <c r="R979" s="53">
        <f>IF(SCAN!Q979&lt;&gt;"-",SCAN!D979,0)</f>
        <v>0</v>
      </c>
      <c r="S979" s="53">
        <f>IF(SCAN!Q979&lt;&gt;"-",SCAN!E979,0)</f>
        <v>0</v>
      </c>
      <c r="T979" s="53">
        <f>IF(SCAN!Q979&lt;&gt;"-",SCAN!F979,0)</f>
        <v>0</v>
      </c>
    </row>
    <row r="980" spans="8:20" x14ac:dyDescent="0.25">
      <c r="H980" s="50">
        <f>IF(AND(SCAN!K980="-",SCAN!Q980="-"),SCAN!D980,0)</f>
        <v>0</v>
      </c>
      <c r="I980" s="50">
        <f>IF(AND(SCAN!K980="-",SCAN!Q980="-"),SCAN!E980,0)</f>
        <v>0</v>
      </c>
      <c r="J980" s="50">
        <f>IF(AND(SCAN!K980="-",SCAN!Q980="-"),SCAN!F980,0)</f>
        <v>0</v>
      </c>
      <c r="M980" s="55">
        <f>IF(SCAN!K980&lt;&gt;"-",SCAN!D980,0)</f>
        <v>0</v>
      </c>
      <c r="N980" s="55">
        <f>IF(SCAN!K980&lt;&gt;"-",SCAN!E980,0)</f>
        <v>0</v>
      </c>
      <c r="O980" s="55">
        <f>IF(SCAN!K980&lt;&gt;"-",SCAN!F980,0)</f>
        <v>0</v>
      </c>
      <c r="R980" s="53">
        <f>IF(SCAN!Q980&lt;&gt;"-",SCAN!D980,0)</f>
        <v>0</v>
      </c>
      <c r="S980" s="53">
        <f>IF(SCAN!Q980&lt;&gt;"-",SCAN!E980,0)</f>
        <v>0</v>
      </c>
      <c r="T980" s="53">
        <f>IF(SCAN!Q980&lt;&gt;"-",SCAN!F980,0)</f>
        <v>0</v>
      </c>
    </row>
    <row r="981" spans="8:20" x14ac:dyDescent="0.25">
      <c r="H981" s="50">
        <f>IF(AND(SCAN!K981="-",SCAN!Q981="-"),SCAN!D981,0)</f>
        <v>0</v>
      </c>
      <c r="I981" s="50">
        <f>IF(AND(SCAN!K981="-",SCAN!Q981="-"),SCAN!E981,0)</f>
        <v>0</v>
      </c>
      <c r="J981" s="50">
        <f>IF(AND(SCAN!K981="-",SCAN!Q981="-"),SCAN!F981,0)</f>
        <v>0</v>
      </c>
      <c r="M981" s="55">
        <f>IF(SCAN!K981&lt;&gt;"-",SCAN!D981,0)</f>
        <v>0</v>
      </c>
      <c r="N981" s="55">
        <f>IF(SCAN!K981&lt;&gt;"-",SCAN!E981,0)</f>
        <v>0</v>
      </c>
      <c r="O981" s="55">
        <f>IF(SCAN!K981&lt;&gt;"-",SCAN!F981,0)</f>
        <v>0</v>
      </c>
      <c r="R981" s="53">
        <f>IF(SCAN!Q981&lt;&gt;"-",SCAN!D981,0)</f>
        <v>0</v>
      </c>
      <c r="S981" s="53">
        <f>IF(SCAN!Q981&lt;&gt;"-",SCAN!E981,0)</f>
        <v>0</v>
      </c>
      <c r="T981" s="53">
        <f>IF(SCAN!Q981&lt;&gt;"-",SCAN!F981,0)</f>
        <v>0</v>
      </c>
    </row>
    <row r="982" spans="8:20" x14ac:dyDescent="0.25">
      <c r="H982" s="50">
        <f>IF(AND(SCAN!K982="-",SCAN!Q982="-"),SCAN!D982,0)</f>
        <v>0</v>
      </c>
      <c r="I982" s="50">
        <f>IF(AND(SCAN!K982="-",SCAN!Q982="-"),SCAN!E982,0)</f>
        <v>0</v>
      </c>
      <c r="J982" s="50">
        <f>IF(AND(SCAN!K982="-",SCAN!Q982="-"),SCAN!F982,0)</f>
        <v>0</v>
      </c>
      <c r="M982" s="55">
        <f>IF(SCAN!K982&lt;&gt;"-",SCAN!D982,0)</f>
        <v>0</v>
      </c>
      <c r="N982" s="55">
        <f>IF(SCAN!K982&lt;&gt;"-",SCAN!E982,0)</f>
        <v>0</v>
      </c>
      <c r="O982" s="55">
        <f>IF(SCAN!K982&lt;&gt;"-",SCAN!F982,0)</f>
        <v>0</v>
      </c>
      <c r="R982" s="53">
        <f>IF(SCAN!Q982&lt;&gt;"-",SCAN!D982,0)</f>
        <v>0</v>
      </c>
      <c r="S982" s="53">
        <f>IF(SCAN!Q982&lt;&gt;"-",SCAN!E982,0)</f>
        <v>0</v>
      </c>
      <c r="T982" s="53">
        <f>IF(SCAN!Q982&lt;&gt;"-",SCAN!F982,0)</f>
        <v>0</v>
      </c>
    </row>
    <row r="983" spans="8:20" x14ac:dyDescent="0.25">
      <c r="H983" s="50">
        <f>IF(AND(SCAN!K983="-",SCAN!Q983="-"),SCAN!D983,0)</f>
        <v>0</v>
      </c>
      <c r="I983" s="50">
        <f>IF(AND(SCAN!K983="-",SCAN!Q983="-"),SCAN!E983,0)</f>
        <v>0</v>
      </c>
      <c r="J983" s="50">
        <f>IF(AND(SCAN!K983="-",SCAN!Q983="-"),SCAN!F983,0)</f>
        <v>0</v>
      </c>
      <c r="M983" s="55">
        <f>IF(SCAN!K983&lt;&gt;"-",SCAN!D983,0)</f>
        <v>0</v>
      </c>
      <c r="N983" s="55">
        <f>IF(SCAN!K983&lt;&gt;"-",SCAN!E983,0)</f>
        <v>0</v>
      </c>
      <c r="O983" s="55">
        <f>IF(SCAN!K983&lt;&gt;"-",SCAN!F983,0)</f>
        <v>0</v>
      </c>
      <c r="R983" s="53">
        <f>IF(SCAN!Q983&lt;&gt;"-",SCAN!D983,0)</f>
        <v>0</v>
      </c>
      <c r="S983" s="53">
        <f>IF(SCAN!Q983&lt;&gt;"-",SCAN!E983,0)</f>
        <v>0</v>
      </c>
      <c r="T983" s="53">
        <f>IF(SCAN!Q983&lt;&gt;"-",SCAN!F983,0)</f>
        <v>0</v>
      </c>
    </row>
    <row r="984" spans="8:20" x14ac:dyDescent="0.25">
      <c r="H984" s="50">
        <f>IF(AND(SCAN!K984="-",SCAN!Q984="-"),SCAN!D984,0)</f>
        <v>0</v>
      </c>
      <c r="I984" s="50">
        <f>IF(AND(SCAN!K984="-",SCAN!Q984="-"),SCAN!E984,0)</f>
        <v>0</v>
      </c>
      <c r="J984" s="50">
        <f>IF(AND(SCAN!K984="-",SCAN!Q984="-"),SCAN!F984,0)</f>
        <v>0</v>
      </c>
      <c r="M984" s="55">
        <f>IF(SCAN!K984&lt;&gt;"-",SCAN!D984,0)</f>
        <v>0</v>
      </c>
      <c r="N984" s="55">
        <f>IF(SCAN!K984&lt;&gt;"-",SCAN!E984,0)</f>
        <v>0</v>
      </c>
      <c r="O984" s="55">
        <f>IF(SCAN!K984&lt;&gt;"-",SCAN!F984,0)</f>
        <v>0</v>
      </c>
      <c r="R984" s="53">
        <f>IF(SCAN!Q984&lt;&gt;"-",SCAN!D984,0)</f>
        <v>0</v>
      </c>
      <c r="S984" s="53">
        <f>IF(SCAN!Q984&lt;&gt;"-",SCAN!E984,0)</f>
        <v>0</v>
      </c>
      <c r="T984" s="53">
        <f>IF(SCAN!Q984&lt;&gt;"-",SCAN!F984,0)</f>
        <v>0</v>
      </c>
    </row>
    <row r="985" spans="8:20" x14ac:dyDescent="0.25">
      <c r="H985" s="50">
        <f>IF(AND(SCAN!K985="-",SCAN!Q985="-"),SCAN!D985,0)</f>
        <v>0</v>
      </c>
      <c r="I985" s="50">
        <f>IF(AND(SCAN!K985="-",SCAN!Q985="-"),SCAN!E985,0)</f>
        <v>0</v>
      </c>
      <c r="J985" s="50">
        <f>IF(AND(SCAN!K985="-",SCAN!Q985="-"),SCAN!F985,0)</f>
        <v>0</v>
      </c>
      <c r="M985" s="55">
        <f>IF(SCAN!K985&lt;&gt;"-",SCAN!D985,0)</f>
        <v>0</v>
      </c>
      <c r="N985" s="55">
        <f>IF(SCAN!K985&lt;&gt;"-",SCAN!E985,0)</f>
        <v>0</v>
      </c>
      <c r="O985" s="55">
        <f>IF(SCAN!K985&lt;&gt;"-",SCAN!F985,0)</f>
        <v>0</v>
      </c>
      <c r="R985" s="53">
        <f>IF(SCAN!Q985&lt;&gt;"-",SCAN!D985,0)</f>
        <v>0</v>
      </c>
      <c r="S985" s="53">
        <f>IF(SCAN!Q985&lt;&gt;"-",SCAN!E985,0)</f>
        <v>0</v>
      </c>
      <c r="T985" s="53">
        <f>IF(SCAN!Q985&lt;&gt;"-",SCAN!F985,0)</f>
        <v>0</v>
      </c>
    </row>
    <row r="986" spans="8:20" x14ac:dyDescent="0.25">
      <c r="H986" s="50">
        <f>IF(AND(SCAN!K986="-",SCAN!Q986="-"),SCAN!D986,0)</f>
        <v>0</v>
      </c>
      <c r="I986" s="50">
        <f>IF(AND(SCAN!K986="-",SCAN!Q986="-"),SCAN!E986,0)</f>
        <v>0</v>
      </c>
      <c r="J986" s="50">
        <f>IF(AND(SCAN!K986="-",SCAN!Q986="-"),SCAN!F986,0)</f>
        <v>0</v>
      </c>
      <c r="M986" s="55">
        <f>IF(SCAN!K986&lt;&gt;"-",SCAN!D986,0)</f>
        <v>0</v>
      </c>
      <c r="N986" s="55">
        <f>IF(SCAN!K986&lt;&gt;"-",SCAN!E986,0)</f>
        <v>0</v>
      </c>
      <c r="O986" s="55">
        <f>IF(SCAN!K986&lt;&gt;"-",SCAN!F986,0)</f>
        <v>0</v>
      </c>
      <c r="R986" s="53">
        <f>IF(SCAN!Q986&lt;&gt;"-",SCAN!D986,0)</f>
        <v>0</v>
      </c>
      <c r="S986" s="53">
        <f>IF(SCAN!Q986&lt;&gt;"-",SCAN!E986,0)</f>
        <v>0</v>
      </c>
      <c r="T986" s="53">
        <f>IF(SCAN!Q986&lt;&gt;"-",SCAN!F986,0)</f>
        <v>0</v>
      </c>
    </row>
    <row r="987" spans="8:20" x14ac:dyDescent="0.25">
      <c r="H987" s="50">
        <f>IF(AND(SCAN!K987="-",SCAN!Q987="-"),SCAN!D987,0)</f>
        <v>0</v>
      </c>
      <c r="I987" s="50">
        <f>IF(AND(SCAN!K987="-",SCAN!Q987="-"),SCAN!E987,0)</f>
        <v>0</v>
      </c>
      <c r="J987" s="50">
        <f>IF(AND(SCAN!K987="-",SCAN!Q987="-"),SCAN!F987,0)</f>
        <v>0</v>
      </c>
      <c r="M987" s="55">
        <f>IF(SCAN!K987&lt;&gt;"-",SCAN!D987,0)</f>
        <v>0</v>
      </c>
      <c r="N987" s="55">
        <f>IF(SCAN!K987&lt;&gt;"-",SCAN!E987,0)</f>
        <v>0</v>
      </c>
      <c r="O987" s="55">
        <f>IF(SCAN!K987&lt;&gt;"-",SCAN!F987,0)</f>
        <v>0</v>
      </c>
      <c r="R987" s="53">
        <f>IF(SCAN!Q987&lt;&gt;"-",SCAN!D987,0)</f>
        <v>0</v>
      </c>
      <c r="S987" s="53">
        <f>IF(SCAN!Q987&lt;&gt;"-",SCAN!E987,0)</f>
        <v>0</v>
      </c>
      <c r="T987" s="53">
        <f>IF(SCAN!Q987&lt;&gt;"-",SCAN!F987,0)</f>
        <v>0</v>
      </c>
    </row>
    <row r="988" spans="8:20" x14ac:dyDescent="0.25">
      <c r="H988" s="50">
        <f>IF(AND(SCAN!K988="-",SCAN!Q988="-"),SCAN!D988,0)</f>
        <v>0</v>
      </c>
      <c r="I988" s="50">
        <f>IF(AND(SCAN!K988="-",SCAN!Q988="-"),SCAN!E988,0)</f>
        <v>0</v>
      </c>
      <c r="J988" s="50">
        <f>IF(AND(SCAN!K988="-",SCAN!Q988="-"),SCAN!F988,0)</f>
        <v>0</v>
      </c>
      <c r="M988" s="55">
        <f>IF(SCAN!K988&lt;&gt;"-",SCAN!D988,0)</f>
        <v>0</v>
      </c>
      <c r="N988" s="55">
        <f>IF(SCAN!K988&lt;&gt;"-",SCAN!E988,0)</f>
        <v>0</v>
      </c>
      <c r="O988" s="55">
        <f>IF(SCAN!K988&lt;&gt;"-",SCAN!F988,0)</f>
        <v>0</v>
      </c>
      <c r="R988" s="53">
        <f>IF(SCAN!Q988&lt;&gt;"-",SCAN!D988,0)</f>
        <v>0</v>
      </c>
      <c r="S988" s="53">
        <f>IF(SCAN!Q988&lt;&gt;"-",SCAN!E988,0)</f>
        <v>0</v>
      </c>
      <c r="T988" s="53">
        <f>IF(SCAN!Q988&lt;&gt;"-",SCAN!F988,0)</f>
        <v>0</v>
      </c>
    </row>
    <row r="989" spans="8:20" x14ac:dyDescent="0.25">
      <c r="H989" s="50">
        <f>IF(AND(SCAN!K989="-",SCAN!Q989="-"),SCAN!D989,0)</f>
        <v>0</v>
      </c>
      <c r="I989" s="50">
        <f>IF(AND(SCAN!K989="-",SCAN!Q989="-"),SCAN!E989,0)</f>
        <v>0</v>
      </c>
      <c r="J989" s="50">
        <f>IF(AND(SCAN!K989="-",SCAN!Q989="-"),SCAN!F989,0)</f>
        <v>0</v>
      </c>
      <c r="M989" s="55">
        <f>IF(SCAN!K989&lt;&gt;"-",SCAN!D989,0)</f>
        <v>0</v>
      </c>
      <c r="N989" s="55">
        <f>IF(SCAN!K989&lt;&gt;"-",SCAN!E989,0)</f>
        <v>0</v>
      </c>
      <c r="O989" s="55">
        <f>IF(SCAN!K989&lt;&gt;"-",SCAN!F989,0)</f>
        <v>0</v>
      </c>
      <c r="R989" s="53">
        <f>IF(SCAN!Q989&lt;&gt;"-",SCAN!D989,0)</f>
        <v>0</v>
      </c>
      <c r="S989" s="53">
        <f>IF(SCAN!Q989&lt;&gt;"-",SCAN!E989,0)</f>
        <v>0</v>
      </c>
      <c r="T989" s="53">
        <f>IF(SCAN!Q989&lt;&gt;"-",SCAN!F989,0)</f>
        <v>0</v>
      </c>
    </row>
    <row r="990" spans="8:20" x14ac:dyDescent="0.25">
      <c r="H990" s="50">
        <f>IF(AND(SCAN!K990="-",SCAN!Q990="-"),SCAN!D990,0)</f>
        <v>0</v>
      </c>
      <c r="I990" s="50">
        <f>IF(AND(SCAN!K990="-",SCAN!Q990="-"),SCAN!E990,0)</f>
        <v>0</v>
      </c>
      <c r="J990" s="50">
        <f>IF(AND(SCAN!K990="-",SCAN!Q990="-"),SCAN!F990,0)</f>
        <v>0</v>
      </c>
      <c r="M990" s="55">
        <f>IF(SCAN!K990&lt;&gt;"-",SCAN!D990,0)</f>
        <v>0</v>
      </c>
      <c r="N990" s="55">
        <f>IF(SCAN!K990&lt;&gt;"-",SCAN!E990,0)</f>
        <v>0</v>
      </c>
      <c r="O990" s="55">
        <f>IF(SCAN!K990&lt;&gt;"-",SCAN!F990,0)</f>
        <v>0</v>
      </c>
      <c r="R990" s="53">
        <f>IF(SCAN!Q990&lt;&gt;"-",SCAN!D990,0)</f>
        <v>0</v>
      </c>
      <c r="S990" s="53">
        <f>IF(SCAN!Q990&lt;&gt;"-",SCAN!E990,0)</f>
        <v>0</v>
      </c>
      <c r="T990" s="53">
        <f>IF(SCAN!Q990&lt;&gt;"-",SCAN!F990,0)</f>
        <v>0</v>
      </c>
    </row>
    <row r="991" spans="8:20" x14ac:dyDescent="0.25">
      <c r="H991" s="50">
        <f>IF(AND(SCAN!K991="-",SCAN!Q991="-"),SCAN!D991,0)</f>
        <v>0</v>
      </c>
      <c r="I991" s="50">
        <f>IF(AND(SCAN!K991="-",SCAN!Q991="-"),SCAN!E991,0)</f>
        <v>0</v>
      </c>
      <c r="J991" s="50">
        <f>IF(AND(SCAN!K991="-",SCAN!Q991="-"),SCAN!F991,0)</f>
        <v>0</v>
      </c>
      <c r="M991" s="55">
        <f>IF(SCAN!K991&lt;&gt;"-",SCAN!D991,0)</f>
        <v>0</v>
      </c>
      <c r="N991" s="55">
        <f>IF(SCAN!K991&lt;&gt;"-",SCAN!E991,0)</f>
        <v>0</v>
      </c>
      <c r="O991" s="55">
        <f>IF(SCAN!K991&lt;&gt;"-",SCAN!F991,0)</f>
        <v>0</v>
      </c>
      <c r="R991" s="53">
        <f>IF(SCAN!Q991&lt;&gt;"-",SCAN!D991,0)</f>
        <v>0</v>
      </c>
      <c r="S991" s="53">
        <f>IF(SCAN!Q991&lt;&gt;"-",SCAN!E991,0)</f>
        <v>0</v>
      </c>
      <c r="T991" s="53">
        <f>IF(SCAN!Q991&lt;&gt;"-",SCAN!F991,0)</f>
        <v>0</v>
      </c>
    </row>
    <row r="992" spans="8:20" x14ac:dyDescent="0.25">
      <c r="H992" s="50">
        <f>IF(AND(SCAN!K992="-",SCAN!Q992="-"),SCAN!D992,0)</f>
        <v>0</v>
      </c>
      <c r="I992" s="50">
        <f>IF(AND(SCAN!K992="-",SCAN!Q992="-"),SCAN!E992,0)</f>
        <v>0</v>
      </c>
      <c r="J992" s="50">
        <f>IF(AND(SCAN!K992="-",SCAN!Q992="-"),SCAN!F992,0)</f>
        <v>0</v>
      </c>
      <c r="M992" s="55">
        <f>IF(SCAN!K992&lt;&gt;"-",SCAN!D992,0)</f>
        <v>0</v>
      </c>
      <c r="N992" s="55">
        <f>IF(SCAN!K992&lt;&gt;"-",SCAN!E992,0)</f>
        <v>0</v>
      </c>
      <c r="O992" s="55">
        <f>IF(SCAN!K992&lt;&gt;"-",SCAN!F992,0)</f>
        <v>0</v>
      </c>
      <c r="R992" s="53">
        <f>IF(SCAN!Q992&lt;&gt;"-",SCAN!D992,0)</f>
        <v>0</v>
      </c>
      <c r="S992" s="53">
        <f>IF(SCAN!Q992&lt;&gt;"-",SCAN!E992,0)</f>
        <v>0</v>
      </c>
      <c r="T992" s="53">
        <f>IF(SCAN!Q992&lt;&gt;"-",SCAN!F992,0)</f>
        <v>0</v>
      </c>
    </row>
    <row r="993" spans="8:20" x14ac:dyDescent="0.25">
      <c r="H993" s="50">
        <f>IF(AND(SCAN!K993="-",SCAN!Q993="-"),SCAN!D993,0)</f>
        <v>0</v>
      </c>
      <c r="I993" s="50">
        <f>IF(AND(SCAN!K993="-",SCAN!Q993="-"),SCAN!E993,0)</f>
        <v>0</v>
      </c>
      <c r="J993" s="50">
        <f>IF(AND(SCAN!K993="-",SCAN!Q993="-"),SCAN!F993,0)</f>
        <v>0</v>
      </c>
      <c r="M993" s="55">
        <f>IF(SCAN!K993&lt;&gt;"-",SCAN!D993,0)</f>
        <v>0</v>
      </c>
      <c r="N993" s="55">
        <f>IF(SCAN!K993&lt;&gt;"-",SCAN!E993,0)</f>
        <v>0</v>
      </c>
      <c r="O993" s="55">
        <f>IF(SCAN!K993&lt;&gt;"-",SCAN!F993,0)</f>
        <v>0</v>
      </c>
      <c r="R993" s="53">
        <f>IF(SCAN!Q993&lt;&gt;"-",SCAN!D993,0)</f>
        <v>0</v>
      </c>
      <c r="S993" s="53">
        <f>IF(SCAN!Q993&lt;&gt;"-",SCAN!E993,0)</f>
        <v>0</v>
      </c>
      <c r="T993" s="53">
        <f>IF(SCAN!Q993&lt;&gt;"-",SCAN!F993,0)</f>
        <v>0</v>
      </c>
    </row>
    <row r="994" spans="8:20" x14ac:dyDescent="0.25">
      <c r="H994" s="50">
        <f>IF(AND(SCAN!K994="-",SCAN!Q994="-"),SCAN!D994,0)</f>
        <v>0</v>
      </c>
      <c r="I994" s="50">
        <f>IF(AND(SCAN!K994="-",SCAN!Q994="-"),SCAN!E994,0)</f>
        <v>0</v>
      </c>
      <c r="J994" s="50">
        <f>IF(AND(SCAN!K994="-",SCAN!Q994="-"),SCAN!F994,0)</f>
        <v>0</v>
      </c>
      <c r="M994" s="55">
        <f>IF(SCAN!K994&lt;&gt;"-",SCAN!D994,0)</f>
        <v>0</v>
      </c>
      <c r="N994" s="55">
        <f>IF(SCAN!K994&lt;&gt;"-",SCAN!E994,0)</f>
        <v>0</v>
      </c>
      <c r="O994" s="55">
        <f>IF(SCAN!K994&lt;&gt;"-",SCAN!F994,0)</f>
        <v>0</v>
      </c>
      <c r="R994" s="53">
        <f>IF(SCAN!Q994&lt;&gt;"-",SCAN!D994,0)</f>
        <v>0</v>
      </c>
      <c r="S994" s="53">
        <f>IF(SCAN!Q994&lt;&gt;"-",SCAN!E994,0)</f>
        <v>0</v>
      </c>
      <c r="T994" s="53">
        <f>IF(SCAN!Q994&lt;&gt;"-",SCAN!F994,0)</f>
        <v>0</v>
      </c>
    </row>
    <row r="995" spans="8:20" x14ac:dyDescent="0.25">
      <c r="H995" s="50">
        <f>IF(AND(SCAN!K995="-",SCAN!Q995="-"),SCAN!D995,0)</f>
        <v>0</v>
      </c>
      <c r="I995" s="50">
        <f>IF(AND(SCAN!K995="-",SCAN!Q995="-"),SCAN!E995,0)</f>
        <v>0</v>
      </c>
      <c r="J995" s="50">
        <f>IF(AND(SCAN!K995="-",SCAN!Q995="-"),SCAN!F995,0)</f>
        <v>0</v>
      </c>
      <c r="M995" s="55">
        <f>IF(SCAN!K995&lt;&gt;"-",SCAN!D995,0)</f>
        <v>0</v>
      </c>
      <c r="N995" s="55">
        <f>IF(SCAN!K995&lt;&gt;"-",SCAN!E995,0)</f>
        <v>0</v>
      </c>
      <c r="O995" s="55">
        <f>IF(SCAN!K995&lt;&gt;"-",SCAN!F995,0)</f>
        <v>0</v>
      </c>
      <c r="R995" s="53">
        <f>IF(SCAN!Q995&lt;&gt;"-",SCAN!D995,0)</f>
        <v>0</v>
      </c>
      <c r="S995" s="53">
        <f>IF(SCAN!Q995&lt;&gt;"-",SCAN!E995,0)</f>
        <v>0</v>
      </c>
      <c r="T995" s="53">
        <f>IF(SCAN!Q995&lt;&gt;"-",SCAN!F995,0)</f>
        <v>0</v>
      </c>
    </row>
    <row r="996" spans="8:20" x14ac:dyDescent="0.25">
      <c r="H996" s="50">
        <f>IF(AND(SCAN!K996="-",SCAN!Q996="-"),SCAN!D996,0)</f>
        <v>0</v>
      </c>
      <c r="I996" s="50">
        <f>IF(AND(SCAN!K996="-",SCAN!Q996="-"),SCAN!E996,0)</f>
        <v>0</v>
      </c>
      <c r="J996" s="50">
        <f>IF(AND(SCAN!K996="-",SCAN!Q996="-"),SCAN!F996,0)</f>
        <v>0</v>
      </c>
      <c r="M996" s="55">
        <f>IF(SCAN!K996&lt;&gt;"-",SCAN!D996,0)</f>
        <v>0</v>
      </c>
      <c r="N996" s="55">
        <f>IF(SCAN!K996&lt;&gt;"-",SCAN!E996,0)</f>
        <v>0</v>
      </c>
      <c r="O996" s="55">
        <f>IF(SCAN!K996&lt;&gt;"-",SCAN!F996,0)</f>
        <v>0</v>
      </c>
      <c r="R996" s="53">
        <f>IF(SCAN!Q996&lt;&gt;"-",SCAN!D996,0)</f>
        <v>0</v>
      </c>
      <c r="S996" s="53">
        <f>IF(SCAN!Q996&lt;&gt;"-",SCAN!E996,0)</f>
        <v>0</v>
      </c>
      <c r="T996" s="53">
        <f>IF(SCAN!Q996&lt;&gt;"-",SCAN!F996,0)</f>
        <v>0</v>
      </c>
    </row>
    <row r="997" spans="8:20" x14ac:dyDescent="0.25">
      <c r="H997" s="50">
        <f>IF(AND(SCAN!K997="-",SCAN!Q997="-"),SCAN!D997,0)</f>
        <v>0</v>
      </c>
      <c r="I997" s="50">
        <f>IF(AND(SCAN!K997="-",SCAN!Q997="-"),SCAN!E997,0)</f>
        <v>0</v>
      </c>
      <c r="J997" s="50">
        <f>IF(AND(SCAN!K997="-",SCAN!Q997="-"),SCAN!F997,0)</f>
        <v>0</v>
      </c>
      <c r="M997" s="55">
        <f>IF(SCAN!K997&lt;&gt;"-",SCAN!D997,0)</f>
        <v>0</v>
      </c>
      <c r="N997" s="55">
        <f>IF(SCAN!K997&lt;&gt;"-",SCAN!E997,0)</f>
        <v>0</v>
      </c>
      <c r="O997" s="55">
        <f>IF(SCAN!K997&lt;&gt;"-",SCAN!F997,0)</f>
        <v>0</v>
      </c>
      <c r="R997" s="53">
        <f>IF(SCAN!Q997&lt;&gt;"-",SCAN!D997,0)</f>
        <v>0</v>
      </c>
      <c r="S997" s="53">
        <f>IF(SCAN!Q997&lt;&gt;"-",SCAN!E997,0)</f>
        <v>0</v>
      </c>
      <c r="T997" s="53">
        <f>IF(SCAN!Q997&lt;&gt;"-",SCAN!F997,0)</f>
        <v>0</v>
      </c>
    </row>
    <row r="998" spans="8:20" x14ac:dyDescent="0.25">
      <c r="H998" s="50">
        <f>IF(AND(SCAN!K998="-",SCAN!Q998="-"),SCAN!D998,0)</f>
        <v>0</v>
      </c>
      <c r="I998" s="50">
        <f>IF(AND(SCAN!K998="-",SCAN!Q998="-"),SCAN!E998,0)</f>
        <v>0</v>
      </c>
      <c r="J998" s="50">
        <f>IF(AND(SCAN!K998="-",SCAN!Q998="-"),SCAN!F998,0)</f>
        <v>0</v>
      </c>
      <c r="M998" s="55">
        <f>IF(SCAN!K998&lt;&gt;"-",SCAN!D998,0)</f>
        <v>0</v>
      </c>
      <c r="N998" s="55">
        <f>IF(SCAN!K998&lt;&gt;"-",SCAN!E998,0)</f>
        <v>0</v>
      </c>
      <c r="O998" s="55">
        <f>IF(SCAN!K998&lt;&gt;"-",SCAN!F998,0)</f>
        <v>0</v>
      </c>
      <c r="R998" s="53">
        <f>IF(SCAN!Q998&lt;&gt;"-",SCAN!D998,0)</f>
        <v>0</v>
      </c>
      <c r="S998" s="53">
        <f>IF(SCAN!Q998&lt;&gt;"-",SCAN!E998,0)</f>
        <v>0</v>
      </c>
      <c r="T998" s="53">
        <f>IF(SCAN!Q998&lt;&gt;"-",SCAN!F998,0)</f>
        <v>0</v>
      </c>
    </row>
    <row r="999" spans="8:20" x14ac:dyDescent="0.25">
      <c r="H999" s="50">
        <f>IF(AND(SCAN!K999="-",SCAN!Q999="-"),SCAN!D999,0)</f>
        <v>0</v>
      </c>
      <c r="I999" s="50">
        <f>IF(AND(SCAN!K999="-",SCAN!Q999="-"),SCAN!E999,0)</f>
        <v>0</v>
      </c>
      <c r="J999" s="50">
        <f>IF(AND(SCAN!K999="-",SCAN!Q999="-"),SCAN!F999,0)</f>
        <v>0</v>
      </c>
      <c r="M999" s="55">
        <f>IF(SCAN!K999&lt;&gt;"-",SCAN!D999,0)</f>
        <v>0</v>
      </c>
      <c r="N999" s="55">
        <f>IF(SCAN!K999&lt;&gt;"-",SCAN!E999,0)</f>
        <v>0</v>
      </c>
      <c r="O999" s="55">
        <f>IF(SCAN!K999&lt;&gt;"-",SCAN!F999,0)</f>
        <v>0</v>
      </c>
      <c r="R999" s="53">
        <f>IF(SCAN!Q999&lt;&gt;"-",SCAN!D999,0)</f>
        <v>0</v>
      </c>
      <c r="S999" s="53">
        <f>IF(SCAN!Q999&lt;&gt;"-",SCAN!E999,0)</f>
        <v>0</v>
      </c>
      <c r="T999" s="53">
        <f>IF(SCAN!Q999&lt;&gt;"-",SCAN!F999,0)</f>
        <v>0</v>
      </c>
    </row>
    <row r="1000" spans="8:20" x14ac:dyDescent="0.25">
      <c r="H1000" s="50">
        <f>IF(AND(SCAN!K1000="-",SCAN!Q1000="-"),SCAN!D1000,0)</f>
        <v>0</v>
      </c>
      <c r="I1000" s="50">
        <f>IF(AND(SCAN!K1000="-",SCAN!Q1000="-"),SCAN!E1000,0)</f>
        <v>0</v>
      </c>
      <c r="J1000" s="50">
        <f>IF(AND(SCAN!K1000="-",SCAN!Q1000="-"),SCAN!F1000,0)</f>
        <v>0</v>
      </c>
      <c r="M1000" s="55">
        <f>IF(SCAN!K1000&lt;&gt;"-",SCAN!D1000,0)</f>
        <v>0</v>
      </c>
      <c r="N1000" s="55">
        <f>IF(SCAN!K1000&lt;&gt;"-",SCAN!E1000,0)</f>
        <v>0</v>
      </c>
      <c r="O1000" s="55">
        <f>IF(SCAN!K1000&lt;&gt;"-",SCAN!F1000,0)</f>
        <v>0</v>
      </c>
      <c r="R1000" s="53">
        <f>IF(SCAN!Q1000&lt;&gt;"-",SCAN!D1000,0)</f>
        <v>0</v>
      </c>
      <c r="S1000" s="53">
        <f>IF(SCAN!Q1000&lt;&gt;"-",SCAN!E1000,0)</f>
        <v>0</v>
      </c>
      <c r="T1000" s="53">
        <f>IF(SCAN!Q1000&lt;&gt;"-",SCAN!F1000,0)</f>
        <v>0</v>
      </c>
    </row>
    <row r="1001" spans="8:20" x14ac:dyDescent="0.25">
      <c r="H1001" s="50">
        <f>IF(AND(SCAN!K1001="-",SCAN!Q1001="-"),SCAN!D1001,0)</f>
        <v>0</v>
      </c>
      <c r="I1001" s="50">
        <f>IF(AND(SCAN!K1001="-",SCAN!Q1001="-"),SCAN!E1001,0)</f>
        <v>0</v>
      </c>
      <c r="J1001" s="50">
        <f>IF(AND(SCAN!K1001="-",SCAN!Q1001="-"),SCAN!F1001,0)</f>
        <v>0</v>
      </c>
      <c r="M1001" s="55">
        <f>IF(SCAN!K1001&lt;&gt;"-",SCAN!D1001,0)</f>
        <v>0</v>
      </c>
      <c r="N1001" s="55">
        <f>IF(SCAN!K1001&lt;&gt;"-",SCAN!E1001,0)</f>
        <v>0</v>
      </c>
      <c r="O1001" s="55">
        <f>IF(SCAN!K1001&lt;&gt;"-",SCAN!F1001,0)</f>
        <v>0</v>
      </c>
      <c r="R1001" s="53">
        <f>IF(SCAN!Q1001&lt;&gt;"-",SCAN!D1001,0)</f>
        <v>0</v>
      </c>
      <c r="S1001" s="53">
        <f>IF(SCAN!Q1001&lt;&gt;"-",SCAN!E1001,0)</f>
        <v>0</v>
      </c>
      <c r="T1001" s="53">
        <f>IF(SCAN!Q1001&lt;&gt;"-",SCAN!F1001,0)</f>
        <v>0</v>
      </c>
    </row>
    <row r="1002" spans="8:20" x14ac:dyDescent="0.25">
      <c r="H1002" s="50">
        <f>IF(AND(SCAN!K1002="-",SCAN!Q1002="-"),SCAN!D1002,0)</f>
        <v>0</v>
      </c>
      <c r="I1002" s="50">
        <f>IF(AND(SCAN!K1002="-",SCAN!Q1002="-"),SCAN!E1002,0)</f>
        <v>0</v>
      </c>
      <c r="J1002" s="50">
        <f>IF(AND(SCAN!K1002="-",SCAN!Q1002="-"),SCAN!F1002,0)</f>
        <v>0</v>
      </c>
      <c r="M1002" s="55">
        <f>IF(SCAN!K1002&lt;&gt;"-",SCAN!D1002,0)</f>
        <v>0</v>
      </c>
      <c r="N1002" s="55">
        <f>IF(SCAN!K1002&lt;&gt;"-",SCAN!E1002,0)</f>
        <v>0</v>
      </c>
      <c r="O1002" s="55">
        <f>IF(SCAN!K1002&lt;&gt;"-",SCAN!F1002,0)</f>
        <v>0</v>
      </c>
      <c r="R1002" s="53">
        <f>IF(SCAN!Q1002&lt;&gt;"-",SCAN!D1002,0)</f>
        <v>0</v>
      </c>
      <c r="S1002" s="53">
        <f>IF(SCAN!Q1002&lt;&gt;"-",SCAN!E1002,0)</f>
        <v>0</v>
      </c>
      <c r="T1002" s="53">
        <f>IF(SCAN!Q1002&lt;&gt;"-",SCAN!F1002,0)</f>
        <v>0</v>
      </c>
    </row>
    <row r="1003" spans="8:20" x14ac:dyDescent="0.25">
      <c r="H1003" s="50">
        <f>IF(AND(SCAN!K1003="-",SCAN!Q1003="-"),SCAN!D1003,0)</f>
        <v>0</v>
      </c>
      <c r="I1003" s="50">
        <f>IF(AND(SCAN!K1003="-",SCAN!Q1003="-"),SCAN!E1003,0)</f>
        <v>0</v>
      </c>
      <c r="J1003" s="50">
        <f>IF(AND(SCAN!K1003="-",SCAN!Q1003="-"),SCAN!F1003,0)</f>
        <v>0</v>
      </c>
      <c r="M1003" s="55">
        <f>IF(SCAN!K1003&lt;&gt;"-",SCAN!D1003,0)</f>
        <v>0</v>
      </c>
      <c r="N1003" s="55">
        <f>IF(SCAN!K1003&lt;&gt;"-",SCAN!E1003,0)</f>
        <v>0</v>
      </c>
      <c r="O1003" s="55">
        <f>IF(SCAN!K1003&lt;&gt;"-",SCAN!F1003,0)</f>
        <v>0</v>
      </c>
      <c r="R1003" s="53">
        <f>IF(SCAN!Q1003&lt;&gt;"-",SCAN!D1003,0)</f>
        <v>0</v>
      </c>
      <c r="S1003" s="53">
        <f>IF(SCAN!Q1003&lt;&gt;"-",SCAN!E1003,0)</f>
        <v>0</v>
      </c>
      <c r="T1003" s="53">
        <f>IF(SCAN!Q1003&lt;&gt;"-",SCAN!F1003,0)</f>
        <v>0</v>
      </c>
    </row>
    <row r="1004" spans="8:20" x14ac:dyDescent="0.25">
      <c r="H1004" s="50">
        <f>IF(AND(SCAN!K1004="-",SCAN!Q1004="-"),SCAN!D1004,0)</f>
        <v>0</v>
      </c>
      <c r="I1004" s="50">
        <f>IF(AND(SCAN!K1004="-",SCAN!Q1004="-"),SCAN!E1004,0)</f>
        <v>0</v>
      </c>
      <c r="J1004" s="50">
        <f>IF(AND(SCAN!K1004="-",SCAN!Q1004="-"),SCAN!F1004,0)</f>
        <v>0</v>
      </c>
      <c r="M1004" s="55">
        <f>IF(SCAN!K1004&lt;&gt;"-",SCAN!D1004,0)</f>
        <v>0</v>
      </c>
      <c r="N1004" s="55">
        <f>IF(SCAN!K1004&lt;&gt;"-",SCAN!E1004,0)</f>
        <v>0</v>
      </c>
      <c r="O1004" s="55">
        <f>IF(SCAN!K1004&lt;&gt;"-",SCAN!F1004,0)</f>
        <v>0</v>
      </c>
      <c r="R1004" s="53">
        <f>IF(SCAN!Q1004&lt;&gt;"-",SCAN!D1004,0)</f>
        <v>0</v>
      </c>
      <c r="S1004" s="53">
        <f>IF(SCAN!Q1004&lt;&gt;"-",SCAN!E1004,0)</f>
        <v>0</v>
      </c>
      <c r="T1004" s="53">
        <f>IF(SCAN!Q1004&lt;&gt;"-",SCAN!F1004,0)</f>
        <v>0</v>
      </c>
    </row>
    <row r="1005" spans="8:20" x14ac:dyDescent="0.25">
      <c r="H1005" s="50">
        <f>IF(AND(SCAN!K1005="-",SCAN!Q1005="-"),SCAN!D1005,0)</f>
        <v>0</v>
      </c>
      <c r="I1005" s="50">
        <f>IF(AND(SCAN!K1005="-",SCAN!Q1005="-"),SCAN!E1005,0)</f>
        <v>0</v>
      </c>
      <c r="J1005" s="50">
        <f>IF(AND(SCAN!K1005="-",SCAN!Q1005="-"),SCAN!F1005,0)</f>
        <v>0</v>
      </c>
      <c r="M1005" s="55">
        <f>IF(SCAN!K1005&lt;&gt;"-",SCAN!D1005,0)</f>
        <v>0</v>
      </c>
      <c r="N1005" s="55">
        <f>IF(SCAN!K1005&lt;&gt;"-",SCAN!E1005,0)</f>
        <v>0</v>
      </c>
      <c r="O1005" s="55">
        <f>IF(SCAN!K1005&lt;&gt;"-",SCAN!F1005,0)</f>
        <v>0</v>
      </c>
      <c r="R1005" s="53">
        <f>IF(SCAN!Q1005&lt;&gt;"-",SCAN!D1005,0)</f>
        <v>0</v>
      </c>
      <c r="S1005" s="53">
        <f>IF(SCAN!Q1005&lt;&gt;"-",SCAN!E1005,0)</f>
        <v>0</v>
      </c>
      <c r="T1005" s="53">
        <f>IF(SCAN!Q1005&lt;&gt;"-",SCAN!F1005,0)</f>
        <v>0</v>
      </c>
    </row>
    <row r="1006" spans="8:20" x14ac:dyDescent="0.25">
      <c r="H1006" s="50">
        <f>IF(AND(SCAN!K1006="-",SCAN!Q1006="-"),SCAN!D1006,0)</f>
        <v>0</v>
      </c>
      <c r="I1006" s="50">
        <f>IF(AND(SCAN!K1006="-",SCAN!Q1006="-"),SCAN!E1006,0)</f>
        <v>0</v>
      </c>
      <c r="J1006" s="50">
        <f>IF(AND(SCAN!K1006="-",SCAN!Q1006="-"),SCAN!F1006,0)</f>
        <v>0</v>
      </c>
      <c r="M1006" s="55">
        <f>IF(SCAN!K1006&lt;&gt;"-",SCAN!D1006,0)</f>
        <v>0</v>
      </c>
      <c r="N1006" s="55">
        <f>IF(SCAN!K1006&lt;&gt;"-",SCAN!E1006,0)</f>
        <v>0</v>
      </c>
      <c r="O1006" s="55">
        <f>IF(SCAN!K1006&lt;&gt;"-",SCAN!F1006,0)</f>
        <v>0</v>
      </c>
      <c r="R1006" s="53">
        <f>IF(SCAN!Q1006&lt;&gt;"-",SCAN!D1006,0)</f>
        <v>0</v>
      </c>
      <c r="S1006" s="53">
        <f>IF(SCAN!Q1006&lt;&gt;"-",SCAN!E1006,0)</f>
        <v>0</v>
      </c>
      <c r="T1006" s="53">
        <f>IF(SCAN!Q1006&lt;&gt;"-",SCAN!F1006,0)</f>
        <v>0</v>
      </c>
    </row>
    <row r="1007" spans="8:20" x14ac:dyDescent="0.25">
      <c r="H1007" s="50">
        <f>IF(AND(SCAN!K1007="-",SCAN!Q1007="-"),SCAN!D1007,0)</f>
        <v>0</v>
      </c>
      <c r="I1007" s="50">
        <f>IF(AND(SCAN!K1007="-",SCAN!Q1007="-"),SCAN!E1007,0)</f>
        <v>0</v>
      </c>
      <c r="J1007" s="50">
        <f>IF(AND(SCAN!K1007="-",SCAN!Q1007="-"),SCAN!F1007,0)</f>
        <v>0</v>
      </c>
      <c r="M1007" s="55">
        <f>IF(SCAN!K1007&lt;&gt;"-",SCAN!D1007,0)</f>
        <v>0</v>
      </c>
      <c r="N1007" s="55">
        <f>IF(SCAN!K1007&lt;&gt;"-",SCAN!E1007,0)</f>
        <v>0</v>
      </c>
      <c r="O1007" s="55">
        <f>IF(SCAN!K1007&lt;&gt;"-",SCAN!F1007,0)</f>
        <v>0</v>
      </c>
      <c r="R1007" s="53">
        <f>IF(SCAN!Q1007&lt;&gt;"-",SCAN!D1007,0)</f>
        <v>0</v>
      </c>
      <c r="S1007" s="53">
        <f>IF(SCAN!Q1007&lt;&gt;"-",SCAN!E1007,0)</f>
        <v>0</v>
      </c>
      <c r="T1007" s="53">
        <f>IF(SCAN!Q1007&lt;&gt;"-",SCAN!F1007,0)</f>
        <v>0</v>
      </c>
    </row>
    <row r="1008" spans="8:20" x14ac:dyDescent="0.25">
      <c r="H1008" s="50">
        <f>IF(AND(SCAN!K1008="-",SCAN!Q1008="-"),SCAN!D1008,0)</f>
        <v>0</v>
      </c>
      <c r="I1008" s="50">
        <f>IF(AND(SCAN!K1008="-",SCAN!Q1008="-"),SCAN!E1008,0)</f>
        <v>0</v>
      </c>
      <c r="J1008" s="50">
        <f>IF(AND(SCAN!K1008="-",SCAN!Q1008="-"),SCAN!F1008,0)</f>
        <v>0</v>
      </c>
      <c r="M1008" s="55">
        <f>IF(SCAN!K1008&lt;&gt;"-",SCAN!D1008,0)</f>
        <v>0</v>
      </c>
      <c r="N1008" s="55">
        <f>IF(SCAN!K1008&lt;&gt;"-",SCAN!E1008,0)</f>
        <v>0</v>
      </c>
      <c r="O1008" s="55">
        <f>IF(SCAN!K1008&lt;&gt;"-",SCAN!F1008,0)</f>
        <v>0</v>
      </c>
      <c r="R1008" s="53">
        <f>IF(SCAN!Q1008&lt;&gt;"-",SCAN!D1008,0)</f>
        <v>0</v>
      </c>
      <c r="S1008" s="53">
        <f>IF(SCAN!Q1008&lt;&gt;"-",SCAN!E1008,0)</f>
        <v>0</v>
      </c>
      <c r="T1008" s="53">
        <f>IF(SCAN!Q1008&lt;&gt;"-",SCAN!F1008,0)</f>
        <v>0</v>
      </c>
    </row>
    <row r="1009" spans="8:20" x14ac:dyDescent="0.25">
      <c r="H1009" s="50">
        <f>IF(AND(SCAN!K1009="-",SCAN!Q1009="-"),SCAN!D1009,0)</f>
        <v>0</v>
      </c>
      <c r="I1009" s="50">
        <f>IF(AND(SCAN!K1009="-",SCAN!Q1009="-"),SCAN!E1009,0)</f>
        <v>0</v>
      </c>
      <c r="J1009" s="50">
        <f>IF(AND(SCAN!K1009="-",SCAN!Q1009="-"),SCAN!F1009,0)</f>
        <v>0</v>
      </c>
      <c r="M1009" s="55">
        <f>IF(SCAN!K1009&lt;&gt;"-",SCAN!D1009,0)</f>
        <v>0</v>
      </c>
      <c r="N1009" s="55">
        <f>IF(SCAN!K1009&lt;&gt;"-",SCAN!E1009,0)</f>
        <v>0</v>
      </c>
      <c r="O1009" s="55">
        <f>IF(SCAN!K1009&lt;&gt;"-",SCAN!F1009,0)</f>
        <v>0</v>
      </c>
      <c r="R1009" s="53">
        <f>IF(SCAN!Q1009&lt;&gt;"-",SCAN!D1009,0)</f>
        <v>0</v>
      </c>
      <c r="S1009" s="53">
        <f>IF(SCAN!Q1009&lt;&gt;"-",SCAN!E1009,0)</f>
        <v>0</v>
      </c>
      <c r="T1009" s="53">
        <f>IF(SCAN!Q1009&lt;&gt;"-",SCAN!F1009,0)</f>
        <v>0</v>
      </c>
    </row>
    <row r="1010" spans="8:20" x14ac:dyDescent="0.25">
      <c r="H1010" s="50">
        <f>IF(AND(SCAN!K1010="-",SCAN!Q1010="-"),SCAN!D1010,0)</f>
        <v>0</v>
      </c>
      <c r="I1010" s="50">
        <f>IF(AND(SCAN!K1010="-",SCAN!Q1010="-"),SCAN!E1010,0)</f>
        <v>0</v>
      </c>
      <c r="J1010" s="50">
        <f>IF(AND(SCAN!K1010="-",SCAN!Q1010="-"),SCAN!F1010,0)</f>
        <v>0</v>
      </c>
      <c r="M1010" s="55">
        <f>IF(SCAN!K1010&lt;&gt;"-",SCAN!D1010,0)</f>
        <v>0</v>
      </c>
      <c r="N1010" s="55">
        <f>IF(SCAN!K1010&lt;&gt;"-",SCAN!E1010,0)</f>
        <v>0</v>
      </c>
      <c r="O1010" s="55">
        <f>IF(SCAN!K1010&lt;&gt;"-",SCAN!F1010,0)</f>
        <v>0</v>
      </c>
      <c r="R1010" s="53">
        <f>IF(SCAN!Q1010&lt;&gt;"-",SCAN!D1010,0)</f>
        <v>0</v>
      </c>
      <c r="S1010" s="53">
        <f>IF(SCAN!Q1010&lt;&gt;"-",SCAN!E1010,0)</f>
        <v>0</v>
      </c>
      <c r="T1010" s="53">
        <f>IF(SCAN!Q1010&lt;&gt;"-",SCAN!F1010,0)</f>
        <v>0</v>
      </c>
    </row>
    <row r="1011" spans="8:20" x14ac:dyDescent="0.25">
      <c r="H1011" s="50">
        <f>IF(AND(SCAN!K1011="-",SCAN!Q1011="-"),SCAN!D1011,0)</f>
        <v>0</v>
      </c>
      <c r="I1011" s="50">
        <f>IF(AND(SCAN!K1011="-",SCAN!Q1011="-"),SCAN!E1011,0)</f>
        <v>0</v>
      </c>
      <c r="J1011" s="50">
        <f>IF(AND(SCAN!K1011="-",SCAN!Q1011="-"),SCAN!F1011,0)</f>
        <v>0</v>
      </c>
      <c r="M1011" s="55">
        <f>IF(SCAN!K1011&lt;&gt;"-",SCAN!D1011,0)</f>
        <v>0</v>
      </c>
      <c r="N1011" s="55">
        <f>IF(SCAN!K1011&lt;&gt;"-",SCAN!E1011,0)</f>
        <v>0</v>
      </c>
      <c r="O1011" s="55">
        <f>IF(SCAN!K1011&lt;&gt;"-",SCAN!F1011,0)</f>
        <v>0</v>
      </c>
      <c r="R1011" s="53">
        <f>IF(SCAN!Q1011&lt;&gt;"-",SCAN!D1011,0)</f>
        <v>0</v>
      </c>
      <c r="S1011" s="53">
        <f>IF(SCAN!Q1011&lt;&gt;"-",SCAN!E1011,0)</f>
        <v>0</v>
      </c>
      <c r="T1011" s="53">
        <f>IF(SCAN!Q1011&lt;&gt;"-",SCAN!F1011,0)</f>
        <v>0</v>
      </c>
    </row>
    <row r="1012" spans="8:20" x14ac:dyDescent="0.25">
      <c r="H1012" s="50">
        <f>IF(AND(SCAN!K1012="-",SCAN!Q1012="-"),SCAN!D1012,0)</f>
        <v>0</v>
      </c>
      <c r="I1012" s="50">
        <f>IF(AND(SCAN!K1012="-",SCAN!Q1012="-"),SCAN!E1012,0)</f>
        <v>0</v>
      </c>
      <c r="J1012" s="50">
        <f>IF(AND(SCAN!K1012="-",SCAN!Q1012="-"),SCAN!F1012,0)</f>
        <v>0</v>
      </c>
      <c r="M1012" s="55">
        <f>IF(SCAN!K1012&lt;&gt;"-",SCAN!D1012,0)</f>
        <v>0</v>
      </c>
      <c r="N1012" s="55">
        <f>IF(SCAN!K1012&lt;&gt;"-",SCAN!E1012,0)</f>
        <v>0</v>
      </c>
      <c r="O1012" s="55">
        <f>IF(SCAN!K1012&lt;&gt;"-",SCAN!F1012,0)</f>
        <v>0</v>
      </c>
      <c r="R1012" s="53">
        <f>IF(SCAN!Q1012&lt;&gt;"-",SCAN!D1012,0)</f>
        <v>0</v>
      </c>
      <c r="S1012" s="53">
        <f>IF(SCAN!Q1012&lt;&gt;"-",SCAN!E1012,0)</f>
        <v>0</v>
      </c>
      <c r="T1012" s="53">
        <f>IF(SCAN!Q1012&lt;&gt;"-",SCAN!F1012,0)</f>
        <v>0</v>
      </c>
    </row>
    <row r="1013" spans="8:20" x14ac:dyDescent="0.25">
      <c r="H1013" s="50">
        <f>IF(AND(SCAN!K1013="-",SCAN!Q1013="-"),SCAN!D1013,0)</f>
        <v>0</v>
      </c>
      <c r="I1013" s="50">
        <f>IF(AND(SCAN!K1013="-",SCAN!Q1013="-"),SCAN!E1013,0)</f>
        <v>0</v>
      </c>
      <c r="J1013" s="50">
        <f>IF(AND(SCAN!K1013="-",SCAN!Q1013="-"),SCAN!F1013,0)</f>
        <v>0</v>
      </c>
      <c r="M1013" s="55">
        <f>IF(SCAN!K1013&lt;&gt;"-",SCAN!D1013,0)</f>
        <v>0</v>
      </c>
      <c r="N1013" s="55">
        <f>IF(SCAN!K1013&lt;&gt;"-",SCAN!E1013,0)</f>
        <v>0</v>
      </c>
      <c r="O1013" s="55">
        <f>IF(SCAN!K1013&lt;&gt;"-",SCAN!F1013,0)</f>
        <v>0</v>
      </c>
      <c r="R1013" s="53">
        <f>IF(SCAN!Q1013&lt;&gt;"-",SCAN!D1013,0)</f>
        <v>0</v>
      </c>
      <c r="S1013" s="53">
        <f>IF(SCAN!Q1013&lt;&gt;"-",SCAN!E1013,0)</f>
        <v>0</v>
      </c>
      <c r="T1013" s="53">
        <f>IF(SCAN!Q1013&lt;&gt;"-",SCAN!F1013,0)</f>
        <v>0</v>
      </c>
    </row>
    <row r="1014" spans="8:20" x14ac:dyDescent="0.25">
      <c r="H1014" s="50">
        <f>IF(AND(SCAN!K1014="-",SCAN!Q1014="-"),SCAN!D1014,0)</f>
        <v>0</v>
      </c>
      <c r="I1014" s="50">
        <f>IF(AND(SCAN!K1014="-",SCAN!Q1014="-"),SCAN!E1014,0)</f>
        <v>0</v>
      </c>
      <c r="J1014" s="50">
        <f>IF(AND(SCAN!K1014="-",SCAN!Q1014="-"),SCAN!F1014,0)</f>
        <v>0</v>
      </c>
      <c r="M1014" s="55">
        <f>IF(SCAN!K1014&lt;&gt;"-",SCAN!D1014,0)</f>
        <v>0</v>
      </c>
      <c r="N1014" s="55">
        <f>IF(SCAN!K1014&lt;&gt;"-",SCAN!E1014,0)</f>
        <v>0</v>
      </c>
      <c r="O1014" s="55">
        <f>IF(SCAN!K1014&lt;&gt;"-",SCAN!F1014,0)</f>
        <v>0</v>
      </c>
      <c r="R1014" s="53">
        <f>IF(SCAN!Q1014&lt;&gt;"-",SCAN!D1014,0)</f>
        <v>0</v>
      </c>
      <c r="S1014" s="53">
        <f>IF(SCAN!Q1014&lt;&gt;"-",SCAN!E1014,0)</f>
        <v>0</v>
      </c>
      <c r="T1014" s="53">
        <f>IF(SCAN!Q1014&lt;&gt;"-",SCAN!F1014,0)</f>
        <v>0</v>
      </c>
    </row>
    <row r="1015" spans="8:20" x14ac:dyDescent="0.25">
      <c r="H1015" s="50">
        <f>IF(AND(SCAN!K1015="-",SCAN!Q1015="-"),SCAN!D1015,0)</f>
        <v>0</v>
      </c>
      <c r="I1015" s="50">
        <f>IF(AND(SCAN!K1015="-",SCAN!Q1015="-"),SCAN!E1015,0)</f>
        <v>0</v>
      </c>
      <c r="J1015" s="50">
        <f>IF(AND(SCAN!K1015="-",SCAN!Q1015="-"),SCAN!F1015,0)</f>
        <v>0</v>
      </c>
      <c r="M1015" s="55">
        <f>IF(SCAN!K1015&lt;&gt;"-",SCAN!D1015,0)</f>
        <v>0</v>
      </c>
      <c r="N1015" s="55">
        <f>IF(SCAN!K1015&lt;&gt;"-",SCAN!E1015,0)</f>
        <v>0</v>
      </c>
      <c r="O1015" s="55">
        <f>IF(SCAN!K1015&lt;&gt;"-",SCAN!F1015,0)</f>
        <v>0</v>
      </c>
      <c r="R1015" s="53">
        <f>IF(SCAN!Q1015&lt;&gt;"-",SCAN!D1015,0)</f>
        <v>0</v>
      </c>
      <c r="S1015" s="53">
        <f>IF(SCAN!Q1015&lt;&gt;"-",SCAN!E1015,0)</f>
        <v>0</v>
      </c>
      <c r="T1015" s="53">
        <f>IF(SCAN!Q1015&lt;&gt;"-",SCAN!F1015,0)</f>
        <v>0</v>
      </c>
    </row>
    <row r="1016" spans="8:20" x14ac:dyDescent="0.25">
      <c r="H1016" s="50">
        <f>IF(AND(SCAN!K1016="-",SCAN!Q1016="-"),SCAN!D1016,0)</f>
        <v>0</v>
      </c>
      <c r="I1016" s="50">
        <f>IF(AND(SCAN!K1016="-",SCAN!Q1016="-"),SCAN!E1016,0)</f>
        <v>0</v>
      </c>
      <c r="J1016" s="50">
        <f>IF(AND(SCAN!K1016="-",SCAN!Q1016="-"),SCAN!F1016,0)</f>
        <v>0</v>
      </c>
      <c r="M1016" s="55">
        <f>IF(SCAN!K1016&lt;&gt;"-",SCAN!D1016,0)</f>
        <v>0</v>
      </c>
      <c r="N1016" s="55">
        <f>IF(SCAN!K1016&lt;&gt;"-",SCAN!E1016,0)</f>
        <v>0</v>
      </c>
      <c r="O1016" s="55">
        <f>IF(SCAN!K1016&lt;&gt;"-",SCAN!F1016,0)</f>
        <v>0</v>
      </c>
      <c r="R1016" s="53">
        <f>IF(SCAN!Q1016&lt;&gt;"-",SCAN!D1016,0)</f>
        <v>0</v>
      </c>
      <c r="S1016" s="53">
        <f>IF(SCAN!Q1016&lt;&gt;"-",SCAN!E1016,0)</f>
        <v>0</v>
      </c>
      <c r="T1016" s="53">
        <f>IF(SCAN!Q1016&lt;&gt;"-",SCAN!F1016,0)</f>
        <v>0</v>
      </c>
    </row>
    <row r="1017" spans="8:20" x14ac:dyDescent="0.25">
      <c r="H1017" s="50">
        <f>IF(AND(SCAN!K1017="-",SCAN!Q1017="-"),SCAN!D1017,0)</f>
        <v>0</v>
      </c>
      <c r="I1017" s="50">
        <f>IF(AND(SCAN!K1017="-",SCAN!Q1017="-"),SCAN!E1017,0)</f>
        <v>0</v>
      </c>
      <c r="J1017" s="50">
        <f>IF(AND(SCAN!K1017="-",SCAN!Q1017="-"),SCAN!F1017,0)</f>
        <v>0</v>
      </c>
      <c r="M1017" s="55">
        <f>IF(SCAN!K1017&lt;&gt;"-",SCAN!D1017,0)</f>
        <v>0</v>
      </c>
      <c r="N1017" s="55">
        <f>IF(SCAN!K1017&lt;&gt;"-",SCAN!E1017,0)</f>
        <v>0</v>
      </c>
      <c r="O1017" s="55">
        <f>IF(SCAN!K1017&lt;&gt;"-",SCAN!F1017,0)</f>
        <v>0</v>
      </c>
      <c r="R1017" s="53">
        <f>IF(SCAN!Q1017&lt;&gt;"-",SCAN!D1017,0)</f>
        <v>0</v>
      </c>
      <c r="S1017" s="53">
        <f>IF(SCAN!Q1017&lt;&gt;"-",SCAN!E1017,0)</f>
        <v>0</v>
      </c>
      <c r="T1017" s="53">
        <f>IF(SCAN!Q1017&lt;&gt;"-",SCAN!F1017,0)</f>
        <v>0</v>
      </c>
    </row>
    <row r="1018" spans="8:20" x14ac:dyDescent="0.25">
      <c r="H1018" s="50">
        <f>IF(AND(SCAN!K1018="-",SCAN!Q1018="-"),SCAN!D1018,0)</f>
        <v>0</v>
      </c>
      <c r="I1018" s="50">
        <f>IF(AND(SCAN!K1018="-",SCAN!Q1018="-"),SCAN!E1018,0)</f>
        <v>0</v>
      </c>
      <c r="J1018" s="50">
        <f>IF(AND(SCAN!K1018="-",SCAN!Q1018="-"),SCAN!F1018,0)</f>
        <v>0</v>
      </c>
      <c r="M1018" s="55">
        <f>IF(SCAN!K1018&lt;&gt;"-",SCAN!D1018,0)</f>
        <v>0</v>
      </c>
      <c r="N1018" s="55">
        <f>IF(SCAN!K1018&lt;&gt;"-",SCAN!E1018,0)</f>
        <v>0</v>
      </c>
      <c r="O1018" s="55">
        <f>IF(SCAN!K1018&lt;&gt;"-",SCAN!F1018,0)</f>
        <v>0</v>
      </c>
      <c r="R1018" s="53">
        <f>IF(SCAN!Q1018&lt;&gt;"-",SCAN!D1018,0)</f>
        <v>0</v>
      </c>
      <c r="S1018" s="53">
        <f>IF(SCAN!Q1018&lt;&gt;"-",SCAN!E1018,0)</f>
        <v>0</v>
      </c>
      <c r="T1018" s="53">
        <f>IF(SCAN!Q1018&lt;&gt;"-",SCAN!F1018,0)</f>
        <v>0</v>
      </c>
    </row>
    <row r="1019" spans="8:20" x14ac:dyDescent="0.25">
      <c r="H1019" s="50">
        <f>IF(AND(SCAN!K1019="-",SCAN!Q1019="-"),SCAN!D1019,0)</f>
        <v>0</v>
      </c>
      <c r="I1019" s="50">
        <f>IF(AND(SCAN!K1019="-",SCAN!Q1019="-"),SCAN!E1019,0)</f>
        <v>0</v>
      </c>
      <c r="J1019" s="50">
        <f>IF(AND(SCAN!K1019="-",SCAN!Q1019="-"),SCAN!F1019,0)</f>
        <v>0</v>
      </c>
      <c r="M1019" s="55">
        <f>IF(SCAN!K1019&lt;&gt;"-",SCAN!D1019,0)</f>
        <v>0</v>
      </c>
      <c r="N1019" s="55">
        <f>IF(SCAN!K1019&lt;&gt;"-",SCAN!E1019,0)</f>
        <v>0</v>
      </c>
      <c r="O1019" s="55">
        <f>IF(SCAN!K1019&lt;&gt;"-",SCAN!F1019,0)</f>
        <v>0</v>
      </c>
      <c r="R1019" s="53">
        <f>IF(SCAN!Q1019&lt;&gt;"-",SCAN!D1019,0)</f>
        <v>0</v>
      </c>
      <c r="S1019" s="53">
        <f>IF(SCAN!Q1019&lt;&gt;"-",SCAN!E1019,0)</f>
        <v>0</v>
      </c>
      <c r="T1019" s="53">
        <f>IF(SCAN!Q1019&lt;&gt;"-",SCAN!F1019,0)</f>
        <v>0</v>
      </c>
    </row>
    <row r="1020" spans="8:20" x14ac:dyDescent="0.25">
      <c r="H1020" s="50">
        <f>IF(AND(SCAN!K1020="-",SCAN!Q1020="-"),SCAN!D1020,0)</f>
        <v>0</v>
      </c>
      <c r="I1020" s="50">
        <f>IF(AND(SCAN!K1020="-",SCAN!Q1020="-"),SCAN!E1020,0)</f>
        <v>0</v>
      </c>
      <c r="J1020" s="50">
        <f>IF(AND(SCAN!K1020="-",SCAN!Q1020="-"),SCAN!F1020,0)</f>
        <v>0</v>
      </c>
      <c r="M1020" s="55">
        <f>IF(SCAN!K1020&lt;&gt;"-",SCAN!D1020,0)</f>
        <v>0</v>
      </c>
      <c r="N1020" s="55">
        <f>IF(SCAN!K1020&lt;&gt;"-",SCAN!E1020,0)</f>
        <v>0</v>
      </c>
      <c r="O1020" s="55">
        <f>IF(SCAN!K1020&lt;&gt;"-",SCAN!F1020,0)</f>
        <v>0</v>
      </c>
      <c r="R1020" s="53">
        <f>IF(SCAN!Q1020&lt;&gt;"-",SCAN!D1020,0)</f>
        <v>0</v>
      </c>
      <c r="S1020" s="53">
        <f>IF(SCAN!Q1020&lt;&gt;"-",SCAN!E1020,0)</f>
        <v>0</v>
      </c>
      <c r="T1020" s="53">
        <f>IF(SCAN!Q1020&lt;&gt;"-",SCAN!F1020,0)</f>
        <v>0</v>
      </c>
    </row>
    <row r="1021" spans="8:20" x14ac:dyDescent="0.25">
      <c r="H1021" s="50">
        <f>IF(AND(SCAN!K1021="-",SCAN!Q1021="-"),SCAN!D1021,0)</f>
        <v>0</v>
      </c>
      <c r="I1021" s="50">
        <f>IF(AND(SCAN!K1021="-",SCAN!Q1021="-"),SCAN!E1021,0)</f>
        <v>0</v>
      </c>
      <c r="J1021" s="50">
        <f>IF(AND(SCAN!K1021="-",SCAN!Q1021="-"),SCAN!F1021,0)</f>
        <v>0</v>
      </c>
      <c r="M1021" s="55">
        <f>IF(SCAN!K1021&lt;&gt;"-",SCAN!D1021,0)</f>
        <v>0</v>
      </c>
      <c r="N1021" s="55">
        <f>IF(SCAN!K1021&lt;&gt;"-",SCAN!E1021,0)</f>
        <v>0</v>
      </c>
      <c r="O1021" s="55">
        <f>IF(SCAN!K1021&lt;&gt;"-",SCAN!F1021,0)</f>
        <v>0</v>
      </c>
      <c r="R1021" s="53">
        <f>IF(SCAN!Q1021&lt;&gt;"-",SCAN!D1021,0)</f>
        <v>0</v>
      </c>
      <c r="S1021" s="53">
        <f>IF(SCAN!Q1021&lt;&gt;"-",SCAN!E1021,0)</f>
        <v>0</v>
      </c>
      <c r="T1021" s="53">
        <f>IF(SCAN!Q1021&lt;&gt;"-",SCAN!F1021,0)</f>
        <v>0</v>
      </c>
    </row>
    <row r="1022" spans="8:20" x14ac:dyDescent="0.25">
      <c r="H1022" s="50">
        <f>IF(AND(SCAN!K1022="-",SCAN!Q1022="-"),SCAN!D1022,0)</f>
        <v>0</v>
      </c>
      <c r="I1022" s="50">
        <f>IF(AND(SCAN!K1022="-",SCAN!Q1022="-"),SCAN!E1022,0)</f>
        <v>0</v>
      </c>
      <c r="J1022" s="50">
        <f>IF(AND(SCAN!K1022="-",SCAN!Q1022="-"),SCAN!F1022,0)</f>
        <v>0</v>
      </c>
      <c r="M1022" s="55">
        <f>IF(SCAN!K1022&lt;&gt;"-",SCAN!D1022,0)</f>
        <v>0</v>
      </c>
      <c r="N1022" s="55">
        <f>IF(SCAN!K1022&lt;&gt;"-",SCAN!E1022,0)</f>
        <v>0</v>
      </c>
      <c r="O1022" s="55">
        <f>IF(SCAN!K1022&lt;&gt;"-",SCAN!F1022,0)</f>
        <v>0</v>
      </c>
      <c r="R1022" s="53">
        <f>IF(SCAN!Q1022&lt;&gt;"-",SCAN!D1022,0)</f>
        <v>0</v>
      </c>
      <c r="S1022" s="53">
        <f>IF(SCAN!Q1022&lt;&gt;"-",SCAN!E1022,0)</f>
        <v>0</v>
      </c>
      <c r="T1022" s="53">
        <f>IF(SCAN!Q1022&lt;&gt;"-",SCAN!F1022,0)</f>
        <v>0</v>
      </c>
    </row>
    <row r="1023" spans="8:20" x14ac:dyDescent="0.25">
      <c r="H1023" s="50">
        <f>IF(AND(SCAN!K1023="-",SCAN!Q1023="-"),SCAN!D1023,0)</f>
        <v>0</v>
      </c>
      <c r="I1023" s="50">
        <f>IF(AND(SCAN!K1023="-",SCAN!Q1023="-"),SCAN!E1023,0)</f>
        <v>0</v>
      </c>
      <c r="J1023" s="50">
        <f>IF(AND(SCAN!K1023="-",SCAN!Q1023="-"),SCAN!F1023,0)</f>
        <v>0</v>
      </c>
      <c r="M1023" s="55">
        <f>IF(SCAN!K1023&lt;&gt;"-",SCAN!D1023,0)</f>
        <v>0</v>
      </c>
      <c r="N1023" s="55">
        <f>IF(SCAN!K1023&lt;&gt;"-",SCAN!E1023,0)</f>
        <v>0</v>
      </c>
      <c r="O1023" s="55">
        <f>IF(SCAN!K1023&lt;&gt;"-",SCAN!F1023,0)</f>
        <v>0</v>
      </c>
      <c r="R1023" s="53">
        <f>IF(SCAN!Q1023&lt;&gt;"-",SCAN!D1023,0)</f>
        <v>0</v>
      </c>
      <c r="S1023" s="53">
        <f>IF(SCAN!Q1023&lt;&gt;"-",SCAN!E1023,0)</f>
        <v>0</v>
      </c>
      <c r="T1023" s="53">
        <f>IF(SCAN!Q1023&lt;&gt;"-",SCAN!F1023,0)</f>
        <v>0</v>
      </c>
    </row>
    <row r="1024" spans="8:20" x14ac:dyDescent="0.25">
      <c r="H1024" s="50">
        <f>IF(AND(SCAN!K1024="-",SCAN!Q1024="-"),SCAN!D1024,0)</f>
        <v>0</v>
      </c>
      <c r="I1024" s="50">
        <f>IF(AND(SCAN!K1024="-",SCAN!Q1024="-"),SCAN!E1024,0)</f>
        <v>0</v>
      </c>
      <c r="J1024" s="50">
        <f>IF(AND(SCAN!K1024="-",SCAN!Q1024="-"),SCAN!F1024,0)</f>
        <v>0</v>
      </c>
      <c r="M1024" s="55">
        <f>IF(SCAN!K1024&lt;&gt;"-",SCAN!D1024,0)</f>
        <v>0</v>
      </c>
      <c r="N1024" s="55">
        <f>IF(SCAN!K1024&lt;&gt;"-",SCAN!E1024,0)</f>
        <v>0</v>
      </c>
      <c r="O1024" s="55">
        <f>IF(SCAN!K1024&lt;&gt;"-",SCAN!F1024,0)</f>
        <v>0</v>
      </c>
      <c r="R1024" s="53">
        <f>IF(SCAN!Q1024&lt;&gt;"-",SCAN!D1024,0)</f>
        <v>0</v>
      </c>
      <c r="S1024" s="53">
        <f>IF(SCAN!Q1024&lt;&gt;"-",SCAN!E1024,0)</f>
        <v>0</v>
      </c>
      <c r="T1024" s="53">
        <f>IF(SCAN!Q1024&lt;&gt;"-",SCAN!F1024,0)</f>
        <v>0</v>
      </c>
    </row>
    <row r="1025" spans="8:20" x14ac:dyDescent="0.25">
      <c r="H1025" s="50">
        <f>IF(AND(SCAN!K1025="-",SCAN!Q1025="-"),SCAN!D1025,0)</f>
        <v>0</v>
      </c>
      <c r="I1025" s="50">
        <f>IF(AND(SCAN!K1025="-",SCAN!Q1025="-"),SCAN!E1025,0)</f>
        <v>0</v>
      </c>
      <c r="J1025" s="50">
        <f>IF(AND(SCAN!K1025="-",SCAN!Q1025="-"),SCAN!F1025,0)</f>
        <v>0</v>
      </c>
      <c r="M1025" s="55">
        <f>IF(SCAN!K1025&lt;&gt;"-",SCAN!D1025,0)</f>
        <v>0</v>
      </c>
      <c r="N1025" s="55">
        <f>IF(SCAN!K1025&lt;&gt;"-",SCAN!E1025,0)</f>
        <v>0</v>
      </c>
      <c r="O1025" s="55">
        <f>IF(SCAN!K1025&lt;&gt;"-",SCAN!F1025,0)</f>
        <v>0</v>
      </c>
      <c r="R1025" s="53">
        <f>IF(SCAN!Q1025&lt;&gt;"-",SCAN!D1025,0)</f>
        <v>0</v>
      </c>
      <c r="S1025" s="53">
        <f>IF(SCAN!Q1025&lt;&gt;"-",SCAN!E1025,0)</f>
        <v>0</v>
      </c>
      <c r="T1025" s="53">
        <f>IF(SCAN!Q1025&lt;&gt;"-",SCAN!F1025,0)</f>
        <v>0</v>
      </c>
    </row>
    <row r="1026" spans="8:20" x14ac:dyDescent="0.25">
      <c r="H1026" s="50">
        <f>IF(AND(SCAN!K1026="-",SCAN!Q1026="-"),SCAN!D1026,0)</f>
        <v>0</v>
      </c>
      <c r="I1026" s="50">
        <f>IF(AND(SCAN!K1026="-",SCAN!Q1026="-"),SCAN!E1026,0)</f>
        <v>0</v>
      </c>
      <c r="J1026" s="50">
        <f>IF(AND(SCAN!K1026="-",SCAN!Q1026="-"),SCAN!F1026,0)</f>
        <v>0</v>
      </c>
      <c r="M1026" s="55">
        <f>IF(SCAN!K1026&lt;&gt;"-",SCAN!D1026,0)</f>
        <v>0</v>
      </c>
      <c r="N1026" s="55">
        <f>IF(SCAN!K1026&lt;&gt;"-",SCAN!E1026,0)</f>
        <v>0</v>
      </c>
      <c r="O1026" s="55">
        <f>IF(SCAN!K1026&lt;&gt;"-",SCAN!F1026,0)</f>
        <v>0</v>
      </c>
      <c r="R1026" s="53">
        <f>IF(SCAN!Q1026&lt;&gt;"-",SCAN!D1026,0)</f>
        <v>0</v>
      </c>
      <c r="S1026" s="53">
        <f>IF(SCAN!Q1026&lt;&gt;"-",SCAN!E1026,0)</f>
        <v>0</v>
      </c>
      <c r="T1026" s="53">
        <f>IF(SCAN!Q1026&lt;&gt;"-",SCAN!F1026,0)</f>
        <v>0</v>
      </c>
    </row>
    <row r="1027" spans="8:20" x14ac:dyDescent="0.25">
      <c r="H1027" s="50">
        <f>IF(AND(SCAN!K1027="-",SCAN!Q1027="-"),SCAN!D1027,0)</f>
        <v>0</v>
      </c>
      <c r="I1027" s="50">
        <f>IF(AND(SCAN!K1027="-",SCAN!Q1027="-"),SCAN!E1027,0)</f>
        <v>0</v>
      </c>
      <c r="J1027" s="50">
        <f>IF(AND(SCAN!K1027="-",SCAN!Q1027="-"),SCAN!F1027,0)</f>
        <v>0</v>
      </c>
      <c r="M1027" s="55">
        <f>IF(SCAN!K1027&lt;&gt;"-",SCAN!D1027,0)</f>
        <v>0</v>
      </c>
      <c r="N1027" s="55">
        <f>IF(SCAN!K1027&lt;&gt;"-",SCAN!E1027,0)</f>
        <v>0</v>
      </c>
      <c r="O1027" s="55">
        <f>IF(SCAN!K1027&lt;&gt;"-",SCAN!F1027,0)</f>
        <v>0</v>
      </c>
      <c r="R1027" s="53">
        <f>IF(SCAN!Q1027&lt;&gt;"-",SCAN!D1027,0)</f>
        <v>0</v>
      </c>
      <c r="S1027" s="53">
        <f>IF(SCAN!Q1027&lt;&gt;"-",SCAN!E1027,0)</f>
        <v>0</v>
      </c>
      <c r="T1027" s="53">
        <f>IF(SCAN!Q1027&lt;&gt;"-",SCAN!F1027,0)</f>
        <v>0</v>
      </c>
    </row>
    <row r="1028" spans="8:20" x14ac:dyDescent="0.25">
      <c r="H1028" s="50">
        <f>IF(AND(SCAN!K1028="-",SCAN!Q1028="-"),SCAN!D1028,0)</f>
        <v>0</v>
      </c>
      <c r="I1028" s="50">
        <f>IF(AND(SCAN!K1028="-",SCAN!Q1028="-"),SCAN!E1028,0)</f>
        <v>0</v>
      </c>
      <c r="J1028" s="50">
        <f>IF(AND(SCAN!K1028="-",SCAN!Q1028="-"),SCAN!F1028,0)</f>
        <v>0</v>
      </c>
      <c r="M1028" s="55">
        <f>IF(SCAN!K1028&lt;&gt;"-",SCAN!D1028,0)</f>
        <v>0</v>
      </c>
      <c r="N1028" s="55">
        <f>IF(SCAN!K1028&lt;&gt;"-",SCAN!E1028,0)</f>
        <v>0</v>
      </c>
      <c r="O1028" s="55">
        <f>IF(SCAN!K1028&lt;&gt;"-",SCAN!F1028,0)</f>
        <v>0</v>
      </c>
      <c r="R1028" s="53">
        <f>IF(SCAN!Q1028&lt;&gt;"-",SCAN!D1028,0)</f>
        <v>0</v>
      </c>
      <c r="S1028" s="53">
        <f>IF(SCAN!Q1028&lt;&gt;"-",SCAN!E1028,0)</f>
        <v>0</v>
      </c>
      <c r="T1028" s="53">
        <f>IF(SCAN!Q1028&lt;&gt;"-",SCAN!F1028,0)</f>
        <v>0</v>
      </c>
    </row>
    <row r="1029" spans="8:20" x14ac:dyDescent="0.25">
      <c r="H1029" s="50">
        <f>IF(AND(SCAN!K1029="-",SCAN!Q1029="-"),SCAN!D1029,0)</f>
        <v>0</v>
      </c>
      <c r="I1029" s="50">
        <f>IF(AND(SCAN!K1029="-",SCAN!Q1029="-"),SCAN!E1029,0)</f>
        <v>0</v>
      </c>
      <c r="J1029" s="50">
        <f>IF(AND(SCAN!K1029="-",SCAN!Q1029="-"),SCAN!F1029,0)</f>
        <v>0</v>
      </c>
      <c r="M1029" s="55">
        <f>IF(SCAN!K1029&lt;&gt;"-",SCAN!D1029,0)</f>
        <v>0</v>
      </c>
      <c r="N1029" s="55">
        <f>IF(SCAN!K1029&lt;&gt;"-",SCAN!E1029,0)</f>
        <v>0</v>
      </c>
      <c r="O1029" s="55">
        <f>IF(SCAN!K1029&lt;&gt;"-",SCAN!F1029,0)</f>
        <v>0</v>
      </c>
      <c r="R1029" s="53">
        <f>IF(SCAN!Q1029&lt;&gt;"-",SCAN!D1029,0)</f>
        <v>0</v>
      </c>
      <c r="S1029" s="53">
        <f>IF(SCAN!Q1029&lt;&gt;"-",SCAN!E1029,0)</f>
        <v>0</v>
      </c>
      <c r="T1029" s="53">
        <f>IF(SCAN!Q1029&lt;&gt;"-",SCAN!F1029,0)</f>
        <v>0</v>
      </c>
    </row>
    <row r="1030" spans="8:20" x14ac:dyDescent="0.25">
      <c r="H1030" s="50">
        <f>IF(AND(SCAN!K1030="-",SCAN!Q1030="-"),SCAN!D1030,0)</f>
        <v>0</v>
      </c>
      <c r="I1030" s="50">
        <f>IF(AND(SCAN!K1030="-",SCAN!Q1030="-"),SCAN!E1030,0)</f>
        <v>0</v>
      </c>
      <c r="J1030" s="50">
        <f>IF(AND(SCAN!K1030="-",SCAN!Q1030="-"),SCAN!F1030,0)</f>
        <v>0</v>
      </c>
      <c r="M1030" s="55">
        <f>IF(SCAN!K1030&lt;&gt;"-",SCAN!D1030,0)</f>
        <v>0</v>
      </c>
      <c r="N1030" s="55">
        <f>IF(SCAN!K1030&lt;&gt;"-",SCAN!E1030,0)</f>
        <v>0</v>
      </c>
      <c r="O1030" s="55">
        <f>IF(SCAN!K1030&lt;&gt;"-",SCAN!F1030,0)</f>
        <v>0</v>
      </c>
      <c r="R1030" s="53">
        <f>IF(SCAN!Q1030&lt;&gt;"-",SCAN!D1030,0)</f>
        <v>0</v>
      </c>
      <c r="S1030" s="53">
        <f>IF(SCAN!Q1030&lt;&gt;"-",SCAN!E1030,0)</f>
        <v>0</v>
      </c>
      <c r="T1030" s="53">
        <f>IF(SCAN!Q1030&lt;&gt;"-",SCAN!F1030,0)</f>
        <v>0</v>
      </c>
    </row>
    <row r="1031" spans="8:20" x14ac:dyDescent="0.25">
      <c r="H1031" s="50">
        <f>IF(AND(SCAN!K1031="-",SCAN!Q1031="-"),SCAN!D1031,0)</f>
        <v>0</v>
      </c>
      <c r="I1031" s="50">
        <f>IF(AND(SCAN!K1031="-",SCAN!Q1031="-"),SCAN!E1031,0)</f>
        <v>0</v>
      </c>
      <c r="J1031" s="50">
        <f>IF(AND(SCAN!K1031="-",SCAN!Q1031="-"),SCAN!F1031,0)</f>
        <v>0</v>
      </c>
      <c r="M1031" s="55">
        <f>IF(SCAN!K1031&lt;&gt;"-",SCAN!D1031,0)</f>
        <v>0</v>
      </c>
      <c r="N1031" s="55">
        <f>IF(SCAN!K1031&lt;&gt;"-",SCAN!E1031,0)</f>
        <v>0</v>
      </c>
      <c r="O1031" s="55">
        <f>IF(SCAN!K1031&lt;&gt;"-",SCAN!F1031,0)</f>
        <v>0</v>
      </c>
      <c r="R1031" s="53">
        <f>IF(SCAN!Q1031&lt;&gt;"-",SCAN!D1031,0)</f>
        <v>0</v>
      </c>
      <c r="S1031" s="53">
        <f>IF(SCAN!Q1031&lt;&gt;"-",SCAN!E1031,0)</f>
        <v>0</v>
      </c>
      <c r="T1031" s="53">
        <f>IF(SCAN!Q1031&lt;&gt;"-",SCAN!F1031,0)</f>
        <v>0</v>
      </c>
    </row>
    <row r="1032" spans="8:20" x14ac:dyDescent="0.25">
      <c r="H1032" s="50">
        <f>IF(AND(SCAN!K1032="-",SCAN!Q1032="-"),SCAN!D1032,0)</f>
        <v>0</v>
      </c>
      <c r="I1032" s="50">
        <f>IF(AND(SCAN!K1032="-",SCAN!Q1032="-"),SCAN!E1032,0)</f>
        <v>0</v>
      </c>
      <c r="J1032" s="50">
        <f>IF(AND(SCAN!K1032="-",SCAN!Q1032="-"),SCAN!F1032,0)</f>
        <v>0</v>
      </c>
      <c r="M1032" s="55">
        <f>IF(SCAN!K1032&lt;&gt;"-",SCAN!D1032,0)</f>
        <v>0</v>
      </c>
      <c r="N1032" s="55">
        <f>IF(SCAN!K1032&lt;&gt;"-",SCAN!E1032,0)</f>
        <v>0</v>
      </c>
      <c r="O1032" s="55">
        <f>IF(SCAN!K1032&lt;&gt;"-",SCAN!F1032,0)</f>
        <v>0</v>
      </c>
      <c r="R1032" s="53">
        <f>IF(SCAN!Q1032&lt;&gt;"-",SCAN!D1032,0)</f>
        <v>0</v>
      </c>
      <c r="S1032" s="53">
        <f>IF(SCAN!Q1032&lt;&gt;"-",SCAN!E1032,0)</f>
        <v>0</v>
      </c>
      <c r="T1032" s="53">
        <f>IF(SCAN!Q1032&lt;&gt;"-",SCAN!F1032,0)</f>
        <v>0</v>
      </c>
    </row>
    <row r="1033" spans="8:20" x14ac:dyDescent="0.25">
      <c r="H1033" s="50">
        <f>IF(AND(SCAN!K1033="-",SCAN!Q1033="-"),SCAN!D1033,0)</f>
        <v>0</v>
      </c>
      <c r="I1033" s="50">
        <f>IF(AND(SCAN!K1033="-",SCAN!Q1033="-"),SCAN!E1033,0)</f>
        <v>0</v>
      </c>
      <c r="J1033" s="50">
        <f>IF(AND(SCAN!K1033="-",SCAN!Q1033="-"),SCAN!F1033,0)</f>
        <v>0</v>
      </c>
      <c r="M1033" s="55">
        <f>IF(SCAN!K1033&lt;&gt;"-",SCAN!D1033,0)</f>
        <v>0</v>
      </c>
      <c r="N1033" s="55">
        <f>IF(SCAN!K1033&lt;&gt;"-",SCAN!E1033,0)</f>
        <v>0</v>
      </c>
      <c r="O1033" s="55">
        <f>IF(SCAN!K1033&lt;&gt;"-",SCAN!F1033,0)</f>
        <v>0</v>
      </c>
      <c r="R1033" s="53">
        <f>IF(SCAN!Q1033&lt;&gt;"-",SCAN!D1033,0)</f>
        <v>0</v>
      </c>
      <c r="S1033" s="53">
        <f>IF(SCAN!Q1033&lt;&gt;"-",SCAN!E1033,0)</f>
        <v>0</v>
      </c>
      <c r="T1033" s="53">
        <f>IF(SCAN!Q1033&lt;&gt;"-",SCAN!F1033,0)</f>
        <v>0</v>
      </c>
    </row>
    <row r="1034" spans="8:20" x14ac:dyDescent="0.25">
      <c r="H1034" s="50">
        <f>IF(AND(SCAN!K1034="-",SCAN!Q1034="-"),SCAN!D1034,0)</f>
        <v>0</v>
      </c>
      <c r="I1034" s="50">
        <f>IF(AND(SCAN!K1034="-",SCAN!Q1034="-"),SCAN!E1034,0)</f>
        <v>0</v>
      </c>
      <c r="J1034" s="50">
        <f>IF(AND(SCAN!K1034="-",SCAN!Q1034="-"),SCAN!F1034,0)</f>
        <v>0</v>
      </c>
      <c r="M1034" s="55">
        <f>IF(SCAN!K1034&lt;&gt;"-",SCAN!D1034,0)</f>
        <v>0</v>
      </c>
      <c r="N1034" s="55">
        <f>IF(SCAN!K1034&lt;&gt;"-",SCAN!E1034,0)</f>
        <v>0</v>
      </c>
      <c r="O1034" s="55">
        <f>IF(SCAN!K1034&lt;&gt;"-",SCAN!F1034,0)</f>
        <v>0</v>
      </c>
      <c r="R1034" s="53">
        <f>IF(SCAN!Q1034&lt;&gt;"-",SCAN!D1034,0)</f>
        <v>0</v>
      </c>
      <c r="S1034" s="53">
        <f>IF(SCAN!Q1034&lt;&gt;"-",SCAN!E1034,0)</f>
        <v>0</v>
      </c>
      <c r="T1034" s="53">
        <f>IF(SCAN!Q1034&lt;&gt;"-",SCAN!F1034,0)</f>
        <v>0</v>
      </c>
    </row>
    <row r="1035" spans="8:20" x14ac:dyDescent="0.25">
      <c r="H1035" s="50">
        <f>IF(AND(SCAN!K1035="-",SCAN!Q1035="-"),SCAN!D1035,0)</f>
        <v>0</v>
      </c>
      <c r="I1035" s="50">
        <f>IF(AND(SCAN!K1035="-",SCAN!Q1035="-"),SCAN!E1035,0)</f>
        <v>0</v>
      </c>
      <c r="J1035" s="50">
        <f>IF(AND(SCAN!K1035="-",SCAN!Q1035="-"),SCAN!F1035,0)</f>
        <v>0</v>
      </c>
      <c r="M1035" s="55">
        <f>IF(SCAN!K1035&lt;&gt;"-",SCAN!D1035,0)</f>
        <v>0</v>
      </c>
      <c r="N1035" s="55">
        <f>IF(SCAN!K1035&lt;&gt;"-",SCAN!E1035,0)</f>
        <v>0</v>
      </c>
      <c r="O1035" s="55">
        <f>IF(SCAN!K1035&lt;&gt;"-",SCAN!F1035,0)</f>
        <v>0</v>
      </c>
      <c r="R1035" s="53">
        <f>IF(SCAN!Q1035&lt;&gt;"-",SCAN!D1035,0)</f>
        <v>0</v>
      </c>
      <c r="S1035" s="53">
        <f>IF(SCAN!Q1035&lt;&gt;"-",SCAN!E1035,0)</f>
        <v>0</v>
      </c>
      <c r="T1035" s="53">
        <f>IF(SCAN!Q1035&lt;&gt;"-",SCAN!F1035,0)</f>
        <v>0</v>
      </c>
    </row>
    <row r="1036" spans="8:20" x14ac:dyDescent="0.25">
      <c r="H1036" s="50">
        <f>IF(AND(SCAN!K1036="-",SCAN!Q1036="-"),SCAN!D1036,0)</f>
        <v>0</v>
      </c>
      <c r="I1036" s="50">
        <f>IF(AND(SCAN!K1036="-",SCAN!Q1036="-"),SCAN!E1036,0)</f>
        <v>0</v>
      </c>
      <c r="J1036" s="50">
        <f>IF(AND(SCAN!K1036="-",SCAN!Q1036="-"),SCAN!F1036,0)</f>
        <v>0</v>
      </c>
      <c r="M1036" s="55">
        <f>IF(SCAN!K1036&lt;&gt;"-",SCAN!D1036,0)</f>
        <v>0</v>
      </c>
      <c r="N1036" s="55">
        <f>IF(SCAN!K1036&lt;&gt;"-",SCAN!E1036,0)</f>
        <v>0</v>
      </c>
      <c r="O1036" s="55">
        <f>IF(SCAN!K1036&lt;&gt;"-",SCAN!F1036,0)</f>
        <v>0</v>
      </c>
      <c r="R1036" s="53">
        <f>IF(SCAN!Q1036&lt;&gt;"-",SCAN!D1036,0)</f>
        <v>0</v>
      </c>
      <c r="S1036" s="53">
        <f>IF(SCAN!Q1036&lt;&gt;"-",SCAN!E1036,0)</f>
        <v>0</v>
      </c>
      <c r="T1036" s="53">
        <f>IF(SCAN!Q1036&lt;&gt;"-",SCAN!F1036,0)</f>
        <v>0</v>
      </c>
    </row>
    <row r="1037" spans="8:20" x14ac:dyDescent="0.25">
      <c r="H1037" s="50">
        <f>IF(AND(SCAN!K1037="-",SCAN!Q1037="-"),SCAN!D1037,0)</f>
        <v>0</v>
      </c>
      <c r="I1037" s="50">
        <f>IF(AND(SCAN!K1037="-",SCAN!Q1037="-"),SCAN!E1037,0)</f>
        <v>0</v>
      </c>
      <c r="J1037" s="50">
        <f>IF(AND(SCAN!K1037="-",SCAN!Q1037="-"),SCAN!F1037,0)</f>
        <v>0</v>
      </c>
      <c r="M1037" s="55">
        <f>IF(SCAN!K1037&lt;&gt;"-",SCAN!D1037,0)</f>
        <v>0</v>
      </c>
      <c r="N1037" s="55">
        <f>IF(SCAN!K1037&lt;&gt;"-",SCAN!E1037,0)</f>
        <v>0</v>
      </c>
      <c r="O1037" s="55">
        <f>IF(SCAN!K1037&lt;&gt;"-",SCAN!F1037,0)</f>
        <v>0</v>
      </c>
      <c r="R1037" s="53">
        <f>IF(SCAN!Q1037&lt;&gt;"-",SCAN!D1037,0)</f>
        <v>0</v>
      </c>
      <c r="S1037" s="53">
        <f>IF(SCAN!Q1037&lt;&gt;"-",SCAN!E1037,0)</f>
        <v>0</v>
      </c>
      <c r="T1037" s="53">
        <f>IF(SCAN!Q1037&lt;&gt;"-",SCAN!F1037,0)</f>
        <v>0</v>
      </c>
    </row>
    <row r="1038" spans="8:20" x14ac:dyDescent="0.25">
      <c r="H1038" s="50">
        <f>IF(AND(SCAN!K1038="-",SCAN!Q1038="-"),SCAN!D1038,0)</f>
        <v>0</v>
      </c>
      <c r="I1038" s="50">
        <f>IF(AND(SCAN!K1038="-",SCAN!Q1038="-"),SCAN!E1038,0)</f>
        <v>0</v>
      </c>
      <c r="J1038" s="50">
        <f>IF(AND(SCAN!K1038="-",SCAN!Q1038="-"),SCAN!F1038,0)</f>
        <v>0</v>
      </c>
      <c r="M1038" s="55">
        <f>IF(SCAN!K1038&lt;&gt;"-",SCAN!D1038,0)</f>
        <v>0</v>
      </c>
      <c r="N1038" s="55">
        <f>IF(SCAN!K1038&lt;&gt;"-",SCAN!E1038,0)</f>
        <v>0</v>
      </c>
      <c r="O1038" s="55">
        <f>IF(SCAN!K1038&lt;&gt;"-",SCAN!F1038,0)</f>
        <v>0</v>
      </c>
      <c r="R1038" s="53">
        <f>IF(SCAN!Q1038&lt;&gt;"-",SCAN!D1038,0)</f>
        <v>0</v>
      </c>
      <c r="S1038" s="53">
        <f>IF(SCAN!Q1038&lt;&gt;"-",SCAN!E1038,0)</f>
        <v>0</v>
      </c>
      <c r="T1038" s="53">
        <f>IF(SCAN!Q1038&lt;&gt;"-",SCAN!F1038,0)</f>
        <v>0</v>
      </c>
    </row>
    <row r="1039" spans="8:20" x14ac:dyDescent="0.25">
      <c r="H1039" s="50">
        <f>IF(AND(SCAN!K1039="-",SCAN!Q1039="-"),SCAN!D1039,0)</f>
        <v>0</v>
      </c>
      <c r="I1039" s="50">
        <f>IF(AND(SCAN!K1039="-",SCAN!Q1039="-"),SCAN!E1039,0)</f>
        <v>0</v>
      </c>
      <c r="J1039" s="50">
        <f>IF(AND(SCAN!K1039="-",SCAN!Q1039="-"),SCAN!F1039,0)</f>
        <v>0</v>
      </c>
      <c r="M1039" s="55">
        <f>IF(SCAN!K1039&lt;&gt;"-",SCAN!D1039,0)</f>
        <v>0</v>
      </c>
      <c r="N1039" s="55">
        <f>IF(SCAN!K1039&lt;&gt;"-",SCAN!E1039,0)</f>
        <v>0</v>
      </c>
      <c r="O1039" s="55">
        <f>IF(SCAN!K1039&lt;&gt;"-",SCAN!F1039,0)</f>
        <v>0</v>
      </c>
      <c r="R1039" s="53">
        <f>IF(SCAN!Q1039&lt;&gt;"-",SCAN!D1039,0)</f>
        <v>0</v>
      </c>
      <c r="S1039" s="53">
        <f>IF(SCAN!Q1039&lt;&gt;"-",SCAN!E1039,0)</f>
        <v>0</v>
      </c>
      <c r="T1039" s="53">
        <f>IF(SCAN!Q1039&lt;&gt;"-",SCAN!F1039,0)</f>
        <v>0</v>
      </c>
    </row>
    <row r="1040" spans="8:20" x14ac:dyDescent="0.25">
      <c r="H1040" s="50">
        <f>IF(AND(SCAN!K1040="-",SCAN!Q1040="-"),SCAN!D1040,0)</f>
        <v>0</v>
      </c>
      <c r="I1040" s="50">
        <f>IF(AND(SCAN!K1040="-",SCAN!Q1040="-"),SCAN!E1040,0)</f>
        <v>0</v>
      </c>
      <c r="J1040" s="50">
        <f>IF(AND(SCAN!K1040="-",SCAN!Q1040="-"),SCAN!F1040,0)</f>
        <v>0</v>
      </c>
      <c r="M1040" s="55">
        <f>IF(SCAN!K1040&lt;&gt;"-",SCAN!D1040,0)</f>
        <v>0</v>
      </c>
      <c r="N1040" s="55">
        <f>IF(SCAN!K1040&lt;&gt;"-",SCAN!E1040,0)</f>
        <v>0</v>
      </c>
      <c r="O1040" s="55">
        <f>IF(SCAN!K1040&lt;&gt;"-",SCAN!F1040,0)</f>
        <v>0</v>
      </c>
      <c r="R1040" s="53">
        <f>IF(SCAN!Q1040&lt;&gt;"-",SCAN!D1040,0)</f>
        <v>0</v>
      </c>
      <c r="S1040" s="53">
        <f>IF(SCAN!Q1040&lt;&gt;"-",SCAN!E1040,0)</f>
        <v>0</v>
      </c>
      <c r="T1040" s="53">
        <f>IF(SCAN!Q1040&lt;&gt;"-",SCAN!F1040,0)</f>
        <v>0</v>
      </c>
    </row>
    <row r="1041" spans="8:20" x14ac:dyDescent="0.25">
      <c r="H1041" s="50">
        <f>IF(AND(SCAN!K1041="-",SCAN!Q1041="-"),SCAN!D1041,0)</f>
        <v>0</v>
      </c>
      <c r="I1041" s="50">
        <f>IF(AND(SCAN!K1041="-",SCAN!Q1041="-"),SCAN!E1041,0)</f>
        <v>0</v>
      </c>
      <c r="J1041" s="50">
        <f>IF(AND(SCAN!K1041="-",SCAN!Q1041="-"),SCAN!F1041,0)</f>
        <v>0</v>
      </c>
      <c r="M1041" s="55">
        <f>IF(SCAN!K1041&lt;&gt;"-",SCAN!D1041,0)</f>
        <v>0</v>
      </c>
      <c r="N1041" s="55">
        <f>IF(SCAN!K1041&lt;&gt;"-",SCAN!E1041,0)</f>
        <v>0</v>
      </c>
      <c r="O1041" s="55">
        <f>IF(SCAN!K1041&lt;&gt;"-",SCAN!F1041,0)</f>
        <v>0</v>
      </c>
      <c r="R1041" s="53">
        <f>IF(SCAN!Q1041&lt;&gt;"-",SCAN!D1041,0)</f>
        <v>0</v>
      </c>
      <c r="S1041" s="53">
        <f>IF(SCAN!Q1041&lt;&gt;"-",SCAN!E1041,0)</f>
        <v>0</v>
      </c>
      <c r="T1041" s="53">
        <f>IF(SCAN!Q1041&lt;&gt;"-",SCAN!F1041,0)</f>
        <v>0</v>
      </c>
    </row>
    <row r="1042" spans="8:20" x14ac:dyDescent="0.25">
      <c r="H1042" s="50">
        <f>IF(AND(SCAN!K1042="-",SCAN!Q1042="-"),SCAN!D1042,0)</f>
        <v>0</v>
      </c>
      <c r="I1042" s="50">
        <f>IF(AND(SCAN!K1042="-",SCAN!Q1042="-"),SCAN!E1042,0)</f>
        <v>0</v>
      </c>
      <c r="J1042" s="50">
        <f>IF(AND(SCAN!K1042="-",SCAN!Q1042="-"),SCAN!F1042,0)</f>
        <v>0</v>
      </c>
      <c r="M1042" s="55">
        <f>IF(SCAN!K1042&lt;&gt;"-",SCAN!D1042,0)</f>
        <v>0</v>
      </c>
      <c r="N1042" s="55">
        <f>IF(SCAN!K1042&lt;&gt;"-",SCAN!E1042,0)</f>
        <v>0</v>
      </c>
      <c r="O1042" s="55">
        <f>IF(SCAN!K1042&lt;&gt;"-",SCAN!F1042,0)</f>
        <v>0</v>
      </c>
      <c r="R1042" s="53">
        <f>IF(SCAN!Q1042&lt;&gt;"-",SCAN!D1042,0)</f>
        <v>0</v>
      </c>
      <c r="S1042" s="53">
        <f>IF(SCAN!Q1042&lt;&gt;"-",SCAN!E1042,0)</f>
        <v>0</v>
      </c>
      <c r="T1042" s="53">
        <f>IF(SCAN!Q1042&lt;&gt;"-",SCAN!F1042,0)</f>
        <v>0</v>
      </c>
    </row>
    <row r="1043" spans="8:20" x14ac:dyDescent="0.25">
      <c r="H1043" s="50">
        <f>IF(AND(SCAN!K1043="-",SCAN!Q1043="-"),SCAN!D1043,0)</f>
        <v>0</v>
      </c>
      <c r="I1043" s="50">
        <f>IF(AND(SCAN!K1043="-",SCAN!Q1043="-"),SCAN!E1043,0)</f>
        <v>0</v>
      </c>
      <c r="J1043" s="50">
        <f>IF(AND(SCAN!K1043="-",SCAN!Q1043="-"),SCAN!F1043,0)</f>
        <v>0</v>
      </c>
      <c r="M1043" s="55">
        <f>IF(SCAN!K1043&lt;&gt;"-",SCAN!D1043,0)</f>
        <v>0</v>
      </c>
      <c r="N1043" s="55">
        <f>IF(SCAN!K1043&lt;&gt;"-",SCAN!E1043,0)</f>
        <v>0</v>
      </c>
      <c r="O1043" s="55">
        <f>IF(SCAN!K1043&lt;&gt;"-",SCAN!F1043,0)</f>
        <v>0</v>
      </c>
      <c r="R1043" s="53">
        <f>IF(SCAN!Q1043&lt;&gt;"-",SCAN!D1043,0)</f>
        <v>0</v>
      </c>
      <c r="S1043" s="53">
        <f>IF(SCAN!Q1043&lt;&gt;"-",SCAN!E1043,0)</f>
        <v>0</v>
      </c>
      <c r="T1043" s="53">
        <f>IF(SCAN!Q1043&lt;&gt;"-",SCAN!F1043,0)</f>
        <v>0</v>
      </c>
    </row>
    <row r="1044" spans="8:20" x14ac:dyDescent="0.25">
      <c r="H1044" s="50">
        <f>IF(AND(SCAN!K1044="-",SCAN!Q1044="-"),SCAN!D1044,0)</f>
        <v>0</v>
      </c>
      <c r="I1044" s="50">
        <f>IF(AND(SCAN!K1044="-",SCAN!Q1044="-"),SCAN!E1044,0)</f>
        <v>0</v>
      </c>
      <c r="J1044" s="50">
        <f>IF(AND(SCAN!K1044="-",SCAN!Q1044="-"),SCAN!F1044,0)</f>
        <v>0</v>
      </c>
      <c r="M1044" s="55">
        <f>IF(SCAN!K1044&lt;&gt;"-",SCAN!D1044,0)</f>
        <v>0</v>
      </c>
      <c r="N1044" s="55">
        <f>IF(SCAN!K1044&lt;&gt;"-",SCAN!E1044,0)</f>
        <v>0</v>
      </c>
      <c r="O1044" s="55">
        <f>IF(SCAN!K1044&lt;&gt;"-",SCAN!F1044,0)</f>
        <v>0</v>
      </c>
      <c r="R1044" s="53">
        <f>IF(SCAN!Q1044&lt;&gt;"-",SCAN!D1044,0)</f>
        <v>0</v>
      </c>
      <c r="S1044" s="53">
        <f>IF(SCAN!Q1044&lt;&gt;"-",SCAN!E1044,0)</f>
        <v>0</v>
      </c>
      <c r="T1044" s="53">
        <f>IF(SCAN!Q1044&lt;&gt;"-",SCAN!F1044,0)</f>
        <v>0</v>
      </c>
    </row>
    <row r="1045" spans="8:20" x14ac:dyDescent="0.25">
      <c r="H1045" s="50">
        <f>IF(AND(SCAN!K1045="-",SCAN!Q1045="-"),SCAN!D1045,0)</f>
        <v>0</v>
      </c>
      <c r="I1045" s="50">
        <f>IF(AND(SCAN!K1045="-",SCAN!Q1045="-"),SCAN!E1045,0)</f>
        <v>0</v>
      </c>
      <c r="J1045" s="50">
        <f>IF(AND(SCAN!K1045="-",SCAN!Q1045="-"),SCAN!F1045,0)</f>
        <v>0</v>
      </c>
      <c r="M1045" s="55">
        <f>IF(SCAN!K1045&lt;&gt;"-",SCAN!D1045,0)</f>
        <v>0</v>
      </c>
      <c r="N1045" s="55">
        <f>IF(SCAN!K1045&lt;&gt;"-",SCAN!E1045,0)</f>
        <v>0</v>
      </c>
      <c r="O1045" s="55">
        <f>IF(SCAN!K1045&lt;&gt;"-",SCAN!F1045,0)</f>
        <v>0</v>
      </c>
      <c r="R1045" s="53">
        <f>IF(SCAN!Q1045&lt;&gt;"-",SCAN!D1045,0)</f>
        <v>0</v>
      </c>
      <c r="S1045" s="53">
        <f>IF(SCAN!Q1045&lt;&gt;"-",SCAN!E1045,0)</f>
        <v>0</v>
      </c>
      <c r="T1045" s="53">
        <f>IF(SCAN!Q1045&lt;&gt;"-",SCAN!F1045,0)</f>
        <v>0</v>
      </c>
    </row>
    <row r="1046" spans="8:20" x14ac:dyDescent="0.25">
      <c r="H1046" s="50">
        <f>IF(AND(SCAN!K1046="-",SCAN!Q1046="-"),SCAN!D1046,0)</f>
        <v>0</v>
      </c>
      <c r="I1046" s="50">
        <f>IF(AND(SCAN!K1046="-",SCAN!Q1046="-"),SCAN!E1046,0)</f>
        <v>0</v>
      </c>
      <c r="J1046" s="50">
        <f>IF(AND(SCAN!K1046="-",SCAN!Q1046="-"),SCAN!F1046,0)</f>
        <v>0</v>
      </c>
      <c r="M1046" s="55">
        <f>IF(SCAN!K1046&lt;&gt;"-",SCAN!D1046,0)</f>
        <v>0</v>
      </c>
      <c r="N1046" s="55">
        <f>IF(SCAN!K1046&lt;&gt;"-",SCAN!E1046,0)</f>
        <v>0</v>
      </c>
      <c r="O1046" s="55">
        <f>IF(SCAN!K1046&lt;&gt;"-",SCAN!F1046,0)</f>
        <v>0</v>
      </c>
      <c r="R1046" s="53">
        <f>IF(SCAN!Q1046&lt;&gt;"-",SCAN!D1046,0)</f>
        <v>0</v>
      </c>
      <c r="S1046" s="53">
        <f>IF(SCAN!Q1046&lt;&gt;"-",SCAN!E1046,0)</f>
        <v>0</v>
      </c>
      <c r="T1046" s="53">
        <f>IF(SCAN!Q1046&lt;&gt;"-",SCAN!F1046,0)</f>
        <v>0</v>
      </c>
    </row>
    <row r="1047" spans="8:20" x14ac:dyDescent="0.25">
      <c r="H1047" s="50">
        <f>IF(AND(SCAN!K1047="-",SCAN!Q1047="-"),SCAN!D1047,0)</f>
        <v>0</v>
      </c>
      <c r="I1047" s="50">
        <f>IF(AND(SCAN!K1047="-",SCAN!Q1047="-"),SCAN!E1047,0)</f>
        <v>0</v>
      </c>
      <c r="J1047" s="50">
        <f>IF(AND(SCAN!K1047="-",SCAN!Q1047="-"),SCAN!F1047,0)</f>
        <v>0</v>
      </c>
      <c r="M1047" s="55">
        <f>IF(SCAN!K1047&lt;&gt;"-",SCAN!D1047,0)</f>
        <v>0</v>
      </c>
      <c r="N1047" s="55">
        <f>IF(SCAN!K1047&lt;&gt;"-",SCAN!E1047,0)</f>
        <v>0</v>
      </c>
      <c r="O1047" s="55">
        <f>IF(SCAN!K1047&lt;&gt;"-",SCAN!F1047,0)</f>
        <v>0</v>
      </c>
      <c r="R1047" s="53">
        <f>IF(SCAN!Q1047&lt;&gt;"-",SCAN!D1047,0)</f>
        <v>0</v>
      </c>
      <c r="S1047" s="53">
        <f>IF(SCAN!Q1047&lt;&gt;"-",SCAN!E1047,0)</f>
        <v>0</v>
      </c>
      <c r="T1047" s="53">
        <f>IF(SCAN!Q1047&lt;&gt;"-",SCAN!F1047,0)</f>
        <v>0</v>
      </c>
    </row>
    <row r="1048" spans="8:20" x14ac:dyDescent="0.25">
      <c r="H1048" s="50">
        <f>IF(AND(SCAN!K1048="-",SCAN!Q1048="-"),SCAN!D1048,0)</f>
        <v>0</v>
      </c>
      <c r="I1048" s="50">
        <f>IF(AND(SCAN!K1048="-",SCAN!Q1048="-"),SCAN!E1048,0)</f>
        <v>0</v>
      </c>
      <c r="J1048" s="50">
        <f>IF(AND(SCAN!K1048="-",SCAN!Q1048="-"),SCAN!F1048,0)</f>
        <v>0</v>
      </c>
      <c r="M1048" s="55">
        <f>IF(SCAN!K1048&lt;&gt;"-",SCAN!D1048,0)</f>
        <v>0</v>
      </c>
      <c r="N1048" s="55">
        <f>IF(SCAN!K1048&lt;&gt;"-",SCAN!E1048,0)</f>
        <v>0</v>
      </c>
      <c r="O1048" s="55">
        <f>IF(SCAN!K1048&lt;&gt;"-",SCAN!F1048,0)</f>
        <v>0</v>
      </c>
      <c r="R1048" s="53">
        <f>IF(SCAN!Q1048&lt;&gt;"-",SCAN!D1048,0)</f>
        <v>0</v>
      </c>
      <c r="S1048" s="53">
        <f>IF(SCAN!Q1048&lt;&gt;"-",SCAN!E1048,0)</f>
        <v>0</v>
      </c>
      <c r="T1048" s="53">
        <f>IF(SCAN!Q1048&lt;&gt;"-",SCAN!F1048,0)</f>
        <v>0</v>
      </c>
    </row>
    <row r="1049" spans="8:20" x14ac:dyDescent="0.25">
      <c r="H1049" s="50">
        <f>IF(AND(SCAN!K1049="-",SCAN!Q1049="-"),SCAN!D1049,0)</f>
        <v>0</v>
      </c>
      <c r="I1049" s="50">
        <f>IF(AND(SCAN!K1049="-",SCAN!Q1049="-"),SCAN!E1049,0)</f>
        <v>0</v>
      </c>
      <c r="J1049" s="50">
        <f>IF(AND(SCAN!K1049="-",SCAN!Q1049="-"),SCAN!F1049,0)</f>
        <v>0</v>
      </c>
      <c r="M1049" s="55">
        <f>IF(SCAN!K1049&lt;&gt;"-",SCAN!D1049,0)</f>
        <v>0</v>
      </c>
      <c r="N1049" s="55">
        <f>IF(SCAN!K1049&lt;&gt;"-",SCAN!E1049,0)</f>
        <v>0</v>
      </c>
      <c r="O1049" s="55">
        <f>IF(SCAN!K1049&lt;&gt;"-",SCAN!F1049,0)</f>
        <v>0</v>
      </c>
      <c r="R1049" s="53">
        <f>IF(SCAN!Q1049&lt;&gt;"-",SCAN!D1049,0)</f>
        <v>0</v>
      </c>
      <c r="S1049" s="53">
        <f>IF(SCAN!Q1049&lt;&gt;"-",SCAN!E1049,0)</f>
        <v>0</v>
      </c>
      <c r="T1049" s="53">
        <f>IF(SCAN!Q1049&lt;&gt;"-",SCAN!F1049,0)</f>
        <v>0</v>
      </c>
    </row>
    <row r="1050" spans="8:20" x14ac:dyDescent="0.25">
      <c r="H1050" s="50">
        <f>IF(AND(SCAN!K1050="-",SCAN!Q1050="-"),SCAN!D1050,0)</f>
        <v>0</v>
      </c>
      <c r="I1050" s="50">
        <f>IF(AND(SCAN!K1050="-",SCAN!Q1050="-"),SCAN!E1050,0)</f>
        <v>0</v>
      </c>
      <c r="J1050" s="50">
        <f>IF(AND(SCAN!K1050="-",SCAN!Q1050="-"),SCAN!F1050,0)</f>
        <v>0</v>
      </c>
      <c r="M1050" s="55">
        <f>IF(SCAN!K1050&lt;&gt;"-",SCAN!D1050,0)</f>
        <v>0</v>
      </c>
      <c r="N1050" s="55">
        <f>IF(SCAN!K1050&lt;&gt;"-",SCAN!E1050,0)</f>
        <v>0</v>
      </c>
      <c r="O1050" s="55">
        <f>IF(SCAN!K1050&lt;&gt;"-",SCAN!F1050,0)</f>
        <v>0</v>
      </c>
      <c r="R1050" s="53">
        <f>IF(SCAN!Q1050&lt;&gt;"-",SCAN!D1050,0)</f>
        <v>0</v>
      </c>
      <c r="S1050" s="53">
        <f>IF(SCAN!Q1050&lt;&gt;"-",SCAN!E1050,0)</f>
        <v>0</v>
      </c>
      <c r="T1050" s="53">
        <f>IF(SCAN!Q1050&lt;&gt;"-",SCAN!F1050,0)</f>
        <v>0</v>
      </c>
    </row>
    <row r="1051" spans="8:20" x14ac:dyDescent="0.25">
      <c r="H1051" s="50">
        <f>IF(AND(SCAN!K1051="-",SCAN!Q1051="-"),SCAN!D1051,0)</f>
        <v>0</v>
      </c>
      <c r="I1051" s="50">
        <f>IF(AND(SCAN!K1051="-",SCAN!Q1051="-"),SCAN!E1051,0)</f>
        <v>0</v>
      </c>
      <c r="J1051" s="50">
        <f>IF(AND(SCAN!K1051="-",SCAN!Q1051="-"),SCAN!F1051,0)</f>
        <v>0</v>
      </c>
      <c r="M1051" s="55">
        <f>IF(SCAN!K1051&lt;&gt;"-",SCAN!D1051,0)</f>
        <v>0</v>
      </c>
      <c r="N1051" s="55">
        <f>IF(SCAN!K1051&lt;&gt;"-",SCAN!E1051,0)</f>
        <v>0</v>
      </c>
      <c r="O1051" s="55">
        <f>IF(SCAN!K1051&lt;&gt;"-",SCAN!F1051,0)</f>
        <v>0</v>
      </c>
      <c r="R1051" s="53">
        <f>IF(SCAN!Q1051&lt;&gt;"-",SCAN!D1051,0)</f>
        <v>0</v>
      </c>
      <c r="S1051" s="53">
        <f>IF(SCAN!Q1051&lt;&gt;"-",SCAN!E1051,0)</f>
        <v>0</v>
      </c>
      <c r="T1051" s="53">
        <f>IF(SCAN!Q1051&lt;&gt;"-",SCAN!F1051,0)</f>
        <v>0</v>
      </c>
    </row>
    <row r="1052" spans="8:20" x14ac:dyDescent="0.25">
      <c r="H1052" s="50">
        <f>IF(AND(SCAN!K1052="-",SCAN!Q1052="-"),SCAN!D1052,0)</f>
        <v>0</v>
      </c>
      <c r="I1052" s="50">
        <f>IF(AND(SCAN!K1052="-",SCAN!Q1052="-"),SCAN!E1052,0)</f>
        <v>0</v>
      </c>
      <c r="J1052" s="50">
        <f>IF(AND(SCAN!K1052="-",SCAN!Q1052="-"),SCAN!F1052,0)</f>
        <v>0</v>
      </c>
      <c r="M1052" s="55">
        <f>IF(SCAN!K1052&lt;&gt;"-",SCAN!D1052,0)</f>
        <v>0</v>
      </c>
      <c r="N1052" s="55">
        <f>IF(SCAN!K1052&lt;&gt;"-",SCAN!E1052,0)</f>
        <v>0</v>
      </c>
      <c r="O1052" s="55">
        <f>IF(SCAN!K1052&lt;&gt;"-",SCAN!F1052,0)</f>
        <v>0</v>
      </c>
      <c r="R1052" s="53">
        <f>IF(SCAN!Q1052&lt;&gt;"-",SCAN!D1052,0)</f>
        <v>0</v>
      </c>
      <c r="S1052" s="53">
        <f>IF(SCAN!Q1052&lt;&gt;"-",SCAN!E1052,0)</f>
        <v>0</v>
      </c>
      <c r="T1052" s="53">
        <f>IF(SCAN!Q1052&lt;&gt;"-",SCAN!F1052,0)</f>
        <v>0</v>
      </c>
    </row>
    <row r="1053" spans="8:20" x14ac:dyDescent="0.25">
      <c r="H1053" s="50">
        <f>IF(AND(SCAN!K1053="-",SCAN!Q1053="-"),SCAN!D1053,0)</f>
        <v>0</v>
      </c>
      <c r="I1053" s="50">
        <f>IF(AND(SCAN!K1053="-",SCAN!Q1053="-"),SCAN!E1053,0)</f>
        <v>0</v>
      </c>
      <c r="J1053" s="50">
        <f>IF(AND(SCAN!K1053="-",SCAN!Q1053="-"),SCAN!F1053,0)</f>
        <v>0</v>
      </c>
      <c r="M1053" s="55">
        <f>IF(SCAN!K1053&lt;&gt;"-",SCAN!D1053,0)</f>
        <v>0</v>
      </c>
      <c r="N1053" s="55">
        <f>IF(SCAN!K1053&lt;&gt;"-",SCAN!E1053,0)</f>
        <v>0</v>
      </c>
      <c r="O1053" s="55">
        <f>IF(SCAN!K1053&lt;&gt;"-",SCAN!F1053,0)</f>
        <v>0</v>
      </c>
      <c r="R1053" s="53">
        <f>IF(SCAN!Q1053&lt;&gt;"-",SCAN!D1053,0)</f>
        <v>0</v>
      </c>
      <c r="S1053" s="53">
        <f>IF(SCAN!Q1053&lt;&gt;"-",SCAN!E1053,0)</f>
        <v>0</v>
      </c>
      <c r="T1053" s="53">
        <f>IF(SCAN!Q1053&lt;&gt;"-",SCAN!F1053,0)</f>
        <v>0</v>
      </c>
    </row>
    <row r="1054" spans="8:20" x14ac:dyDescent="0.25">
      <c r="H1054" s="50">
        <f>IF(AND(SCAN!K1054="-",SCAN!Q1054="-"),SCAN!D1054,0)</f>
        <v>0</v>
      </c>
      <c r="I1054" s="50">
        <f>IF(AND(SCAN!K1054="-",SCAN!Q1054="-"),SCAN!E1054,0)</f>
        <v>0</v>
      </c>
      <c r="J1054" s="50">
        <f>IF(AND(SCAN!K1054="-",SCAN!Q1054="-"),SCAN!F1054,0)</f>
        <v>0</v>
      </c>
      <c r="M1054" s="55">
        <f>IF(SCAN!K1054&lt;&gt;"-",SCAN!D1054,0)</f>
        <v>0</v>
      </c>
      <c r="N1054" s="55">
        <f>IF(SCAN!K1054&lt;&gt;"-",SCAN!E1054,0)</f>
        <v>0</v>
      </c>
      <c r="O1054" s="55">
        <f>IF(SCAN!K1054&lt;&gt;"-",SCAN!F1054,0)</f>
        <v>0</v>
      </c>
      <c r="R1054" s="53">
        <f>IF(SCAN!Q1054&lt;&gt;"-",SCAN!D1054,0)</f>
        <v>0</v>
      </c>
      <c r="S1054" s="53">
        <f>IF(SCAN!Q1054&lt;&gt;"-",SCAN!E1054,0)</f>
        <v>0</v>
      </c>
      <c r="T1054" s="53">
        <f>IF(SCAN!Q1054&lt;&gt;"-",SCAN!F1054,0)</f>
        <v>0</v>
      </c>
    </row>
    <row r="1055" spans="8:20" x14ac:dyDescent="0.25">
      <c r="H1055" s="50">
        <f>IF(AND(SCAN!K1055="-",SCAN!Q1055="-"),SCAN!D1055,0)</f>
        <v>0</v>
      </c>
      <c r="I1055" s="50">
        <f>IF(AND(SCAN!K1055="-",SCAN!Q1055="-"),SCAN!E1055,0)</f>
        <v>0</v>
      </c>
      <c r="J1055" s="50">
        <f>IF(AND(SCAN!K1055="-",SCAN!Q1055="-"),SCAN!F1055,0)</f>
        <v>0</v>
      </c>
      <c r="M1055" s="55">
        <f>IF(SCAN!K1055&lt;&gt;"-",SCAN!D1055,0)</f>
        <v>0</v>
      </c>
      <c r="N1055" s="55">
        <f>IF(SCAN!K1055&lt;&gt;"-",SCAN!E1055,0)</f>
        <v>0</v>
      </c>
      <c r="O1055" s="55">
        <f>IF(SCAN!K1055&lt;&gt;"-",SCAN!F1055,0)</f>
        <v>0</v>
      </c>
      <c r="R1055" s="53">
        <f>IF(SCAN!Q1055&lt;&gt;"-",SCAN!D1055,0)</f>
        <v>0</v>
      </c>
      <c r="S1055" s="53">
        <f>IF(SCAN!Q1055&lt;&gt;"-",SCAN!E1055,0)</f>
        <v>0</v>
      </c>
      <c r="T1055" s="53">
        <f>IF(SCAN!Q1055&lt;&gt;"-",SCAN!F1055,0)</f>
        <v>0</v>
      </c>
    </row>
    <row r="1056" spans="8:20" x14ac:dyDescent="0.25">
      <c r="H1056" s="50">
        <f>IF(AND(SCAN!K1056="-",SCAN!Q1056="-"),SCAN!D1056,0)</f>
        <v>0</v>
      </c>
      <c r="I1056" s="50">
        <f>IF(AND(SCAN!K1056="-",SCAN!Q1056="-"),SCAN!E1056,0)</f>
        <v>0</v>
      </c>
      <c r="J1056" s="50">
        <f>IF(AND(SCAN!K1056="-",SCAN!Q1056="-"),SCAN!F1056,0)</f>
        <v>0</v>
      </c>
      <c r="M1056" s="55">
        <f>IF(SCAN!K1056&lt;&gt;"-",SCAN!D1056,0)</f>
        <v>0</v>
      </c>
      <c r="N1056" s="55">
        <f>IF(SCAN!K1056&lt;&gt;"-",SCAN!E1056,0)</f>
        <v>0</v>
      </c>
      <c r="O1056" s="55">
        <f>IF(SCAN!K1056&lt;&gt;"-",SCAN!F1056,0)</f>
        <v>0</v>
      </c>
      <c r="R1056" s="53">
        <f>IF(SCAN!Q1056&lt;&gt;"-",SCAN!D1056,0)</f>
        <v>0</v>
      </c>
      <c r="S1056" s="53">
        <f>IF(SCAN!Q1056&lt;&gt;"-",SCAN!E1056,0)</f>
        <v>0</v>
      </c>
      <c r="T1056" s="53">
        <f>IF(SCAN!Q1056&lt;&gt;"-",SCAN!F1056,0)</f>
        <v>0</v>
      </c>
    </row>
    <row r="1057" spans="8:20" x14ac:dyDescent="0.25">
      <c r="H1057" s="50">
        <f>IF(AND(SCAN!K1057="-",SCAN!Q1057="-"),SCAN!D1057,0)</f>
        <v>0</v>
      </c>
      <c r="I1057" s="50">
        <f>IF(AND(SCAN!K1057="-",SCAN!Q1057="-"),SCAN!E1057,0)</f>
        <v>0</v>
      </c>
      <c r="J1057" s="50">
        <f>IF(AND(SCAN!K1057="-",SCAN!Q1057="-"),SCAN!F1057,0)</f>
        <v>0</v>
      </c>
      <c r="M1057" s="55">
        <f>IF(SCAN!K1057&lt;&gt;"-",SCAN!D1057,0)</f>
        <v>0</v>
      </c>
      <c r="N1057" s="55">
        <f>IF(SCAN!K1057&lt;&gt;"-",SCAN!E1057,0)</f>
        <v>0</v>
      </c>
      <c r="O1057" s="55">
        <f>IF(SCAN!K1057&lt;&gt;"-",SCAN!F1057,0)</f>
        <v>0</v>
      </c>
      <c r="R1057" s="53">
        <f>IF(SCAN!Q1057&lt;&gt;"-",SCAN!D1057,0)</f>
        <v>0</v>
      </c>
      <c r="S1057" s="53">
        <f>IF(SCAN!Q1057&lt;&gt;"-",SCAN!E1057,0)</f>
        <v>0</v>
      </c>
      <c r="T1057" s="53">
        <f>IF(SCAN!Q1057&lt;&gt;"-",SCAN!F1057,0)</f>
        <v>0</v>
      </c>
    </row>
    <row r="1058" spans="8:20" x14ac:dyDescent="0.25">
      <c r="H1058" s="50">
        <f>IF(AND(SCAN!K1058="-",SCAN!Q1058="-"),SCAN!D1058,0)</f>
        <v>0</v>
      </c>
      <c r="I1058" s="50">
        <f>IF(AND(SCAN!K1058="-",SCAN!Q1058="-"),SCAN!E1058,0)</f>
        <v>0</v>
      </c>
      <c r="J1058" s="50">
        <f>IF(AND(SCAN!K1058="-",SCAN!Q1058="-"),SCAN!F1058,0)</f>
        <v>0</v>
      </c>
      <c r="M1058" s="55">
        <f>IF(SCAN!K1058&lt;&gt;"-",SCAN!D1058,0)</f>
        <v>0</v>
      </c>
      <c r="N1058" s="55">
        <f>IF(SCAN!K1058&lt;&gt;"-",SCAN!E1058,0)</f>
        <v>0</v>
      </c>
      <c r="O1058" s="55">
        <f>IF(SCAN!K1058&lt;&gt;"-",SCAN!F1058,0)</f>
        <v>0</v>
      </c>
      <c r="R1058" s="53">
        <f>IF(SCAN!Q1058&lt;&gt;"-",SCAN!D1058,0)</f>
        <v>0</v>
      </c>
      <c r="S1058" s="53">
        <f>IF(SCAN!Q1058&lt;&gt;"-",SCAN!E1058,0)</f>
        <v>0</v>
      </c>
      <c r="T1058" s="53">
        <f>IF(SCAN!Q1058&lt;&gt;"-",SCAN!F1058,0)</f>
        <v>0</v>
      </c>
    </row>
    <row r="1059" spans="8:20" x14ac:dyDescent="0.25">
      <c r="H1059" s="50">
        <f>IF(AND(SCAN!K1059="-",SCAN!Q1059="-"),SCAN!D1059,0)</f>
        <v>0</v>
      </c>
      <c r="I1059" s="50">
        <f>IF(AND(SCAN!K1059="-",SCAN!Q1059="-"),SCAN!E1059,0)</f>
        <v>0</v>
      </c>
      <c r="J1059" s="50">
        <f>IF(AND(SCAN!K1059="-",SCAN!Q1059="-"),SCAN!F1059,0)</f>
        <v>0</v>
      </c>
      <c r="M1059" s="55">
        <f>IF(SCAN!K1059&lt;&gt;"-",SCAN!D1059,0)</f>
        <v>0</v>
      </c>
      <c r="N1059" s="55">
        <f>IF(SCAN!K1059&lt;&gt;"-",SCAN!E1059,0)</f>
        <v>0</v>
      </c>
      <c r="O1059" s="55">
        <f>IF(SCAN!K1059&lt;&gt;"-",SCAN!F1059,0)</f>
        <v>0</v>
      </c>
      <c r="R1059" s="53">
        <f>IF(SCAN!Q1059&lt;&gt;"-",SCAN!D1059,0)</f>
        <v>0</v>
      </c>
      <c r="S1059" s="53">
        <f>IF(SCAN!Q1059&lt;&gt;"-",SCAN!E1059,0)</f>
        <v>0</v>
      </c>
      <c r="T1059" s="53">
        <f>IF(SCAN!Q1059&lt;&gt;"-",SCAN!F1059,0)</f>
        <v>0</v>
      </c>
    </row>
    <row r="1060" spans="8:20" x14ac:dyDescent="0.25">
      <c r="H1060" s="50">
        <f>IF(AND(SCAN!K1060="-",SCAN!Q1060="-"),SCAN!D1060,0)</f>
        <v>0</v>
      </c>
      <c r="I1060" s="50">
        <f>IF(AND(SCAN!K1060="-",SCAN!Q1060="-"),SCAN!E1060,0)</f>
        <v>0</v>
      </c>
      <c r="J1060" s="50">
        <f>IF(AND(SCAN!K1060="-",SCAN!Q1060="-"),SCAN!F1060,0)</f>
        <v>0</v>
      </c>
      <c r="M1060" s="55">
        <f>IF(SCAN!K1060&lt;&gt;"-",SCAN!D1060,0)</f>
        <v>0</v>
      </c>
      <c r="N1060" s="55">
        <f>IF(SCAN!K1060&lt;&gt;"-",SCAN!E1060,0)</f>
        <v>0</v>
      </c>
      <c r="O1060" s="55">
        <f>IF(SCAN!K1060&lt;&gt;"-",SCAN!F1060,0)</f>
        <v>0</v>
      </c>
      <c r="R1060" s="53">
        <f>IF(SCAN!Q1060&lt;&gt;"-",SCAN!D1060,0)</f>
        <v>0</v>
      </c>
      <c r="S1060" s="53">
        <f>IF(SCAN!Q1060&lt;&gt;"-",SCAN!E1060,0)</f>
        <v>0</v>
      </c>
      <c r="T1060" s="53">
        <f>IF(SCAN!Q1060&lt;&gt;"-",SCAN!F1060,0)</f>
        <v>0</v>
      </c>
    </row>
    <row r="1061" spans="8:20" x14ac:dyDescent="0.25">
      <c r="H1061" s="50">
        <f>IF(AND(SCAN!K1061="-",SCAN!Q1061="-"),SCAN!D1061,0)</f>
        <v>0</v>
      </c>
      <c r="I1061" s="50">
        <f>IF(AND(SCAN!K1061="-",SCAN!Q1061="-"),SCAN!E1061,0)</f>
        <v>0</v>
      </c>
      <c r="J1061" s="50">
        <f>IF(AND(SCAN!K1061="-",SCAN!Q1061="-"),SCAN!F1061,0)</f>
        <v>0</v>
      </c>
      <c r="M1061" s="55">
        <f>IF(SCAN!K1061&lt;&gt;"-",SCAN!D1061,0)</f>
        <v>0</v>
      </c>
      <c r="N1061" s="55">
        <f>IF(SCAN!K1061&lt;&gt;"-",SCAN!E1061,0)</f>
        <v>0</v>
      </c>
      <c r="O1061" s="55">
        <f>IF(SCAN!K1061&lt;&gt;"-",SCAN!F1061,0)</f>
        <v>0</v>
      </c>
      <c r="R1061" s="53">
        <f>IF(SCAN!Q1061&lt;&gt;"-",SCAN!D1061,0)</f>
        <v>0</v>
      </c>
      <c r="S1061" s="53">
        <f>IF(SCAN!Q1061&lt;&gt;"-",SCAN!E1061,0)</f>
        <v>0</v>
      </c>
      <c r="T1061" s="53">
        <f>IF(SCAN!Q1061&lt;&gt;"-",SCAN!F1061,0)</f>
        <v>0</v>
      </c>
    </row>
    <row r="1062" spans="8:20" x14ac:dyDescent="0.25">
      <c r="H1062" s="50">
        <f>IF(AND(SCAN!K1062="-",SCAN!Q1062="-"),SCAN!D1062,0)</f>
        <v>0</v>
      </c>
      <c r="I1062" s="50">
        <f>IF(AND(SCAN!K1062="-",SCAN!Q1062="-"),SCAN!E1062,0)</f>
        <v>0</v>
      </c>
      <c r="J1062" s="50">
        <f>IF(AND(SCAN!K1062="-",SCAN!Q1062="-"),SCAN!F1062,0)</f>
        <v>0</v>
      </c>
      <c r="M1062" s="55">
        <f>IF(SCAN!K1062&lt;&gt;"-",SCAN!D1062,0)</f>
        <v>0</v>
      </c>
      <c r="N1062" s="55">
        <f>IF(SCAN!K1062&lt;&gt;"-",SCAN!E1062,0)</f>
        <v>0</v>
      </c>
      <c r="O1062" s="55">
        <f>IF(SCAN!K1062&lt;&gt;"-",SCAN!F1062,0)</f>
        <v>0</v>
      </c>
      <c r="R1062" s="53">
        <f>IF(SCAN!Q1062&lt;&gt;"-",SCAN!D1062,0)</f>
        <v>0</v>
      </c>
      <c r="S1062" s="53">
        <f>IF(SCAN!Q1062&lt;&gt;"-",SCAN!E1062,0)</f>
        <v>0</v>
      </c>
      <c r="T1062" s="53">
        <f>IF(SCAN!Q1062&lt;&gt;"-",SCAN!F1062,0)</f>
        <v>0</v>
      </c>
    </row>
    <row r="1063" spans="8:20" x14ac:dyDescent="0.25">
      <c r="H1063" s="50">
        <f>IF(AND(SCAN!K1063="-",SCAN!Q1063="-"),SCAN!D1063,0)</f>
        <v>0</v>
      </c>
      <c r="I1063" s="50">
        <f>IF(AND(SCAN!K1063="-",SCAN!Q1063="-"),SCAN!E1063,0)</f>
        <v>0</v>
      </c>
      <c r="J1063" s="50">
        <f>IF(AND(SCAN!K1063="-",SCAN!Q1063="-"),SCAN!F1063,0)</f>
        <v>0</v>
      </c>
      <c r="M1063" s="55">
        <f>IF(SCAN!K1063&lt;&gt;"-",SCAN!D1063,0)</f>
        <v>0</v>
      </c>
      <c r="N1063" s="55">
        <f>IF(SCAN!K1063&lt;&gt;"-",SCAN!E1063,0)</f>
        <v>0</v>
      </c>
      <c r="O1063" s="55">
        <f>IF(SCAN!K1063&lt;&gt;"-",SCAN!F1063,0)</f>
        <v>0</v>
      </c>
      <c r="R1063" s="53">
        <f>IF(SCAN!Q1063&lt;&gt;"-",SCAN!D1063,0)</f>
        <v>0</v>
      </c>
      <c r="S1063" s="53">
        <f>IF(SCAN!Q1063&lt;&gt;"-",SCAN!E1063,0)</f>
        <v>0</v>
      </c>
      <c r="T1063" s="53">
        <f>IF(SCAN!Q1063&lt;&gt;"-",SCAN!F1063,0)</f>
        <v>0</v>
      </c>
    </row>
    <row r="1064" spans="8:20" x14ac:dyDescent="0.25">
      <c r="H1064" s="50">
        <f>IF(AND(SCAN!K1064="-",SCAN!Q1064="-"),SCAN!D1064,0)</f>
        <v>0</v>
      </c>
      <c r="I1064" s="50">
        <f>IF(AND(SCAN!K1064="-",SCAN!Q1064="-"),SCAN!E1064,0)</f>
        <v>0</v>
      </c>
      <c r="J1064" s="50">
        <f>IF(AND(SCAN!K1064="-",SCAN!Q1064="-"),SCAN!F1064,0)</f>
        <v>0</v>
      </c>
      <c r="M1064" s="55">
        <f>IF(SCAN!K1064&lt;&gt;"-",SCAN!D1064,0)</f>
        <v>0</v>
      </c>
      <c r="N1064" s="55">
        <f>IF(SCAN!K1064&lt;&gt;"-",SCAN!E1064,0)</f>
        <v>0</v>
      </c>
      <c r="O1064" s="55">
        <f>IF(SCAN!K1064&lt;&gt;"-",SCAN!F1064,0)</f>
        <v>0</v>
      </c>
      <c r="R1064" s="53">
        <f>IF(SCAN!Q1064&lt;&gt;"-",SCAN!D1064,0)</f>
        <v>0</v>
      </c>
      <c r="S1064" s="53">
        <f>IF(SCAN!Q1064&lt;&gt;"-",SCAN!E1064,0)</f>
        <v>0</v>
      </c>
      <c r="T1064" s="53">
        <f>IF(SCAN!Q1064&lt;&gt;"-",SCAN!F1064,0)</f>
        <v>0</v>
      </c>
    </row>
    <row r="1065" spans="8:20" x14ac:dyDescent="0.25">
      <c r="H1065" s="50">
        <f>IF(AND(SCAN!K1065="-",SCAN!Q1065="-"),SCAN!D1065,0)</f>
        <v>0</v>
      </c>
      <c r="I1065" s="50">
        <f>IF(AND(SCAN!K1065="-",SCAN!Q1065="-"),SCAN!E1065,0)</f>
        <v>0</v>
      </c>
      <c r="J1065" s="50">
        <f>IF(AND(SCAN!K1065="-",SCAN!Q1065="-"),SCAN!F1065,0)</f>
        <v>0</v>
      </c>
      <c r="M1065" s="55">
        <f>IF(SCAN!K1065&lt;&gt;"-",SCAN!D1065,0)</f>
        <v>0</v>
      </c>
      <c r="N1065" s="55">
        <f>IF(SCAN!K1065&lt;&gt;"-",SCAN!E1065,0)</f>
        <v>0</v>
      </c>
      <c r="O1065" s="55">
        <f>IF(SCAN!K1065&lt;&gt;"-",SCAN!F1065,0)</f>
        <v>0</v>
      </c>
      <c r="R1065" s="53">
        <f>IF(SCAN!Q1065&lt;&gt;"-",SCAN!D1065,0)</f>
        <v>0</v>
      </c>
      <c r="S1065" s="53">
        <f>IF(SCAN!Q1065&lt;&gt;"-",SCAN!E1065,0)</f>
        <v>0</v>
      </c>
      <c r="T1065" s="53">
        <f>IF(SCAN!Q1065&lt;&gt;"-",SCAN!F1065,0)</f>
        <v>0</v>
      </c>
    </row>
    <row r="1066" spans="8:20" x14ac:dyDescent="0.25">
      <c r="H1066" s="50">
        <f>IF(AND(SCAN!K1066="-",SCAN!Q1066="-"),SCAN!D1066,0)</f>
        <v>0</v>
      </c>
      <c r="I1066" s="50">
        <f>IF(AND(SCAN!K1066="-",SCAN!Q1066="-"),SCAN!E1066,0)</f>
        <v>0</v>
      </c>
      <c r="J1066" s="50">
        <f>IF(AND(SCAN!K1066="-",SCAN!Q1066="-"),SCAN!F1066,0)</f>
        <v>0</v>
      </c>
      <c r="M1066" s="55">
        <f>IF(SCAN!K1066&lt;&gt;"-",SCAN!D1066,0)</f>
        <v>0</v>
      </c>
      <c r="N1066" s="55">
        <f>IF(SCAN!K1066&lt;&gt;"-",SCAN!E1066,0)</f>
        <v>0</v>
      </c>
      <c r="O1066" s="55">
        <f>IF(SCAN!K1066&lt;&gt;"-",SCAN!F1066,0)</f>
        <v>0</v>
      </c>
      <c r="R1066" s="53">
        <f>IF(SCAN!Q1066&lt;&gt;"-",SCAN!D1066,0)</f>
        <v>0</v>
      </c>
      <c r="S1066" s="53">
        <f>IF(SCAN!Q1066&lt;&gt;"-",SCAN!E1066,0)</f>
        <v>0</v>
      </c>
      <c r="T1066" s="53">
        <f>IF(SCAN!Q1066&lt;&gt;"-",SCAN!F1066,0)</f>
        <v>0</v>
      </c>
    </row>
    <row r="1067" spans="8:20" x14ac:dyDescent="0.25">
      <c r="H1067" s="50">
        <f>IF(AND(SCAN!K1067="-",SCAN!Q1067="-"),SCAN!D1067,0)</f>
        <v>0</v>
      </c>
      <c r="I1067" s="50">
        <f>IF(AND(SCAN!K1067="-",SCAN!Q1067="-"),SCAN!E1067,0)</f>
        <v>0</v>
      </c>
      <c r="J1067" s="50">
        <f>IF(AND(SCAN!K1067="-",SCAN!Q1067="-"),SCAN!F1067,0)</f>
        <v>0</v>
      </c>
      <c r="M1067" s="55">
        <f>IF(SCAN!K1067&lt;&gt;"-",SCAN!D1067,0)</f>
        <v>0</v>
      </c>
      <c r="N1067" s="55">
        <f>IF(SCAN!K1067&lt;&gt;"-",SCAN!E1067,0)</f>
        <v>0</v>
      </c>
      <c r="O1067" s="55">
        <f>IF(SCAN!K1067&lt;&gt;"-",SCAN!F1067,0)</f>
        <v>0</v>
      </c>
      <c r="R1067" s="53">
        <f>IF(SCAN!Q1067&lt;&gt;"-",SCAN!D1067,0)</f>
        <v>0</v>
      </c>
      <c r="S1067" s="53">
        <f>IF(SCAN!Q1067&lt;&gt;"-",SCAN!E1067,0)</f>
        <v>0</v>
      </c>
      <c r="T1067" s="53">
        <f>IF(SCAN!Q1067&lt;&gt;"-",SCAN!F1067,0)</f>
        <v>0</v>
      </c>
    </row>
    <row r="1068" spans="8:20" x14ac:dyDescent="0.25">
      <c r="H1068" s="50">
        <f>IF(AND(SCAN!K1068="-",SCAN!Q1068="-"),SCAN!D1068,0)</f>
        <v>0</v>
      </c>
      <c r="I1068" s="50">
        <f>IF(AND(SCAN!K1068="-",SCAN!Q1068="-"),SCAN!E1068,0)</f>
        <v>0</v>
      </c>
      <c r="J1068" s="50">
        <f>IF(AND(SCAN!K1068="-",SCAN!Q1068="-"),SCAN!F1068,0)</f>
        <v>0</v>
      </c>
      <c r="M1068" s="55">
        <f>IF(SCAN!K1068&lt;&gt;"-",SCAN!D1068,0)</f>
        <v>0</v>
      </c>
      <c r="N1068" s="55">
        <f>IF(SCAN!K1068&lt;&gt;"-",SCAN!E1068,0)</f>
        <v>0</v>
      </c>
      <c r="O1068" s="55">
        <f>IF(SCAN!K1068&lt;&gt;"-",SCAN!F1068,0)</f>
        <v>0</v>
      </c>
      <c r="R1068" s="53">
        <f>IF(SCAN!Q1068&lt;&gt;"-",SCAN!D1068,0)</f>
        <v>0</v>
      </c>
      <c r="S1068" s="53">
        <f>IF(SCAN!Q1068&lt;&gt;"-",SCAN!E1068,0)</f>
        <v>0</v>
      </c>
      <c r="T1068" s="53">
        <f>IF(SCAN!Q1068&lt;&gt;"-",SCAN!F1068,0)</f>
        <v>0</v>
      </c>
    </row>
    <row r="1069" spans="8:20" x14ac:dyDescent="0.25">
      <c r="H1069" s="50">
        <f>IF(AND(SCAN!K1069="-",SCAN!Q1069="-"),SCAN!D1069,0)</f>
        <v>0</v>
      </c>
      <c r="I1069" s="50">
        <f>IF(AND(SCAN!K1069="-",SCAN!Q1069="-"),SCAN!E1069,0)</f>
        <v>0</v>
      </c>
      <c r="J1069" s="50">
        <f>IF(AND(SCAN!K1069="-",SCAN!Q1069="-"),SCAN!F1069,0)</f>
        <v>0</v>
      </c>
      <c r="M1069" s="55">
        <f>IF(SCAN!K1069&lt;&gt;"-",SCAN!D1069,0)</f>
        <v>0</v>
      </c>
      <c r="N1069" s="55">
        <f>IF(SCAN!K1069&lt;&gt;"-",SCAN!E1069,0)</f>
        <v>0</v>
      </c>
      <c r="O1069" s="55">
        <f>IF(SCAN!K1069&lt;&gt;"-",SCAN!F1069,0)</f>
        <v>0</v>
      </c>
      <c r="R1069" s="53">
        <f>IF(SCAN!Q1069&lt;&gt;"-",SCAN!D1069,0)</f>
        <v>0</v>
      </c>
      <c r="S1069" s="53">
        <f>IF(SCAN!Q1069&lt;&gt;"-",SCAN!E1069,0)</f>
        <v>0</v>
      </c>
      <c r="T1069" s="53">
        <f>IF(SCAN!Q1069&lt;&gt;"-",SCAN!F1069,0)</f>
        <v>0</v>
      </c>
    </row>
    <row r="1070" spans="8:20" x14ac:dyDescent="0.25">
      <c r="H1070" s="50">
        <f>IF(AND(SCAN!K1070="-",SCAN!Q1070="-"),SCAN!D1070,0)</f>
        <v>0</v>
      </c>
      <c r="I1070" s="50">
        <f>IF(AND(SCAN!K1070="-",SCAN!Q1070="-"),SCAN!E1070,0)</f>
        <v>0</v>
      </c>
      <c r="J1070" s="50">
        <f>IF(AND(SCAN!K1070="-",SCAN!Q1070="-"),SCAN!F1070,0)</f>
        <v>0</v>
      </c>
      <c r="M1070" s="55">
        <f>IF(SCAN!K1070&lt;&gt;"-",SCAN!D1070,0)</f>
        <v>0</v>
      </c>
      <c r="N1070" s="55">
        <f>IF(SCAN!K1070&lt;&gt;"-",SCAN!E1070,0)</f>
        <v>0</v>
      </c>
      <c r="O1070" s="55">
        <f>IF(SCAN!K1070&lt;&gt;"-",SCAN!F1070,0)</f>
        <v>0</v>
      </c>
      <c r="R1070" s="53">
        <f>IF(SCAN!Q1070&lt;&gt;"-",SCAN!D1070,0)</f>
        <v>0</v>
      </c>
      <c r="S1070" s="53">
        <f>IF(SCAN!Q1070&lt;&gt;"-",SCAN!E1070,0)</f>
        <v>0</v>
      </c>
      <c r="T1070" s="53">
        <f>IF(SCAN!Q1070&lt;&gt;"-",SCAN!F1070,0)</f>
        <v>0</v>
      </c>
    </row>
    <row r="1071" spans="8:20" x14ac:dyDescent="0.25">
      <c r="H1071" s="50">
        <f>IF(AND(SCAN!K1071="-",SCAN!Q1071="-"),SCAN!D1071,0)</f>
        <v>0</v>
      </c>
      <c r="I1071" s="50">
        <f>IF(AND(SCAN!K1071="-",SCAN!Q1071="-"),SCAN!E1071,0)</f>
        <v>0</v>
      </c>
      <c r="J1071" s="50">
        <f>IF(AND(SCAN!K1071="-",SCAN!Q1071="-"),SCAN!F1071,0)</f>
        <v>0</v>
      </c>
      <c r="M1071" s="55">
        <f>IF(SCAN!K1071&lt;&gt;"-",SCAN!D1071,0)</f>
        <v>0</v>
      </c>
      <c r="N1071" s="55">
        <f>IF(SCAN!K1071&lt;&gt;"-",SCAN!E1071,0)</f>
        <v>0</v>
      </c>
      <c r="O1071" s="55">
        <f>IF(SCAN!K1071&lt;&gt;"-",SCAN!F1071,0)</f>
        <v>0</v>
      </c>
      <c r="R1071" s="53">
        <f>IF(SCAN!Q1071&lt;&gt;"-",SCAN!D1071,0)</f>
        <v>0</v>
      </c>
      <c r="S1071" s="53">
        <f>IF(SCAN!Q1071&lt;&gt;"-",SCAN!E1071,0)</f>
        <v>0</v>
      </c>
      <c r="T1071" s="53">
        <f>IF(SCAN!Q1071&lt;&gt;"-",SCAN!F1071,0)</f>
        <v>0</v>
      </c>
    </row>
    <row r="1072" spans="8:20" x14ac:dyDescent="0.25">
      <c r="H1072" s="50">
        <f>IF(AND(SCAN!K1072="-",SCAN!Q1072="-"),SCAN!D1072,0)</f>
        <v>0</v>
      </c>
      <c r="I1072" s="50">
        <f>IF(AND(SCAN!K1072="-",SCAN!Q1072="-"),SCAN!E1072,0)</f>
        <v>0</v>
      </c>
      <c r="J1072" s="50">
        <f>IF(AND(SCAN!K1072="-",SCAN!Q1072="-"),SCAN!F1072,0)</f>
        <v>0</v>
      </c>
      <c r="M1072" s="55">
        <f>IF(SCAN!K1072&lt;&gt;"-",SCAN!D1072,0)</f>
        <v>0</v>
      </c>
      <c r="N1072" s="55">
        <f>IF(SCAN!K1072&lt;&gt;"-",SCAN!E1072,0)</f>
        <v>0</v>
      </c>
      <c r="O1072" s="55">
        <f>IF(SCAN!K1072&lt;&gt;"-",SCAN!F1072,0)</f>
        <v>0</v>
      </c>
      <c r="R1072" s="53">
        <f>IF(SCAN!Q1072&lt;&gt;"-",SCAN!D1072,0)</f>
        <v>0</v>
      </c>
      <c r="S1072" s="53">
        <f>IF(SCAN!Q1072&lt;&gt;"-",SCAN!E1072,0)</f>
        <v>0</v>
      </c>
      <c r="T1072" s="53">
        <f>IF(SCAN!Q1072&lt;&gt;"-",SCAN!F1072,0)</f>
        <v>0</v>
      </c>
    </row>
    <row r="1073" spans="8:20" x14ac:dyDescent="0.25">
      <c r="H1073" s="50">
        <f>IF(AND(SCAN!K1073="-",SCAN!Q1073="-"),SCAN!D1073,0)</f>
        <v>0</v>
      </c>
      <c r="I1073" s="50">
        <f>IF(AND(SCAN!K1073="-",SCAN!Q1073="-"),SCAN!E1073,0)</f>
        <v>0</v>
      </c>
      <c r="J1073" s="50">
        <f>IF(AND(SCAN!K1073="-",SCAN!Q1073="-"),SCAN!F1073,0)</f>
        <v>0</v>
      </c>
      <c r="M1073" s="55">
        <f>IF(SCAN!K1073&lt;&gt;"-",SCAN!D1073,0)</f>
        <v>0</v>
      </c>
      <c r="N1073" s="55">
        <f>IF(SCAN!K1073&lt;&gt;"-",SCAN!E1073,0)</f>
        <v>0</v>
      </c>
      <c r="O1073" s="55">
        <f>IF(SCAN!K1073&lt;&gt;"-",SCAN!F1073,0)</f>
        <v>0</v>
      </c>
      <c r="R1073" s="53">
        <f>IF(SCAN!Q1073&lt;&gt;"-",SCAN!D1073,0)</f>
        <v>0</v>
      </c>
      <c r="S1073" s="53">
        <f>IF(SCAN!Q1073&lt;&gt;"-",SCAN!E1073,0)</f>
        <v>0</v>
      </c>
      <c r="T1073" s="53">
        <f>IF(SCAN!Q1073&lt;&gt;"-",SCAN!F1073,0)</f>
        <v>0</v>
      </c>
    </row>
    <row r="1074" spans="8:20" x14ac:dyDescent="0.25">
      <c r="H1074" s="50">
        <f>IF(AND(SCAN!K1074="-",SCAN!Q1074="-"),SCAN!D1074,0)</f>
        <v>0</v>
      </c>
      <c r="I1074" s="50">
        <f>IF(AND(SCAN!K1074="-",SCAN!Q1074="-"),SCAN!E1074,0)</f>
        <v>0</v>
      </c>
      <c r="J1074" s="50">
        <f>IF(AND(SCAN!K1074="-",SCAN!Q1074="-"),SCAN!F1074,0)</f>
        <v>0</v>
      </c>
      <c r="M1074" s="55">
        <f>IF(SCAN!K1074&lt;&gt;"-",SCAN!D1074,0)</f>
        <v>0</v>
      </c>
      <c r="N1074" s="55">
        <f>IF(SCAN!K1074&lt;&gt;"-",SCAN!E1074,0)</f>
        <v>0</v>
      </c>
      <c r="O1074" s="55">
        <f>IF(SCAN!K1074&lt;&gt;"-",SCAN!F1074,0)</f>
        <v>0</v>
      </c>
      <c r="R1074" s="53">
        <f>IF(SCAN!Q1074&lt;&gt;"-",SCAN!D1074,0)</f>
        <v>0</v>
      </c>
      <c r="S1074" s="53">
        <f>IF(SCAN!Q1074&lt;&gt;"-",SCAN!E1074,0)</f>
        <v>0</v>
      </c>
      <c r="T1074" s="53">
        <f>IF(SCAN!Q1074&lt;&gt;"-",SCAN!F1074,0)</f>
        <v>0</v>
      </c>
    </row>
    <row r="1075" spans="8:20" x14ac:dyDescent="0.25">
      <c r="H1075" s="50">
        <f>IF(AND(SCAN!K1075="-",SCAN!Q1075="-"),SCAN!D1075,0)</f>
        <v>0</v>
      </c>
      <c r="I1075" s="50">
        <f>IF(AND(SCAN!K1075="-",SCAN!Q1075="-"),SCAN!E1075,0)</f>
        <v>0</v>
      </c>
      <c r="J1075" s="50">
        <f>IF(AND(SCAN!K1075="-",SCAN!Q1075="-"),SCAN!F1075,0)</f>
        <v>0</v>
      </c>
      <c r="M1075" s="55">
        <f>IF(SCAN!K1075&lt;&gt;"-",SCAN!D1075,0)</f>
        <v>0</v>
      </c>
      <c r="N1075" s="55">
        <f>IF(SCAN!K1075&lt;&gt;"-",SCAN!E1075,0)</f>
        <v>0</v>
      </c>
      <c r="O1075" s="55">
        <f>IF(SCAN!K1075&lt;&gt;"-",SCAN!F1075,0)</f>
        <v>0</v>
      </c>
      <c r="R1075" s="53">
        <f>IF(SCAN!Q1075&lt;&gt;"-",SCAN!D1075,0)</f>
        <v>0</v>
      </c>
      <c r="S1075" s="53">
        <f>IF(SCAN!Q1075&lt;&gt;"-",SCAN!E1075,0)</f>
        <v>0</v>
      </c>
      <c r="T1075" s="53">
        <f>IF(SCAN!Q1075&lt;&gt;"-",SCAN!F1075,0)</f>
        <v>0</v>
      </c>
    </row>
    <row r="1076" spans="8:20" x14ac:dyDescent="0.25">
      <c r="H1076" s="50">
        <f>IF(AND(SCAN!K1076="-",SCAN!Q1076="-"),SCAN!D1076,0)</f>
        <v>0</v>
      </c>
      <c r="I1076" s="50">
        <f>IF(AND(SCAN!K1076="-",SCAN!Q1076="-"),SCAN!E1076,0)</f>
        <v>0</v>
      </c>
      <c r="J1076" s="50">
        <f>IF(AND(SCAN!K1076="-",SCAN!Q1076="-"),SCAN!F1076,0)</f>
        <v>0</v>
      </c>
      <c r="M1076" s="55">
        <f>IF(SCAN!K1076&lt;&gt;"-",SCAN!D1076,0)</f>
        <v>0</v>
      </c>
      <c r="N1076" s="55">
        <f>IF(SCAN!K1076&lt;&gt;"-",SCAN!E1076,0)</f>
        <v>0</v>
      </c>
      <c r="O1076" s="55">
        <f>IF(SCAN!K1076&lt;&gt;"-",SCAN!F1076,0)</f>
        <v>0</v>
      </c>
      <c r="R1076" s="53">
        <f>IF(SCAN!Q1076&lt;&gt;"-",SCAN!D1076,0)</f>
        <v>0</v>
      </c>
      <c r="S1076" s="53">
        <f>IF(SCAN!Q1076&lt;&gt;"-",SCAN!E1076,0)</f>
        <v>0</v>
      </c>
      <c r="T1076" s="53">
        <f>IF(SCAN!Q1076&lt;&gt;"-",SCAN!F1076,0)</f>
        <v>0</v>
      </c>
    </row>
    <row r="1077" spans="8:20" x14ac:dyDescent="0.25">
      <c r="H1077" s="50">
        <f>IF(AND(SCAN!K1077="-",SCAN!Q1077="-"),SCAN!D1077,0)</f>
        <v>0</v>
      </c>
      <c r="I1077" s="50">
        <f>IF(AND(SCAN!K1077="-",SCAN!Q1077="-"),SCAN!E1077,0)</f>
        <v>0</v>
      </c>
      <c r="J1077" s="50">
        <f>IF(AND(SCAN!K1077="-",SCAN!Q1077="-"),SCAN!F1077,0)</f>
        <v>0</v>
      </c>
      <c r="M1077" s="55">
        <f>IF(SCAN!K1077&lt;&gt;"-",SCAN!D1077,0)</f>
        <v>0</v>
      </c>
      <c r="N1077" s="55">
        <f>IF(SCAN!K1077&lt;&gt;"-",SCAN!E1077,0)</f>
        <v>0</v>
      </c>
      <c r="O1077" s="55">
        <f>IF(SCAN!K1077&lt;&gt;"-",SCAN!F1077,0)</f>
        <v>0</v>
      </c>
      <c r="R1077" s="53">
        <f>IF(SCAN!Q1077&lt;&gt;"-",SCAN!D1077,0)</f>
        <v>0</v>
      </c>
      <c r="S1077" s="53">
        <f>IF(SCAN!Q1077&lt;&gt;"-",SCAN!E1077,0)</f>
        <v>0</v>
      </c>
      <c r="T1077" s="53">
        <f>IF(SCAN!Q1077&lt;&gt;"-",SCAN!F1077,0)</f>
        <v>0</v>
      </c>
    </row>
    <row r="1078" spans="8:20" x14ac:dyDescent="0.25">
      <c r="H1078" s="50">
        <f>IF(AND(SCAN!K1078="-",SCAN!Q1078="-"),SCAN!D1078,0)</f>
        <v>0</v>
      </c>
      <c r="I1078" s="50">
        <f>IF(AND(SCAN!K1078="-",SCAN!Q1078="-"),SCAN!E1078,0)</f>
        <v>0</v>
      </c>
      <c r="J1078" s="50">
        <f>IF(AND(SCAN!K1078="-",SCAN!Q1078="-"),SCAN!F1078,0)</f>
        <v>0</v>
      </c>
      <c r="M1078" s="55">
        <f>IF(SCAN!K1078&lt;&gt;"-",SCAN!D1078,0)</f>
        <v>0</v>
      </c>
      <c r="N1078" s="55">
        <f>IF(SCAN!K1078&lt;&gt;"-",SCAN!E1078,0)</f>
        <v>0</v>
      </c>
      <c r="O1078" s="55">
        <f>IF(SCAN!K1078&lt;&gt;"-",SCAN!F1078,0)</f>
        <v>0</v>
      </c>
      <c r="R1078" s="53">
        <f>IF(SCAN!Q1078&lt;&gt;"-",SCAN!D1078,0)</f>
        <v>0</v>
      </c>
      <c r="S1078" s="53">
        <f>IF(SCAN!Q1078&lt;&gt;"-",SCAN!E1078,0)</f>
        <v>0</v>
      </c>
      <c r="T1078" s="53">
        <f>IF(SCAN!Q1078&lt;&gt;"-",SCAN!F1078,0)</f>
        <v>0</v>
      </c>
    </row>
    <row r="1079" spans="8:20" x14ac:dyDescent="0.25">
      <c r="H1079" s="50">
        <f>IF(AND(SCAN!K1079="-",SCAN!Q1079="-"),SCAN!D1079,0)</f>
        <v>0</v>
      </c>
      <c r="I1079" s="50">
        <f>IF(AND(SCAN!K1079="-",SCAN!Q1079="-"),SCAN!E1079,0)</f>
        <v>0</v>
      </c>
      <c r="J1079" s="50">
        <f>IF(AND(SCAN!K1079="-",SCAN!Q1079="-"),SCAN!F1079,0)</f>
        <v>0</v>
      </c>
      <c r="M1079" s="55">
        <f>IF(SCAN!K1079&lt;&gt;"-",SCAN!D1079,0)</f>
        <v>0</v>
      </c>
      <c r="N1079" s="55">
        <f>IF(SCAN!K1079&lt;&gt;"-",SCAN!E1079,0)</f>
        <v>0</v>
      </c>
      <c r="O1079" s="55">
        <f>IF(SCAN!K1079&lt;&gt;"-",SCAN!F1079,0)</f>
        <v>0</v>
      </c>
      <c r="R1079" s="53">
        <f>IF(SCAN!Q1079&lt;&gt;"-",SCAN!D1079,0)</f>
        <v>0</v>
      </c>
      <c r="S1079" s="53">
        <f>IF(SCAN!Q1079&lt;&gt;"-",SCAN!E1079,0)</f>
        <v>0</v>
      </c>
      <c r="T1079" s="53">
        <f>IF(SCAN!Q1079&lt;&gt;"-",SCAN!F1079,0)</f>
        <v>0</v>
      </c>
    </row>
    <row r="1080" spans="8:20" x14ac:dyDescent="0.25">
      <c r="H1080" s="50">
        <f>IF(AND(SCAN!K1080="-",SCAN!Q1080="-"),SCAN!D1080,0)</f>
        <v>0</v>
      </c>
      <c r="I1080" s="50">
        <f>IF(AND(SCAN!K1080="-",SCAN!Q1080="-"),SCAN!E1080,0)</f>
        <v>0</v>
      </c>
      <c r="J1080" s="50">
        <f>IF(AND(SCAN!K1080="-",SCAN!Q1080="-"),SCAN!F1080,0)</f>
        <v>0</v>
      </c>
      <c r="M1080" s="55">
        <f>IF(SCAN!K1080&lt;&gt;"-",SCAN!D1080,0)</f>
        <v>0</v>
      </c>
      <c r="N1080" s="55">
        <f>IF(SCAN!K1080&lt;&gt;"-",SCAN!E1080,0)</f>
        <v>0</v>
      </c>
      <c r="O1080" s="55">
        <f>IF(SCAN!K1080&lt;&gt;"-",SCAN!F1080,0)</f>
        <v>0</v>
      </c>
      <c r="R1080" s="53">
        <f>IF(SCAN!Q1080&lt;&gt;"-",SCAN!D1080,0)</f>
        <v>0</v>
      </c>
      <c r="S1080" s="53">
        <f>IF(SCAN!Q1080&lt;&gt;"-",SCAN!E1080,0)</f>
        <v>0</v>
      </c>
      <c r="T1080" s="53">
        <f>IF(SCAN!Q1080&lt;&gt;"-",SCAN!F1080,0)</f>
        <v>0</v>
      </c>
    </row>
    <row r="1081" spans="8:20" x14ac:dyDescent="0.25">
      <c r="H1081" s="50">
        <f>IF(AND(SCAN!K1081="-",SCAN!Q1081="-"),SCAN!D1081,0)</f>
        <v>0</v>
      </c>
      <c r="I1081" s="50">
        <f>IF(AND(SCAN!K1081="-",SCAN!Q1081="-"),SCAN!E1081,0)</f>
        <v>0</v>
      </c>
      <c r="J1081" s="50">
        <f>IF(AND(SCAN!K1081="-",SCAN!Q1081="-"),SCAN!F1081,0)</f>
        <v>0</v>
      </c>
      <c r="M1081" s="55">
        <f>IF(SCAN!K1081&lt;&gt;"-",SCAN!D1081,0)</f>
        <v>0</v>
      </c>
      <c r="N1081" s="55">
        <f>IF(SCAN!K1081&lt;&gt;"-",SCAN!E1081,0)</f>
        <v>0</v>
      </c>
      <c r="O1081" s="55">
        <f>IF(SCAN!K1081&lt;&gt;"-",SCAN!F1081,0)</f>
        <v>0</v>
      </c>
      <c r="R1081" s="53">
        <f>IF(SCAN!Q1081&lt;&gt;"-",SCAN!D1081,0)</f>
        <v>0</v>
      </c>
      <c r="S1081" s="53">
        <f>IF(SCAN!Q1081&lt;&gt;"-",SCAN!E1081,0)</f>
        <v>0</v>
      </c>
      <c r="T1081" s="53">
        <f>IF(SCAN!Q1081&lt;&gt;"-",SCAN!F1081,0)</f>
        <v>0</v>
      </c>
    </row>
    <row r="1082" spans="8:20" x14ac:dyDescent="0.25">
      <c r="H1082" s="50">
        <f>IF(AND(SCAN!K1082="-",SCAN!Q1082="-"),SCAN!D1082,0)</f>
        <v>0</v>
      </c>
      <c r="I1082" s="50">
        <f>IF(AND(SCAN!K1082="-",SCAN!Q1082="-"),SCAN!E1082,0)</f>
        <v>0</v>
      </c>
      <c r="J1082" s="50">
        <f>IF(AND(SCAN!K1082="-",SCAN!Q1082="-"),SCAN!F1082,0)</f>
        <v>0</v>
      </c>
      <c r="M1082" s="55">
        <f>IF(SCAN!K1082&lt;&gt;"-",SCAN!D1082,0)</f>
        <v>0</v>
      </c>
      <c r="N1082" s="55">
        <f>IF(SCAN!K1082&lt;&gt;"-",SCAN!E1082,0)</f>
        <v>0</v>
      </c>
      <c r="O1082" s="55">
        <f>IF(SCAN!K1082&lt;&gt;"-",SCAN!F1082,0)</f>
        <v>0</v>
      </c>
      <c r="R1082" s="53">
        <f>IF(SCAN!Q1082&lt;&gt;"-",SCAN!D1082,0)</f>
        <v>0</v>
      </c>
      <c r="S1082" s="53">
        <f>IF(SCAN!Q1082&lt;&gt;"-",SCAN!E1082,0)</f>
        <v>0</v>
      </c>
      <c r="T1082" s="53">
        <f>IF(SCAN!Q1082&lt;&gt;"-",SCAN!F1082,0)</f>
        <v>0</v>
      </c>
    </row>
    <row r="1083" spans="8:20" x14ac:dyDescent="0.25">
      <c r="H1083" s="50">
        <f>IF(AND(SCAN!K1083="-",SCAN!Q1083="-"),SCAN!D1083,0)</f>
        <v>0</v>
      </c>
      <c r="I1083" s="50">
        <f>IF(AND(SCAN!K1083="-",SCAN!Q1083="-"),SCAN!E1083,0)</f>
        <v>0</v>
      </c>
      <c r="J1083" s="50">
        <f>IF(AND(SCAN!K1083="-",SCAN!Q1083="-"),SCAN!F1083,0)</f>
        <v>0</v>
      </c>
      <c r="M1083" s="55">
        <f>IF(SCAN!K1083&lt;&gt;"-",SCAN!D1083,0)</f>
        <v>0</v>
      </c>
      <c r="N1083" s="55">
        <f>IF(SCAN!K1083&lt;&gt;"-",SCAN!E1083,0)</f>
        <v>0</v>
      </c>
      <c r="O1083" s="55">
        <f>IF(SCAN!K1083&lt;&gt;"-",SCAN!F1083,0)</f>
        <v>0</v>
      </c>
      <c r="R1083" s="53">
        <f>IF(SCAN!Q1083&lt;&gt;"-",SCAN!D1083,0)</f>
        <v>0</v>
      </c>
      <c r="S1083" s="53">
        <f>IF(SCAN!Q1083&lt;&gt;"-",SCAN!E1083,0)</f>
        <v>0</v>
      </c>
      <c r="T1083" s="53">
        <f>IF(SCAN!Q1083&lt;&gt;"-",SCAN!F1083,0)</f>
        <v>0</v>
      </c>
    </row>
    <row r="1084" spans="8:20" x14ac:dyDescent="0.25">
      <c r="H1084" s="50">
        <f>IF(AND(SCAN!K1084="-",SCAN!Q1084="-"),SCAN!D1084,0)</f>
        <v>0</v>
      </c>
      <c r="I1084" s="50">
        <f>IF(AND(SCAN!K1084="-",SCAN!Q1084="-"),SCAN!E1084,0)</f>
        <v>0</v>
      </c>
      <c r="J1084" s="50">
        <f>IF(AND(SCAN!K1084="-",SCAN!Q1084="-"),SCAN!F1084,0)</f>
        <v>0</v>
      </c>
      <c r="M1084" s="55">
        <f>IF(SCAN!K1084&lt;&gt;"-",SCAN!D1084,0)</f>
        <v>0</v>
      </c>
      <c r="N1084" s="55">
        <f>IF(SCAN!K1084&lt;&gt;"-",SCAN!E1084,0)</f>
        <v>0</v>
      </c>
      <c r="O1084" s="55">
        <f>IF(SCAN!K1084&lt;&gt;"-",SCAN!F1084,0)</f>
        <v>0</v>
      </c>
      <c r="R1084" s="53">
        <f>IF(SCAN!Q1084&lt;&gt;"-",SCAN!D1084,0)</f>
        <v>0</v>
      </c>
      <c r="S1084" s="53">
        <f>IF(SCAN!Q1084&lt;&gt;"-",SCAN!E1084,0)</f>
        <v>0</v>
      </c>
      <c r="T1084" s="53">
        <f>IF(SCAN!Q1084&lt;&gt;"-",SCAN!F1084,0)</f>
        <v>0</v>
      </c>
    </row>
    <row r="1085" spans="8:20" x14ac:dyDescent="0.25">
      <c r="H1085" s="50">
        <f>IF(AND(SCAN!K1085="-",SCAN!Q1085="-"),SCAN!D1085,0)</f>
        <v>0</v>
      </c>
      <c r="I1085" s="50">
        <f>IF(AND(SCAN!K1085="-",SCAN!Q1085="-"),SCAN!E1085,0)</f>
        <v>0</v>
      </c>
      <c r="J1085" s="50">
        <f>IF(AND(SCAN!K1085="-",SCAN!Q1085="-"),SCAN!F1085,0)</f>
        <v>0</v>
      </c>
      <c r="M1085" s="55">
        <f>IF(SCAN!K1085&lt;&gt;"-",SCAN!D1085,0)</f>
        <v>0</v>
      </c>
      <c r="N1085" s="55">
        <f>IF(SCAN!K1085&lt;&gt;"-",SCAN!E1085,0)</f>
        <v>0</v>
      </c>
      <c r="O1085" s="55">
        <f>IF(SCAN!K1085&lt;&gt;"-",SCAN!F1085,0)</f>
        <v>0</v>
      </c>
      <c r="R1085" s="53">
        <f>IF(SCAN!Q1085&lt;&gt;"-",SCAN!D1085,0)</f>
        <v>0</v>
      </c>
      <c r="S1085" s="53">
        <f>IF(SCAN!Q1085&lt;&gt;"-",SCAN!E1085,0)</f>
        <v>0</v>
      </c>
      <c r="T1085" s="53">
        <f>IF(SCAN!Q1085&lt;&gt;"-",SCAN!F1085,0)</f>
        <v>0</v>
      </c>
    </row>
    <row r="1086" spans="8:20" x14ac:dyDescent="0.25">
      <c r="H1086" s="50">
        <f>IF(AND(SCAN!K1086="-",SCAN!Q1086="-"),SCAN!D1086,0)</f>
        <v>0</v>
      </c>
      <c r="I1086" s="50">
        <f>IF(AND(SCAN!K1086="-",SCAN!Q1086="-"),SCAN!E1086,0)</f>
        <v>0</v>
      </c>
      <c r="J1086" s="50">
        <f>IF(AND(SCAN!K1086="-",SCAN!Q1086="-"),SCAN!F1086,0)</f>
        <v>0</v>
      </c>
      <c r="M1086" s="55">
        <f>IF(SCAN!K1086&lt;&gt;"-",SCAN!D1086,0)</f>
        <v>0</v>
      </c>
      <c r="N1086" s="55">
        <f>IF(SCAN!K1086&lt;&gt;"-",SCAN!E1086,0)</f>
        <v>0</v>
      </c>
      <c r="O1086" s="55">
        <f>IF(SCAN!K1086&lt;&gt;"-",SCAN!F1086,0)</f>
        <v>0</v>
      </c>
      <c r="R1086" s="53">
        <f>IF(SCAN!Q1086&lt;&gt;"-",SCAN!D1086,0)</f>
        <v>0</v>
      </c>
      <c r="S1086" s="53">
        <f>IF(SCAN!Q1086&lt;&gt;"-",SCAN!E1086,0)</f>
        <v>0</v>
      </c>
      <c r="T1086" s="53">
        <f>IF(SCAN!Q1086&lt;&gt;"-",SCAN!F1086,0)</f>
        <v>0</v>
      </c>
    </row>
    <row r="1087" spans="8:20" x14ac:dyDescent="0.25">
      <c r="H1087" s="50">
        <f>IF(AND(SCAN!K1087="-",SCAN!Q1087="-"),SCAN!D1087,0)</f>
        <v>0</v>
      </c>
      <c r="I1087" s="50">
        <f>IF(AND(SCAN!K1087="-",SCAN!Q1087="-"),SCAN!E1087,0)</f>
        <v>0</v>
      </c>
      <c r="J1087" s="50">
        <f>IF(AND(SCAN!K1087="-",SCAN!Q1087="-"),SCAN!F1087,0)</f>
        <v>0</v>
      </c>
      <c r="M1087" s="55">
        <f>IF(SCAN!K1087&lt;&gt;"-",SCAN!D1087,0)</f>
        <v>0</v>
      </c>
      <c r="N1087" s="55">
        <f>IF(SCAN!K1087&lt;&gt;"-",SCAN!E1087,0)</f>
        <v>0</v>
      </c>
      <c r="O1087" s="55">
        <f>IF(SCAN!K1087&lt;&gt;"-",SCAN!F1087,0)</f>
        <v>0</v>
      </c>
      <c r="R1087" s="53">
        <f>IF(SCAN!Q1087&lt;&gt;"-",SCAN!D1087,0)</f>
        <v>0</v>
      </c>
      <c r="S1087" s="53">
        <f>IF(SCAN!Q1087&lt;&gt;"-",SCAN!E1087,0)</f>
        <v>0</v>
      </c>
      <c r="T1087" s="53">
        <f>IF(SCAN!Q1087&lt;&gt;"-",SCAN!F1087,0)</f>
        <v>0</v>
      </c>
    </row>
    <row r="1088" spans="8:20" x14ac:dyDescent="0.25">
      <c r="H1088" s="50">
        <f>IF(AND(SCAN!K1088="-",SCAN!Q1088="-"),SCAN!D1088,0)</f>
        <v>0</v>
      </c>
      <c r="I1088" s="50">
        <f>IF(AND(SCAN!K1088="-",SCAN!Q1088="-"),SCAN!E1088,0)</f>
        <v>0</v>
      </c>
      <c r="J1088" s="50">
        <f>IF(AND(SCAN!K1088="-",SCAN!Q1088="-"),SCAN!F1088,0)</f>
        <v>0</v>
      </c>
      <c r="M1088" s="55">
        <f>IF(SCAN!K1088&lt;&gt;"-",SCAN!D1088,0)</f>
        <v>0</v>
      </c>
      <c r="N1088" s="55">
        <f>IF(SCAN!K1088&lt;&gt;"-",SCAN!E1088,0)</f>
        <v>0</v>
      </c>
      <c r="O1088" s="55">
        <f>IF(SCAN!K1088&lt;&gt;"-",SCAN!F1088,0)</f>
        <v>0</v>
      </c>
      <c r="R1088" s="53">
        <f>IF(SCAN!Q1088&lt;&gt;"-",SCAN!D1088,0)</f>
        <v>0</v>
      </c>
      <c r="S1088" s="53">
        <f>IF(SCAN!Q1088&lt;&gt;"-",SCAN!E1088,0)</f>
        <v>0</v>
      </c>
      <c r="T1088" s="53">
        <f>IF(SCAN!Q1088&lt;&gt;"-",SCAN!F1088,0)</f>
        <v>0</v>
      </c>
    </row>
    <row r="1089" spans="8:20" x14ac:dyDescent="0.25">
      <c r="H1089" s="50">
        <f>IF(AND(SCAN!K1089="-",SCAN!Q1089="-"),SCAN!D1089,0)</f>
        <v>0</v>
      </c>
      <c r="I1089" s="50">
        <f>IF(AND(SCAN!K1089="-",SCAN!Q1089="-"),SCAN!E1089,0)</f>
        <v>0</v>
      </c>
      <c r="J1089" s="50">
        <f>IF(AND(SCAN!K1089="-",SCAN!Q1089="-"),SCAN!F1089,0)</f>
        <v>0</v>
      </c>
      <c r="M1089" s="55">
        <f>IF(SCAN!K1089&lt;&gt;"-",SCAN!D1089,0)</f>
        <v>0</v>
      </c>
      <c r="N1089" s="55">
        <f>IF(SCAN!K1089&lt;&gt;"-",SCAN!E1089,0)</f>
        <v>0</v>
      </c>
      <c r="O1089" s="55">
        <f>IF(SCAN!K1089&lt;&gt;"-",SCAN!F1089,0)</f>
        <v>0</v>
      </c>
      <c r="R1089" s="53">
        <f>IF(SCAN!Q1089&lt;&gt;"-",SCAN!D1089,0)</f>
        <v>0</v>
      </c>
      <c r="S1089" s="53">
        <f>IF(SCAN!Q1089&lt;&gt;"-",SCAN!E1089,0)</f>
        <v>0</v>
      </c>
      <c r="T1089" s="53">
        <f>IF(SCAN!Q1089&lt;&gt;"-",SCAN!F1089,0)</f>
        <v>0</v>
      </c>
    </row>
    <row r="1090" spans="8:20" x14ac:dyDescent="0.25">
      <c r="H1090" s="50">
        <f>IF(AND(SCAN!K1090="-",SCAN!Q1090="-"),SCAN!D1090,0)</f>
        <v>0</v>
      </c>
      <c r="I1090" s="50">
        <f>IF(AND(SCAN!K1090="-",SCAN!Q1090="-"),SCAN!E1090,0)</f>
        <v>0</v>
      </c>
      <c r="J1090" s="50">
        <f>IF(AND(SCAN!K1090="-",SCAN!Q1090="-"),SCAN!F1090,0)</f>
        <v>0</v>
      </c>
      <c r="M1090" s="55">
        <f>IF(SCAN!K1090&lt;&gt;"-",SCAN!D1090,0)</f>
        <v>0</v>
      </c>
      <c r="N1090" s="55">
        <f>IF(SCAN!K1090&lt;&gt;"-",SCAN!E1090,0)</f>
        <v>0</v>
      </c>
      <c r="O1090" s="55">
        <f>IF(SCAN!K1090&lt;&gt;"-",SCAN!F1090,0)</f>
        <v>0</v>
      </c>
      <c r="R1090" s="53">
        <f>IF(SCAN!Q1090&lt;&gt;"-",SCAN!D1090,0)</f>
        <v>0</v>
      </c>
      <c r="S1090" s="53">
        <f>IF(SCAN!Q1090&lt;&gt;"-",SCAN!E1090,0)</f>
        <v>0</v>
      </c>
      <c r="T1090" s="53">
        <f>IF(SCAN!Q1090&lt;&gt;"-",SCAN!F1090,0)</f>
        <v>0</v>
      </c>
    </row>
    <row r="1091" spans="8:20" x14ac:dyDescent="0.25">
      <c r="H1091" s="50">
        <f>IF(AND(SCAN!K1091="-",SCAN!Q1091="-"),SCAN!D1091,0)</f>
        <v>0</v>
      </c>
      <c r="I1091" s="50">
        <f>IF(AND(SCAN!K1091="-",SCAN!Q1091="-"),SCAN!E1091,0)</f>
        <v>0</v>
      </c>
      <c r="J1091" s="50">
        <f>IF(AND(SCAN!K1091="-",SCAN!Q1091="-"),SCAN!F1091,0)</f>
        <v>0</v>
      </c>
      <c r="M1091" s="55">
        <f>IF(SCAN!K1091&lt;&gt;"-",SCAN!D1091,0)</f>
        <v>0</v>
      </c>
      <c r="N1091" s="55">
        <f>IF(SCAN!K1091&lt;&gt;"-",SCAN!E1091,0)</f>
        <v>0</v>
      </c>
      <c r="O1091" s="55">
        <f>IF(SCAN!K1091&lt;&gt;"-",SCAN!F1091,0)</f>
        <v>0</v>
      </c>
      <c r="R1091" s="53">
        <f>IF(SCAN!Q1091&lt;&gt;"-",SCAN!D1091,0)</f>
        <v>0</v>
      </c>
      <c r="S1091" s="53">
        <f>IF(SCAN!Q1091&lt;&gt;"-",SCAN!E1091,0)</f>
        <v>0</v>
      </c>
      <c r="T1091" s="53">
        <f>IF(SCAN!Q1091&lt;&gt;"-",SCAN!F1091,0)</f>
        <v>0</v>
      </c>
    </row>
    <row r="1092" spans="8:20" x14ac:dyDescent="0.25">
      <c r="H1092" s="50">
        <f>IF(AND(SCAN!K1092="-",SCAN!Q1092="-"),SCAN!D1092,0)</f>
        <v>0</v>
      </c>
      <c r="I1092" s="50">
        <f>IF(AND(SCAN!K1092="-",SCAN!Q1092="-"),SCAN!E1092,0)</f>
        <v>0</v>
      </c>
      <c r="J1092" s="50">
        <f>IF(AND(SCAN!K1092="-",SCAN!Q1092="-"),SCAN!F1092,0)</f>
        <v>0</v>
      </c>
      <c r="M1092" s="55">
        <f>IF(SCAN!K1092&lt;&gt;"-",SCAN!D1092,0)</f>
        <v>0</v>
      </c>
      <c r="N1092" s="55">
        <f>IF(SCAN!K1092&lt;&gt;"-",SCAN!E1092,0)</f>
        <v>0</v>
      </c>
      <c r="O1092" s="55">
        <f>IF(SCAN!K1092&lt;&gt;"-",SCAN!F1092,0)</f>
        <v>0</v>
      </c>
      <c r="R1092" s="53">
        <f>IF(SCAN!Q1092&lt;&gt;"-",SCAN!D1092,0)</f>
        <v>0</v>
      </c>
      <c r="S1092" s="53">
        <f>IF(SCAN!Q1092&lt;&gt;"-",SCAN!E1092,0)</f>
        <v>0</v>
      </c>
      <c r="T1092" s="53">
        <f>IF(SCAN!Q1092&lt;&gt;"-",SCAN!F1092,0)</f>
        <v>0</v>
      </c>
    </row>
    <row r="1093" spans="8:20" x14ac:dyDescent="0.25">
      <c r="H1093" s="50">
        <f>IF(AND(SCAN!K1093="-",SCAN!Q1093="-"),SCAN!D1093,0)</f>
        <v>0</v>
      </c>
      <c r="I1093" s="50">
        <f>IF(AND(SCAN!K1093="-",SCAN!Q1093="-"),SCAN!E1093,0)</f>
        <v>0</v>
      </c>
      <c r="J1093" s="50">
        <f>IF(AND(SCAN!K1093="-",SCAN!Q1093="-"),SCAN!F1093,0)</f>
        <v>0</v>
      </c>
      <c r="M1093" s="55">
        <f>IF(SCAN!K1093&lt;&gt;"-",SCAN!D1093,0)</f>
        <v>0</v>
      </c>
      <c r="N1093" s="55">
        <f>IF(SCAN!K1093&lt;&gt;"-",SCAN!E1093,0)</f>
        <v>0</v>
      </c>
      <c r="O1093" s="55">
        <f>IF(SCAN!K1093&lt;&gt;"-",SCAN!F1093,0)</f>
        <v>0</v>
      </c>
      <c r="R1093" s="53">
        <f>IF(SCAN!Q1093&lt;&gt;"-",SCAN!D1093,0)</f>
        <v>0</v>
      </c>
      <c r="S1093" s="53">
        <f>IF(SCAN!Q1093&lt;&gt;"-",SCAN!E1093,0)</f>
        <v>0</v>
      </c>
      <c r="T1093" s="53">
        <f>IF(SCAN!Q1093&lt;&gt;"-",SCAN!F1093,0)</f>
        <v>0</v>
      </c>
    </row>
    <row r="1094" spans="8:20" x14ac:dyDescent="0.25">
      <c r="H1094" s="50">
        <f>IF(AND(SCAN!K1094="-",SCAN!Q1094="-"),SCAN!D1094,0)</f>
        <v>0</v>
      </c>
      <c r="I1094" s="50">
        <f>IF(AND(SCAN!K1094="-",SCAN!Q1094="-"),SCAN!E1094,0)</f>
        <v>0</v>
      </c>
      <c r="J1094" s="50">
        <f>IF(AND(SCAN!K1094="-",SCAN!Q1094="-"),SCAN!F1094,0)</f>
        <v>0</v>
      </c>
      <c r="M1094" s="55">
        <f>IF(SCAN!K1094&lt;&gt;"-",SCAN!D1094,0)</f>
        <v>0</v>
      </c>
      <c r="N1094" s="55">
        <f>IF(SCAN!K1094&lt;&gt;"-",SCAN!E1094,0)</f>
        <v>0</v>
      </c>
      <c r="O1094" s="55">
        <f>IF(SCAN!K1094&lt;&gt;"-",SCAN!F1094,0)</f>
        <v>0</v>
      </c>
      <c r="R1094" s="53">
        <f>IF(SCAN!Q1094&lt;&gt;"-",SCAN!D1094,0)</f>
        <v>0</v>
      </c>
      <c r="S1094" s="53">
        <f>IF(SCAN!Q1094&lt;&gt;"-",SCAN!E1094,0)</f>
        <v>0</v>
      </c>
      <c r="T1094" s="53">
        <f>IF(SCAN!Q1094&lt;&gt;"-",SCAN!F1094,0)</f>
        <v>0</v>
      </c>
    </row>
    <row r="1095" spans="8:20" x14ac:dyDescent="0.25">
      <c r="H1095" s="50">
        <f>IF(AND(SCAN!K1095="-",SCAN!Q1095="-"),SCAN!D1095,0)</f>
        <v>0</v>
      </c>
      <c r="I1095" s="50">
        <f>IF(AND(SCAN!K1095="-",SCAN!Q1095="-"),SCAN!E1095,0)</f>
        <v>0</v>
      </c>
      <c r="J1095" s="50">
        <f>IF(AND(SCAN!K1095="-",SCAN!Q1095="-"),SCAN!F1095,0)</f>
        <v>0</v>
      </c>
      <c r="M1095" s="55">
        <f>IF(SCAN!K1095&lt;&gt;"-",SCAN!D1095,0)</f>
        <v>0</v>
      </c>
      <c r="N1095" s="55">
        <f>IF(SCAN!K1095&lt;&gt;"-",SCAN!E1095,0)</f>
        <v>0</v>
      </c>
      <c r="O1095" s="55">
        <f>IF(SCAN!K1095&lt;&gt;"-",SCAN!F1095,0)</f>
        <v>0</v>
      </c>
      <c r="R1095" s="53">
        <f>IF(SCAN!Q1095&lt;&gt;"-",SCAN!D1095,0)</f>
        <v>0</v>
      </c>
      <c r="S1095" s="53">
        <f>IF(SCAN!Q1095&lt;&gt;"-",SCAN!E1095,0)</f>
        <v>0</v>
      </c>
      <c r="T1095" s="53">
        <f>IF(SCAN!Q1095&lt;&gt;"-",SCAN!F1095,0)</f>
        <v>0</v>
      </c>
    </row>
    <row r="1096" spans="8:20" x14ac:dyDescent="0.25">
      <c r="H1096" s="50">
        <f>IF(AND(SCAN!K1096="-",SCAN!Q1096="-"),SCAN!D1096,0)</f>
        <v>0</v>
      </c>
      <c r="I1096" s="50">
        <f>IF(AND(SCAN!K1096="-",SCAN!Q1096="-"),SCAN!E1096,0)</f>
        <v>0</v>
      </c>
      <c r="J1096" s="50">
        <f>IF(AND(SCAN!K1096="-",SCAN!Q1096="-"),SCAN!F1096,0)</f>
        <v>0</v>
      </c>
      <c r="M1096" s="55">
        <f>IF(SCAN!K1096&lt;&gt;"-",SCAN!D1096,0)</f>
        <v>0</v>
      </c>
      <c r="N1096" s="55">
        <f>IF(SCAN!K1096&lt;&gt;"-",SCAN!E1096,0)</f>
        <v>0</v>
      </c>
      <c r="O1096" s="55">
        <f>IF(SCAN!K1096&lt;&gt;"-",SCAN!F1096,0)</f>
        <v>0</v>
      </c>
      <c r="R1096" s="53">
        <f>IF(SCAN!Q1096&lt;&gt;"-",SCAN!D1096,0)</f>
        <v>0</v>
      </c>
      <c r="S1096" s="53">
        <f>IF(SCAN!Q1096&lt;&gt;"-",SCAN!E1096,0)</f>
        <v>0</v>
      </c>
      <c r="T1096" s="53">
        <f>IF(SCAN!Q1096&lt;&gt;"-",SCAN!F1096,0)</f>
        <v>0</v>
      </c>
    </row>
    <row r="1097" spans="8:20" x14ac:dyDescent="0.25">
      <c r="H1097" s="50">
        <f>IF(AND(SCAN!K1097="-",SCAN!Q1097="-"),SCAN!D1097,0)</f>
        <v>0</v>
      </c>
      <c r="I1097" s="50">
        <f>IF(AND(SCAN!K1097="-",SCAN!Q1097="-"),SCAN!E1097,0)</f>
        <v>0</v>
      </c>
      <c r="J1097" s="50">
        <f>IF(AND(SCAN!K1097="-",SCAN!Q1097="-"),SCAN!F1097,0)</f>
        <v>0</v>
      </c>
      <c r="M1097" s="55">
        <f>IF(SCAN!K1097&lt;&gt;"-",SCAN!D1097,0)</f>
        <v>0</v>
      </c>
      <c r="N1097" s="55">
        <f>IF(SCAN!K1097&lt;&gt;"-",SCAN!E1097,0)</f>
        <v>0</v>
      </c>
      <c r="O1097" s="55">
        <f>IF(SCAN!K1097&lt;&gt;"-",SCAN!F1097,0)</f>
        <v>0</v>
      </c>
      <c r="R1097" s="53">
        <f>IF(SCAN!Q1097&lt;&gt;"-",SCAN!D1097,0)</f>
        <v>0</v>
      </c>
      <c r="S1097" s="53">
        <f>IF(SCAN!Q1097&lt;&gt;"-",SCAN!E1097,0)</f>
        <v>0</v>
      </c>
      <c r="T1097" s="53">
        <f>IF(SCAN!Q1097&lt;&gt;"-",SCAN!F1097,0)</f>
        <v>0</v>
      </c>
    </row>
    <row r="1098" spans="8:20" x14ac:dyDescent="0.25">
      <c r="H1098" s="50">
        <f>IF(AND(SCAN!K1098="-",SCAN!Q1098="-"),SCAN!D1098,0)</f>
        <v>0</v>
      </c>
      <c r="I1098" s="50">
        <f>IF(AND(SCAN!K1098="-",SCAN!Q1098="-"),SCAN!E1098,0)</f>
        <v>0</v>
      </c>
      <c r="J1098" s="50">
        <f>IF(AND(SCAN!K1098="-",SCAN!Q1098="-"),SCAN!F1098,0)</f>
        <v>0</v>
      </c>
      <c r="M1098" s="55">
        <f>IF(SCAN!K1098&lt;&gt;"-",SCAN!D1098,0)</f>
        <v>0</v>
      </c>
      <c r="N1098" s="55">
        <f>IF(SCAN!K1098&lt;&gt;"-",SCAN!E1098,0)</f>
        <v>0</v>
      </c>
      <c r="O1098" s="55">
        <f>IF(SCAN!K1098&lt;&gt;"-",SCAN!F1098,0)</f>
        <v>0</v>
      </c>
      <c r="R1098" s="53">
        <f>IF(SCAN!Q1098&lt;&gt;"-",SCAN!D1098,0)</f>
        <v>0</v>
      </c>
      <c r="S1098" s="53">
        <f>IF(SCAN!Q1098&lt;&gt;"-",SCAN!E1098,0)</f>
        <v>0</v>
      </c>
      <c r="T1098" s="53">
        <f>IF(SCAN!Q1098&lt;&gt;"-",SCAN!F1098,0)</f>
        <v>0</v>
      </c>
    </row>
    <row r="1099" spans="8:20" x14ac:dyDescent="0.25">
      <c r="H1099" s="50">
        <f>IF(AND(SCAN!K1099="-",SCAN!Q1099="-"),SCAN!D1099,0)</f>
        <v>0</v>
      </c>
      <c r="I1099" s="50">
        <f>IF(AND(SCAN!K1099="-",SCAN!Q1099="-"),SCAN!E1099,0)</f>
        <v>0</v>
      </c>
      <c r="J1099" s="50">
        <f>IF(AND(SCAN!K1099="-",SCAN!Q1099="-"),SCAN!F1099,0)</f>
        <v>0</v>
      </c>
      <c r="M1099" s="55">
        <f>IF(SCAN!K1099&lt;&gt;"-",SCAN!D1099,0)</f>
        <v>0</v>
      </c>
      <c r="N1099" s="55">
        <f>IF(SCAN!K1099&lt;&gt;"-",SCAN!E1099,0)</f>
        <v>0</v>
      </c>
      <c r="O1099" s="55">
        <f>IF(SCAN!K1099&lt;&gt;"-",SCAN!F1099,0)</f>
        <v>0</v>
      </c>
      <c r="R1099" s="53">
        <f>IF(SCAN!Q1099&lt;&gt;"-",SCAN!D1099,0)</f>
        <v>0</v>
      </c>
      <c r="S1099" s="53">
        <f>IF(SCAN!Q1099&lt;&gt;"-",SCAN!E1099,0)</f>
        <v>0</v>
      </c>
      <c r="T1099" s="53">
        <f>IF(SCAN!Q1099&lt;&gt;"-",SCAN!F1099,0)</f>
        <v>0</v>
      </c>
    </row>
    <row r="1100" spans="8:20" x14ac:dyDescent="0.25">
      <c r="H1100" s="50">
        <f>IF(AND(SCAN!K1100="-",SCAN!Q1100="-"),SCAN!D1100,0)</f>
        <v>0</v>
      </c>
      <c r="I1100" s="50">
        <f>IF(AND(SCAN!K1100="-",SCAN!Q1100="-"),SCAN!E1100,0)</f>
        <v>0</v>
      </c>
      <c r="J1100" s="50">
        <f>IF(AND(SCAN!K1100="-",SCAN!Q1100="-"),SCAN!F1100,0)</f>
        <v>0</v>
      </c>
      <c r="M1100" s="55">
        <f>IF(SCAN!K1100&lt;&gt;"-",SCAN!D1100,0)</f>
        <v>0</v>
      </c>
      <c r="N1100" s="55">
        <f>IF(SCAN!K1100&lt;&gt;"-",SCAN!E1100,0)</f>
        <v>0</v>
      </c>
      <c r="O1100" s="55">
        <f>IF(SCAN!K1100&lt;&gt;"-",SCAN!F1100,0)</f>
        <v>0</v>
      </c>
      <c r="R1100" s="53">
        <f>IF(SCAN!Q1100&lt;&gt;"-",SCAN!D1100,0)</f>
        <v>0</v>
      </c>
      <c r="S1100" s="53">
        <f>IF(SCAN!Q1100&lt;&gt;"-",SCAN!E1100,0)</f>
        <v>0</v>
      </c>
      <c r="T1100" s="53">
        <f>IF(SCAN!Q1100&lt;&gt;"-",SCAN!F1100,0)</f>
        <v>0</v>
      </c>
    </row>
    <row r="1101" spans="8:20" x14ac:dyDescent="0.25">
      <c r="H1101" s="50">
        <f>IF(AND(SCAN!K1101="-",SCAN!Q1101="-"),SCAN!D1101,0)</f>
        <v>0</v>
      </c>
      <c r="I1101" s="50">
        <f>IF(AND(SCAN!K1101="-",SCAN!Q1101="-"),SCAN!E1101,0)</f>
        <v>0</v>
      </c>
      <c r="J1101" s="50">
        <f>IF(AND(SCAN!K1101="-",SCAN!Q1101="-"),SCAN!F1101,0)</f>
        <v>0</v>
      </c>
      <c r="M1101" s="55">
        <f>IF(SCAN!K1101&lt;&gt;"-",SCAN!D1101,0)</f>
        <v>0</v>
      </c>
      <c r="N1101" s="55">
        <f>IF(SCAN!K1101&lt;&gt;"-",SCAN!E1101,0)</f>
        <v>0</v>
      </c>
      <c r="O1101" s="55">
        <f>IF(SCAN!K1101&lt;&gt;"-",SCAN!F1101,0)</f>
        <v>0</v>
      </c>
      <c r="R1101" s="53">
        <f>IF(SCAN!Q1101&lt;&gt;"-",SCAN!D1101,0)</f>
        <v>0</v>
      </c>
      <c r="S1101" s="53">
        <f>IF(SCAN!Q1101&lt;&gt;"-",SCAN!E1101,0)</f>
        <v>0</v>
      </c>
      <c r="T1101" s="53">
        <f>IF(SCAN!Q1101&lt;&gt;"-",SCAN!F1101,0)</f>
        <v>0</v>
      </c>
    </row>
    <row r="1102" spans="8:20" x14ac:dyDescent="0.25">
      <c r="H1102" s="50">
        <f>IF(AND(SCAN!K1102="-",SCAN!Q1102="-"),SCAN!D1102,0)</f>
        <v>0</v>
      </c>
      <c r="I1102" s="50">
        <f>IF(AND(SCAN!K1102="-",SCAN!Q1102="-"),SCAN!E1102,0)</f>
        <v>0</v>
      </c>
      <c r="J1102" s="50">
        <f>IF(AND(SCAN!K1102="-",SCAN!Q1102="-"),SCAN!F1102,0)</f>
        <v>0</v>
      </c>
      <c r="M1102" s="55">
        <f>IF(SCAN!K1102&lt;&gt;"-",SCAN!D1102,0)</f>
        <v>0</v>
      </c>
      <c r="N1102" s="55">
        <f>IF(SCAN!K1102&lt;&gt;"-",SCAN!E1102,0)</f>
        <v>0</v>
      </c>
      <c r="O1102" s="55">
        <f>IF(SCAN!K1102&lt;&gt;"-",SCAN!F1102,0)</f>
        <v>0</v>
      </c>
      <c r="R1102" s="53">
        <f>IF(SCAN!Q1102&lt;&gt;"-",SCAN!D1102,0)</f>
        <v>0</v>
      </c>
      <c r="S1102" s="53">
        <f>IF(SCAN!Q1102&lt;&gt;"-",SCAN!E1102,0)</f>
        <v>0</v>
      </c>
      <c r="T1102" s="53">
        <f>IF(SCAN!Q1102&lt;&gt;"-",SCAN!F1102,0)</f>
        <v>0</v>
      </c>
    </row>
    <row r="1103" spans="8:20" x14ac:dyDescent="0.25">
      <c r="H1103" s="50">
        <f>IF(AND(SCAN!K1103="-",SCAN!Q1103="-"),SCAN!D1103,0)</f>
        <v>0</v>
      </c>
      <c r="I1103" s="50">
        <f>IF(AND(SCAN!K1103="-",SCAN!Q1103="-"),SCAN!E1103,0)</f>
        <v>0</v>
      </c>
      <c r="J1103" s="50">
        <f>IF(AND(SCAN!K1103="-",SCAN!Q1103="-"),SCAN!F1103,0)</f>
        <v>0</v>
      </c>
      <c r="M1103" s="55">
        <f>IF(SCAN!K1103&lt;&gt;"-",SCAN!D1103,0)</f>
        <v>0</v>
      </c>
      <c r="N1103" s="55">
        <f>IF(SCAN!K1103&lt;&gt;"-",SCAN!E1103,0)</f>
        <v>0</v>
      </c>
      <c r="O1103" s="55">
        <f>IF(SCAN!K1103&lt;&gt;"-",SCAN!F1103,0)</f>
        <v>0</v>
      </c>
      <c r="R1103" s="53">
        <f>IF(SCAN!Q1103&lt;&gt;"-",SCAN!D1103,0)</f>
        <v>0</v>
      </c>
      <c r="S1103" s="53">
        <f>IF(SCAN!Q1103&lt;&gt;"-",SCAN!E1103,0)</f>
        <v>0</v>
      </c>
      <c r="T1103" s="53">
        <f>IF(SCAN!Q1103&lt;&gt;"-",SCAN!F1103,0)</f>
        <v>0</v>
      </c>
    </row>
    <row r="1104" spans="8:20" x14ac:dyDescent="0.25">
      <c r="H1104" s="50">
        <f>IF(AND(SCAN!K1104="-",SCAN!Q1104="-"),SCAN!D1104,0)</f>
        <v>0</v>
      </c>
      <c r="I1104" s="50">
        <f>IF(AND(SCAN!K1104="-",SCAN!Q1104="-"),SCAN!E1104,0)</f>
        <v>0</v>
      </c>
      <c r="J1104" s="50">
        <f>IF(AND(SCAN!K1104="-",SCAN!Q1104="-"),SCAN!F1104,0)</f>
        <v>0</v>
      </c>
      <c r="M1104" s="55">
        <f>IF(SCAN!K1104&lt;&gt;"-",SCAN!D1104,0)</f>
        <v>0</v>
      </c>
      <c r="N1104" s="55">
        <f>IF(SCAN!K1104&lt;&gt;"-",SCAN!E1104,0)</f>
        <v>0</v>
      </c>
      <c r="O1104" s="55">
        <f>IF(SCAN!K1104&lt;&gt;"-",SCAN!F1104,0)</f>
        <v>0</v>
      </c>
      <c r="R1104" s="53">
        <f>IF(SCAN!Q1104&lt;&gt;"-",SCAN!D1104,0)</f>
        <v>0</v>
      </c>
      <c r="S1104" s="53">
        <f>IF(SCAN!Q1104&lt;&gt;"-",SCAN!E1104,0)</f>
        <v>0</v>
      </c>
      <c r="T1104" s="53">
        <f>IF(SCAN!Q1104&lt;&gt;"-",SCAN!F1104,0)</f>
        <v>0</v>
      </c>
    </row>
    <row r="1105" spans="8:20" x14ac:dyDescent="0.25">
      <c r="H1105" s="50">
        <f>IF(AND(SCAN!K1105="-",SCAN!Q1105="-"),SCAN!D1105,0)</f>
        <v>0</v>
      </c>
      <c r="I1105" s="50">
        <f>IF(AND(SCAN!K1105="-",SCAN!Q1105="-"),SCAN!E1105,0)</f>
        <v>0</v>
      </c>
      <c r="J1105" s="50">
        <f>IF(AND(SCAN!K1105="-",SCAN!Q1105="-"),SCAN!F1105,0)</f>
        <v>0</v>
      </c>
      <c r="M1105" s="55">
        <f>IF(SCAN!K1105&lt;&gt;"-",SCAN!D1105,0)</f>
        <v>0</v>
      </c>
      <c r="N1105" s="55">
        <f>IF(SCAN!K1105&lt;&gt;"-",SCAN!E1105,0)</f>
        <v>0</v>
      </c>
      <c r="O1105" s="55">
        <f>IF(SCAN!K1105&lt;&gt;"-",SCAN!F1105,0)</f>
        <v>0</v>
      </c>
      <c r="R1105" s="53">
        <f>IF(SCAN!Q1105&lt;&gt;"-",SCAN!D1105,0)</f>
        <v>0</v>
      </c>
      <c r="S1105" s="53">
        <f>IF(SCAN!Q1105&lt;&gt;"-",SCAN!E1105,0)</f>
        <v>0</v>
      </c>
      <c r="T1105" s="53">
        <f>IF(SCAN!Q1105&lt;&gt;"-",SCAN!F1105,0)</f>
        <v>0</v>
      </c>
    </row>
    <row r="1106" spans="8:20" x14ac:dyDescent="0.25">
      <c r="H1106" s="50">
        <f>IF(AND(SCAN!K1106="-",SCAN!Q1106="-"),SCAN!D1106,0)</f>
        <v>0</v>
      </c>
      <c r="I1106" s="50">
        <f>IF(AND(SCAN!K1106="-",SCAN!Q1106="-"),SCAN!E1106,0)</f>
        <v>0</v>
      </c>
      <c r="J1106" s="50">
        <f>IF(AND(SCAN!K1106="-",SCAN!Q1106="-"),SCAN!F1106,0)</f>
        <v>0</v>
      </c>
      <c r="M1106" s="55">
        <f>IF(SCAN!K1106&lt;&gt;"-",SCAN!D1106,0)</f>
        <v>0</v>
      </c>
      <c r="N1106" s="55">
        <f>IF(SCAN!K1106&lt;&gt;"-",SCAN!E1106,0)</f>
        <v>0</v>
      </c>
      <c r="O1106" s="55">
        <f>IF(SCAN!K1106&lt;&gt;"-",SCAN!F1106,0)</f>
        <v>0</v>
      </c>
      <c r="R1106" s="53">
        <f>IF(SCAN!Q1106&lt;&gt;"-",SCAN!D1106,0)</f>
        <v>0</v>
      </c>
      <c r="S1106" s="53">
        <f>IF(SCAN!Q1106&lt;&gt;"-",SCAN!E1106,0)</f>
        <v>0</v>
      </c>
      <c r="T1106" s="53">
        <f>IF(SCAN!Q1106&lt;&gt;"-",SCAN!F1106,0)</f>
        <v>0</v>
      </c>
    </row>
    <row r="1107" spans="8:20" x14ac:dyDescent="0.25">
      <c r="H1107" s="50">
        <f>IF(AND(SCAN!K1107="-",SCAN!Q1107="-"),SCAN!D1107,0)</f>
        <v>0</v>
      </c>
      <c r="I1107" s="50">
        <f>IF(AND(SCAN!K1107="-",SCAN!Q1107="-"),SCAN!E1107,0)</f>
        <v>0</v>
      </c>
      <c r="J1107" s="50">
        <f>IF(AND(SCAN!K1107="-",SCAN!Q1107="-"),SCAN!F1107,0)</f>
        <v>0</v>
      </c>
      <c r="M1107" s="55">
        <f>IF(SCAN!K1107&lt;&gt;"-",SCAN!D1107,0)</f>
        <v>0</v>
      </c>
      <c r="N1107" s="55">
        <f>IF(SCAN!K1107&lt;&gt;"-",SCAN!E1107,0)</f>
        <v>0</v>
      </c>
      <c r="O1107" s="55">
        <f>IF(SCAN!K1107&lt;&gt;"-",SCAN!F1107,0)</f>
        <v>0</v>
      </c>
      <c r="R1107" s="53">
        <f>IF(SCAN!Q1107&lt;&gt;"-",SCAN!D1107,0)</f>
        <v>0</v>
      </c>
      <c r="S1107" s="53">
        <f>IF(SCAN!Q1107&lt;&gt;"-",SCAN!E1107,0)</f>
        <v>0</v>
      </c>
      <c r="T1107" s="53">
        <f>IF(SCAN!Q1107&lt;&gt;"-",SCAN!F1107,0)</f>
        <v>0</v>
      </c>
    </row>
    <row r="1108" spans="8:20" x14ac:dyDescent="0.25">
      <c r="H1108" s="50">
        <f>IF(AND(SCAN!K1108="-",SCAN!Q1108="-"),SCAN!D1108,0)</f>
        <v>0</v>
      </c>
      <c r="I1108" s="50">
        <f>IF(AND(SCAN!K1108="-",SCAN!Q1108="-"),SCAN!E1108,0)</f>
        <v>0</v>
      </c>
      <c r="J1108" s="50">
        <f>IF(AND(SCAN!K1108="-",SCAN!Q1108="-"),SCAN!F1108,0)</f>
        <v>0</v>
      </c>
      <c r="M1108" s="55">
        <f>IF(SCAN!K1108&lt;&gt;"-",SCAN!D1108,0)</f>
        <v>0</v>
      </c>
      <c r="N1108" s="55">
        <f>IF(SCAN!K1108&lt;&gt;"-",SCAN!E1108,0)</f>
        <v>0</v>
      </c>
      <c r="O1108" s="55">
        <f>IF(SCAN!K1108&lt;&gt;"-",SCAN!F1108,0)</f>
        <v>0</v>
      </c>
      <c r="R1108" s="53">
        <f>IF(SCAN!Q1108&lt;&gt;"-",SCAN!D1108,0)</f>
        <v>0</v>
      </c>
      <c r="S1108" s="53">
        <f>IF(SCAN!Q1108&lt;&gt;"-",SCAN!E1108,0)</f>
        <v>0</v>
      </c>
      <c r="T1108" s="53">
        <f>IF(SCAN!Q1108&lt;&gt;"-",SCAN!F1108,0)</f>
        <v>0</v>
      </c>
    </row>
    <row r="1109" spans="8:20" x14ac:dyDescent="0.25">
      <c r="H1109" s="50">
        <f>IF(AND(SCAN!K1109="-",SCAN!Q1109="-"),SCAN!D1109,0)</f>
        <v>0</v>
      </c>
      <c r="I1109" s="50">
        <f>IF(AND(SCAN!K1109="-",SCAN!Q1109="-"),SCAN!E1109,0)</f>
        <v>0</v>
      </c>
      <c r="J1109" s="50">
        <f>IF(AND(SCAN!K1109="-",SCAN!Q1109="-"),SCAN!F1109,0)</f>
        <v>0</v>
      </c>
      <c r="M1109" s="55">
        <f>IF(SCAN!K1109&lt;&gt;"-",SCAN!D1109,0)</f>
        <v>0</v>
      </c>
      <c r="N1109" s="55">
        <f>IF(SCAN!K1109&lt;&gt;"-",SCAN!E1109,0)</f>
        <v>0</v>
      </c>
      <c r="O1109" s="55">
        <f>IF(SCAN!K1109&lt;&gt;"-",SCAN!F1109,0)</f>
        <v>0</v>
      </c>
      <c r="R1109" s="53">
        <f>IF(SCAN!Q1109&lt;&gt;"-",SCAN!D1109,0)</f>
        <v>0</v>
      </c>
      <c r="S1109" s="53">
        <f>IF(SCAN!Q1109&lt;&gt;"-",SCAN!E1109,0)</f>
        <v>0</v>
      </c>
      <c r="T1109" s="53">
        <f>IF(SCAN!Q1109&lt;&gt;"-",SCAN!F1109,0)</f>
        <v>0</v>
      </c>
    </row>
    <row r="1110" spans="8:20" x14ac:dyDescent="0.25">
      <c r="H1110" s="50">
        <f>IF(AND(SCAN!K1110="-",SCAN!Q1110="-"),SCAN!D1110,0)</f>
        <v>0</v>
      </c>
      <c r="I1110" s="50">
        <f>IF(AND(SCAN!K1110="-",SCAN!Q1110="-"),SCAN!E1110,0)</f>
        <v>0</v>
      </c>
      <c r="J1110" s="50">
        <f>IF(AND(SCAN!K1110="-",SCAN!Q1110="-"),SCAN!F1110,0)</f>
        <v>0</v>
      </c>
      <c r="M1110" s="55">
        <f>IF(SCAN!K1110&lt;&gt;"-",SCAN!D1110,0)</f>
        <v>0</v>
      </c>
      <c r="N1110" s="55">
        <f>IF(SCAN!K1110&lt;&gt;"-",SCAN!E1110,0)</f>
        <v>0</v>
      </c>
      <c r="O1110" s="55">
        <f>IF(SCAN!K1110&lt;&gt;"-",SCAN!F1110,0)</f>
        <v>0</v>
      </c>
      <c r="R1110" s="53">
        <f>IF(SCAN!Q1110&lt;&gt;"-",SCAN!D1110,0)</f>
        <v>0</v>
      </c>
      <c r="S1110" s="53">
        <f>IF(SCAN!Q1110&lt;&gt;"-",SCAN!E1110,0)</f>
        <v>0</v>
      </c>
      <c r="T1110" s="53">
        <f>IF(SCAN!Q1110&lt;&gt;"-",SCAN!F1110,0)</f>
        <v>0</v>
      </c>
    </row>
    <row r="1111" spans="8:20" x14ac:dyDescent="0.25">
      <c r="H1111" s="50">
        <f>IF(AND(SCAN!K1111="-",SCAN!Q1111="-"),SCAN!D1111,0)</f>
        <v>0</v>
      </c>
      <c r="I1111" s="50">
        <f>IF(AND(SCAN!K1111="-",SCAN!Q1111="-"),SCAN!E1111,0)</f>
        <v>0</v>
      </c>
      <c r="J1111" s="50">
        <f>IF(AND(SCAN!K1111="-",SCAN!Q1111="-"),SCAN!F1111,0)</f>
        <v>0</v>
      </c>
      <c r="M1111" s="55">
        <f>IF(SCAN!K1111&lt;&gt;"-",SCAN!D1111,0)</f>
        <v>0</v>
      </c>
      <c r="N1111" s="55">
        <f>IF(SCAN!K1111&lt;&gt;"-",SCAN!E1111,0)</f>
        <v>0</v>
      </c>
      <c r="O1111" s="55">
        <f>IF(SCAN!K1111&lt;&gt;"-",SCAN!F1111,0)</f>
        <v>0</v>
      </c>
      <c r="R1111" s="53">
        <f>IF(SCAN!Q1111&lt;&gt;"-",SCAN!D1111,0)</f>
        <v>0</v>
      </c>
      <c r="S1111" s="53">
        <f>IF(SCAN!Q1111&lt;&gt;"-",SCAN!E1111,0)</f>
        <v>0</v>
      </c>
      <c r="T1111" s="53">
        <f>IF(SCAN!Q1111&lt;&gt;"-",SCAN!F1111,0)</f>
        <v>0</v>
      </c>
    </row>
    <row r="1112" spans="8:20" x14ac:dyDescent="0.25">
      <c r="H1112" s="50">
        <f>IF(AND(SCAN!K1112="-",SCAN!Q1112="-"),SCAN!D1112,0)</f>
        <v>0</v>
      </c>
      <c r="I1112" s="50">
        <f>IF(AND(SCAN!K1112="-",SCAN!Q1112="-"),SCAN!E1112,0)</f>
        <v>0</v>
      </c>
      <c r="J1112" s="50">
        <f>IF(AND(SCAN!K1112="-",SCAN!Q1112="-"),SCAN!F1112,0)</f>
        <v>0</v>
      </c>
      <c r="M1112" s="55">
        <f>IF(SCAN!K1112&lt;&gt;"-",SCAN!D1112,0)</f>
        <v>0</v>
      </c>
      <c r="N1112" s="55">
        <f>IF(SCAN!K1112&lt;&gt;"-",SCAN!E1112,0)</f>
        <v>0</v>
      </c>
      <c r="O1112" s="55">
        <f>IF(SCAN!K1112&lt;&gt;"-",SCAN!F1112,0)</f>
        <v>0</v>
      </c>
      <c r="R1112" s="53">
        <f>IF(SCAN!Q1112&lt;&gt;"-",SCAN!D1112,0)</f>
        <v>0</v>
      </c>
      <c r="S1112" s="53">
        <f>IF(SCAN!Q1112&lt;&gt;"-",SCAN!E1112,0)</f>
        <v>0</v>
      </c>
      <c r="T1112" s="53">
        <f>IF(SCAN!Q1112&lt;&gt;"-",SCAN!F1112,0)</f>
        <v>0</v>
      </c>
    </row>
    <row r="1113" spans="8:20" x14ac:dyDescent="0.25">
      <c r="H1113" s="50">
        <f>IF(AND(SCAN!K1113="-",SCAN!Q1113="-"),SCAN!D1113,0)</f>
        <v>0</v>
      </c>
      <c r="I1113" s="50">
        <f>IF(AND(SCAN!K1113="-",SCAN!Q1113="-"),SCAN!E1113,0)</f>
        <v>0</v>
      </c>
      <c r="J1113" s="50">
        <f>IF(AND(SCAN!K1113="-",SCAN!Q1113="-"),SCAN!F1113,0)</f>
        <v>0</v>
      </c>
      <c r="M1113" s="55">
        <f>IF(SCAN!K1113&lt;&gt;"-",SCAN!D1113,0)</f>
        <v>0</v>
      </c>
      <c r="N1113" s="55">
        <f>IF(SCAN!K1113&lt;&gt;"-",SCAN!E1113,0)</f>
        <v>0</v>
      </c>
      <c r="O1113" s="55">
        <f>IF(SCAN!K1113&lt;&gt;"-",SCAN!F1113,0)</f>
        <v>0</v>
      </c>
      <c r="R1113" s="53">
        <f>IF(SCAN!Q1113&lt;&gt;"-",SCAN!D1113,0)</f>
        <v>0</v>
      </c>
      <c r="S1113" s="53">
        <f>IF(SCAN!Q1113&lt;&gt;"-",SCAN!E1113,0)</f>
        <v>0</v>
      </c>
      <c r="T1113" s="53">
        <f>IF(SCAN!Q1113&lt;&gt;"-",SCAN!F1113,0)</f>
        <v>0</v>
      </c>
    </row>
    <row r="1114" spans="8:20" x14ac:dyDescent="0.25">
      <c r="H1114" s="50">
        <f>IF(AND(SCAN!K1114="-",SCAN!Q1114="-"),SCAN!D1114,0)</f>
        <v>0</v>
      </c>
      <c r="I1114" s="50">
        <f>IF(AND(SCAN!K1114="-",SCAN!Q1114="-"),SCAN!E1114,0)</f>
        <v>0</v>
      </c>
      <c r="J1114" s="50">
        <f>IF(AND(SCAN!K1114="-",SCAN!Q1114="-"),SCAN!F1114,0)</f>
        <v>0</v>
      </c>
      <c r="M1114" s="55">
        <f>IF(SCAN!K1114&lt;&gt;"-",SCAN!D1114,0)</f>
        <v>0</v>
      </c>
      <c r="N1114" s="55">
        <f>IF(SCAN!K1114&lt;&gt;"-",SCAN!E1114,0)</f>
        <v>0</v>
      </c>
      <c r="O1114" s="55">
        <f>IF(SCAN!K1114&lt;&gt;"-",SCAN!F1114,0)</f>
        <v>0</v>
      </c>
      <c r="R1114" s="53">
        <f>IF(SCAN!Q1114&lt;&gt;"-",SCAN!D1114,0)</f>
        <v>0</v>
      </c>
      <c r="S1114" s="53">
        <f>IF(SCAN!Q1114&lt;&gt;"-",SCAN!E1114,0)</f>
        <v>0</v>
      </c>
      <c r="T1114" s="53">
        <f>IF(SCAN!Q1114&lt;&gt;"-",SCAN!F1114,0)</f>
        <v>0</v>
      </c>
    </row>
    <row r="1115" spans="8:20" x14ac:dyDescent="0.25">
      <c r="H1115" s="50">
        <f>IF(AND(SCAN!K1115="-",SCAN!Q1115="-"),SCAN!D1115,0)</f>
        <v>0</v>
      </c>
      <c r="I1115" s="50">
        <f>IF(AND(SCAN!K1115="-",SCAN!Q1115="-"),SCAN!E1115,0)</f>
        <v>0</v>
      </c>
      <c r="J1115" s="50">
        <f>IF(AND(SCAN!K1115="-",SCAN!Q1115="-"),SCAN!F1115,0)</f>
        <v>0</v>
      </c>
      <c r="M1115" s="55">
        <f>IF(SCAN!K1115&lt;&gt;"-",SCAN!D1115,0)</f>
        <v>0</v>
      </c>
      <c r="N1115" s="55">
        <f>IF(SCAN!K1115&lt;&gt;"-",SCAN!E1115,0)</f>
        <v>0</v>
      </c>
      <c r="O1115" s="55">
        <f>IF(SCAN!K1115&lt;&gt;"-",SCAN!F1115,0)</f>
        <v>0</v>
      </c>
      <c r="R1115" s="53">
        <f>IF(SCAN!Q1115&lt;&gt;"-",SCAN!D1115,0)</f>
        <v>0</v>
      </c>
      <c r="S1115" s="53">
        <f>IF(SCAN!Q1115&lt;&gt;"-",SCAN!E1115,0)</f>
        <v>0</v>
      </c>
      <c r="T1115" s="53">
        <f>IF(SCAN!Q1115&lt;&gt;"-",SCAN!F1115,0)</f>
        <v>0</v>
      </c>
    </row>
    <row r="1116" spans="8:20" x14ac:dyDescent="0.25">
      <c r="H1116" s="50">
        <f>IF(AND(SCAN!K1116="-",SCAN!Q1116="-"),SCAN!D1116,0)</f>
        <v>0</v>
      </c>
      <c r="I1116" s="50">
        <f>IF(AND(SCAN!K1116="-",SCAN!Q1116="-"),SCAN!E1116,0)</f>
        <v>0</v>
      </c>
      <c r="J1116" s="50">
        <f>IF(AND(SCAN!K1116="-",SCAN!Q1116="-"),SCAN!F1116,0)</f>
        <v>0</v>
      </c>
      <c r="M1116" s="55">
        <f>IF(SCAN!K1116&lt;&gt;"-",SCAN!D1116,0)</f>
        <v>0</v>
      </c>
      <c r="N1116" s="55">
        <f>IF(SCAN!K1116&lt;&gt;"-",SCAN!E1116,0)</f>
        <v>0</v>
      </c>
      <c r="O1116" s="55">
        <f>IF(SCAN!K1116&lt;&gt;"-",SCAN!F1116,0)</f>
        <v>0</v>
      </c>
      <c r="R1116" s="53">
        <f>IF(SCAN!Q1116&lt;&gt;"-",SCAN!D1116,0)</f>
        <v>0</v>
      </c>
      <c r="S1116" s="53">
        <f>IF(SCAN!Q1116&lt;&gt;"-",SCAN!E1116,0)</f>
        <v>0</v>
      </c>
      <c r="T1116" s="53">
        <f>IF(SCAN!Q1116&lt;&gt;"-",SCAN!F1116,0)</f>
        <v>0</v>
      </c>
    </row>
    <row r="1117" spans="8:20" x14ac:dyDescent="0.25">
      <c r="H1117" s="50">
        <f>IF(AND(SCAN!K1117="-",SCAN!Q1117="-"),SCAN!D1117,0)</f>
        <v>0</v>
      </c>
      <c r="I1117" s="50">
        <f>IF(AND(SCAN!K1117="-",SCAN!Q1117="-"),SCAN!E1117,0)</f>
        <v>0</v>
      </c>
      <c r="J1117" s="50">
        <f>IF(AND(SCAN!K1117="-",SCAN!Q1117="-"),SCAN!F1117,0)</f>
        <v>0</v>
      </c>
      <c r="M1117" s="55">
        <f>IF(SCAN!K1117&lt;&gt;"-",SCAN!D1117,0)</f>
        <v>0</v>
      </c>
      <c r="N1117" s="55">
        <f>IF(SCAN!K1117&lt;&gt;"-",SCAN!E1117,0)</f>
        <v>0</v>
      </c>
      <c r="O1117" s="55">
        <f>IF(SCAN!K1117&lt;&gt;"-",SCAN!F1117,0)</f>
        <v>0</v>
      </c>
      <c r="R1117" s="53">
        <f>IF(SCAN!Q1117&lt;&gt;"-",SCAN!D1117,0)</f>
        <v>0</v>
      </c>
      <c r="S1117" s="53">
        <f>IF(SCAN!Q1117&lt;&gt;"-",SCAN!E1117,0)</f>
        <v>0</v>
      </c>
      <c r="T1117" s="53">
        <f>IF(SCAN!Q1117&lt;&gt;"-",SCAN!F1117,0)</f>
        <v>0</v>
      </c>
    </row>
    <row r="1118" spans="8:20" x14ac:dyDescent="0.25">
      <c r="H1118" s="50">
        <f>IF(AND(SCAN!K1118="-",SCAN!Q1118="-"),SCAN!D1118,0)</f>
        <v>0</v>
      </c>
      <c r="I1118" s="50">
        <f>IF(AND(SCAN!K1118="-",SCAN!Q1118="-"),SCAN!E1118,0)</f>
        <v>0</v>
      </c>
      <c r="J1118" s="50">
        <f>IF(AND(SCAN!K1118="-",SCAN!Q1118="-"),SCAN!F1118,0)</f>
        <v>0</v>
      </c>
      <c r="M1118" s="55">
        <f>IF(SCAN!K1118&lt;&gt;"-",SCAN!D1118,0)</f>
        <v>0</v>
      </c>
      <c r="N1118" s="55">
        <f>IF(SCAN!K1118&lt;&gt;"-",SCAN!E1118,0)</f>
        <v>0</v>
      </c>
      <c r="O1118" s="55">
        <f>IF(SCAN!K1118&lt;&gt;"-",SCAN!F1118,0)</f>
        <v>0</v>
      </c>
      <c r="R1118" s="53">
        <f>IF(SCAN!Q1118&lt;&gt;"-",SCAN!D1118,0)</f>
        <v>0</v>
      </c>
      <c r="S1118" s="53">
        <f>IF(SCAN!Q1118&lt;&gt;"-",SCAN!E1118,0)</f>
        <v>0</v>
      </c>
      <c r="T1118" s="53">
        <f>IF(SCAN!Q1118&lt;&gt;"-",SCAN!F1118,0)</f>
        <v>0</v>
      </c>
    </row>
    <row r="1119" spans="8:20" x14ac:dyDescent="0.25">
      <c r="H1119" s="50">
        <f>IF(AND(SCAN!K1119="-",SCAN!Q1119="-"),SCAN!D1119,0)</f>
        <v>0</v>
      </c>
      <c r="I1119" s="50">
        <f>IF(AND(SCAN!K1119="-",SCAN!Q1119="-"),SCAN!E1119,0)</f>
        <v>0</v>
      </c>
      <c r="J1119" s="50">
        <f>IF(AND(SCAN!K1119="-",SCAN!Q1119="-"),SCAN!F1119,0)</f>
        <v>0</v>
      </c>
      <c r="M1119" s="55">
        <f>IF(SCAN!K1119&lt;&gt;"-",SCAN!D1119,0)</f>
        <v>0</v>
      </c>
      <c r="N1119" s="55">
        <f>IF(SCAN!K1119&lt;&gt;"-",SCAN!E1119,0)</f>
        <v>0</v>
      </c>
      <c r="O1119" s="55">
        <f>IF(SCAN!K1119&lt;&gt;"-",SCAN!F1119,0)</f>
        <v>0</v>
      </c>
      <c r="R1119" s="53">
        <f>IF(SCAN!Q1119&lt;&gt;"-",SCAN!D1119,0)</f>
        <v>0</v>
      </c>
      <c r="S1119" s="53">
        <f>IF(SCAN!Q1119&lt;&gt;"-",SCAN!E1119,0)</f>
        <v>0</v>
      </c>
      <c r="T1119" s="53">
        <f>IF(SCAN!Q1119&lt;&gt;"-",SCAN!F1119,0)</f>
        <v>0</v>
      </c>
    </row>
    <row r="1120" spans="8:20" x14ac:dyDescent="0.25">
      <c r="H1120" s="50">
        <f>IF(AND(SCAN!K1120="-",SCAN!Q1120="-"),SCAN!D1120,0)</f>
        <v>0</v>
      </c>
      <c r="I1120" s="50">
        <f>IF(AND(SCAN!K1120="-",SCAN!Q1120="-"),SCAN!E1120,0)</f>
        <v>0</v>
      </c>
      <c r="J1120" s="50">
        <f>IF(AND(SCAN!K1120="-",SCAN!Q1120="-"),SCAN!F1120,0)</f>
        <v>0</v>
      </c>
      <c r="M1120" s="55">
        <f>IF(SCAN!K1120&lt;&gt;"-",SCAN!D1120,0)</f>
        <v>0</v>
      </c>
      <c r="N1120" s="55">
        <f>IF(SCAN!K1120&lt;&gt;"-",SCAN!E1120,0)</f>
        <v>0</v>
      </c>
      <c r="O1120" s="55">
        <f>IF(SCAN!K1120&lt;&gt;"-",SCAN!F1120,0)</f>
        <v>0</v>
      </c>
      <c r="R1120" s="53">
        <f>IF(SCAN!Q1120&lt;&gt;"-",SCAN!D1120,0)</f>
        <v>0</v>
      </c>
      <c r="S1120" s="53">
        <f>IF(SCAN!Q1120&lt;&gt;"-",SCAN!E1120,0)</f>
        <v>0</v>
      </c>
      <c r="T1120" s="53">
        <f>IF(SCAN!Q1120&lt;&gt;"-",SCAN!F1120,0)</f>
        <v>0</v>
      </c>
    </row>
    <row r="1121" spans="8:20" x14ac:dyDescent="0.25">
      <c r="H1121" s="50">
        <f>IF(AND(SCAN!K1121="-",SCAN!Q1121="-"),SCAN!D1121,0)</f>
        <v>0</v>
      </c>
      <c r="I1121" s="50">
        <f>IF(AND(SCAN!K1121="-",SCAN!Q1121="-"),SCAN!E1121,0)</f>
        <v>0</v>
      </c>
      <c r="J1121" s="50">
        <f>IF(AND(SCAN!K1121="-",SCAN!Q1121="-"),SCAN!F1121,0)</f>
        <v>0</v>
      </c>
      <c r="M1121" s="55">
        <f>IF(SCAN!K1121&lt;&gt;"-",SCAN!D1121,0)</f>
        <v>0</v>
      </c>
      <c r="N1121" s="55">
        <f>IF(SCAN!K1121&lt;&gt;"-",SCAN!E1121,0)</f>
        <v>0</v>
      </c>
      <c r="O1121" s="55">
        <f>IF(SCAN!K1121&lt;&gt;"-",SCAN!F1121,0)</f>
        <v>0</v>
      </c>
      <c r="R1121" s="53">
        <f>IF(SCAN!Q1121&lt;&gt;"-",SCAN!D1121,0)</f>
        <v>0</v>
      </c>
      <c r="S1121" s="53">
        <f>IF(SCAN!Q1121&lt;&gt;"-",SCAN!E1121,0)</f>
        <v>0</v>
      </c>
      <c r="T1121" s="53">
        <f>IF(SCAN!Q1121&lt;&gt;"-",SCAN!F1121,0)</f>
        <v>0</v>
      </c>
    </row>
    <row r="1122" spans="8:20" x14ac:dyDescent="0.25">
      <c r="H1122" s="50">
        <f>IF(AND(SCAN!K1122="-",SCAN!Q1122="-"),SCAN!D1122,0)</f>
        <v>0</v>
      </c>
      <c r="I1122" s="50">
        <f>IF(AND(SCAN!K1122="-",SCAN!Q1122="-"),SCAN!E1122,0)</f>
        <v>0</v>
      </c>
      <c r="J1122" s="50">
        <f>IF(AND(SCAN!K1122="-",SCAN!Q1122="-"),SCAN!F1122,0)</f>
        <v>0</v>
      </c>
      <c r="M1122" s="55">
        <f>IF(SCAN!K1122&lt;&gt;"-",SCAN!D1122,0)</f>
        <v>0</v>
      </c>
      <c r="N1122" s="55">
        <f>IF(SCAN!K1122&lt;&gt;"-",SCAN!E1122,0)</f>
        <v>0</v>
      </c>
      <c r="O1122" s="55">
        <f>IF(SCAN!K1122&lt;&gt;"-",SCAN!F1122,0)</f>
        <v>0</v>
      </c>
      <c r="R1122" s="53">
        <f>IF(SCAN!Q1122&lt;&gt;"-",SCAN!D1122,0)</f>
        <v>0</v>
      </c>
      <c r="S1122" s="53">
        <f>IF(SCAN!Q1122&lt;&gt;"-",SCAN!E1122,0)</f>
        <v>0</v>
      </c>
      <c r="T1122" s="53">
        <f>IF(SCAN!Q1122&lt;&gt;"-",SCAN!F1122,0)</f>
        <v>0</v>
      </c>
    </row>
    <row r="1123" spans="8:20" x14ac:dyDescent="0.25">
      <c r="H1123" s="50">
        <f>IF(AND(SCAN!K1123="-",SCAN!Q1123="-"),SCAN!D1123,0)</f>
        <v>0</v>
      </c>
      <c r="I1123" s="50">
        <f>IF(AND(SCAN!K1123="-",SCAN!Q1123="-"),SCAN!E1123,0)</f>
        <v>0</v>
      </c>
      <c r="J1123" s="50">
        <f>IF(AND(SCAN!K1123="-",SCAN!Q1123="-"),SCAN!F1123,0)</f>
        <v>0</v>
      </c>
      <c r="M1123" s="55">
        <f>IF(SCAN!K1123&lt;&gt;"-",SCAN!D1123,0)</f>
        <v>0</v>
      </c>
      <c r="N1123" s="55">
        <f>IF(SCAN!K1123&lt;&gt;"-",SCAN!E1123,0)</f>
        <v>0</v>
      </c>
      <c r="O1123" s="55">
        <f>IF(SCAN!K1123&lt;&gt;"-",SCAN!F1123,0)</f>
        <v>0</v>
      </c>
      <c r="R1123" s="53">
        <f>IF(SCAN!Q1123&lt;&gt;"-",SCAN!D1123,0)</f>
        <v>0</v>
      </c>
      <c r="S1123" s="53">
        <f>IF(SCAN!Q1123&lt;&gt;"-",SCAN!E1123,0)</f>
        <v>0</v>
      </c>
      <c r="T1123" s="53">
        <f>IF(SCAN!Q1123&lt;&gt;"-",SCAN!F1123,0)</f>
        <v>0</v>
      </c>
    </row>
    <row r="1124" spans="8:20" x14ac:dyDescent="0.25">
      <c r="H1124" s="50">
        <f>IF(AND(SCAN!K1124="-",SCAN!Q1124="-"),SCAN!D1124,0)</f>
        <v>0</v>
      </c>
      <c r="I1124" s="50">
        <f>IF(AND(SCAN!K1124="-",SCAN!Q1124="-"),SCAN!E1124,0)</f>
        <v>0</v>
      </c>
      <c r="J1124" s="50">
        <f>IF(AND(SCAN!K1124="-",SCAN!Q1124="-"),SCAN!F1124,0)</f>
        <v>0</v>
      </c>
      <c r="M1124" s="55">
        <f>IF(SCAN!K1124&lt;&gt;"-",SCAN!D1124,0)</f>
        <v>0</v>
      </c>
      <c r="N1124" s="55">
        <f>IF(SCAN!K1124&lt;&gt;"-",SCAN!E1124,0)</f>
        <v>0</v>
      </c>
      <c r="O1124" s="55">
        <f>IF(SCAN!K1124&lt;&gt;"-",SCAN!F1124,0)</f>
        <v>0</v>
      </c>
      <c r="R1124" s="53">
        <f>IF(SCAN!Q1124&lt;&gt;"-",SCAN!D1124,0)</f>
        <v>0</v>
      </c>
      <c r="S1124" s="53">
        <f>IF(SCAN!Q1124&lt;&gt;"-",SCAN!E1124,0)</f>
        <v>0</v>
      </c>
      <c r="T1124" s="53">
        <f>IF(SCAN!Q1124&lt;&gt;"-",SCAN!F1124,0)</f>
        <v>0</v>
      </c>
    </row>
    <row r="1125" spans="8:20" x14ac:dyDescent="0.25">
      <c r="H1125" s="50">
        <f>IF(AND(SCAN!K1125="-",SCAN!Q1125="-"),SCAN!D1125,0)</f>
        <v>0</v>
      </c>
      <c r="I1125" s="50">
        <f>IF(AND(SCAN!K1125="-",SCAN!Q1125="-"),SCAN!E1125,0)</f>
        <v>0</v>
      </c>
      <c r="J1125" s="50">
        <f>IF(AND(SCAN!K1125="-",SCAN!Q1125="-"),SCAN!F1125,0)</f>
        <v>0</v>
      </c>
      <c r="M1125" s="55">
        <f>IF(SCAN!K1125&lt;&gt;"-",SCAN!D1125,0)</f>
        <v>0</v>
      </c>
      <c r="N1125" s="55">
        <f>IF(SCAN!K1125&lt;&gt;"-",SCAN!E1125,0)</f>
        <v>0</v>
      </c>
      <c r="O1125" s="55">
        <f>IF(SCAN!K1125&lt;&gt;"-",SCAN!F1125,0)</f>
        <v>0</v>
      </c>
      <c r="R1125" s="53">
        <f>IF(SCAN!Q1125&lt;&gt;"-",SCAN!D1125,0)</f>
        <v>0</v>
      </c>
      <c r="S1125" s="53">
        <f>IF(SCAN!Q1125&lt;&gt;"-",SCAN!E1125,0)</f>
        <v>0</v>
      </c>
      <c r="T1125" s="53">
        <f>IF(SCAN!Q1125&lt;&gt;"-",SCAN!F1125,0)</f>
        <v>0</v>
      </c>
    </row>
    <row r="1126" spans="8:20" x14ac:dyDescent="0.25">
      <c r="H1126" s="50">
        <f>IF(AND(SCAN!K1126="-",SCAN!Q1126="-"),SCAN!D1126,0)</f>
        <v>0</v>
      </c>
      <c r="I1126" s="50">
        <f>IF(AND(SCAN!K1126="-",SCAN!Q1126="-"),SCAN!E1126,0)</f>
        <v>0</v>
      </c>
      <c r="J1126" s="50">
        <f>IF(AND(SCAN!K1126="-",SCAN!Q1126="-"),SCAN!F1126,0)</f>
        <v>0</v>
      </c>
      <c r="M1126" s="55">
        <f>IF(SCAN!K1126&lt;&gt;"-",SCAN!D1126,0)</f>
        <v>0</v>
      </c>
      <c r="N1126" s="55">
        <f>IF(SCAN!K1126&lt;&gt;"-",SCAN!E1126,0)</f>
        <v>0</v>
      </c>
      <c r="O1126" s="55">
        <f>IF(SCAN!K1126&lt;&gt;"-",SCAN!F1126,0)</f>
        <v>0</v>
      </c>
      <c r="R1126" s="53">
        <f>IF(SCAN!Q1126&lt;&gt;"-",SCAN!D1126,0)</f>
        <v>0</v>
      </c>
      <c r="S1126" s="53">
        <f>IF(SCAN!Q1126&lt;&gt;"-",SCAN!E1126,0)</f>
        <v>0</v>
      </c>
      <c r="T1126" s="53">
        <f>IF(SCAN!Q1126&lt;&gt;"-",SCAN!F1126,0)</f>
        <v>0</v>
      </c>
    </row>
    <row r="1127" spans="8:20" x14ac:dyDescent="0.25">
      <c r="H1127" s="50">
        <f>IF(AND(SCAN!K1127="-",SCAN!Q1127="-"),SCAN!D1127,0)</f>
        <v>0</v>
      </c>
      <c r="I1127" s="50">
        <f>IF(AND(SCAN!K1127="-",SCAN!Q1127="-"),SCAN!E1127,0)</f>
        <v>0</v>
      </c>
      <c r="J1127" s="50">
        <f>IF(AND(SCAN!K1127="-",SCAN!Q1127="-"),SCAN!F1127,0)</f>
        <v>0</v>
      </c>
      <c r="M1127" s="55">
        <f>IF(SCAN!K1127&lt;&gt;"-",SCAN!D1127,0)</f>
        <v>0</v>
      </c>
      <c r="N1127" s="55">
        <f>IF(SCAN!K1127&lt;&gt;"-",SCAN!E1127,0)</f>
        <v>0</v>
      </c>
      <c r="O1127" s="55">
        <f>IF(SCAN!K1127&lt;&gt;"-",SCAN!F1127,0)</f>
        <v>0</v>
      </c>
      <c r="R1127" s="53">
        <f>IF(SCAN!Q1127&lt;&gt;"-",SCAN!D1127,0)</f>
        <v>0</v>
      </c>
      <c r="S1127" s="53">
        <f>IF(SCAN!Q1127&lt;&gt;"-",SCAN!E1127,0)</f>
        <v>0</v>
      </c>
      <c r="T1127" s="53">
        <f>IF(SCAN!Q1127&lt;&gt;"-",SCAN!F1127,0)</f>
        <v>0</v>
      </c>
    </row>
    <row r="1128" spans="8:20" x14ac:dyDescent="0.25">
      <c r="H1128" s="50">
        <f>IF(AND(SCAN!K1128="-",SCAN!Q1128="-"),SCAN!D1128,0)</f>
        <v>0</v>
      </c>
      <c r="I1128" s="50">
        <f>IF(AND(SCAN!K1128="-",SCAN!Q1128="-"),SCAN!E1128,0)</f>
        <v>0</v>
      </c>
      <c r="J1128" s="50">
        <f>IF(AND(SCAN!K1128="-",SCAN!Q1128="-"),SCAN!F1128,0)</f>
        <v>0</v>
      </c>
      <c r="M1128" s="55">
        <f>IF(SCAN!K1128&lt;&gt;"-",SCAN!D1128,0)</f>
        <v>0</v>
      </c>
      <c r="N1128" s="55">
        <f>IF(SCAN!K1128&lt;&gt;"-",SCAN!E1128,0)</f>
        <v>0</v>
      </c>
      <c r="O1128" s="55">
        <f>IF(SCAN!K1128&lt;&gt;"-",SCAN!F1128,0)</f>
        <v>0</v>
      </c>
      <c r="R1128" s="53">
        <f>IF(SCAN!Q1128&lt;&gt;"-",SCAN!D1128,0)</f>
        <v>0</v>
      </c>
      <c r="S1128" s="53">
        <f>IF(SCAN!Q1128&lt;&gt;"-",SCAN!E1128,0)</f>
        <v>0</v>
      </c>
      <c r="T1128" s="53">
        <f>IF(SCAN!Q1128&lt;&gt;"-",SCAN!F1128,0)</f>
        <v>0</v>
      </c>
    </row>
    <row r="1129" spans="8:20" x14ac:dyDescent="0.25">
      <c r="H1129" s="50">
        <f>IF(AND(SCAN!K1129="-",SCAN!Q1129="-"),SCAN!D1129,0)</f>
        <v>0</v>
      </c>
      <c r="I1129" s="50">
        <f>IF(AND(SCAN!K1129="-",SCAN!Q1129="-"),SCAN!E1129,0)</f>
        <v>0</v>
      </c>
      <c r="J1129" s="50">
        <f>IF(AND(SCAN!K1129="-",SCAN!Q1129="-"),SCAN!F1129,0)</f>
        <v>0</v>
      </c>
      <c r="M1129" s="55">
        <f>IF(SCAN!K1129&lt;&gt;"-",SCAN!D1129,0)</f>
        <v>0</v>
      </c>
      <c r="N1129" s="55">
        <f>IF(SCAN!K1129&lt;&gt;"-",SCAN!E1129,0)</f>
        <v>0</v>
      </c>
      <c r="O1129" s="55">
        <f>IF(SCAN!K1129&lt;&gt;"-",SCAN!F1129,0)</f>
        <v>0</v>
      </c>
      <c r="R1129" s="53">
        <f>IF(SCAN!Q1129&lt;&gt;"-",SCAN!D1129,0)</f>
        <v>0</v>
      </c>
      <c r="S1129" s="53">
        <f>IF(SCAN!Q1129&lt;&gt;"-",SCAN!E1129,0)</f>
        <v>0</v>
      </c>
      <c r="T1129" s="53">
        <f>IF(SCAN!Q1129&lt;&gt;"-",SCAN!F1129,0)</f>
        <v>0</v>
      </c>
    </row>
    <row r="1130" spans="8:20" x14ac:dyDescent="0.25">
      <c r="H1130" s="50">
        <f>IF(AND(SCAN!K1130="-",SCAN!Q1130="-"),SCAN!D1130,0)</f>
        <v>0</v>
      </c>
      <c r="I1130" s="50">
        <f>IF(AND(SCAN!K1130="-",SCAN!Q1130="-"),SCAN!E1130,0)</f>
        <v>0</v>
      </c>
      <c r="J1130" s="50">
        <f>IF(AND(SCAN!K1130="-",SCAN!Q1130="-"),SCAN!F1130,0)</f>
        <v>0</v>
      </c>
      <c r="M1130" s="55">
        <f>IF(SCAN!K1130&lt;&gt;"-",SCAN!D1130,0)</f>
        <v>0</v>
      </c>
      <c r="N1130" s="55">
        <f>IF(SCAN!K1130&lt;&gt;"-",SCAN!E1130,0)</f>
        <v>0</v>
      </c>
      <c r="O1130" s="55">
        <f>IF(SCAN!K1130&lt;&gt;"-",SCAN!F1130,0)</f>
        <v>0</v>
      </c>
      <c r="R1130" s="53">
        <f>IF(SCAN!Q1130&lt;&gt;"-",SCAN!D1130,0)</f>
        <v>0</v>
      </c>
      <c r="S1130" s="53">
        <f>IF(SCAN!Q1130&lt;&gt;"-",SCAN!E1130,0)</f>
        <v>0</v>
      </c>
      <c r="T1130" s="53">
        <f>IF(SCAN!Q1130&lt;&gt;"-",SCAN!F1130,0)</f>
        <v>0</v>
      </c>
    </row>
    <row r="1131" spans="8:20" x14ac:dyDescent="0.25">
      <c r="H1131" s="50">
        <f>IF(AND(SCAN!K1131="-",SCAN!Q1131="-"),SCAN!D1131,0)</f>
        <v>0</v>
      </c>
      <c r="I1131" s="50">
        <f>IF(AND(SCAN!K1131="-",SCAN!Q1131="-"),SCAN!E1131,0)</f>
        <v>0</v>
      </c>
      <c r="J1131" s="50">
        <f>IF(AND(SCAN!K1131="-",SCAN!Q1131="-"),SCAN!F1131,0)</f>
        <v>0</v>
      </c>
      <c r="M1131" s="55">
        <f>IF(SCAN!K1131&lt;&gt;"-",SCAN!D1131,0)</f>
        <v>0</v>
      </c>
      <c r="N1131" s="55">
        <f>IF(SCAN!K1131&lt;&gt;"-",SCAN!E1131,0)</f>
        <v>0</v>
      </c>
      <c r="O1131" s="55">
        <f>IF(SCAN!K1131&lt;&gt;"-",SCAN!F1131,0)</f>
        <v>0</v>
      </c>
      <c r="R1131" s="53">
        <f>IF(SCAN!Q1131&lt;&gt;"-",SCAN!D1131,0)</f>
        <v>0</v>
      </c>
      <c r="S1131" s="53">
        <f>IF(SCAN!Q1131&lt;&gt;"-",SCAN!E1131,0)</f>
        <v>0</v>
      </c>
      <c r="T1131" s="53">
        <f>IF(SCAN!Q1131&lt;&gt;"-",SCAN!F1131,0)</f>
        <v>0</v>
      </c>
    </row>
    <row r="1132" spans="8:20" x14ac:dyDescent="0.25">
      <c r="H1132" s="50">
        <f>IF(AND(SCAN!K1132="-",SCAN!Q1132="-"),SCAN!D1132,0)</f>
        <v>0</v>
      </c>
      <c r="I1132" s="50">
        <f>IF(AND(SCAN!K1132="-",SCAN!Q1132="-"),SCAN!E1132,0)</f>
        <v>0</v>
      </c>
      <c r="J1132" s="50">
        <f>IF(AND(SCAN!K1132="-",SCAN!Q1132="-"),SCAN!F1132,0)</f>
        <v>0</v>
      </c>
      <c r="M1132" s="55">
        <f>IF(SCAN!K1132&lt;&gt;"-",SCAN!D1132,0)</f>
        <v>0</v>
      </c>
      <c r="N1132" s="55">
        <f>IF(SCAN!K1132&lt;&gt;"-",SCAN!E1132,0)</f>
        <v>0</v>
      </c>
      <c r="O1132" s="55">
        <f>IF(SCAN!K1132&lt;&gt;"-",SCAN!F1132,0)</f>
        <v>0</v>
      </c>
      <c r="R1132" s="53">
        <f>IF(SCAN!Q1132&lt;&gt;"-",SCAN!D1132,0)</f>
        <v>0</v>
      </c>
      <c r="S1132" s="53">
        <f>IF(SCAN!Q1132&lt;&gt;"-",SCAN!E1132,0)</f>
        <v>0</v>
      </c>
      <c r="T1132" s="53">
        <f>IF(SCAN!Q1132&lt;&gt;"-",SCAN!F1132,0)</f>
        <v>0</v>
      </c>
    </row>
    <row r="1133" spans="8:20" x14ac:dyDescent="0.25">
      <c r="H1133" s="50">
        <f>IF(AND(SCAN!K1133="-",SCAN!Q1133="-"),SCAN!D1133,0)</f>
        <v>0</v>
      </c>
      <c r="I1133" s="50">
        <f>IF(AND(SCAN!K1133="-",SCAN!Q1133="-"),SCAN!E1133,0)</f>
        <v>0</v>
      </c>
      <c r="J1133" s="50">
        <f>IF(AND(SCAN!K1133="-",SCAN!Q1133="-"),SCAN!F1133,0)</f>
        <v>0</v>
      </c>
      <c r="M1133" s="55">
        <f>IF(SCAN!K1133&lt;&gt;"-",SCAN!D1133,0)</f>
        <v>0</v>
      </c>
      <c r="N1133" s="55">
        <f>IF(SCAN!K1133&lt;&gt;"-",SCAN!E1133,0)</f>
        <v>0</v>
      </c>
      <c r="O1133" s="55">
        <f>IF(SCAN!K1133&lt;&gt;"-",SCAN!F1133,0)</f>
        <v>0</v>
      </c>
      <c r="R1133" s="53">
        <f>IF(SCAN!Q1133&lt;&gt;"-",SCAN!D1133,0)</f>
        <v>0</v>
      </c>
      <c r="S1133" s="53">
        <f>IF(SCAN!Q1133&lt;&gt;"-",SCAN!E1133,0)</f>
        <v>0</v>
      </c>
      <c r="T1133" s="53">
        <f>IF(SCAN!Q1133&lt;&gt;"-",SCAN!F1133,0)</f>
        <v>0</v>
      </c>
    </row>
    <row r="1134" spans="8:20" x14ac:dyDescent="0.25">
      <c r="H1134" s="50">
        <f>IF(AND(SCAN!K1134="-",SCAN!Q1134="-"),SCAN!D1134,0)</f>
        <v>0</v>
      </c>
      <c r="I1134" s="50">
        <f>IF(AND(SCAN!K1134="-",SCAN!Q1134="-"),SCAN!E1134,0)</f>
        <v>0</v>
      </c>
      <c r="J1134" s="50">
        <f>IF(AND(SCAN!K1134="-",SCAN!Q1134="-"),SCAN!F1134,0)</f>
        <v>0</v>
      </c>
      <c r="M1134" s="55">
        <f>IF(SCAN!K1134&lt;&gt;"-",SCAN!D1134,0)</f>
        <v>0</v>
      </c>
      <c r="N1134" s="55">
        <f>IF(SCAN!K1134&lt;&gt;"-",SCAN!E1134,0)</f>
        <v>0</v>
      </c>
      <c r="O1134" s="55">
        <f>IF(SCAN!K1134&lt;&gt;"-",SCAN!F1134,0)</f>
        <v>0</v>
      </c>
      <c r="R1134" s="53">
        <f>IF(SCAN!Q1134&lt;&gt;"-",SCAN!D1134,0)</f>
        <v>0</v>
      </c>
      <c r="S1134" s="53">
        <f>IF(SCAN!Q1134&lt;&gt;"-",SCAN!E1134,0)</f>
        <v>0</v>
      </c>
      <c r="T1134" s="53">
        <f>IF(SCAN!Q1134&lt;&gt;"-",SCAN!F1134,0)</f>
        <v>0</v>
      </c>
    </row>
    <row r="1135" spans="8:20" x14ac:dyDescent="0.25">
      <c r="H1135" s="50">
        <f>IF(AND(SCAN!K1135="-",SCAN!Q1135="-"),SCAN!D1135,0)</f>
        <v>0</v>
      </c>
      <c r="I1135" s="50">
        <f>IF(AND(SCAN!K1135="-",SCAN!Q1135="-"),SCAN!E1135,0)</f>
        <v>0</v>
      </c>
      <c r="J1135" s="50">
        <f>IF(AND(SCAN!K1135="-",SCAN!Q1135="-"),SCAN!F1135,0)</f>
        <v>0</v>
      </c>
      <c r="M1135" s="55">
        <f>IF(SCAN!K1135&lt;&gt;"-",SCAN!D1135,0)</f>
        <v>0</v>
      </c>
      <c r="N1135" s="55">
        <f>IF(SCAN!K1135&lt;&gt;"-",SCAN!E1135,0)</f>
        <v>0</v>
      </c>
      <c r="O1135" s="55">
        <f>IF(SCAN!K1135&lt;&gt;"-",SCAN!F1135,0)</f>
        <v>0</v>
      </c>
      <c r="R1135" s="53">
        <f>IF(SCAN!Q1135&lt;&gt;"-",SCAN!D1135,0)</f>
        <v>0</v>
      </c>
      <c r="S1135" s="53">
        <f>IF(SCAN!Q1135&lt;&gt;"-",SCAN!E1135,0)</f>
        <v>0</v>
      </c>
      <c r="T1135" s="53">
        <f>IF(SCAN!Q1135&lt;&gt;"-",SCAN!F1135,0)</f>
        <v>0</v>
      </c>
    </row>
    <row r="1136" spans="8:20" x14ac:dyDescent="0.25">
      <c r="H1136" s="50">
        <f>IF(AND(SCAN!K1136="-",SCAN!Q1136="-"),SCAN!D1136,0)</f>
        <v>0</v>
      </c>
      <c r="I1136" s="50">
        <f>IF(AND(SCAN!K1136="-",SCAN!Q1136="-"),SCAN!E1136,0)</f>
        <v>0</v>
      </c>
      <c r="J1136" s="50">
        <f>IF(AND(SCAN!K1136="-",SCAN!Q1136="-"),SCAN!F1136,0)</f>
        <v>0</v>
      </c>
      <c r="M1136" s="55">
        <f>IF(SCAN!K1136&lt;&gt;"-",SCAN!D1136,0)</f>
        <v>0</v>
      </c>
      <c r="N1136" s="55">
        <f>IF(SCAN!K1136&lt;&gt;"-",SCAN!E1136,0)</f>
        <v>0</v>
      </c>
      <c r="O1136" s="55">
        <f>IF(SCAN!K1136&lt;&gt;"-",SCAN!F1136,0)</f>
        <v>0</v>
      </c>
      <c r="R1136" s="53">
        <f>IF(SCAN!Q1136&lt;&gt;"-",SCAN!D1136,0)</f>
        <v>0</v>
      </c>
      <c r="S1136" s="53">
        <f>IF(SCAN!Q1136&lt;&gt;"-",SCAN!E1136,0)</f>
        <v>0</v>
      </c>
      <c r="T1136" s="53">
        <f>IF(SCAN!Q1136&lt;&gt;"-",SCAN!F1136,0)</f>
        <v>0</v>
      </c>
    </row>
    <row r="1137" spans="8:20" x14ac:dyDescent="0.25">
      <c r="H1137" s="50">
        <f>IF(AND(SCAN!K1137="-",SCAN!Q1137="-"),SCAN!D1137,0)</f>
        <v>0</v>
      </c>
      <c r="I1137" s="50">
        <f>IF(AND(SCAN!K1137="-",SCAN!Q1137="-"),SCAN!E1137,0)</f>
        <v>0</v>
      </c>
      <c r="J1137" s="50">
        <f>IF(AND(SCAN!K1137="-",SCAN!Q1137="-"),SCAN!F1137,0)</f>
        <v>0</v>
      </c>
      <c r="M1137" s="55">
        <f>IF(SCAN!K1137&lt;&gt;"-",SCAN!D1137,0)</f>
        <v>0</v>
      </c>
      <c r="N1137" s="55">
        <f>IF(SCAN!K1137&lt;&gt;"-",SCAN!E1137,0)</f>
        <v>0</v>
      </c>
      <c r="O1137" s="55">
        <f>IF(SCAN!K1137&lt;&gt;"-",SCAN!F1137,0)</f>
        <v>0</v>
      </c>
      <c r="R1137" s="53">
        <f>IF(SCAN!Q1137&lt;&gt;"-",SCAN!D1137,0)</f>
        <v>0</v>
      </c>
      <c r="S1137" s="53">
        <f>IF(SCAN!Q1137&lt;&gt;"-",SCAN!E1137,0)</f>
        <v>0</v>
      </c>
      <c r="T1137" s="53">
        <f>IF(SCAN!Q1137&lt;&gt;"-",SCAN!F1137,0)</f>
        <v>0</v>
      </c>
    </row>
    <row r="1138" spans="8:20" x14ac:dyDescent="0.25">
      <c r="H1138" s="50">
        <f>IF(AND(SCAN!K1138="-",SCAN!Q1138="-"),SCAN!D1138,0)</f>
        <v>0</v>
      </c>
      <c r="I1138" s="50">
        <f>IF(AND(SCAN!K1138="-",SCAN!Q1138="-"),SCAN!E1138,0)</f>
        <v>0</v>
      </c>
      <c r="J1138" s="50">
        <f>IF(AND(SCAN!K1138="-",SCAN!Q1138="-"),SCAN!F1138,0)</f>
        <v>0</v>
      </c>
      <c r="M1138" s="55">
        <f>IF(SCAN!K1138&lt;&gt;"-",SCAN!D1138,0)</f>
        <v>0</v>
      </c>
      <c r="N1138" s="55">
        <f>IF(SCAN!K1138&lt;&gt;"-",SCAN!E1138,0)</f>
        <v>0</v>
      </c>
      <c r="O1138" s="55">
        <f>IF(SCAN!K1138&lt;&gt;"-",SCAN!F1138,0)</f>
        <v>0</v>
      </c>
      <c r="R1138" s="53">
        <f>IF(SCAN!Q1138&lt;&gt;"-",SCAN!D1138,0)</f>
        <v>0</v>
      </c>
      <c r="S1138" s="53">
        <f>IF(SCAN!Q1138&lt;&gt;"-",SCAN!E1138,0)</f>
        <v>0</v>
      </c>
      <c r="T1138" s="53">
        <f>IF(SCAN!Q1138&lt;&gt;"-",SCAN!F1138,0)</f>
        <v>0</v>
      </c>
    </row>
    <row r="1139" spans="8:20" x14ac:dyDescent="0.25">
      <c r="H1139" s="50">
        <f>IF(AND(SCAN!K1139="-",SCAN!Q1139="-"),SCAN!D1139,0)</f>
        <v>0</v>
      </c>
      <c r="I1139" s="50">
        <f>IF(AND(SCAN!K1139="-",SCAN!Q1139="-"),SCAN!E1139,0)</f>
        <v>0</v>
      </c>
      <c r="J1139" s="50">
        <f>IF(AND(SCAN!K1139="-",SCAN!Q1139="-"),SCAN!F1139,0)</f>
        <v>0</v>
      </c>
      <c r="M1139" s="55">
        <f>IF(SCAN!K1139&lt;&gt;"-",SCAN!D1139,0)</f>
        <v>0</v>
      </c>
      <c r="N1139" s="55">
        <f>IF(SCAN!K1139&lt;&gt;"-",SCAN!E1139,0)</f>
        <v>0</v>
      </c>
      <c r="O1139" s="55">
        <f>IF(SCAN!K1139&lt;&gt;"-",SCAN!F1139,0)</f>
        <v>0</v>
      </c>
      <c r="R1139" s="53">
        <f>IF(SCAN!Q1139&lt;&gt;"-",SCAN!D1139,0)</f>
        <v>0</v>
      </c>
      <c r="S1139" s="53">
        <f>IF(SCAN!Q1139&lt;&gt;"-",SCAN!E1139,0)</f>
        <v>0</v>
      </c>
      <c r="T1139" s="53">
        <f>IF(SCAN!Q1139&lt;&gt;"-",SCAN!F1139,0)</f>
        <v>0</v>
      </c>
    </row>
    <row r="1140" spans="8:20" x14ac:dyDescent="0.25">
      <c r="H1140" s="50">
        <f>IF(AND(SCAN!K1140="-",SCAN!Q1140="-"),SCAN!D1140,0)</f>
        <v>0</v>
      </c>
      <c r="I1140" s="50">
        <f>IF(AND(SCAN!K1140="-",SCAN!Q1140="-"),SCAN!E1140,0)</f>
        <v>0</v>
      </c>
      <c r="J1140" s="50">
        <f>IF(AND(SCAN!K1140="-",SCAN!Q1140="-"),SCAN!F1140,0)</f>
        <v>0</v>
      </c>
      <c r="M1140" s="55">
        <f>IF(SCAN!K1140&lt;&gt;"-",SCAN!D1140,0)</f>
        <v>0</v>
      </c>
      <c r="N1140" s="55">
        <f>IF(SCAN!K1140&lt;&gt;"-",SCAN!E1140,0)</f>
        <v>0</v>
      </c>
      <c r="O1140" s="55">
        <f>IF(SCAN!K1140&lt;&gt;"-",SCAN!F1140,0)</f>
        <v>0</v>
      </c>
      <c r="R1140" s="53">
        <f>IF(SCAN!Q1140&lt;&gt;"-",SCAN!D1140,0)</f>
        <v>0</v>
      </c>
      <c r="S1140" s="53">
        <f>IF(SCAN!Q1140&lt;&gt;"-",SCAN!E1140,0)</f>
        <v>0</v>
      </c>
      <c r="T1140" s="53">
        <f>IF(SCAN!Q1140&lt;&gt;"-",SCAN!F1140,0)</f>
        <v>0</v>
      </c>
    </row>
    <row r="1141" spans="8:20" x14ac:dyDescent="0.25">
      <c r="H1141" s="50">
        <f>IF(AND(SCAN!K1141="-",SCAN!Q1141="-"),SCAN!D1141,0)</f>
        <v>0</v>
      </c>
      <c r="I1141" s="50">
        <f>IF(AND(SCAN!K1141="-",SCAN!Q1141="-"),SCAN!E1141,0)</f>
        <v>0</v>
      </c>
      <c r="J1141" s="50">
        <f>IF(AND(SCAN!K1141="-",SCAN!Q1141="-"),SCAN!F1141,0)</f>
        <v>0</v>
      </c>
      <c r="M1141" s="55">
        <f>IF(SCAN!K1141&lt;&gt;"-",SCAN!D1141,0)</f>
        <v>0</v>
      </c>
      <c r="N1141" s="55">
        <f>IF(SCAN!K1141&lt;&gt;"-",SCAN!E1141,0)</f>
        <v>0</v>
      </c>
      <c r="O1141" s="55">
        <f>IF(SCAN!K1141&lt;&gt;"-",SCAN!F1141,0)</f>
        <v>0</v>
      </c>
      <c r="R1141" s="53">
        <f>IF(SCAN!Q1141&lt;&gt;"-",SCAN!D1141,0)</f>
        <v>0</v>
      </c>
      <c r="S1141" s="53">
        <f>IF(SCAN!Q1141&lt;&gt;"-",SCAN!E1141,0)</f>
        <v>0</v>
      </c>
      <c r="T1141" s="53">
        <f>IF(SCAN!Q1141&lt;&gt;"-",SCAN!F1141,0)</f>
        <v>0</v>
      </c>
    </row>
    <row r="1142" spans="8:20" x14ac:dyDescent="0.25">
      <c r="H1142" s="50">
        <f>IF(AND(SCAN!K1142="-",SCAN!Q1142="-"),SCAN!D1142,0)</f>
        <v>0</v>
      </c>
      <c r="I1142" s="50">
        <f>IF(AND(SCAN!K1142="-",SCAN!Q1142="-"),SCAN!E1142,0)</f>
        <v>0</v>
      </c>
      <c r="J1142" s="50">
        <f>IF(AND(SCAN!K1142="-",SCAN!Q1142="-"),SCAN!F1142,0)</f>
        <v>0</v>
      </c>
      <c r="M1142" s="55">
        <f>IF(SCAN!K1142&lt;&gt;"-",SCAN!D1142,0)</f>
        <v>0</v>
      </c>
      <c r="N1142" s="55">
        <f>IF(SCAN!K1142&lt;&gt;"-",SCAN!E1142,0)</f>
        <v>0</v>
      </c>
      <c r="O1142" s="55">
        <f>IF(SCAN!K1142&lt;&gt;"-",SCAN!F1142,0)</f>
        <v>0</v>
      </c>
      <c r="R1142" s="53">
        <f>IF(SCAN!Q1142&lt;&gt;"-",SCAN!D1142,0)</f>
        <v>0</v>
      </c>
      <c r="S1142" s="53">
        <f>IF(SCAN!Q1142&lt;&gt;"-",SCAN!E1142,0)</f>
        <v>0</v>
      </c>
      <c r="T1142" s="53">
        <f>IF(SCAN!Q1142&lt;&gt;"-",SCAN!F1142,0)</f>
        <v>0</v>
      </c>
    </row>
    <row r="1143" spans="8:20" x14ac:dyDescent="0.25">
      <c r="H1143" s="50">
        <f>IF(AND(SCAN!K1143="-",SCAN!Q1143="-"),SCAN!D1143,0)</f>
        <v>0</v>
      </c>
      <c r="I1143" s="50">
        <f>IF(AND(SCAN!K1143="-",SCAN!Q1143="-"),SCAN!E1143,0)</f>
        <v>0</v>
      </c>
      <c r="J1143" s="50">
        <f>IF(AND(SCAN!K1143="-",SCAN!Q1143="-"),SCAN!F1143,0)</f>
        <v>0</v>
      </c>
      <c r="M1143" s="55">
        <f>IF(SCAN!K1143&lt;&gt;"-",SCAN!D1143,0)</f>
        <v>0</v>
      </c>
      <c r="N1143" s="55">
        <f>IF(SCAN!K1143&lt;&gt;"-",SCAN!E1143,0)</f>
        <v>0</v>
      </c>
      <c r="O1143" s="55">
        <f>IF(SCAN!K1143&lt;&gt;"-",SCAN!F1143,0)</f>
        <v>0</v>
      </c>
      <c r="R1143" s="53">
        <f>IF(SCAN!Q1143&lt;&gt;"-",SCAN!D1143,0)</f>
        <v>0</v>
      </c>
      <c r="S1143" s="53">
        <f>IF(SCAN!Q1143&lt;&gt;"-",SCAN!E1143,0)</f>
        <v>0</v>
      </c>
      <c r="T1143" s="53">
        <f>IF(SCAN!Q1143&lt;&gt;"-",SCAN!F1143,0)</f>
        <v>0</v>
      </c>
    </row>
    <row r="1144" spans="8:20" x14ac:dyDescent="0.25">
      <c r="H1144" s="50">
        <f>IF(AND(SCAN!K1144="-",SCAN!Q1144="-"),SCAN!D1144,0)</f>
        <v>0</v>
      </c>
      <c r="I1144" s="50">
        <f>IF(AND(SCAN!K1144="-",SCAN!Q1144="-"),SCAN!E1144,0)</f>
        <v>0</v>
      </c>
      <c r="J1144" s="50">
        <f>IF(AND(SCAN!K1144="-",SCAN!Q1144="-"),SCAN!F1144,0)</f>
        <v>0</v>
      </c>
      <c r="M1144" s="55">
        <f>IF(SCAN!K1144&lt;&gt;"-",SCAN!D1144,0)</f>
        <v>0</v>
      </c>
      <c r="N1144" s="55">
        <f>IF(SCAN!K1144&lt;&gt;"-",SCAN!E1144,0)</f>
        <v>0</v>
      </c>
      <c r="O1144" s="55">
        <f>IF(SCAN!K1144&lt;&gt;"-",SCAN!F1144,0)</f>
        <v>0</v>
      </c>
      <c r="R1144" s="53">
        <f>IF(SCAN!Q1144&lt;&gt;"-",SCAN!D1144,0)</f>
        <v>0</v>
      </c>
      <c r="S1144" s="53">
        <f>IF(SCAN!Q1144&lt;&gt;"-",SCAN!E1144,0)</f>
        <v>0</v>
      </c>
      <c r="T1144" s="53">
        <f>IF(SCAN!Q1144&lt;&gt;"-",SCAN!F1144,0)</f>
        <v>0</v>
      </c>
    </row>
    <row r="1145" spans="8:20" x14ac:dyDescent="0.25">
      <c r="H1145" s="50">
        <f>IF(AND(SCAN!K1145="-",SCAN!Q1145="-"),SCAN!D1145,0)</f>
        <v>0</v>
      </c>
      <c r="I1145" s="50">
        <f>IF(AND(SCAN!K1145="-",SCAN!Q1145="-"),SCAN!E1145,0)</f>
        <v>0</v>
      </c>
      <c r="J1145" s="50">
        <f>IF(AND(SCAN!K1145="-",SCAN!Q1145="-"),SCAN!F1145,0)</f>
        <v>0</v>
      </c>
      <c r="M1145" s="55">
        <f>IF(SCAN!K1145&lt;&gt;"-",SCAN!D1145,0)</f>
        <v>0</v>
      </c>
      <c r="N1145" s="55">
        <f>IF(SCAN!K1145&lt;&gt;"-",SCAN!E1145,0)</f>
        <v>0</v>
      </c>
      <c r="O1145" s="55">
        <f>IF(SCAN!K1145&lt;&gt;"-",SCAN!F1145,0)</f>
        <v>0</v>
      </c>
      <c r="R1145" s="53">
        <f>IF(SCAN!Q1145&lt;&gt;"-",SCAN!D1145,0)</f>
        <v>0</v>
      </c>
      <c r="S1145" s="53">
        <f>IF(SCAN!Q1145&lt;&gt;"-",SCAN!E1145,0)</f>
        <v>0</v>
      </c>
      <c r="T1145" s="53">
        <f>IF(SCAN!Q1145&lt;&gt;"-",SCAN!F1145,0)</f>
        <v>0</v>
      </c>
    </row>
    <row r="1146" spans="8:20" x14ac:dyDescent="0.25">
      <c r="H1146" s="50">
        <f>IF(AND(SCAN!K1146="-",SCAN!Q1146="-"),SCAN!D1146,0)</f>
        <v>0</v>
      </c>
      <c r="I1146" s="50">
        <f>IF(AND(SCAN!K1146="-",SCAN!Q1146="-"),SCAN!E1146,0)</f>
        <v>0</v>
      </c>
      <c r="J1146" s="50">
        <f>IF(AND(SCAN!K1146="-",SCAN!Q1146="-"),SCAN!F1146,0)</f>
        <v>0</v>
      </c>
      <c r="M1146" s="55">
        <f>IF(SCAN!K1146&lt;&gt;"-",SCAN!D1146,0)</f>
        <v>0</v>
      </c>
      <c r="N1146" s="55">
        <f>IF(SCAN!K1146&lt;&gt;"-",SCAN!E1146,0)</f>
        <v>0</v>
      </c>
      <c r="O1146" s="55">
        <f>IF(SCAN!K1146&lt;&gt;"-",SCAN!F1146,0)</f>
        <v>0</v>
      </c>
      <c r="R1146" s="53">
        <f>IF(SCAN!Q1146&lt;&gt;"-",SCAN!D1146,0)</f>
        <v>0</v>
      </c>
      <c r="S1146" s="53">
        <f>IF(SCAN!Q1146&lt;&gt;"-",SCAN!E1146,0)</f>
        <v>0</v>
      </c>
      <c r="T1146" s="53">
        <f>IF(SCAN!Q1146&lt;&gt;"-",SCAN!F1146,0)</f>
        <v>0</v>
      </c>
    </row>
    <row r="1147" spans="8:20" x14ac:dyDescent="0.25">
      <c r="H1147" s="50">
        <f>IF(AND(SCAN!K1147="-",SCAN!Q1147="-"),SCAN!D1147,0)</f>
        <v>0</v>
      </c>
      <c r="I1147" s="50">
        <f>IF(AND(SCAN!K1147="-",SCAN!Q1147="-"),SCAN!E1147,0)</f>
        <v>0</v>
      </c>
      <c r="J1147" s="50">
        <f>IF(AND(SCAN!K1147="-",SCAN!Q1147="-"),SCAN!F1147,0)</f>
        <v>0</v>
      </c>
      <c r="M1147" s="55">
        <f>IF(SCAN!K1147&lt;&gt;"-",SCAN!D1147,0)</f>
        <v>0</v>
      </c>
      <c r="N1147" s="55">
        <f>IF(SCAN!K1147&lt;&gt;"-",SCAN!E1147,0)</f>
        <v>0</v>
      </c>
      <c r="O1147" s="55">
        <f>IF(SCAN!K1147&lt;&gt;"-",SCAN!F1147,0)</f>
        <v>0</v>
      </c>
      <c r="R1147" s="53">
        <f>IF(SCAN!Q1147&lt;&gt;"-",SCAN!D1147,0)</f>
        <v>0</v>
      </c>
      <c r="S1147" s="53">
        <f>IF(SCAN!Q1147&lt;&gt;"-",SCAN!E1147,0)</f>
        <v>0</v>
      </c>
      <c r="T1147" s="53">
        <f>IF(SCAN!Q1147&lt;&gt;"-",SCAN!F1147,0)</f>
        <v>0</v>
      </c>
    </row>
    <row r="1148" spans="8:20" x14ac:dyDescent="0.25">
      <c r="H1148" s="50">
        <f>IF(AND(SCAN!K1148="-",SCAN!Q1148="-"),SCAN!D1148,0)</f>
        <v>0</v>
      </c>
      <c r="I1148" s="50">
        <f>IF(AND(SCAN!K1148="-",SCAN!Q1148="-"),SCAN!E1148,0)</f>
        <v>0</v>
      </c>
      <c r="J1148" s="50">
        <f>IF(AND(SCAN!K1148="-",SCAN!Q1148="-"),SCAN!F1148,0)</f>
        <v>0</v>
      </c>
      <c r="M1148" s="55">
        <f>IF(SCAN!K1148&lt;&gt;"-",SCAN!D1148,0)</f>
        <v>0</v>
      </c>
      <c r="N1148" s="55">
        <f>IF(SCAN!K1148&lt;&gt;"-",SCAN!E1148,0)</f>
        <v>0</v>
      </c>
      <c r="O1148" s="55">
        <f>IF(SCAN!K1148&lt;&gt;"-",SCAN!F1148,0)</f>
        <v>0</v>
      </c>
      <c r="R1148" s="53">
        <f>IF(SCAN!Q1148&lt;&gt;"-",SCAN!D1148,0)</f>
        <v>0</v>
      </c>
      <c r="S1148" s="53">
        <f>IF(SCAN!Q1148&lt;&gt;"-",SCAN!E1148,0)</f>
        <v>0</v>
      </c>
      <c r="T1148" s="53">
        <f>IF(SCAN!Q1148&lt;&gt;"-",SCAN!F1148,0)</f>
        <v>0</v>
      </c>
    </row>
    <row r="1149" spans="8:20" x14ac:dyDescent="0.25">
      <c r="H1149" s="50">
        <f>IF(AND(SCAN!K1149="-",SCAN!Q1149="-"),SCAN!D1149,0)</f>
        <v>0</v>
      </c>
      <c r="I1149" s="50">
        <f>IF(AND(SCAN!K1149="-",SCAN!Q1149="-"),SCAN!E1149,0)</f>
        <v>0</v>
      </c>
      <c r="J1149" s="50">
        <f>IF(AND(SCAN!K1149="-",SCAN!Q1149="-"),SCAN!F1149,0)</f>
        <v>0</v>
      </c>
      <c r="M1149" s="55">
        <f>IF(SCAN!K1149&lt;&gt;"-",SCAN!D1149,0)</f>
        <v>0</v>
      </c>
      <c r="N1149" s="55">
        <f>IF(SCAN!K1149&lt;&gt;"-",SCAN!E1149,0)</f>
        <v>0</v>
      </c>
      <c r="O1149" s="55">
        <f>IF(SCAN!K1149&lt;&gt;"-",SCAN!F1149,0)</f>
        <v>0</v>
      </c>
      <c r="R1149" s="53">
        <f>IF(SCAN!Q1149&lt;&gt;"-",SCAN!D1149,0)</f>
        <v>0</v>
      </c>
      <c r="S1149" s="53">
        <f>IF(SCAN!Q1149&lt;&gt;"-",SCAN!E1149,0)</f>
        <v>0</v>
      </c>
      <c r="T1149" s="53">
        <f>IF(SCAN!Q1149&lt;&gt;"-",SCAN!F1149,0)</f>
        <v>0</v>
      </c>
    </row>
    <row r="1150" spans="8:20" x14ac:dyDescent="0.25">
      <c r="H1150" s="50">
        <f>IF(AND(SCAN!K1150="-",SCAN!Q1150="-"),SCAN!D1150,0)</f>
        <v>0</v>
      </c>
      <c r="I1150" s="50">
        <f>IF(AND(SCAN!K1150="-",SCAN!Q1150="-"),SCAN!E1150,0)</f>
        <v>0</v>
      </c>
      <c r="J1150" s="50">
        <f>IF(AND(SCAN!K1150="-",SCAN!Q1150="-"),SCAN!F1150,0)</f>
        <v>0</v>
      </c>
      <c r="M1150" s="55">
        <f>IF(SCAN!K1150&lt;&gt;"-",SCAN!D1150,0)</f>
        <v>0</v>
      </c>
      <c r="N1150" s="55">
        <f>IF(SCAN!K1150&lt;&gt;"-",SCAN!E1150,0)</f>
        <v>0</v>
      </c>
      <c r="O1150" s="55">
        <f>IF(SCAN!K1150&lt;&gt;"-",SCAN!F1150,0)</f>
        <v>0</v>
      </c>
      <c r="R1150" s="53">
        <f>IF(SCAN!Q1150&lt;&gt;"-",SCAN!D1150,0)</f>
        <v>0</v>
      </c>
      <c r="S1150" s="53">
        <f>IF(SCAN!Q1150&lt;&gt;"-",SCAN!E1150,0)</f>
        <v>0</v>
      </c>
      <c r="T1150" s="53">
        <f>IF(SCAN!Q1150&lt;&gt;"-",SCAN!F1150,0)</f>
        <v>0</v>
      </c>
    </row>
    <row r="1151" spans="8:20" x14ac:dyDescent="0.25">
      <c r="H1151" s="50">
        <f>IF(AND(SCAN!K1151="-",SCAN!Q1151="-"),SCAN!D1151,0)</f>
        <v>0</v>
      </c>
      <c r="I1151" s="50">
        <f>IF(AND(SCAN!K1151="-",SCAN!Q1151="-"),SCAN!E1151,0)</f>
        <v>0</v>
      </c>
      <c r="J1151" s="50">
        <f>IF(AND(SCAN!K1151="-",SCAN!Q1151="-"),SCAN!F1151,0)</f>
        <v>0</v>
      </c>
      <c r="M1151" s="55">
        <f>IF(SCAN!K1151&lt;&gt;"-",SCAN!D1151,0)</f>
        <v>0</v>
      </c>
      <c r="N1151" s="55">
        <f>IF(SCAN!K1151&lt;&gt;"-",SCAN!E1151,0)</f>
        <v>0</v>
      </c>
      <c r="O1151" s="55">
        <f>IF(SCAN!K1151&lt;&gt;"-",SCAN!F1151,0)</f>
        <v>0</v>
      </c>
      <c r="R1151" s="53">
        <f>IF(SCAN!Q1151&lt;&gt;"-",SCAN!D1151,0)</f>
        <v>0</v>
      </c>
      <c r="S1151" s="53">
        <f>IF(SCAN!Q1151&lt;&gt;"-",SCAN!E1151,0)</f>
        <v>0</v>
      </c>
      <c r="T1151" s="53">
        <f>IF(SCAN!Q1151&lt;&gt;"-",SCAN!F1151,0)</f>
        <v>0</v>
      </c>
    </row>
    <row r="1152" spans="8:20" x14ac:dyDescent="0.25">
      <c r="H1152" s="50">
        <f>IF(AND(SCAN!K1152="-",SCAN!Q1152="-"),SCAN!D1152,0)</f>
        <v>0</v>
      </c>
      <c r="I1152" s="50">
        <f>IF(AND(SCAN!K1152="-",SCAN!Q1152="-"),SCAN!E1152,0)</f>
        <v>0</v>
      </c>
      <c r="J1152" s="50">
        <f>IF(AND(SCAN!K1152="-",SCAN!Q1152="-"),SCAN!F1152,0)</f>
        <v>0</v>
      </c>
      <c r="M1152" s="55">
        <f>IF(SCAN!K1152&lt;&gt;"-",SCAN!D1152,0)</f>
        <v>0</v>
      </c>
      <c r="N1152" s="55">
        <f>IF(SCAN!K1152&lt;&gt;"-",SCAN!E1152,0)</f>
        <v>0</v>
      </c>
      <c r="O1152" s="55">
        <f>IF(SCAN!K1152&lt;&gt;"-",SCAN!F1152,0)</f>
        <v>0</v>
      </c>
      <c r="R1152" s="53">
        <f>IF(SCAN!Q1152&lt;&gt;"-",SCAN!D1152,0)</f>
        <v>0</v>
      </c>
      <c r="S1152" s="53">
        <f>IF(SCAN!Q1152&lt;&gt;"-",SCAN!E1152,0)</f>
        <v>0</v>
      </c>
      <c r="T1152" s="53">
        <f>IF(SCAN!Q1152&lt;&gt;"-",SCAN!F1152,0)</f>
        <v>0</v>
      </c>
    </row>
    <row r="1153" spans="8:20" x14ac:dyDescent="0.25">
      <c r="H1153" s="50">
        <f>IF(AND(SCAN!K1153="-",SCAN!Q1153="-"),SCAN!D1153,0)</f>
        <v>0</v>
      </c>
      <c r="I1153" s="50">
        <f>IF(AND(SCAN!K1153="-",SCAN!Q1153="-"),SCAN!E1153,0)</f>
        <v>0</v>
      </c>
      <c r="J1153" s="50">
        <f>IF(AND(SCAN!K1153="-",SCAN!Q1153="-"),SCAN!F1153,0)</f>
        <v>0</v>
      </c>
      <c r="M1153" s="55">
        <f>IF(SCAN!K1153&lt;&gt;"-",SCAN!D1153,0)</f>
        <v>0</v>
      </c>
      <c r="N1153" s="55">
        <f>IF(SCAN!K1153&lt;&gt;"-",SCAN!E1153,0)</f>
        <v>0</v>
      </c>
      <c r="O1153" s="55">
        <f>IF(SCAN!K1153&lt;&gt;"-",SCAN!F1153,0)</f>
        <v>0</v>
      </c>
      <c r="R1153" s="53">
        <f>IF(SCAN!Q1153&lt;&gt;"-",SCAN!D1153,0)</f>
        <v>0</v>
      </c>
      <c r="S1153" s="53">
        <f>IF(SCAN!Q1153&lt;&gt;"-",SCAN!E1153,0)</f>
        <v>0</v>
      </c>
      <c r="T1153" s="53">
        <f>IF(SCAN!Q1153&lt;&gt;"-",SCAN!F1153,0)</f>
        <v>0</v>
      </c>
    </row>
    <row r="1154" spans="8:20" x14ac:dyDescent="0.25">
      <c r="H1154" s="50">
        <f>IF(AND(SCAN!K1154="-",SCAN!Q1154="-"),SCAN!D1154,0)</f>
        <v>0</v>
      </c>
      <c r="I1154" s="50">
        <f>IF(AND(SCAN!K1154="-",SCAN!Q1154="-"),SCAN!E1154,0)</f>
        <v>0</v>
      </c>
      <c r="J1154" s="50">
        <f>IF(AND(SCAN!K1154="-",SCAN!Q1154="-"),SCAN!F1154,0)</f>
        <v>0</v>
      </c>
      <c r="M1154" s="55">
        <f>IF(SCAN!K1154&lt;&gt;"-",SCAN!D1154,0)</f>
        <v>0</v>
      </c>
      <c r="N1154" s="55">
        <f>IF(SCAN!K1154&lt;&gt;"-",SCAN!E1154,0)</f>
        <v>0</v>
      </c>
      <c r="O1154" s="55">
        <f>IF(SCAN!K1154&lt;&gt;"-",SCAN!F1154,0)</f>
        <v>0</v>
      </c>
      <c r="R1154" s="53">
        <f>IF(SCAN!Q1154&lt;&gt;"-",SCAN!D1154,0)</f>
        <v>0</v>
      </c>
      <c r="S1154" s="53">
        <f>IF(SCAN!Q1154&lt;&gt;"-",SCAN!E1154,0)</f>
        <v>0</v>
      </c>
      <c r="T1154" s="53">
        <f>IF(SCAN!Q1154&lt;&gt;"-",SCAN!F1154,0)</f>
        <v>0</v>
      </c>
    </row>
    <row r="1155" spans="8:20" x14ac:dyDescent="0.25">
      <c r="H1155" s="50">
        <f>IF(AND(SCAN!K1155="-",SCAN!Q1155="-"),SCAN!D1155,0)</f>
        <v>0</v>
      </c>
      <c r="I1155" s="50">
        <f>IF(AND(SCAN!K1155="-",SCAN!Q1155="-"),SCAN!E1155,0)</f>
        <v>0</v>
      </c>
      <c r="J1155" s="50">
        <f>IF(AND(SCAN!K1155="-",SCAN!Q1155="-"),SCAN!F1155,0)</f>
        <v>0</v>
      </c>
      <c r="M1155" s="55">
        <f>IF(SCAN!K1155&lt;&gt;"-",SCAN!D1155,0)</f>
        <v>0</v>
      </c>
      <c r="N1155" s="55">
        <f>IF(SCAN!K1155&lt;&gt;"-",SCAN!E1155,0)</f>
        <v>0</v>
      </c>
      <c r="O1155" s="55">
        <f>IF(SCAN!K1155&lt;&gt;"-",SCAN!F1155,0)</f>
        <v>0</v>
      </c>
      <c r="R1155" s="53">
        <f>IF(SCAN!Q1155&lt;&gt;"-",SCAN!D1155,0)</f>
        <v>0</v>
      </c>
      <c r="S1155" s="53">
        <f>IF(SCAN!Q1155&lt;&gt;"-",SCAN!E1155,0)</f>
        <v>0</v>
      </c>
      <c r="T1155" s="53">
        <f>IF(SCAN!Q1155&lt;&gt;"-",SCAN!F1155,0)</f>
        <v>0</v>
      </c>
    </row>
    <row r="1156" spans="8:20" x14ac:dyDescent="0.25">
      <c r="H1156" s="50">
        <f>IF(AND(SCAN!K1156="-",SCAN!Q1156="-"),SCAN!D1156,0)</f>
        <v>0</v>
      </c>
      <c r="I1156" s="50">
        <f>IF(AND(SCAN!K1156="-",SCAN!Q1156="-"),SCAN!E1156,0)</f>
        <v>0</v>
      </c>
      <c r="J1156" s="50">
        <f>IF(AND(SCAN!K1156="-",SCAN!Q1156="-"),SCAN!F1156,0)</f>
        <v>0</v>
      </c>
      <c r="M1156" s="55">
        <f>IF(SCAN!K1156&lt;&gt;"-",SCAN!D1156,0)</f>
        <v>0</v>
      </c>
      <c r="N1156" s="55">
        <f>IF(SCAN!K1156&lt;&gt;"-",SCAN!E1156,0)</f>
        <v>0</v>
      </c>
      <c r="O1156" s="55">
        <f>IF(SCAN!K1156&lt;&gt;"-",SCAN!F1156,0)</f>
        <v>0</v>
      </c>
      <c r="R1156" s="53">
        <f>IF(SCAN!Q1156&lt;&gt;"-",SCAN!D1156,0)</f>
        <v>0</v>
      </c>
      <c r="S1156" s="53">
        <f>IF(SCAN!Q1156&lt;&gt;"-",SCAN!E1156,0)</f>
        <v>0</v>
      </c>
      <c r="T1156" s="53">
        <f>IF(SCAN!Q1156&lt;&gt;"-",SCAN!F1156,0)</f>
        <v>0</v>
      </c>
    </row>
    <row r="1157" spans="8:20" x14ac:dyDescent="0.25">
      <c r="H1157" s="50">
        <f>IF(AND(SCAN!K1157="-",SCAN!Q1157="-"),SCAN!D1157,0)</f>
        <v>0</v>
      </c>
      <c r="I1157" s="50">
        <f>IF(AND(SCAN!K1157="-",SCAN!Q1157="-"),SCAN!E1157,0)</f>
        <v>0</v>
      </c>
      <c r="J1157" s="50">
        <f>IF(AND(SCAN!K1157="-",SCAN!Q1157="-"),SCAN!F1157,0)</f>
        <v>0</v>
      </c>
      <c r="M1157" s="55">
        <f>IF(SCAN!K1157&lt;&gt;"-",SCAN!D1157,0)</f>
        <v>0</v>
      </c>
      <c r="N1157" s="55">
        <f>IF(SCAN!K1157&lt;&gt;"-",SCAN!E1157,0)</f>
        <v>0</v>
      </c>
      <c r="O1157" s="55">
        <f>IF(SCAN!K1157&lt;&gt;"-",SCAN!F1157,0)</f>
        <v>0</v>
      </c>
      <c r="R1157" s="53">
        <f>IF(SCAN!Q1157&lt;&gt;"-",SCAN!D1157,0)</f>
        <v>0</v>
      </c>
      <c r="S1157" s="53">
        <f>IF(SCAN!Q1157&lt;&gt;"-",SCAN!E1157,0)</f>
        <v>0</v>
      </c>
      <c r="T1157" s="53">
        <f>IF(SCAN!Q1157&lt;&gt;"-",SCAN!F1157,0)</f>
        <v>0</v>
      </c>
    </row>
    <row r="1158" spans="8:20" x14ac:dyDescent="0.25">
      <c r="H1158" s="50">
        <f>IF(AND(SCAN!K1158="-",SCAN!Q1158="-"),SCAN!D1158,0)</f>
        <v>0</v>
      </c>
      <c r="I1158" s="50">
        <f>IF(AND(SCAN!K1158="-",SCAN!Q1158="-"),SCAN!E1158,0)</f>
        <v>0</v>
      </c>
      <c r="J1158" s="50">
        <f>IF(AND(SCAN!K1158="-",SCAN!Q1158="-"),SCAN!F1158,0)</f>
        <v>0</v>
      </c>
      <c r="M1158" s="55">
        <f>IF(SCAN!K1158&lt;&gt;"-",SCAN!D1158,0)</f>
        <v>0</v>
      </c>
      <c r="N1158" s="55">
        <f>IF(SCAN!K1158&lt;&gt;"-",SCAN!E1158,0)</f>
        <v>0</v>
      </c>
      <c r="O1158" s="55">
        <f>IF(SCAN!K1158&lt;&gt;"-",SCAN!F1158,0)</f>
        <v>0</v>
      </c>
      <c r="R1158" s="53">
        <f>IF(SCAN!Q1158&lt;&gt;"-",SCAN!D1158,0)</f>
        <v>0</v>
      </c>
      <c r="S1158" s="53">
        <f>IF(SCAN!Q1158&lt;&gt;"-",SCAN!E1158,0)</f>
        <v>0</v>
      </c>
      <c r="T1158" s="53">
        <f>IF(SCAN!Q1158&lt;&gt;"-",SCAN!F1158,0)</f>
        <v>0</v>
      </c>
    </row>
    <row r="1159" spans="8:20" x14ac:dyDescent="0.25">
      <c r="H1159" s="50">
        <f>IF(AND(SCAN!K1159="-",SCAN!Q1159="-"),SCAN!D1159,0)</f>
        <v>0</v>
      </c>
      <c r="I1159" s="50">
        <f>IF(AND(SCAN!K1159="-",SCAN!Q1159="-"),SCAN!E1159,0)</f>
        <v>0</v>
      </c>
      <c r="J1159" s="50">
        <f>IF(AND(SCAN!K1159="-",SCAN!Q1159="-"),SCAN!F1159,0)</f>
        <v>0</v>
      </c>
      <c r="M1159" s="55">
        <f>IF(SCAN!K1159&lt;&gt;"-",SCAN!D1159,0)</f>
        <v>0</v>
      </c>
      <c r="N1159" s="55">
        <f>IF(SCAN!K1159&lt;&gt;"-",SCAN!E1159,0)</f>
        <v>0</v>
      </c>
      <c r="O1159" s="55">
        <f>IF(SCAN!K1159&lt;&gt;"-",SCAN!F1159,0)</f>
        <v>0</v>
      </c>
      <c r="R1159" s="53">
        <f>IF(SCAN!Q1159&lt;&gt;"-",SCAN!D1159,0)</f>
        <v>0</v>
      </c>
      <c r="S1159" s="53">
        <f>IF(SCAN!Q1159&lt;&gt;"-",SCAN!E1159,0)</f>
        <v>0</v>
      </c>
      <c r="T1159" s="53">
        <f>IF(SCAN!Q1159&lt;&gt;"-",SCAN!F1159,0)</f>
        <v>0</v>
      </c>
    </row>
    <row r="1160" spans="8:20" x14ac:dyDescent="0.25">
      <c r="H1160" s="50">
        <f>IF(AND(SCAN!K1160="-",SCAN!Q1160="-"),SCAN!D1160,0)</f>
        <v>0</v>
      </c>
      <c r="I1160" s="50">
        <f>IF(AND(SCAN!K1160="-",SCAN!Q1160="-"),SCAN!E1160,0)</f>
        <v>0</v>
      </c>
      <c r="J1160" s="50">
        <f>IF(AND(SCAN!K1160="-",SCAN!Q1160="-"),SCAN!F1160,0)</f>
        <v>0</v>
      </c>
      <c r="M1160" s="55">
        <f>IF(SCAN!K1160&lt;&gt;"-",SCAN!D1160,0)</f>
        <v>0</v>
      </c>
      <c r="N1160" s="55">
        <f>IF(SCAN!K1160&lt;&gt;"-",SCAN!E1160,0)</f>
        <v>0</v>
      </c>
      <c r="O1160" s="55">
        <f>IF(SCAN!K1160&lt;&gt;"-",SCAN!F1160,0)</f>
        <v>0</v>
      </c>
      <c r="R1160" s="53">
        <f>IF(SCAN!Q1160&lt;&gt;"-",SCAN!D1160,0)</f>
        <v>0</v>
      </c>
      <c r="S1160" s="53">
        <f>IF(SCAN!Q1160&lt;&gt;"-",SCAN!E1160,0)</f>
        <v>0</v>
      </c>
      <c r="T1160" s="53">
        <f>IF(SCAN!Q1160&lt;&gt;"-",SCAN!F1160,0)</f>
        <v>0</v>
      </c>
    </row>
    <row r="1161" spans="8:20" x14ac:dyDescent="0.25">
      <c r="H1161" s="50">
        <f>IF(AND(SCAN!K1161="-",SCAN!Q1161="-"),SCAN!D1161,0)</f>
        <v>0</v>
      </c>
      <c r="I1161" s="50">
        <f>IF(AND(SCAN!K1161="-",SCAN!Q1161="-"),SCAN!E1161,0)</f>
        <v>0</v>
      </c>
      <c r="J1161" s="50">
        <f>IF(AND(SCAN!K1161="-",SCAN!Q1161="-"),SCAN!F1161,0)</f>
        <v>0</v>
      </c>
      <c r="M1161" s="55">
        <f>IF(SCAN!K1161&lt;&gt;"-",SCAN!D1161,0)</f>
        <v>0</v>
      </c>
      <c r="N1161" s="55">
        <f>IF(SCAN!K1161&lt;&gt;"-",SCAN!E1161,0)</f>
        <v>0</v>
      </c>
      <c r="O1161" s="55">
        <f>IF(SCAN!K1161&lt;&gt;"-",SCAN!F1161,0)</f>
        <v>0</v>
      </c>
      <c r="R1161" s="53">
        <f>IF(SCAN!Q1161&lt;&gt;"-",SCAN!D1161,0)</f>
        <v>0</v>
      </c>
      <c r="S1161" s="53">
        <f>IF(SCAN!Q1161&lt;&gt;"-",SCAN!E1161,0)</f>
        <v>0</v>
      </c>
      <c r="T1161" s="53">
        <f>IF(SCAN!Q1161&lt;&gt;"-",SCAN!F1161,0)</f>
        <v>0</v>
      </c>
    </row>
    <row r="1162" spans="8:20" x14ac:dyDescent="0.25">
      <c r="H1162" s="50">
        <f>IF(AND(SCAN!K1162="-",SCAN!Q1162="-"),SCAN!D1162,0)</f>
        <v>0</v>
      </c>
      <c r="I1162" s="50">
        <f>IF(AND(SCAN!K1162="-",SCAN!Q1162="-"),SCAN!E1162,0)</f>
        <v>0</v>
      </c>
      <c r="J1162" s="50">
        <f>IF(AND(SCAN!K1162="-",SCAN!Q1162="-"),SCAN!F1162,0)</f>
        <v>0</v>
      </c>
      <c r="M1162" s="55">
        <f>IF(SCAN!K1162&lt;&gt;"-",SCAN!D1162,0)</f>
        <v>0</v>
      </c>
      <c r="N1162" s="55">
        <f>IF(SCAN!K1162&lt;&gt;"-",SCAN!E1162,0)</f>
        <v>0</v>
      </c>
      <c r="O1162" s="55">
        <f>IF(SCAN!K1162&lt;&gt;"-",SCAN!F1162,0)</f>
        <v>0</v>
      </c>
      <c r="R1162" s="53">
        <f>IF(SCAN!Q1162&lt;&gt;"-",SCAN!D1162,0)</f>
        <v>0</v>
      </c>
      <c r="S1162" s="53">
        <f>IF(SCAN!Q1162&lt;&gt;"-",SCAN!E1162,0)</f>
        <v>0</v>
      </c>
      <c r="T1162" s="53">
        <f>IF(SCAN!Q1162&lt;&gt;"-",SCAN!F1162,0)</f>
        <v>0</v>
      </c>
    </row>
    <row r="1163" spans="8:20" x14ac:dyDescent="0.25">
      <c r="H1163" s="50">
        <f>IF(AND(SCAN!K1163="-",SCAN!Q1163="-"),SCAN!D1163,0)</f>
        <v>0</v>
      </c>
      <c r="I1163" s="50">
        <f>IF(AND(SCAN!K1163="-",SCAN!Q1163="-"),SCAN!E1163,0)</f>
        <v>0</v>
      </c>
      <c r="J1163" s="50">
        <f>IF(AND(SCAN!K1163="-",SCAN!Q1163="-"),SCAN!F1163,0)</f>
        <v>0</v>
      </c>
      <c r="M1163" s="55">
        <f>IF(SCAN!K1163&lt;&gt;"-",SCAN!D1163,0)</f>
        <v>0</v>
      </c>
      <c r="N1163" s="55">
        <f>IF(SCAN!K1163&lt;&gt;"-",SCAN!E1163,0)</f>
        <v>0</v>
      </c>
      <c r="O1163" s="55">
        <f>IF(SCAN!K1163&lt;&gt;"-",SCAN!F1163,0)</f>
        <v>0</v>
      </c>
      <c r="R1163" s="53">
        <f>IF(SCAN!Q1163&lt;&gt;"-",SCAN!D1163,0)</f>
        <v>0</v>
      </c>
      <c r="S1163" s="53">
        <f>IF(SCAN!Q1163&lt;&gt;"-",SCAN!E1163,0)</f>
        <v>0</v>
      </c>
      <c r="T1163" s="53">
        <f>IF(SCAN!Q1163&lt;&gt;"-",SCAN!F1163,0)</f>
        <v>0</v>
      </c>
    </row>
    <row r="1164" spans="8:20" x14ac:dyDescent="0.25">
      <c r="H1164" s="50">
        <f>IF(AND(SCAN!K1164="-",SCAN!Q1164="-"),SCAN!D1164,0)</f>
        <v>0</v>
      </c>
      <c r="I1164" s="50">
        <f>IF(AND(SCAN!K1164="-",SCAN!Q1164="-"),SCAN!E1164,0)</f>
        <v>0</v>
      </c>
      <c r="J1164" s="50">
        <f>IF(AND(SCAN!K1164="-",SCAN!Q1164="-"),SCAN!F1164,0)</f>
        <v>0</v>
      </c>
      <c r="M1164" s="55">
        <f>IF(SCAN!K1164&lt;&gt;"-",SCAN!D1164,0)</f>
        <v>0</v>
      </c>
      <c r="N1164" s="55">
        <f>IF(SCAN!K1164&lt;&gt;"-",SCAN!E1164,0)</f>
        <v>0</v>
      </c>
      <c r="O1164" s="55">
        <f>IF(SCAN!K1164&lt;&gt;"-",SCAN!F1164,0)</f>
        <v>0</v>
      </c>
      <c r="R1164" s="53">
        <f>IF(SCAN!Q1164&lt;&gt;"-",SCAN!D1164,0)</f>
        <v>0</v>
      </c>
      <c r="S1164" s="53">
        <f>IF(SCAN!Q1164&lt;&gt;"-",SCAN!E1164,0)</f>
        <v>0</v>
      </c>
      <c r="T1164" s="53">
        <f>IF(SCAN!Q1164&lt;&gt;"-",SCAN!F1164,0)</f>
        <v>0</v>
      </c>
    </row>
    <row r="1165" spans="8:20" x14ac:dyDescent="0.25">
      <c r="H1165" s="50">
        <f>IF(AND(SCAN!K1165="-",SCAN!Q1165="-"),SCAN!D1165,0)</f>
        <v>0</v>
      </c>
      <c r="I1165" s="50">
        <f>IF(AND(SCAN!K1165="-",SCAN!Q1165="-"),SCAN!E1165,0)</f>
        <v>0</v>
      </c>
      <c r="J1165" s="50">
        <f>IF(AND(SCAN!K1165="-",SCAN!Q1165="-"),SCAN!F1165,0)</f>
        <v>0</v>
      </c>
      <c r="M1165" s="55">
        <f>IF(SCAN!K1165&lt;&gt;"-",SCAN!D1165,0)</f>
        <v>0</v>
      </c>
      <c r="N1165" s="55">
        <f>IF(SCAN!K1165&lt;&gt;"-",SCAN!E1165,0)</f>
        <v>0</v>
      </c>
      <c r="O1165" s="55">
        <f>IF(SCAN!K1165&lt;&gt;"-",SCAN!F1165,0)</f>
        <v>0</v>
      </c>
      <c r="R1165" s="53">
        <f>IF(SCAN!Q1165&lt;&gt;"-",SCAN!D1165,0)</f>
        <v>0</v>
      </c>
      <c r="S1165" s="53">
        <f>IF(SCAN!Q1165&lt;&gt;"-",SCAN!E1165,0)</f>
        <v>0</v>
      </c>
      <c r="T1165" s="53">
        <f>IF(SCAN!Q1165&lt;&gt;"-",SCAN!F1165,0)</f>
        <v>0</v>
      </c>
    </row>
    <row r="1166" spans="8:20" x14ac:dyDescent="0.25">
      <c r="H1166" s="50">
        <f>IF(AND(SCAN!K1166="-",SCAN!Q1166="-"),SCAN!D1166,0)</f>
        <v>0</v>
      </c>
      <c r="I1166" s="50">
        <f>IF(AND(SCAN!K1166="-",SCAN!Q1166="-"),SCAN!E1166,0)</f>
        <v>0</v>
      </c>
      <c r="J1166" s="50">
        <f>IF(AND(SCAN!K1166="-",SCAN!Q1166="-"),SCAN!F1166,0)</f>
        <v>0</v>
      </c>
      <c r="M1166" s="55">
        <f>IF(SCAN!K1166&lt;&gt;"-",SCAN!D1166,0)</f>
        <v>0</v>
      </c>
      <c r="N1166" s="55">
        <f>IF(SCAN!K1166&lt;&gt;"-",SCAN!E1166,0)</f>
        <v>0</v>
      </c>
      <c r="O1166" s="55">
        <f>IF(SCAN!K1166&lt;&gt;"-",SCAN!F1166,0)</f>
        <v>0</v>
      </c>
      <c r="R1166" s="53">
        <f>IF(SCAN!Q1166&lt;&gt;"-",SCAN!D1166,0)</f>
        <v>0</v>
      </c>
      <c r="S1166" s="53">
        <f>IF(SCAN!Q1166&lt;&gt;"-",SCAN!E1166,0)</f>
        <v>0</v>
      </c>
      <c r="T1166" s="53">
        <f>IF(SCAN!Q1166&lt;&gt;"-",SCAN!F1166,0)</f>
        <v>0</v>
      </c>
    </row>
    <row r="1167" spans="8:20" x14ac:dyDescent="0.25">
      <c r="H1167" s="50">
        <f>IF(AND(SCAN!K1167="-",SCAN!Q1167="-"),SCAN!D1167,0)</f>
        <v>0</v>
      </c>
      <c r="I1167" s="50">
        <f>IF(AND(SCAN!K1167="-",SCAN!Q1167="-"),SCAN!E1167,0)</f>
        <v>0</v>
      </c>
      <c r="J1167" s="50">
        <f>IF(AND(SCAN!K1167="-",SCAN!Q1167="-"),SCAN!F1167,0)</f>
        <v>0</v>
      </c>
      <c r="M1167" s="55">
        <f>IF(SCAN!K1167&lt;&gt;"-",SCAN!D1167,0)</f>
        <v>0</v>
      </c>
      <c r="N1167" s="55">
        <f>IF(SCAN!K1167&lt;&gt;"-",SCAN!E1167,0)</f>
        <v>0</v>
      </c>
      <c r="O1167" s="55">
        <f>IF(SCAN!K1167&lt;&gt;"-",SCAN!F1167,0)</f>
        <v>0</v>
      </c>
      <c r="R1167" s="53">
        <f>IF(SCAN!Q1167&lt;&gt;"-",SCAN!D1167,0)</f>
        <v>0</v>
      </c>
      <c r="S1167" s="53">
        <f>IF(SCAN!Q1167&lt;&gt;"-",SCAN!E1167,0)</f>
        <v>0</v>
      </c>
      <c r="T1167" s="53">
        <f>IF(SCAN!Q1167&lt;&gt;"-",SCAN!F1167,0)</f>
        <v>0</v>
      </c>
    </row>
    <row r="1168" spans="8:20" x14ac:dyDescent="0.25">
      <c r="H1168" s="50">
        <f>IF(AND(SCAN!K1168="-",SCAN!Q1168="-"),SCAN!D1168,0)</f>
        <v>0</v>
      </c>
      <c r="I1168" s="50">
        <f>IF(AND(SCAN!K1168="-",SCAN!Q1168="-"),SCAN!E1168,0)</f>
        <v>0</v>
      </c>
      <c r="J1168" s="50">
        <f>IF(AND(SCAN!K1168="-",SCAN!Q1168="-"),SCAN!F1168,0)</f>
        <v>0</v>
      </c>
      <c r="M1168" s="55">
        <f>IF(SCAN!K1168&lt;&gt;"-",SCAN!D1168,0)</f>
        <v>0</v>
      </c>
      <c r="N1168" s="55">
        <f>IF(SCAN!K1168&lt;&gt;"-",SCAN!E1168,0)</f>
        <v>0</v>
      </c>
      <c r="O1168" s="55">
        <f>IF(SCAN!K1168&lt;&gt;"-",SCAN!F1168,0)</f>
        <v>0</v>
      </c>
      <c r="R1168" s="53">
        <f>IF(SCAN!Q1168&lt;&gt;"-",SCAN!D1168,0)</f>
        <v>0</v>
      </c>
      <c r="S1168" s="53">
        <f>IF(SCAN!Q1168&lt;&gt;"-",SCAN!E1168,0)</f>
        <v>0</v>
      </c>
      <c r="T1168" s="53">
        <f>IF(SCAN!Q1168&lt;&gt;"-",SCAN!F1168,0)</f>
        <v>0</v>
      </c>
    </row>
    <row r="1169" spans="8:20" x14ac:dyDescent="0.25">
      <c r="H1169" s="50">
        <f>IF(AND(SCAN!K1169="-",SCAN!Q1169="-"),SCAN!D1169,0)</f>
        <v>0</v>
      </c>
      <c r="I1169" s="50">
        <f>IF(AND(SCAN!K1169="-",SCAN!Q1169="-"),SCAN!E1169,0)</f>
        <v>0</v>
      </c>
      <c r="J1169" s="50">
        <f>IF(AND(SCAN!K1169="-",SCAN!Q1169="-"),SCAN!F1169,0)</f>
        <v>0</v>
      </c>
      <c r="M1169" s="55">
        <f>IF(SCAN!K1169&lt;&gt;"-",SCAN!D1169,0)</f>
        <v>0</v>
      </c>
      <c r="N1169" s="55">
        <f>IF(SCAN!K1169&lt;&gt;"-",SCAN!E1169,0)</f>
        <v>0</v>
      </c>
      <c r="O1169" s="55">
        <f>IF(SCAN!K1169&lt;&gt;"-",SCAN!F1169,0)</f>
        <v>0</v>
      </c>
      <c r="R1169" s="53">
        <f>IF(SCAN!Q1169&lt;&gt;"-",SCAN!D1169,0)</f>
        <v>0</v>
      </c>
      <c r="S1169" s="53">
        <f>IF(SCAN!Q1169&lt;&gt;"-",SCAN!E1169,0)</f>
        <v>0</v>
      </c>
      <c r="T1169" s="53">
        <f>IF(SCAN!Q1169&lt;&gt;"-",SCAN!F1169,0)</f>
        <v>0</v>
      </c>
    </row>
    <row r="1170" spans="8:20" x14ac:dyDescent="0.25">
      <c r="H1170" s="50">
        <f>IF(AND(SCAN!K1170="-",SCAN!Q1170="-"),SCAN!D1170,0)</f>
        <v>0</v>
      </c>
      <c r="I1170" s="50">
        <f>IF(AND(SCAN!K1170="-",SCAN!Q1170="-"),SCAN!E1170,0)</f>
        <v>0</v>
      </c>
      <c r="J1170" s="50">
        <f>IF(AND(SCAN!K1170="-",SCAN!Q1170="-"),SCAN!F1170,0)</f>
        <v>0</v>
      </c>
      <c r="M1170" s="55">
        <f>IF(SCAN!K1170&lt;&gt;"-",SCAN!D1170,0)</f>
        <v>0</v>
      </c>
      <c r="N1170" s="55">
        <f>IF(SCAN!K1170&lt;&gt;"-",SCAN!E1170,0)</f>
        <v>0</v>
      </c>
      <c r="O1170" s="55">
        <f>IF(SCAN!K1170&lt;&gt;"-",SCAN!F1170,0)</f>
        <v>0</v>
      </c>
      <c r="R1170" s="53">
        <f>IF(SCAN!Q1170&lt;&gt;"-",SCAN!D1170,0)</f>
        <v>0</v>
      </c>
      <c r="S1170" s="53">
        <f>IF(SCAN!Q1170&lt;&gt;"-",SCAN!E1170,0)</f>
        <v>0</v>
      </c>
      <c r="T1170" s="53">
        <f>IF(SCAN!Q1170&lt;&gt;"-",SCAN!F1170,0)</f>
        <v>0</v>
      </c>
    </row>
    <row r="1171" spans="8:20" x14ac:dyDescent="0.25">
      <c r="H1171" s="50">
        <f>IF(AND(SCAN!K1171="-",SCAN!Q1171="-"),SCAN!D1171,0)</f>
        <v>0</v>
      </c>
      <c r="I1171" s="50">
        <f>IF(AND(SCAN!K1171="-",SCAN!Q1171="-"),SCAN!E1171,0)</f>
        <v>0</v>
      </c>
      <c r="J1171" s="50">
        <f>IF(AND(SCAN!K1171="-",SCAN!Q1171="-"),SCAN!F1171,0)</f>
        <v>0</v>
      </c>
      <c r="M1171" s="55">
        <f>IF(SCAN!K1171&lt;&gt;"-",SCAN!D1171,0)</f>
        <v>0</v>
      </c>
      <c r="N1171" s="55">
        <f>IF(SCAN!K1171&lt;&gt;"-",SCAN!E1171,0)</f>
        <v>0</v>
      </c>
      <c r="O1171" s="55">
        <f>IF(SCAN!K1171&lt;&gt;"-",SCAN!F1171,0)</f>
        <v>0</v>
      </c>
      <c r="R1171" s="53">
        <f>IF(SCAN!Q1171&lt;&gt;"-",SCAN!D1171,0)</f>
        <v>0</v>
      </c>
      <c r="S1171" s="53">
        <f>IF(SCAN!Q1171&lt;&gt;"-",SCAN!E1171,0)</f>
        <v>0</v>
      </c>
      <c r="T1171" s="53">
        <f>IF(SCAN!Q1171&lt;&gt;"-",SCAN!F1171,0)</f>
        <v>0</v>
      </c>
    </row>
    <row r="1172" spans="8:20" x14ac:dyDescent="0.25">
      <c r="H1172" s="50">
        <f>IF(AND(SCAN!K1172="-",SCAN!Q1172="-"),SCAN!D1172,0)</f>
        <v>0</v>
      </c>
      <c r="I1172" s="50">
        <f>IF(AND(SCAN!K1172="-",SCAN!Q1172="-"),SCAN!E1172,0)</f>
        <v>0</v>
      </c>
      <c r="J1172" s="50">
        <f>IF(AND(SCAN!K1172="-",SCAN!Q1172="-"),SCAN!F1172,0)</f>
        <v>0</v>
      </c>
      <c r="M1172" s="55">
        <f>IF(SCAN!K1172&lt;&gt;"-",SCAN!D1172,0)</f>
        <v>0</v>
      </c>
      <c r="N1172" s="55">
        <f>IF(SCAN!K1172&lt;&gt;"-",SCAN!E1172,0)</f>
        <v>0</v>
      </c>
      <c r="O1172" s="55">
        <f>IF(SCAN!K1172&lt;&gt;"-",SCAN!F1172,0)</f>
        <v>0</v>
      </c>
      <c r="R1172" s="53">
        <f>IF(SCAN!Q1172&lt;&gt;"-",SCAN!D1172,0)</f>
        <v>0</v>
      </c>
      <c r="S1172" s="53">
        <f>IF(SCAN!Q1172&lt;&gt;"-",SCAN!E1172,0)</f>
        <v>0</v>
      </c>
      <c r="T1172" s="53">
        <f>IF(SCAN!Q1172&lt;&gt;"-",SCAN!F1172,0)</f>
        <v>0</v>
      </c>
    </row>
    <row r="1173" spans="8:20" x14ac:dyDescent="0.25">
      <c r="H1173" s="50">
        <f>IF(AND(SCAN!K1173="-",SCAN!Q1173="-"),SCAN!D1173,0)</f>
        <v>0</v>
      </c>
      <c r="I1173" s="50">
        <f>IF(AND(SCAN!K1173="-",SCAN!Q1173="-"),SCAN!E1173,0)</f>
        <v>0</v>
      </c>
      <c r="J1173" s="50">
        <f>IF(AND(SCAN!K1173="-",SCAN!Q1173="-"),SCAN!F1173,0)</f>
        <v>0</v>
      </c>
      <c r="M1173" s="55">
        <f>IF(SCAN!K1173&lt;&gt;"-",SCAN!D1173,0)</f>
        <v>0</v>
      </c>
      <c r="N1173" s="55">
        <f>IF(SCAN!K1173&lt;&gt;"-",SCAN!E1173,0)</f>
        <v>0</v>
      </c>
      <c r="O1173" s="55">
        <f>IF(SCAN!K1173&lt;&gt;"-",SCAN!F1173,0)</f>
        <v>0</v>
      </c>
      <c r="R1173" s="53">
        <f>IF(SCAN!Q1173&lt;&gt;"-",SCAN!D1173,0)</f>
        <v>0</v>
      </c>
      <c r="S1173" s="53">
        <f>IF(SCAN!Q1173&lt;&gt;"-",SCAN!E1173,0)</f>
        <v>0</v>
      </c>
      <c r="T1173" s="53">
        <f>IF(SCAN!Q1173&lt;&gt;"-",SCAN!F1173,0)</f>
        <v>0</v>
      </c>
    </row>
    <row r="1174" spans="8:20" x14ac:dyDescent="0.25">
      <c r="H1174" s="50">
        <f>IF(AND(SCAN!K1174="-",SCAN!Q1174="-"),SCAN!D1174,0)</f>
        <v>0</v>
      </c>
      <c r="I1174" s="50">
        <f>IF(AND(SCAN!K1174="-",SCAN!Q1174="-"),SCAN!E1174,0)</f>
        <v>0</v>
      </c>
      <c r="J1174" s="50">
        <f>IF(AND(SCAN!K1174="-",SCAN!Q1174="-"),SCAN!F1174,0)</f>
        <v>0</v>
      </c>
      <c r="M1174" s="55">
        <f>IF(SCAN!K1174&lt;&gt;"-",SCAN!D1174,0)</f>
        <v>0</v>
      </c>
      <c r="N1174" s="55">
        <f>IF(SCAN!K1174&lt;&gt;"-",SCAN!E1174,0)</f>
        <v>0</v>
      </c>
      <c r="O1174" s="55">
        <f>IF(SCAN!K1174&lt;&gt;"-",SCAN!F1174,0)</f>
        <v>0</v>
      </c>
      <c r="R1174" s="53">
        <f>IF(SCAN!Q1174&lt;&gt;"-",SCAN!D1174,0)</f>
        <v>0</v>
      </c>
      <c r="S1174" s="53">
        <f>IF(SCAN!Q1174&lt;&gt;"-",SCAN!E1174,0)</f>
        <v>0</v>
      </c>
      <c r="T1174" s="53">
        <f>IF(SCAN!Q1174&lt;&gt;"-",SCAN!F1174,0)</f>
        <v>0</v>
      </c>
    </row>
    <row r="1175" spans="8:20" x14ac:dyDescent="0.25">
      <c r="H1175" s="50">
        <f>IF(AND(SCAN!K1175="-",SCAN!Q1175="-"),SCAN!D1175,0)</f>
        <v>0</v>
      </c>
      <c r="I1175" s="50">
        <f>IF(AND(SCAN!K1175="-",SCAN!Q1175="-"),SCAN!E1175,0)</f>
        <v>0</v>
      </c>
      <c r="J1175" s="50">
        <f>IF(AND(SCAN!K1175="-",SCAN!Q1175="-"),SCAN!F1175,0)</f>
        <v>0</v>
      </c>
      <c r="M1175" s="55">
        <f>IF(SCAN!K1175&lt;&gt;"-",SCAN!D1175,0)</f>
        <v>0</v>
      </c>
      <c r="N1175" s="55">
        <f>IF(SCAN!K1175&lt;&gt;"-",SCAN!E1175,0)</f>
        <v>0</v>
      </c>
      <c r="O1175" s="55">
        <f>IF(SCAN!K1175&lt;&gt;"-",SCAN!F1175,0)</f>
        <v>0</v>
      </c>
      <c r="R1175" s="53">
        <f>IF(SCAN!Q1175&lt;&gt;"-",SCAN!D1175,0)</f>
        <v>0</v>
      </c>
      <c r="S1175" s="53">
        <f>IF(SCAN!Q1175&lt;&gt;"-",SCAN!E1175,0)</f>
        <v>0</v>
      </c>
      <c r="T1175" s="53">
        <f>IF(SCAN!Q1175&lt;&gt;"-",SCAN!F1175,0)</f>
        <v>0</v>
      </c>
    </row>
    <row r="1176" spans="8:20" x14ac:dyDescent="0.25">
      <c r="H1176" s="50">
        <f>IF(AND(SCAN!K1176="-",SCAN!Q1176="-"),SCAN!D1176,0)</f>
        <v>0</v>
      </c>
      <c r="I1176" s="50">
        <f>IF(AND(SCAN!K1176="-",SCAN!Q1176="-"),SCAN!E1176,0)</f>
        <v>0</v>
      </c>
      <c r="J1176" s="50">
        <f>IF(AND(SCAN!K1176="-",SCAN!Q1176="-"),SCAN!F1176,0)</f>
        <v>0</v>
      </c>
      <c r="M1176" s="55">
        <f>IF(SCAN!K1176&lt;&gt;"-",SCAN!D1176,0)</f>
        <v>0</v>
      </c>
      <c r="N1176" s="55">
        <f>IF(SCAN!K1176&lt;&gt;"-",SCAN!E1176,0)</f>
        <v>0</v>
      </c>
      <c r="O1176" s="55">
        <f>IF(SCAN!K1176&lt;&gt;"-",SCAN!F1176,0)</f>
        <v>0</v>
      </c>
      <c r="R1176" s="53">
        <f>IF(SCAN!Q1176&lt;&gt;"-",SCAN!D1176,0)</f>
        <v>0</v>
      </c>
      <c r="S1176" s="53">
        <f>IF(SCAN!Q1176&lt;&gt;"-",SCAN!E1176,0)</f>
        <v>0</v>
      </c>
      <c r="T1176" s="53">
        <f>IF(SCAN!Q1176&lt;&gt;"-",SCAN!F1176,0)</f>
        <v>0</v>
      </c>
    </row>
    <row r="1177" spans="8:20" x14ac:dyDescent="0.25">
      <c r="H1177" s="50">
        <f>IF(AND(SCAN!K1177="-",SCAN!Q1177="-"),SCAN!D1177,0)</f>
        <v>0</v>
      </c>
      <c r="I1177" s="50">
        <f>IF(AND(SCAN!K1177="-",SCAN!Q1177="-"),SCAN!E1177,0)</f>
        <v>0</v>
      </c>
      <c r="J1177" s="50">
        <f>IF(AND(SCAN!K1177="-",SCAN!Q1177="-"),SCAN!F1177,0)</f>
        <v>0</v>
      </c>
      <c r="M1177" s="55">
        <f>IF(SCAN!K1177&lt;&gt;"-",SCAN!D1177,0)</f>
        <v>0</v>
      </c>
      <c r="N1177" s="55">
        <f>IF(SCAN!K1177&lt;&gt;"-",SCAN!E1177,0)</f>
        <v>0</v>
      </c>
      <c r="O1177" s="55">
        <f>IF(SCAN!K1177&lt;&gt;"-",SCAN!F1177,0)</f>
        <v>0</v>
      </c>
      <c r="R1177" s="53">
        <f>IF(SCAN!Q1177&lt;&gt;"-",SCAN!D1177,0)</f>
        <v>0</v>
      </c>
      <c r="S1177" s="53">
        <f>IF(SCAN!Q1177&lt;&gt;"-",SCAN!E1177,0)</f>
        <v>0</v>
      </c>
      <c r="T1177" s="53">
        <f>IF(SCAN!Q1177&lt;&gt;"-",SCAN!F1177,0)</f>
        <v>0</v>
      </c>
    </row>
    <row r="1178" spans="8:20" x14ac:dyDescent="0.25">
      <c r="H1178" s="50">
        <f>IF(AND(SCAN!K1178="-",SCAN!Q1178="-"),SCAN!D1178,0)</f>
        <v>0</v>
      </c>
      <c r="I1178" s="50">
        <f>IF(AND(SCAN!K1178="-",SCAN!Q1178="-"),SCAN!E1178,0)</f>
        <v>0</v>
      </c>
      <c r="J1178" s="50">
        <f>IF(AND(SCAN!K1178="-",SCAN!Q1178="-"),SCAN!F1178,0)</f>
        <v>0</v>
      </c>
      <c r="M1178" s="55">
        <f>IF(SCAN!K1178&lt;&gt;"-",SCAN!D1178,0)</f>
        <v>0</v>
      </c>
      <c r="N1178" s="55">
        <f>IF(SCAN!K1178&lt;&gt;"-",SCAN!E1178,0)</f>
        <v>0</v>
      </c>
      <c r="O1178" s="55">
        <f>IF(SCAN!K1178&lt;&gt;"-",SCAN!F1178,0)</f>
        <v>0</v>
      </c>
      <c r="R1178" s="53">
        <f>IF(SCAN!Q1178&lt;&gt;"-",SCAN!D1178,0)</f>
        <v>0</v>
      </c>
      <c r="S1178" s="53">
        <f>IF(SCAN!Q1178&lt;&gt;"-",SCAN!E1178,0)</f>
        <v>0</v>
      </c>
      <c r="T1178" s="53">
        <f>IF(SCAN!Q1178&lt;&gt;"-",SCAN!F1178,0)</f>
        <v>0</v>
      </c>
    </row>
    <row r="1179" spans="8:20" x14ac:dyDescent="0.25">
      <c r="H1179" s="50">
        <f>IF(AND(SCAN!K1179="-",SCAN!Q1179="-"),SCAN!D1179,0)</f>
        <v>0</v>
      </c>
      <c r="I1179" s="50">
        <f>IF(AND(SCAN!K1179="-",SCAN!Q1179="-"),SCAN!E1179,0)</f>
        <v>0</v>
      </c>
      <c r="J1179" s="50">
        <f>IF(AND(SCAN!K1179="-",SCAN!Q1179="-"),SCAN!F1179,0)</f>
        <v>0</v>
      </c>
      <c r="M1179" s="55">
        <f>IF(SCAN!K1179&lt;&gt;"-",SCAN!D1179,0)</f>
        <v>0</v>
      </c>
      <c r="N1179" s="55">
        <f>IF(SCAN!K1179&lt;&gt;"-",SCAN!E1179,0)</f>
        <v>0</v>
      </c>
      <c r="O1179" s="55">
        <f>IF(SCAN!K1179&lt;&gt;"-",SCAN!F1179,0)</f>
        <v>0</v>
      </c>
      <c r="R1179" s="53">
        <f>IF(SCAN!Q1179&lt;&gt;"-",SCAN!D1179,0)</f>
        <v>0</v>
      </c>
      <c r="S1179" s="53">
        <f>IF(SCAN!Q1179&lt;&gt;"-",SCAN!E1179,0)</f>
        <v>0</v>
      </c>
      <c r="T1179" s="53">
        <f>IF(SCAN!Q1179&lt;&gt;"-",SCAN!F1179,0)</f>
        <v>0</v>
      </c>
    </row>
    <row r="1180" spans="8:20" x14ac:dyDescent="0.25">
      <c r="H1180" s="50">
        <f>IF(AND(SCAN!K1180="-",SCAN!Q1180="-"),SCAN!D1180,0)</f>
        <v>0</v>
      </c>
      <c r="I1180" s="50">
        <f>IF(AND(SCAN!K1180="-",SCAN!Q1180="-"),SCAN!E1180,0)</f>
        <v>0</v>
      </c>
      <c r="J1180" s="50">
        <f>IF(AND(SCAN!K1180="-",SCAN!Q1180="-"),SCAN!F1180,0)</f>
        <v>0</v>
      </c>
      <c r="M1180" s="55">
        <f>IF(SCAN!K1180&lt;&gt;"-",SCAN!D1180,0)</f>
        <v>0</v>
      </c>
      <c r="N1180" s="55">
        <f>IF(SCAN!K1180&lt;&gt;"-",SCAN!E1180,0)</f>
        <v>0</v>
      </c>
      <c r="O1180" s="55">
        <f>IF(SCAN!K1180&lt;&gt;"-",SCAN!F1180,0)</f>
        <v>0</v>
      </c>
      <c r="R1180" s="53">
        <f>IF(SCAN!Q1180&lt;&gt;"-",SCAN!D1180,0)</f>
        <v>0</v>
      </c>
      <c r="S1180" s="53">
        <f>IF(SCAN!Q1180&lt;&gt;"-",SCAN!E1180,0)</f>
        <v>0</v>
      </c>
      <c r="T1180" s="53">
        <f>IF(SCAN!Q1180&lt;&gt;"-",SCAN!F1180,0)</f>
        <v>0</v>
      </c>
    </row>
    <row r="1181" spans="8:20" x14ac:dyDescent="0.25">
      <c r="H1181" s="50">
        <f>IF(AND(SCAN!K1181="-",SCAN!Q1181="-"),SCAN!D1181,0)</f>
        <v>0</v>
      </c>
      <c r="I1181" s="50">
        <f>IF(AND(SCAN!K1181="-",SCAN!Q1181="-"),SCAN!E1181,0)</f>
        <v>0</v>
      </c>
      <c r="J1181" s="50">
        <f>IF(AND(SCAN!K1181="-",SCAN!Q1181="-"),SCAN!F1181,0)</f>
        <v>0</v>
      </c>
      <c r="M1181" s="55">
        <f>IF(SCAN!K1181&lt;&gt;"-",SCAN!D1181,0)</f>
        <v>0</v>
      </c>
      <c r="N1181" s="55">
        <f>IF(SCAN!K1181&lt;&gt;"-",SCAN!E1181,0)</f>
        <v>0</v>
      </c>
      <c r="O1181" s="55">
        <f>IF(SCAN!K1181&lt;&gt;"-",SCAN!F1181,0)</f>
        <v>0</v>
      </c>
      <c r="R1181" s="53">
        <f>IF(SCAN!Q1181&lt;&gt;"-",SCAN!D1181,0)</f>
        <v>0</v>
      </c>
      <c r="S1181" s="53">
        <f>IF(SCAN!Q1181&lt;&gt;"-",SCAN!E1181,0)</f>
        <v>0</v>
      </c>
      <c r="T1181" s="53">
        <f>IF(SCAN!Q1181&lt;&gt;"-",SCAN!F1181,0)</f>
        <v>0</v>
      </c>
    </row>
    <row r="1182" spans="8:20" x14ac:dyDescent="0.25">
      <c r="H1182" s="50">
        <f>IF(AND(SCAN!K1182="-",SCAN!Q1182="-"),SCAN!D1182,0)</f>
        <v>0</v>
      </c>
      <c r="I1182" s="50">
        <f>IF(AND(SCAN!K1182="-",SCAN!Q1182="-"),SCAN!E1182,0)</f>
        <v>0</v>
      </c>
      <c r="J1182" s="50">
        <f>IF(AND(SCAN!K1182="-",SCAN!Q1182="-"),SCAN!F1182,0)</f>
        <v>0</v>
      </c>
      <c r="M1182" s="55">
        <f>IF(SCAN!K1182&lt;&gt;"-",SCAN!D1182,0)</f>
        <v>0</v>
      </c>
      <c r="N1182" s="55">
        <f>IF(SCAN!K1182&lt;&gt;"-",SCAN!E1182,0)</f>
        <v>0</v>
      </c>
      <c r="O1182" s="55">
        <f>IF(SCAN!K1182&lt;&gt;"-",SCAN!F1182,0)</f>
        <v>0</v>
      </c>
      <c r="R1182" s="53">
        <f>IF(SCAN!Q1182&lt;&gt;"-",SCAN!D1182,0)</f>
        <v>0</v>
      </c>
      <c r="S1182" s="53">
        <f>IF(SCAN!Q1182&lt;&gt;"-",SCAN!E1182,0)</f>
        <v>0</v>
      </c>
      <c r="T1182" s="53">
        <f>IF(SCAN!Q1182&lt;&gt;"-",SCAN!F1182,0)</f>
        <v>0</v>
      </c>
    </row>
    <row r="1183" spans="8:20" x14ac:dyDescent="0.25">
      <c r="H1183" s="50">
        <f>IF(AND(SCAN!K1183="-",SCAN!Q1183="-"),SCAN!D1183,0)</f>
        <v>0</v>
      </c>
      <c r="I1183" s="50">
        <f>IF(AND(SCAN!K1183="-",SCAN!Q1183="-"),SCAN!E1183,0)</f>
        <v>0</v>
      </c>
      <c r="J1183" s="50">
        <f>IF(AND(SCAN!K1183="-",SCAN!Q1183="-"),SCAN!F1183,0)</f>
        <v>0</v>
      </c>
      <c r="M1183" s="55">
        <f>IF(SCAN!K1183&lt;&gt;"-",SCAN!D1183,0)</f>
        <v>0</v>
      </c>
      <c r="N1183" s="55">
        <f>IF(SCAN!K1183&lt;&gt;"-",SCAN!E1183,0)</f>
        <v>0</v>
      </c>
      <c r="O1183" s="55">
        <f>IF(SCAN!K1183&lt;&gt;"-",SCAN!F1183,0)</f>
        <v>0</v>
      </c>
      <c r="R1183" s="53">
        <f>IF(SCAN!Q1183&lt;&gt;"-",SCAN!D1183,0)</f>
        <v>0</v>
      </c>
      <c r="S1183" s="53">
        <f>IF(SCAN!Q1183&lt;&gt;"-",SCAN!E1183,0)</f>
        <v>0</v>
      </c>
      <c r="T1183" s="53">
        <f>IF(SCAN!Q1183&lt;&gt;"-",SCAN!F1183,0)</f>
        <v>0</v>
      </c>
    </row>
    <row r="1184" spans="8:20" x14ac:dyDescent="0.25">
      <c r="H1184" s="50">
        <f>IF(AND(SCAN!K1184="-",SCAN!Q1184="-"),SCAN!D1184,0)</f>
        <v>0</v>
      </c>
      <c r="I1184" s="50">
        <f>IF(AND(SCAN!K1184="-",SCAN!Q1184="-"),SCAN!E1184,0)</f>
        <v>0</v>
      </c>
      <c r="J1184" s="50">
        <f>IF(AND(SCAN!K1184="-",SCAN!Q1184="-"),SCAN!F1184,0)</f>
        <v>0</v>
      </c>
      <c r="M1184" s="55">
        <f>IF(SCAN!K1184&lt;&gt;"-",SCAN!D1184,0)</f>
        <v>0</v>
      </c>
      <c r="N1184" s="55">
        <f>IF(SCAN!K1184&lt;&gt;"-",SCAN!E1184,0)</f>
        <v>0</v>
      </c>
      <c r="O1184" s="55">
        <f>IF(SCAN!K1184&lt;&gt;"-",SCAN!F1184,0)</f>
        <v>0</v>
      </c>
      <c r="R1184" s="53">
        <f>IF(SCAN!Q1184&lt;&gt;"-",SCAN!D1184,0)</f>
        <v>0</v>
      </c>
      <c r="S1184" s="53">
        <f>IF(SCAN!Q1184&lt;&gt;"-",SCAN!E1184,0)</f>
        <v>0</v>
      </c>
      <c r="T1184" s="53">
        <f>IF(SCAN!Q1184&lt;&gt;"-",SCAN!F1184,0)</f>
        <v>0</v>
      </c>
    </row>
    <row r="1185" spans="8:20" x14ac:dyDescent="0.25">
      <c r="H1185" s="50">
        <f>IF(AND(SCAN!K1185="-",SCAN!Q1185="-"),SCAN!D1185,0)</f>
        <v>0</v>
      </c>
      <c r="I1185" s="50">
        <f>IF(AND(SCAN!K1185="-",SCAN!Q1185="-"),SCAN!E1185,0)</f>
        <v>0</v>
      </c>
      <c r="J1185" s="50">
        <f>IF(AND(SCAN!K1185="-",SCAN!Q1185="-"),SCAN!F1185,0)</f>
        <v>0</v>
      </c>
      <c r="M1185" s="55">
        <f>IF(SCAN!K1185&lt;&gt;"-",SCAN!D1185,0)</f>
        <v>0</v>
      </c>
      <c r="N1185" s="55">
        <f>IF(SCAN!K1185&lt;&gt;"-",SCAN!E1185,0)</f>
        <v>0</v>
      </c>
      <c r="O1185" s="55">
        <f>IF(SCAN!K1185&lt;&gt;"-",SCAN!F1185,0)</f>
        <v>0</v>
      </c>
      <c r="R1185" s="53">
        <f>IF(SCAN!Q1185&lt;&gt;"-",SCAN!D1185,0)</f>
        <v>0</v>
      </c>
      <c r="S1185" s="53">
        <f>IF(SCAN!Q1185&lt;&gt;"-",SCAN!E1185,0)</f>
        <v>0</v>
      </c>
      <c r="T1185" s="53">
        <f>IF(SCAN!Q1185&lt;&gt;"-",SCAN!F1185,0)</f>
        <v>0</v>
      </c>
    </row>
    <row r="1186" spans="8:20" x14ac:dyDescent="0.25">
      <c r="H1186" s="50">
        <f>IF(AND(SCAN!K1186="-",SCAN!Q1186="-"),SCAN!D1186,0)</f>
        <v>0</v>
      </c>
      <c r="I1186" s="50">
        <f>IF(AND(SCAN!K1186="-",SCAN!Q1186="-"),SCAN!E1186,0)</f>
        <v>0</v>
      </c>
      <c r="J1186" s="50">
        <f>IF(AND(SCAN!K1186="-",SCAN!Q1186="-"),SCAN!F1186,0)</f>
        <v>0</v>
      </c>
      <c r="M1186" s="55">
        <f>IF(SCAN!K1186&lt;&gt;"-",SCAN!D1186,0)</f>
        <v>0</v>
      </c>
      <c r="N1186" s="55">
        <f>IF(SCAN!K1186&lt;&gt;"-",SCAN!E1186,0)</f>
        <v>0</v>
      </c>
      <c r="O1186" s="55">
        <f>IF(SCAN!K1186&lt;&gt;"-",SCAN!F1186,0)</f>
        <v>0</v>
      </c>
      <c r="R1186" s="53">
        <f>IF(SCAN!Q1186&lt;&gt;"-",SCAN!D1186,0)</f>
        <v>0</v>
      </c>
      <c r="S1186" s="53">
        <f>IF(SCAN!Q1186&lt;&gt;"-",SCAN!E1186,0)</f>
        <v>0</v>
      </c>
      <c r="T1186" s="53">
        <f>IF(SCAN!Q1186&lt;&gt;"-",SCAN!F1186,0)</f>
        <v>0</v>
      </c>
    </row>
    <row r="1187" spans="8:20" x14ac:dyDescent="0.25">
      <c r="H1187" s="50">
        <f>IF(AND(SCAN!K1187="-",SCAN!Q1187="-"),SCAN!D1187,0)</f>
        <v>0</v>
      </c>
      <c r="I1187" s="50">
        <f>IF(AND(SCAN!K1187="-",SCAN!Q1187="-"),SCAN!E1187,0)</f>
        <v>0</v>
      </c>
      <c r="J1187" s="50">
        <f>IF(AND(SCAN!K1187="-",SCAN!Q1187="-"),SCAN!F1187,0)</f>
        <v>0</v>
      </c>
      <c r="M1187" s="55">
        <f>IF(SCAN!K1187&lt;&gt;"-",SCAN!D1187,0)</f>
        <v>0</v>
      </c>
      <c r="N1187" s="55">
        <f>IF(SCAN!K1187&lt;&gt;"-",SCAN!E1187,0)</f>
        <v>0</v>
      </c>
      <c r="O1187" s="55">
        <f>IF(SCAN!K1187&lt;&gt;"-",SCAN!F1187,0)</f>
        <v>0</v>
      </c>
      <c r="R1187" s="53">
        <f>IF(SCAN!Q1187&lt;&gt;"-",SCAN!D1187,0)</f>
        <v>0</v>
      </c>
      <c r="S1187" s="53">
        <f>IF(SCAN!Q1187&lt;&gt;"-",SCAN!E1187,0)</f>
        <v>0</v>
      </c>
      <c r="T1187" s="53">
        <f>IF(SCAN!Q1187&lt;&gt;"-",SCAN!F1187,0)</f>
        <v>0</v>
      </c>
    </row>
    <row r="1188" spans="8:20" x14ac:dyDescent="0.25">
      <c r="H1188" s="50">
        <f>IF(AND(SCAN!K1188="-",SCAN!Q1188="-"),SCAN!D1188,0)</f>
        <v>0</v>
      </c>
      <c r="I1188" s="50">
        <f>IF(AND(SCAN!K1188="-",SCAN!Q1188="-"),SCAN!E1188,0)</f>
        <v>0</v>
      </c>
      <c r="J1188" s="50">
        <f>IF(AND(SCAN!K1188="-",SCAN!Q1188="-"),SCAN!F1188,0)</f>
        <v>0</v>
      </c>
      <c r="M1188" s="55">
        <f>IF(SCAN!K1188&lt;&gt;"-",SCAN!D1188,0)</f>
        <v>0</v>
      </c>
      <c r="N1188" s="55">
        <f>IF(SCAN!K1188&lt;&gt;"-",SCAN!E1188,0)</f>
        <v>0</v>
      </c>
      <c r="O1188" s="55">
        <f>IF(SCAN!K1188&lt;&gt;"-",SCAN!F1188,0)</f>
        <v>0</v>
      </c>
      <c r="R1188" s="53">
        <f>IF(SCAN!Q1188&lt;&gt;"-",SCAN!D1188,0)</f>
        <v>0</v>
      </c>
      <c r="S1188" s="53">
        <f>IF(SCAN!Q1188&lt;&gt;"-",SCAN!E1188,0)</f>
        <v>0</v>
      </c>
      <c r="T1188" s="53">
        <f>IF(SCAN!Q1188&lt;&gt;"-",SCAN!F1188,0)</f>
        <v>0</v>
      </c>
    </row>
    <row r="1189" spans="8:20" x14ac:dyDescent="0.25">
      <c r="H1189" s="50">
        <f>IF(AND(SCAN!K1189="-",SCAN!Q1189="-"),SCAN!D1189,0)</f>
        <v>0</v>
      </c>
      <c r="I1189" s="50">
        <f>IF(AND(SCAN!K1189="-",SCAN!Q1189="-"),SCAN!E1189,0)</f>
        <v>0</v>
      </c>
      <c r="J1189" s="50">
        <f>IF(AND(SCAN!K1189="-",SCAN!Q1189="-"),SCAN!F1189,0)</f>
        <v>0</v>
      </c>
      <c r="M1189" s="55">
        <f>IF(SCAN!K1189&lt;&gt;"-",SCAN!D1189,0)</f>
        <v>0</v>
      </c>
      <c r="N1189" s="55">
        <f>IF(SCAN!K1189&lt;&gt;"-",SCAN!E1189,0)</f>
        <v>0</v>
      </c>
      <c r="O1189" s="55">
        <f>IF(SCAN!K1189&lt;&gt;"-",SCAN!F1189,0)</f>
        <v>0</v>
      </c>
      <c r="R1189" s="53">
        <f>IF(SCAN!Q1189&lt;&gt;"-",SCAN!D1189,0)</f>
        <v>0</v>
      </c>
      <c r="S1189" s="53">
        <f>IF(SCAN!Q1189&lt;&gt;"-",SCAN!E1189,0)</f>
        <v>0</v>
      </c>
      <c r="T1189" s="53">
        <f>IF(SCAN!Q1189&lt;&gt;"-",SCAN!F1189,0)</f>
        <v>0</v>
      </c>
    </row>
    <row r="1190" spans="8:20" x14ac:dyDescent="0.25">
      <c r="H1190" s="50">
        <f>IF(AND(SCAN!K1190="-",SCAN!Q1190="-"),SCAN!D1190,0)</f>
        <v>0</v>
      </c>
      <c r="I1190" s="50">
        <f>IF(AND(SCAN!K1190="-",SCAN!Q1190="-"),SCAN!E1190,0)</f>
        <v>0</v>
      </c>
      <c r="J1190" s="50">
        <f>IF(AND(SCAN!K1190="-",SCAN!Q1190="-"),SCAN!F1190,0)</f>
        <v>0</v>
      </c>
      <c r="M1190" s="55">
        <f>IF(SCAN!K1190&lt;&gt;"-",SCAN!D1190,0)</f>
        <v>0</v>
      </c>
      <c r="N1190" s="55">
        <f>IF(SCAN!K1190&lt;&gt;"-",SCAN!E1190,0)</f>
        <v>0</v>
      </c>
      <c r="O1190" s="55">
        <f>IF(SCAN!K1190&lt;&gt;"-",SCAN!F1190,0)</f>
        <v>0</v>
      </c>
      <c r="R1190" s="53">
        <f>IF(SCAN!Q1190&lt;&gt;"-",SCAN!D1190,0)</f>
        <v>0</v>
      </c>
      <c r="S1190" s="53">
        <f>IF(SCAN!Q1190&lt;&gt;"-",SCAN!E1190,0)</f>
        <v>0</v>
      </c>
      <c r="T1190" s="53">
        <f>IF(SCAN!Q1190&lt;&gt;"-",SCAN!F1190,0)</f>
        <v>0</v>
      </c>
    </row>
    <row r="1191" spans="8:20" x14ac:dyDescent="0.25">
      <c r="H1191" s="50">
        <f>IF(AND(SCAN!K1191="-",SCAN!Q1191="-"),SCAN!D1191,0)</f>
        <v>0</v>
      </c>
      <c r="I1191" s="50">
        <f>IF(AND(SCAN!K1191="-",SCAN!Q1191="-"),SCAN!E1191,0)</f>
        <v>0</v>
      </c>
      <c r="J1191" s="50">
        <f>IF(AND(SCAN!K1191="-",SCAN!Q1191="-"),SCAN!F1191,0)</f>
        <v>0</v>
      </c>
      <c r="M1191" s="55">
        <f>IF(SCAN!K1191&lt;&gt;"-",SCAN!D1191,0)</f>
        <v>0</v>
      </c>
      <c r="N1191" s="55">
        <f>IF(SCAN!K1191&lt;&gt;"-",SCAN!E1191,0)</f>
        <v>0</v>
      </c>
      <c r="O1191" s="55">
        <f>IF(SCAN!K1191&lt;&gt;"-",SCAN!F1191,0)</f>
        <v>0</v>
      </c>
      <c r="R1191" s="53">
        <f>IF(SCAN!Q1191&lt;&gt;"-",SCAN!D1191,0)</f>
        <v>0</v>
      </c>
      <c r="S1191" s="53">
        <f>IF(SCAN!Q1191&lt;&gt;"-",SCAN!E1191,0)</f>
        <v>0</v>
      </c>
      <c r="T1191" s="53">
        <f>IF(SCAN!Q1191&lt;&gt;"-",SCAN!F1191,0)</f>
        <v>0</v>
      </c>
    </row>
    <row r="1192" spans="8:20" x14ac:dyDescent="0.25">
      <c r="H1192" s="50">
        <f>IF(AND(SCAN!K1192="-",SCAN!Q1192="-"),SCAN!D1192,0)</f>
        <v>0</v>
      </c>
      <c r="I1192" s="50">
        <f>IF(AND(SCAN!K1192="-",SCAN!Q1192="-"),SCAN!E1192,0)</f>
        <v>0</v>
      </c>
      <c r="J1192" s="50">
        <f>IF(AND(SCAN!K1192="-",SCAN!Q1192="-"),SCAN!F1192,0)</f>
        <v>0</v>
      </c>
      <c r="M1192" s="55">
        <f>IF(SCAN!K1192&lt;&gt;"-",SCAN!D1192,0)</f>
        <v>0</v>
      </c>
      <c r="N1192" s="55">
        <f>IF(SCAN!K1192&lt;&gt;"-",SCAN!E1192,0)</f>
        <v>0</v>
      </c>
      <c r="O1192" s="55">
        <f>IF(SCAN!K1192&lt;&gt;"-",SCAN!F1192,0)</f>
        <v>0</v>
      </c>
      <c r="R1192" s="53">
        <f>IF(SCAN!Q1192&lt;&gt;"-",SCAN!D1192,0)</f>
        <v>0</v>
      </c>
      <c r="S1192" s="53">
        <f>IF(SCAN!Q1192&lt;&gt;"-",SCAN!E1192,0)</f>
        <v>0</v>
      </c>
      <c r="T1192" s="53">
        <f>IF(SCAN!Q1192&lt;&gt;"-",SCAN!F1192,0)</f>
        <v>0</v>
      </c>
    </row>
    <row r="1193" spans="8:20" x14ac:dyDescent="0.25">
      <c r="H1193" s="50">
        <f>IF(AND(SCAN!K1193="-",SCAN!Q1193="-"),SCAN!D1193,0)</f>
        <v>0</v>
      </c>
      <c r="I1193" s="50">
        <f>IF(AND(SCAN!K1193="-",SCAN!Q1193="-"),SCAN!E1193,0)</f>
        <v>0</v>
      </c>
      <c r="J1193" s="50">
        <f>IF(AND(SCAN!K1193="-",SCAN!Q1193="-"),SCAN!F1193,0)</f>
        <v>0</v>
      </c>
      <c r="M1193" s="55">
        <f>IF(SCAN!K1193&lt;&gt;"-",SCAN!D1193,0)</f>
        <v>0</v>
      </c>
      <c r="N1193" s="55">
        <f>IF(SCAN!K1193&lt;&gt;"-",SCAN!E1193,0)</f>
        <v>0</v>
      </c>
      <c r="O1193" s="55">
        <f>IF(SCAN!K1193&lt;&gt;"-",SCAN!F1193,0)</f>
        <v>0</v>
      </c>
      <c r="R1193" s="53">
        <f>IF(SCAN!Q1193&lt;&gt;"-",SCAN!D1193,0)</f>
        <v>0</v>
      </c>
      <c r="S1193" s="53">
        <f>IF(SCAN!Q1193&lt;&gt;"-",SCAN!E1193,0)</f>
        <v>0</v>
      </c>
      <c r="T1193" s="53">
        <f>IF(SCAN!Q1193&lt;&gt;"-",SCAN!F1193,0)</f>
        <v>0</v>
      </c>
    </row>
    <row r="1194" spans="8:20" x14ac:dyDescent="0.25">
      <c r="H1194" s="50">
        <f>IF(AND(SCAN!K1194="-",SCAN!Q1194="-"),SCAN!D1194,0)</f>
        <v>0</v>
      </c>
      <c r="I1194" s="50">
        <f>IF(AND(SCAN!K1194="-",SCAN!Q1194="-"),SCAN!E1194,0)</f>
        <v>0</v>
      </c>
      <c r="J1194" s="50">
        <f>IF(AND(SCAN!K1194="-",SCAN!Q1194="-"),SCAN!F1194,0)</f>
        <v>0</v>
      </c>
      <c r="M1194" s="55">
        <f>IF(SCAN!K1194&lt;&gt;"-",SCAN!D1194,0)</f>
        <v>0</v>
      </c>
      <c r="N1194" s="55">
        <f>IF(SCAN!K1194&lt;&gt;"-",SCAN!E1194,0)</f>
        <v>0</v>
      </c>
      <c r="O1194" s="55">
        <f>IF(SCAN!K1194&lt;&gt;"-",SCAN!F1194,0)</f>
        <v>0</v>
      </c>
      <c r="R1194" s="53">
        <f>IF(SCAN!Q1194&lt;&gt;"-",SCAN!D1194,0)</f>
        <v>0</v>
      </c>
      <c r="S1194" s="53">
        <f>IF(SCAN!Q1194&lt;&gt;"-",SCAN!E1194,0)</f>
        <v>0</v>
      </c>
      <c r="T1194" s="53">
        <f>IF(SCAN!Q1194&lt;&gt;"-",SCAN!F1194,0)</f>
        <v>0</v>
      </c>
    </row>
    <row r="1195" spans="8:20" x14ac:dyDescent="0.25">
      <c r="H1195" s="50">
        <f>IF(AND(SCAN!K1195="-",SCAN!Q1195="-"),SCAN!D1195,0)</f>
        <v>0</v>
      </c>
      <c r="I1195" s="50">
        <f>IF(AND(SCAN!K1195="-",SCAN!Q1195="-"),SCAN!E1195,0)</f>
        <v>0</v>
      </c>
      <c r="J1195" s="50">
        <f>IF(AND(SCAN!K1195="-",SCAN!Q1195="-"),SCAN!F1195,0)</f>
        <v>0</v>
      </c>
      <c r="M1195" s="55">
        <f>IF(SCAN!K1195&lt;&gt;"-",SCAN!D1195,0)</f>
        <v>0</v>
      </c>
      <c r="N1195" s="55">
        <f>IF(SCAN!K1195&lt;&gt;"-",SCAN!E1195,0)</f>
        <v>0</v>
      </c>
      <c r="O1195" s="55">
        <f>IF(SCAN!K1195&lt;&gt;"-",SCAN!F1195,0)</f>
        <v>0</v>
      </c>
      <c r="R1195" s="53">
        <f>IF(SCAN!Q1195&lt;&gt;"-",SCAN!D1195,0)</f>
        <v>0</v>
      </c>
      <c r="S1195" s="53">
        <f>IF(SCAN!Q1195&lt;&gt;"-",SCAN!E1195,0)</f>
        <v>0</v>
      </c>
      <c r="T1195" s="53">
        <f>IF(SCAN!Q1195&lt;&gt;"-",SCAN!F1195,0)</f>
        <v>0</v>
      </c>
    </row>
    <row r="1196" spans="8:20" x14ac:dyDescent="0.25">
      <c r="H1196" s="50">
        <f>IF(AND(SCAN!K1196="-",SCAN!Q1196="-"),SCAN!D1196,0)</f>
        <v>0</v>
      </c>
      <c r="I1196" s="50">
        <f>IF(AND(SCAN!K1196="-",SCAN!Q1196="-"),SCAN!E1196,0)</f>
        <v>0</v>
      </c>
      <c r="J1196" s="50">
        <f>IF(AND(SCAN!K1196="-",SCAN!Q1196="-"),SCAN!F1196,0)</f>
        <v>0</v>
      </c>
      <c r="M1196" s="55">
        <f>IF(SCAN!K1196&lt;&gt;"-",SCAN!D1196,0)</f>
        <v>0</v>
      </c>
      <c r="N1196" s="55">
        <f>IF(SCAN!K1196&lt;&gt;"-",SCAN!E1196,0)</f>
        <v>0</v>
      </c>
      <c r="O1196" s="55">
        <f>IF(SCAN!K1196&lt;&gt;"-",SCAN!F1196,0)</f>
        <v>0</v>
      </c>
      <c r="R1196" s="53">
        <f>IF(SCAN!Q1196&lt;&gt;"-",SCAN!D1196,0)</f>
        <v>0</v>
      </c>
      <c r="S1196" s="53">
        <f>IF(SCAN!Q1196&lt;&gt;"-",SCAN!E1196,0)</f>
        <v>0</v>
      </c>
      <c r="T1196" s="53">
        <f>IF(SCAN!Q1196&lt;&gt;"-",SCAN!F1196,0)</f>
        <v>0</v>
      </c>
    </row>
    <row r="1197" spans="8:20" x14ac:dyDescent="0.25">
      <c r="H1197" s="50">
        <f>IF(AND(SCAN!K1197="-",SCAN!Q1197="-"),SCAN!D1197,0)</f>
        <v>0</v>
      </c>
      <c r="I1197" s="50">
        <f>IF(AND(SCAN!K1197="-",SCAN!Q1197="-"),SCAN!E1197,0)</f>
        <v>0</v>
      </c>
      <c r="J1197" s="50">
        <f>IF(AND(SCAN!K1197="-",SCAN!Q1197="-"),SCAN!F1197,0)</f>
        <v>0</v>
      </c>
      <c r="M1197" s="55">
        <f>IF(SCAN!K1197&lt;&gt;"-",SCAN!D1197,0)</f>
        <v>0</v>
      </c>
      <c r="N1197" s="55">
        <f>IF(SCAN!K1197&lt;&gt;"-",SCAN!E1197,0)</f>
        <v>0</v>
      </c>
      <c r="O1197" s="55">
        <f>IF(SCAN!K1197&lt;&gt;"-",SCAN!F1197,0)</f>
        <v>0</v>
      </c>
      <c r="R1197" s="53">
        <f>IF(SCAN!Q1197&lt;&gt;"-",SCAN!D1197,0)</f>
        <v>0</v>
      </c>
      <c r="S1197" s="53">
        <f>IF(SCAN!Q1197&lt;&gt;"-",SCAN!E1197,0)</f>
        <v>0</v>
      </c>
      <c r="T1197" s="53">
        <f>IF(SCAN!Q1197&lt;&gt;"-",SCAN!F1197,0)</f>
        <v>0</v>
      </c>
    </row>
    <row r="1198" spans="8:20" x14ac:dyDescent="0.25">
      <c r="H1198" s="50">
        <f>IF(AND(SCAN!K1198="-",SCAN!Q1198="-"),SCAN!D1198,0)</f>
        <v>0</v>
      </c>
      <c r="I1198" s="50">
        <f>IF(AND(SCAN!K1198="-",SCAN!Q1198="-"),SCAN!E1198,0)</f>
        <v>0</v>
      </c>
      <c r="J1198" s="50">
        <f>IF(AND(SCAN!K1198="-",SCAN!Q1198="-"),SCAN!F1198,0)</f>
        <v>0</v>
      </c>
      <c r="M1198" s="55">
        <f>IF(SCAN!K1198&lt;&gt;"-",SCAN!D1198,0)</f>
        <v>0</v>
      </c>
      <c r="N1198" s="55">
        <f>IF(SCAN!K1198&lt;&gt;"-",SCAN!E1198,0)</f>
        <v>0</v>
      </c>
      <c r="O1198" s="55">
        <f>IF(SCAN!K1198&lt;&gt;"-",SCAN!F1198,0)</f>
        <v>0</v>
      </c>
      <c r="R1198" s="53">
        <f>IF(SCAN!Q1198&lt;&gt;"-",SCAN!D1198,0)</f>
        <v>0</v>
      </c>
      <c r="S1198" s="53">
        <f>IF(SCAN!Q1198&lt;&gt;"-",SCAN!E1198,0)</f>
        <v>0</v>
      </c>
      <c r="T1198" s="53">
        <f>IF(SCAN!Q1198&lt;&gt;"-",SCAN!F1198,0)</f>
        <v>0</v>
      </c>
    </row>
    <row r="1199" spans="8:20" x14ac:dyDescent="0.25">
      <c r="H1199" s="50">
        <f>IF(AND(SCAN!K1199="-",SCAN!Q1199="-"),SCAN!D1199,0)</f>
        <v>0</v>
      </c>
      <c r="I1199" s="50">
        <f>IF(AND(SCAN!K1199="-",SCAN!Q1199="-"),SCAN!E1199,0)</f>
        <v>0</v>
      </c>
      <c r="J1199" s="50">
        <f>IF(AND(SCAN!K1199="-",SCAN!Q1199="-"),SCAN!F1199,0)</f>
        <v>0</v>
      </c>
      <c r="M1199" s="55">
        <f>IF(SCAN!K1199&lt;&gt;"-",SCAN!D1199,0)</f>
        <v>0</v>
      </c>
      <c r="N1199" s="55">
        <f>IF(SCAN!K1199&lt;&gt;"-",SCAN!E1199,0)</f>
        <v>0</v>
      </c>
      <c r="O1199" s="55">
        <f>IF(SCAN!K1199&lt;&gt;"-",SCAN!F1199,0)</f>
        <v>0</v>
      </c>
      <c r="R1199" s="53">
        <f>IF(SCAN!Q1199&lt;&gt;"-",SCAN!D1199,0)</f>
        <v>0</v>
      </c>
      <c r="S1199" s="53">
        <f>IF(SCAN!Q1199&lt;&gt;"-",SCAN!E1199,0)</f>
        <v>0</v>
      </c>
      <c r="T1199" s="53">
        <f>IF(SCAN!Q1199&lt;&gt;"-",SCAN!F1199,0)</f>
        <v>0</v>
      </c>
    </row>
    <row r="1200" spans="8:20" x14ac:dyDescent="0.25">
      <c r="H1200" s="50">
        <f>IF(AND(SCAN!K1200="-",SCAN!Q1200="-"),SCAN!D1200,0)</f>
        <v>0</v>
      </c>
      <c r="I1200" s="50">
        <f>IF(AND(SCAN!K1200="-",SCAN!Q1200="-"),SCAN!E1200,0)</f>
        <v>0</v>
      </c>
      <c r="J1200" s="50">
        <f>IF(AND(SCAN!K1200="-",SCAN!Q1200="-"),SCAN!F1200,0)</f>
        <v>0</v>
      </c>
      <c r="M1200" s="55">
        <f>IF(SCAN!K1200&lt;&gt;"-",SCAN!D1200,0)</f>
        <v>0</v>
      </c>
      <c r="N1200" s="55">
        <f>IF(SCAN!K1200&lt;&gt;"-",SCAN!E1200,0)</f>
        <v>0</v>
      </c>
      <c r="O1200" s="55">
        <f>IF(SCAN!K1200&lt;&gt;"-",SCAN!F1200,0)</f>
        <v>0</v>
      </c>
      <c r="R1200" s="53">
        <f>IF(SCAN!Q1200&lt;&gt;"-",SCAN!D1200,0)</f>
        <v>0</v>
      </c>
      <c r="S1200" s="53">
        <f>IF(SCAN!Q1200&lt;&gt;"-",SCAN!E1200,0)</f>
        <v>0</v>
      </c>
      <c r="T1200" s="53">
        <f>IF(SCAN!Q1200&lt;&gt;"-",SCAN!F1200,0)</f>
        <v>0</v>
      </c>
    </row>
    <row r="1201" spans="2:27" s="24" customFormat="1" x14ac:dyDescent="0.25">
      <c r="B1201" s="23"/>
      <c r="C1201" s="23"/>
      <c r="D1201" s="23"/>
      <c r="G1201" s="51"/>
      <c r="H1201" s="51"/>
      <c r="I1201" s="51"/>
      <c r="J1201" s="51"/>
      <c r="L1201" s="57"/>
      <c r="M1201" s="58"/>
      <c r="N1201" s="58"/>
      <c r="O1201" s="58"/>
      <c r="Q1201" s="54"/>
      <c r="R1201" s="54"/>
      <c r="S1201" s="54"/>
      <c r="T1201" s="54"/>
      <c r="U1201" s="18"/>
      <c r="V1201" s="18"/>
      <c r="W1201" s="18"/>
      <c r="X1201" s="18"/>
      <c r="Y1201" s="18"/>
      <c r="Z1201" s="18"/>
      <c r="AA1201" s="18"/>
    </row>
    <row r="1202" spans="2:27" s="24" customFormat="1" x14ac:dyDescent="0.25">
      <c r="B1202" s="23"/>
      <c r="C1202" s="23"/>
      <c r="D1202" s="23"/>
      <c r="G1202" s="51"/>
      <c r="H1202" s="51"/>
      <c r="I1202" s="51"/>
      <c r="J1202" s="51"/>
      <c r="L1202" s="57"/>
      <c r="M1202" s="58"/>
      <c r="N1202" s="58"/>
      <c r="O1202" s="58"/>
      <c r="Q1202" s="54"/>
      <c r="R1202" s="54"/>
      <c r="S1202" s="54"/>
      <c r="T1202" s="54"/>
      <c r="U1202" s="18"/>
      <c r="V1202" s="18"/>
      <c r="W1202" s="18"/>
      <c r="X1202" s="18"/>
      <c r="Y1202" s="18"/>
      <c r="Z1202" s="18"/>
      <c r="AA1202" s="18"/>
    </row>
    <row r="1203" spans="2:27" s="24" customFormat="1" x14ac:dyDescent="0.25">
      <c r="B1203" s="23"/>
      <c r="C1203" s="23"/>
      <c r="D1203" s="23"/>
      <c r="G1203" s="51"/>
      <c r="H1203" s="51"/>
      <c r="I1203" s="51"/>
      <c r="J1203" s="51"/>
      <c r="L1203" s="57"/>
      <c r="M1203" s="58"/>
      <c r="N1203" s="58"/>
      <c r="O1203" s="58"/>
      <c r="Q1203" s="54"/>
      <c r="R1203" s="54"/>
      <c r="S1203" s="54"/>
      <c r="T1203" s="54"/>
      <c r="U1203" s="18"/>
      <c r="V1203" s="18"/>
      <c r="W1203" s="18"/>
      <c r="X1203" s="18"/>
      <c r="Y1203" s="18"/>
      <c r="Z1203" s="18"/>
      <c r="AA1203" s="18"/>
    </row>
    <row r="1204" spans="2:27" s="24" customFormat="1" x14ac:dyDescent="0.25">
      <c r="B1204" s="23"/>
      <c r="C1204" s="23"/>
      <c r="D1204" s="23"/>
      <c r="G1204" s="51"/>
      <c r="H1204" s="51"/>
      <c r="I1204" s="51"/>
      <c r="J1204" s="51"/>
      <c r="L1204" s="57"/>
      <c r="M1204" s="58"/>
      <c r="N1204" s="58"/>
      <c r="O1204" s="58"/>
      <c r="Q1204" s="54"/>
      <c r="R1204" s="54"/>
      <c r="S1204" s="54"/>
      <c r="T1204" s="54"/>
      <c r="U1204" s="18"/>
      <c r="V1204" s="18"/>
      <c r="W1204" s="18"/>
      <c r="X1204" s="18"/>
      <c r="Y1204" s="18"/>
      <c r="Z1204" s="18"/>
      <c r="AA1204" s="18"/>
    </row>
    <row r="1205" spans="2:27" s="24" customFormat="1" x14ac:dyDescent="0.25">
      <c r="B1205" s="23"/>
      <c r="C1205" s="23"/>
      <c r="D1205" s="23"/>
      <c r="G1205" s="51"/>
      <c r="H1205" s="51"/>
      <c r="I1205" s="51"/>
      <c r="J1205" s="51"/>
      <c r="L1205" s="57"/>
      <c r="M1205" s="58"/>
      <c r="N1205" s="58"/>
      <c r="O1205" s="58"/>
      <c r="Q1205" s="54"/>
      <c r="R1205" s="54"/>
      <c r="S1205" s="54"/>
      <c r="T1205" s="54"/>
      <c r="U1205" s="18"/>
      <c r="V1205" s="18"/>
      <c r="W1205" s="18"/>
      <c r="X1205" s="18"/>
      <c r="Y1205" s="18"/>
      <c r="Z1205" s="18"/>
      <c r="AA1205" s="18"/>
    </row>
    <row r="1206" spans="2:27" s="24" customFormat="1" x14ac:dyDescent="0.25">
      <c r="B1206" s="23"/>
      <c r="C1206" s="23"/>
      <c r="D1206" s="23"/>
      <c r="G1206" s="51"/>
      <c r="H1206" s="51"/>
      <c r="I1206" s="51"/>
      <c r="J1206" s="51"/>
      <c r="L1206" s="57"/>
      <c r="M1206" s="58"/>
      <c r="N1206" s="58"/>
      <c r="O1206" s="58"/>
      <c r="Q1206" s="54"/>
      <c r="R1206" s="54"/>
      <c r="S1206" s="54"/>
      <c r="T1206" s="54"/>
      <c r="U1206" s="18"/>
      <c r="V1206" s="18"/>
      <c r="W1206" s="18"/>
      <c r="X1206" s="18"/>
      <c r="Y1206" s="18"/>
      <c r="Z1206" s="18"/>
      <c r="AA1206" s="18"/>
    </row>
    <row r="1207" spans="2:27" s="24" customFormat="1" x14ac:dyDescent="0.25">
      <c r="B1207" s="23"/>
      <c r="C1207" s="23"/>
      <c r="D1207" s="23"/>
      <c r="G1207" s="51"/>
      <c r="H1207" s="51"/>
      <c r="I1207" s="51"/>
      <c r="J1207" s="51"/>
      <c r="L1207" s="57"/>
      <c r="M1207" s="58"/>
      <c r="N1207" s="58"/>
      <c r="O1207" s="58"/>
      <c r="Q1207" s="54"/>
      <c r="R1207" s="54"/>
      <c r="S1207" s="54"/>
      <c r="T1207" s="54"/>
      <c r="U1207" s="18"/>
      <c r="V1207" s="18"/>
      <c r="W1207" s="18"/>
      <c r="X1207" s="18"/>
      <c r="Y1207" s="18"/>
      <c r="Z1207" s="18"/>
      <c r="AA1207" s="18"/>
    </row>
    <row r="1208" spans="2:27" s="24" customFormat="1" x14ac:dyDescent="0.25">
      <c r="B1208" s="23"/>
      <c r="C1208" s="23"/>
      <c r="D1208" s="23"/>
      <c r="G1208" s="51"/>
      <c r="H1208" s="51"/>
      <c r="I1208" s="51"/>
      <c r="J1208" s="51"/>
      <c r="L1208" s="57"/>
      <c r="M1208" s="58"/>
      <c r="N1208" s="58"/>
      <c r="O1208" s="58"/>
      <c r="Q1208" s="54"/>
      <c r="R1208" s="54"/>
      <c r="S1208" s="54"/>
      <c r="T1208" s="54"/>
      <c r="U1208" s="18"/>
      <c r="V1208" s="18"/>
      <c r="W1208" s="18"/>
      <c r="X1208" s="18"/>
      <c r="Y1208" s="18"/>
      <c r="Z1208" s="18"/>
      <c r="AA1208" s="18"/>
    </row>
    <row r="1209" spans="2:27" s="24" customFormat="1" x14ac:dyDescent="0.25">
      <c r="B1209" s="23"/>
      <c r="C1209" s="23"/>
      <c r="D1209" s="23"/>
      <c r="G1209" s="51"/>
      <c r="H1209" s="51"/>
      <c r="I1209" s="51"/>
      <c r="J1209" s="51"/>
      <c r="L1209" s="57"/>
      <c r="M1209" s="58"/>
      <c r="N1209" s="58"/>
      <c r="O1209" s="58"/>
      <c r="Q1209" s="54"/>
      <c r="R1209" s="54"/>
      <c r="S1209" s="54"/>
      <c r="T1209" s="54"/>
      <c r="U1209" s="18"/>
      <c r="V1209" s="18"/>
      <c r="W1209" s="18"/>
      <c r="X1209" s="18"/>
      <c r="Y1209" s="18"/>
      <c r="Z1209" s="18"/>
      <c r="AA1209" s="18"/>
    </row>
    <row r="1210" spans="2:27" s="24" customFormat="1" x14ac:dyDescent="0.25">
      <c r="B1210" s="23"/>
      <c r="C1210" s="23"/>
      <c r="D1210" s="23"/>
      <c r="G1210" s="51"/>
      <c r="H1210" s="51"/>
      <c r="I1210" s="51"/>
      <c r="J1210" s="51"/>
      <c r="L1210" s="57"/>
      <c r="M1210" s="58"/>
      <c r="N1210" s="58"/>
      <c r="O1210" s="58"/>
      <c r="Q1210" s="54"/>
      <c r="R1210" s="54"/>
      <c r="S1210" s="54"/>
      <c r="T1210" s="54"/>
      <c r="U1210" s="18"/>
      <c r="V1210" s="18"/>
      <c r="W1210" s="18"/>
      <c r="X1210" s="18"/>
      <c r="Y1210" s="18"/>
      <c r="Z1210" s="18"/>
      <c r="AA1210" s="18"/>
    </row>
    <row r="1211" spans="2:27" s="24" customFormat="1" x14ac:dyDescent="0.25">
      <c r="B1211" s="23"/>
      <c r="C1211" s="23"/>
      <c r="D1211" s="23"/>
      <c r="G1211" s="51"/>
      <c r="H1211" s="51"/>
      <c r="I1211" s="51"/>
      <c r="J1211" s="51"/>
      <c r="L1211" s="57"/>
      <c r="M1211" s="58"/>
      <c r="N1211" s="58"/>
      <c r="O1211" s="58"/>
      <c r="Q1211" s="54"/>
      <c r="R1211" s="54"/>
      <c r="S1211" s="54"/>
      <c r="T1211" s="54"/>
      <c r="U1211" s="18"/>
      <c r="V1211" s="18"/>
      <c r="W1211" s="18"/>
      <c r="X1211" s="18"/>
      <c r="Y1211" s="18"/>
      <c r="Z1211" s="18"/>
      <c r="AA1211" s="18"/>
    </row>
    <row r="1212" spans="2:27" s="24" customFormat="1" x14ac:dyDescent="0.25">
      <c r="B1212" s="23"/>
      <c r="C1212" s="23"/>
      <c r="D1212" s="23"/>
      <c r="G1212" s="51"/>
      <c r="H1212" s="51"/>
      <c r="I1212" s="51"/>
      <c r="J1212" s="51"/>
      <c r="L1212" s="57"/>
      <c r="M1212" s="58"/>
      <c r="N1212" s="58"/>
      <c r="O1212" s="58"/>
      <c r="Q1212" s="54"/>
      <c r="R1212" s="54"/>
      <c r="S1212" s="54"/>
      <c r="T1212" s="54"/>
      <c r="U1212" s="18"/>
      <c r="V1212" s="18"/>
      <c r="W1212" s="18"/>
      <c r="X1212" s="18"/>
      <c r="Y1212" s="18"/>
      <c r="Z1212" s="18"/>
      <c r="AA1212" s="18"/>
    </row>
    <row r="1213" spans="2:27" s="24" customFormat="1" x14ac:dyDescent="0.25">
      <c r="B1213" s="23"/>
      <c r="C1213" s="23"/>
      <c r="D1213" s="23"/>
      <c r="G1213" s="51"/>
      <c r="H1213" s="51"/>
      <c r="I1213" s="51"/>
      <c r="J1213" s="51"/>
      <c r="L1213" s="57"/>
      <c r="M1213" s="58"/>
      <c r="N1213" s="58"/>
      <c r="O1213" s="58"/>
      <c r="Q1213" s="54"/>
      <c r="R1213" s="54"/>
      <c r="S1213" s="54"/>
      <c r="T1213" s="54"/>
      <c r="U1213" s="18"/>
      <c r="V1213" s="18"/>
      <c r="W1213" s="18"/>
      <c r="X1213" s="18"/>
      <c r="Y1213" s="18"/>
      <c r="Z1213" s="18"/>
      <c r="AA1213" s="18"/>
    </row>
    <row r="1214" spans="2:27" s="24" customFormat="1" x14ac:dyDescent="0.25">
      <c r="B1214" s="23"/>
      <c r="C1214" s="23"/>
      <c r="D1214" s="23"/>
      <c r="G1214" s="51"/>
      <c r="H1214" s="51"/>
      <c r="I1214" s="51"/>
      <c r="J1214" s="51"/>
      <c r="L1214" s="57"/>
      <c r="M1214" s="58"/>
      <c r="N1214" s="58"/>
      <c r="O1214" s="58"/>
      <c r="Q1214" s="54"/>
      <c r="R1214" s="54"/>
      <c r="S1214" s="54"/>
      <c r="T1214" s="54"/>
      <c r="U1214" s="18"/>
      <c r="V1214" s="18"/>
      <c r="W1214" s="18"/>
      <c r="X1214" s="18"/>
      <c r="Y1214" s="18"/>
      <c r="Z1214" s="18"/>
      <c r="AA1214" s="18"/>
    </row>
    <row r="1215" spans="2:27" s="24" customFormat="1" x14ac:dyDescent="0.25">
      <c r="B1215" s="23"/>
      <c r="C1215" s="23"/>
      <c r="D1215" s="23"/>
      <c r="G1215" s="51"/>
      <c r="H1215" s="51"/>
      <c r="I1215" s="51"/>
      <c r="J1215" s="51"/>
      <c r="L1215" s="57"/>
      <c r="M1215" s="58"/>
      <c r="N1215" s="58"/>
      <c r="O1215" s="58"/>
      <c r="Q1215" s="54"/>
      <c r="R1215" s="54"/>
      <c r="S1215" s="54"/>
      <c r="T1215" s="54"/>
      <c r="U1215" s="18"/>
      <c r="V1215" s="18"/>
      <c r="W1215" s="18"/>
      <c r="X1215" s="18"/>
      <c r="Y1215" s="18"/>
      <c r="Z1215" s="18"/>
      <c r="AA1215" s="18"/>
    </row>
    <row r="1216" spans="2:27" s="24" customFormat="1" x14ac:dyDescent="0.25">
      <c r="B1216" s="23"/>
      <c r="C1216" s="23"/>
      <c r="D1216" s="23"/>
      <c r="G1216" s="51"/>
      <c r="H1216" s="51"/>
      <c r="I1216" s="51"/>
      <c r="J1216" s="51"/>
      <c r="L1216" s="57"/>
      <c r="M1216" s="58"/>
      <c r="N1216" s="58"/>
      <c r="O1216" s="58"/>
      <c r="Q1216" s="54"/>
      <c r="R1216" s="54"/>
      <c r="S1216" s="54"/>
      <c r="T1216" s="54"/>
      <c r="U1216" s="18"/>
      <c r="V1216" s="18"/>
      <c r="W1216" s="18"/>
      <c r="X1216" s="18"/>
      <c r="Y1216" s="18"/>
      <c r="Z1216" s="18"/>
      <c r="AA1216" s="18"/>
    </row>
    <row r="1217" spans="2:27" s="24" customFormat="1" x14ac:dyDescent="0.25">
      <c r="B1217" s="23"/>
      <c r="C1217" s="23"/>
      <c r="D1217" s="23"/>
      <c r="G1217" s="51"/>
      <c r="H1217" s="51"/>
      <c r="I1217" s="51"/>
      <c r="J1217" s="51"/>
      <c r="L1217" s="57"/>
      <c r="M1217" s="58"/>
      <c r="N1217" s="58"/>
      <c r="O1217" s="58"/>
      <c r="Q1217" s="54"/>
      <c r="R1217" s="54"/>
      <c r="S1217" s="54"/>
      <c r="T1217" s="54"/>
      <c r="U1217" s="18"/>
      <c r="V1217" s="18"/>
      <c r="W1217" s="18"/>
      <c r="X1217" s="18"/>
      <c r="Y1217" s="18"/>
      <c r="Z1217" s="18"/>
      <c r="AA1217" s="18"/>
    </row>
    <row r="1218" spans="2:27" s="24" customFormat="1" x14ac:dyDescent="0.25">
      <c r="B1218" s="23"/>
      <c r="C1218" s="23"/>
      <c r="D1218" s="23"/>
      <c r="G1218" s="51"/>
      <c r="H1218" s="51"/>
      <c r="I1218" s="51"/>
      <c r="J1218" s="51"/>
      <c r="L1218" s="57"/>
      <c r="M1218" s="58"/>
      <c r="N1218" s="58"/>
      <c r="O1218" s="58"/>
      <c r="Q1218" s="54"/>
      <c r="R1218" s="54"/>
      <c r="S1218" s="54"/>
      <c r="T1218" s="54"/>
      <c r="U1218" s="18"/>
      <c r="V1218" s="18"/>
      <c r="W1218" s="18"/>
      <c r="X1218" s="18"/>
      <c r="Y1218" s="18"/>
      <c r="Z1218" s="18"/>
      <c r="AA1218" s="18"/>
    </row>
    <row r="1219" spans="2:27" s="24" customFormat="1" x14ac:dyDescent="0.25">
      <c r="B1219" s="23"/>
      <c r="C1219" s="23"/>
      <c r="D1219" s="23"/>
      <c r="G1219" s="51"/>
      <c r="H1219" s="51"/>
      <c r="I1219" s="51"/>
      <c r="J1219" s="51"/>
      <c r="L1219" s="57"/>
      <c r="M1219" s="58"/>
      <c r="N1219" s="58"/>
      <c r="O1219" s="58"/>
      <c r="Q1219" s="54"/>
      <c r="R1219" s="54"/>
      <c r="S1219" s="54"/>
      <c r="T1219" s="54"/>
      <c r="U1219" s="18"/>
      <c r="V1219" s="18"/>
      <c r="W1219" s="18"/>
      <c r="X1219" s="18"/>
      <c r="Y1219" s="18"/>
      <c r="Z1219" s="18"/>
      <c r="AA1219" s="18"/>
    </row>
    <row r="1220" spans="2:27" s="24" customFormat="1" x14ac:dyDescent="0.25">
      <c r="B1220" s="23"/>
      <c r="C1220" s="23"/>
      <c r="D1220" s="23"/>
      <c r="G1220" s="51"/>
      <c r="H1220" s="51"/>
      <c r="I1220" s="51"/>
      <c r="J1220" s="51"/>
      <c r="L1220" s="57"/>
      <c r="M1220" s="58"/>
      <c r="N1220" s="58"/>
      <c r="O1220" s="58"/>
      <c r="Q1220" s="54"/>
      <c r="R1220" s="54"/>
      <c r="S1220" s="54"/>
      <c r="T1220" s="54"/>
      <c r="U1220" s="18"/>
      <c r="V1220" s="18"/>
      <c r="W1220" s="18"/>
      <c r="X1220" s="18"/>
      <c r="Y1220" s="18"/>
      <c r="Z1220" s="18"/>
      <c r="AA1220" s="18"/>
    </row>
    <row r="1221" spans="2:27" s="24" customFormat="1" x14ac:dyDescent="0.25">
      <c r="B1221" s="23"/>
      <c r="C1221" s="23"/>
      <c r="D1221" s="23"/>
      <c r="G1221" s="51"/>
      <c r="H1221" s="51"/>
      <c r="I1221" s="51"/>
      <c r="J1221" s="51"/>
      <c r="L1221" s="57"/>
      <c r="M1221" s="58"/>
      <c r="N1221" s="58"/>
      <c r="O1221" s="58"/>
      <c r="Q1221" s="54"/>
      <c r="R1221" s="54"/>
      <c r="S1221" s="54"/>
      <c r="T1221" s="54"/>
      <c r="U1221" s="18"/>
      <c r="V1221" s="18"/>
      <c r="W1221" s="18"/>
      <c r="X1221" s="18"/>
      <c r="Y1221" s="18"/>
      <c r="Z1221" s="18"/>
      <c r="AA1221" s="18"/>
    </row>
    <row r="1222" spans="2:27" s="24" customFormat="1" x14ac:dyDescent="0.25">
      <c r="B1222" s="23"/>
      <c r="C1222" s="23"/>
      <c r="D1222" s="23"/>
      <c r="G1222" s="51"/>
      <c r="H1222" s="51"/>
      <c r="I1222" s="51"/>
      <c r="J1222" s="51"/>
      <c r="L1222" s="57"/>
      <c r="M1222" s="58"/>
      <c r="N1222" s="58"/>
      <c r="O1222" s="58"/>
      <c r="Q1222" s="54"/>
      <c r="R1222" s="54"/>
      <c r="S1222" s="54"/>
      <c r="T1222" s="54"/>
      <c r="U1222" s="18"/>
      <c r="V1222" s="18"/>
      <c r="W1222" s="18"/>
      <c r="X1222" s="18"/>
      <c r="Y1222" s="18"/>
      <c r="Z1222" s="18"/>
      <c r="AA1222" s="18"/>
    </row>
    <row r="1223" spans="2:27" s="24" customFormat="1" x14ac:dyDescent="0.25">
      <c r="B1223" s="23"/>
      <c r="C1223" s="23"/>
      <c r="D1223" s="23"/>
      <c r="G1223" s="51"/>
      <c r="H1223" s="51"/>
      <c r="I1223" s="51"/>
      <c r="J1223" s="51"/>
      <c r="L1223" s="57"/>
      <c r="M1223" s="58"/>
      <c r="N1223" s="58"/>
      <c r="O1223" s="58"/>
      <c r="Q1223" s="54"/>
      <c r="R1223" s="54"/>
      <c r="S1223" s="54"/>
      <c r="T1223" s="54"/>
      <c r="U1223" s="18"/>
      <c r="V1223" s="18"/>
      <c r="W1223" s="18"/>
      <c r="X1223" s="18"/>
      <c r="Y1223" s="18"/>
      <c r="Z1223" s="18"/>
      <c r="AA1223" s="18"/>
    </row>
    <row r="1224" spans="2:27" s="24" customFormat="1" x14ac:dyDescent="0.25">
      <c r="B1224" s="23"/>
      <c r="C1224" s="23"/>
      <c r="D1224" s="23"/>
      <c r="G1224" s="51"/>
      <c r="H1224" s="51"/>
      <c r="I1224" s="51"/>
      <c r="J1224" s="51"/>
      <c r="L1224" s="57"/>
      <c r="M1224" s="58"/>
      <c r="N1224" s="58"/>
      <c r="O1224" s="58"/>
      <c r="Q1224" s="54"/>
      <c r="R1224" s="54"/>
      <c r="S1224" s="54"/>
      <c r="T1224" s="54"/>
      <c r="U1224" s="18"/>
      <c r="V1224" s="18"/>
      <c r="W1224" s="18"/>
      <c r="X1224" s="18"/>
      <c r="Y1224" s="18"/>
      <c r="Z1224" s="18"/>
      <c r="AA1224" s="18"/>
    </row>
    <row r="1225" spans="2:27" s="24" customFormat="1" x14ac:dyDescent="0.25">
      <c r="B1225" s="23"/>
      <c r="C1225" s="23"/>
      <c r="D1225" s="23"/>
      <c r="G1225" s="51"/>
      <c r="H1225" s="51"/>
      <c r="I1225" s="51"/>
      <c r="J1225" s="51"/>
      <c r="L1225" s="57"/>
      <c r="M1225" s="58"/>
      <c r="N1225" s="58"/>
      <c r="O1225" s="58"/>
      <c r="Q1225" s="54"/>
      <c r="R1225" s="54"/>
      <c r="S1225" s="54"/>
      <c r="T1225" s="54"/>
      <c r="U1225" s="18"/>
      <c r="V1225" s="18"/>
      <c r="W1225" s="18"/>
      <c r="X1225" s="18"/>
      <c r="Y1225" s="18"/>
      <c r="Z1225" s="18"/>
      <c r="AA1225" s="18"/>
    </row>
    <row r="1226" spans="2:27" s="24" customFormat="1" x14ac:dyDescent="0.25">
      <c r="B1226" s="23"/>
      <c r="C1226" s="23"/>
      <c r="D1226" s="23"/>
      <c r="G1226" s="51"/>
      <c r="H1226" s="51"/>
      <c r="I1226" s="51"/>
      <c r="J1226" s="51"/>
      <c r="L1226" s="57"/>
      <c r="M1226" s="58"/>
      <c r="N1226" s="58"/>
      <c r="O1226" s="58"/>
      <c r="Q1226" s="54"/>
      <c r="R1226" s="54"/>
      <c r="S1226" s="54"/>
      <c r="T1226" s="54"/>
      <c r="U1226" s="18"/>
      <c r="V1226" s="18"/>
      <c r="W1226" s="18"/>
      <c r="X1226" s="18"/>
      <c r="Y1226" s="18"/>
      <c r="Z1226" s="18"/>
      <c r="AA1226" s="18"/>
    </row>
    <row r="1227" spans="2:27" s="24" customFormat="1" x14ac:dyDescent="0.25">
      <c r="B1227" s="23"/>
      <c r="C1227" s="23"/>
      <c r="D1227" s="23"/>
      <c r="G1227" s="51"/>
      <c r="H1227" s="51"/>
      <c r="I1227" s="51"/>
      <c r="J1227" s="51"/>
      <c r="L1227" s="57"/>
      <c r="M1227" s="58"/>
      <c r="N1227" s="58"/>
      <c r="O1227" s="58"/>
      <c r="Q1227" s="54"/>
      <c r="R1227" s="54"/>
      <c r="S1227" s="54"/>
      <c r="T1227" s="54"/>
      <c r="U1227" s="18"/>
      <c r="V1227" s="18"/>
      <c r="W1227" s="18"/>
      <c r="X1227" s="18"/>
      <c r="Y1227" s="18"/>
      <c r="Z1227" s="18"/>
      <c r="AA1227" s="18"/>
    </row>
    <row r="1228" spans="2:27" s="24" customFormat="1" x14ac:dyDescent="0.25">
      <c r="B1228" s="23"/>
      <c r="C1228" s="23"/>
      <c r="D1228" s="23"/>
      <c r="G1228" s="51"/>
      <c r="H1228" s="51"/>
      <c r="I1228" s="51"/>
      <c r="J1228" s="51"/>
      <c r="L1228" s="57"/>
      <c r="M1228" s="58"/>
      <c r="N1228" s="58"/>
      <c r="O1228" s="58"/>
      <c r="Q1228" s="54"/>
      <c r="R1228" s="54"/>
      <c r="S1228" s="54"/>
      <c r="T1228" s="54"/>
      <c r="U1228" s="18"/>
      <c r="V1228" s="18"/>
      <c r="W1228" s="18"/>
      <c r="X1228" s="18"/>
      <c r="Y1228" s="18"/>
      <c r="Z1228" s="18"/>
      <c r="AA1228" s="18"/>
    </row>
    <row r="1229" spans="2:27" s="24" customFormat="1" x14ac:dyDescent="0.25">
      <c r="B1229" s="23"/>
      <c r="C1229" s="23"/>
      <c r="D1229" s="23"/>
      <c r="G1229" s="51"/>
      <c r="H1229" s="51"/>
      <c r="I1229" s="51"/>
      <c r="J1229" s="51"/>
      <c r="L1229" s="57"/>
      <c r="M1229" s="58"/>
      <c r="N1229" s="58"/>
      <c r="O1229" s="58"/>
      <c r="Q1229" s="54"/>
      <c r="R1229" s="54"/>
      <c r="S1229" s="54"/>
      <c r="T1229" s="54"/>
      <c r="U1229" s="18"/>
      <c r="V1229" s="18"/>
      <c r="W1229" s="18"/>
      <c r="X1229" s="18"/>
      <c r="Y1229" s="18"/>
      <c r="Z1229" s="18"/>
      <c r="AA1229" s="18"/>
    </row>
    <row r="1230" spans="2:27" s="24" customFormat="1" x14ac:dyDescent="0.25">
      <c r="B1230" s="23"/>
      <c r="C1230" s="23"/>
      <c r="D1230" s="23"/>
      <c r="G1230" s="51"/>
      <c r="H1230" s="51"/>
      <c r="I1230" s="51"/>
      <c r="J1230" s="51"/>
      <c r="L1230" s="57"/>
      <c r="M1230" s="58"/>
      <c r="N1230" s="58"/>
      <c r="O1230" s="58"/>
      <c r="Q1230" s="54"/>
      <c r="R1230" s="54"/>
      <c r="S1230" s="54"/>
      <c r="T1230" s="54"/>
      <c r="U1230" s="18"/>
      <c r="V1230" s="18"/>
      <c r="W1230" s="18"/>
      <c r="X1230" s="18"/>
      <c r="Y1230" s="18"/>
      <c r="Z1230" s="18"/>
      <c r="AA1230" s="18"/>
    </row>
    <row r="1231" spans="2:27" s="24" customFormat="1" x14ac:dyDescent="0.25">
      <c r="B1231" s="23"/>
      <c r="C1231" s="23"/>
      <c r="D1231" s="23"/>
      <c r="G1231" s="51"/>
      <c r="H1231" s="51"/>
      <c r="I1231" s="51"/>
      <c r="J1231" s="51"/>
      <c r="L1231" s="57"/>
      <c r="M1231" s="58"/>
      <c r="N1231" s="58"/>
      <c r="O1231" s="58"/>
      <c r="Q1231" s="54"/>
      <c r="R1231" s="54"/>
      <c r="S1231" s="54"/>
      <c r="T1231" s="54"/>
      <c r="U1231" s="18"/>
      <c r="V1231" s="18"/>
      <c r="W1231" s="18"/>
      <c r="X1231" s="18"/>
      <c r="Y1231" s="18"/>
      <c r="Z1231" s="18"/>
      <c r="AA1231" s="18"/>
    </row>
    <row r="1232" spans="2:27" s="24" customFormat="1" x14ac:dyDescent="0.25">
      <c r="B1232" s="23"/>
      <c r="C1232" s="23"/>
      <c r="D1232" s="23"/>
      <c r="G1232" s="51"/>
      <c r="H1232" s="51"/>
      <c r="I1232" s="51"/>
      <c r="J1232" s="51"/>
      <c r="L1232" s="57"/>
      <c r="M1232" s="58"/>
      <c r="N1232" s="58"/>
      <c r="O1232" s="58"/>
      <c r="Q1232" s="54"/>
      <c r="R1232" s="54"/>
      <c r="S1232" s="54"/>
      <c r="T1232" s="54"/>
      <c r="U1232" s="18"/>
      <c r="V1232" s="18"/>
      <c r="W1232" s="18"/>
      <c r="X1232" s="18"/>
      <c r="Y1232" s="18"/>
      <c r="Z1232" s="18"/>
      <c r="AA1232" s="18"/>
    </row>
    <row r="1233" spans="2:27" s="24" customFormat="1" x14ac:dyDescent="0.25">
      <c r="B1233" s="23"/>
      <c r="C1233" s="23"/>
      <c r="D1233" s="23"/>
      <c r="G1233" s="51"/>
      <c r="H1233" s="51"/>
      <c r="I1233" s="51"/>
      <c r="J1233" s="51"/>
      <c r="L1233" s="57"/>
      <c r="M1233" s="58"/>
      <c r="N1233" s="58"/>
      <c r="O1233" s="58"/>
      <c r="Q1233" s="54"/>
      <c r="R1233" s="54"/>
      <c r="S1233" s="54"/>
      <c r="T1233" s="54"/>
      <c r="U1233" s="18"/>
      <c r="V1233" s="18"/>
      <c r="W1233" s="18"/>
      <c r="X1233" s="18"/>
      <c r="Y1233" s="18"/>
      <c r="Z1233" s="18"/>
      <c r="AA1233" s="18"/>
    </row>
    <row r="1234" spans="2:27" s="24" customFormat="1" x14ac:dyDescent="0.25">
      <c r="B1234" s="23"/>
      <c r="C1234" s="23"/>
      <c r="D1234" s="23"/>
      <c r="G1234" s="51"/>
      <c r="H1234" s="51"/>
      <c r="I1234" s="51"/>
      <c r="J1234" s="51"/>
      <c r="L1234" s="57"/>
      <c r="M1234" s="58"/>
      <c r="N1234" s="58"/>
      <c r="O1234" s="58"/>
      <c r="Q1234" s="54"/>
      <c r="R1234" s="54"/>
      <c r="S1234" s="54"/>
      <c r="T1234" s="54"/>
      <c r="U1234" s="18"/>
      <c r="V1234" s="18"/>
      <c r="W1234" s="18"/>
      <c r="X1234" s="18"/>
      <c r="Y1234" s="18"/>
      <c r="Z1234" s="18"/>
      <c r="AA1234" s="18"/>
    </row>
    <row r="1235" spans="2:27" s="24" customFormat="1" x14ac:dyDescent="0.25">
      <c r="B1235" s="23"/>
      <c r="C1235" s="23"/>
      <c r="D1235" s="23"/>
      <c r="G1235" s="51"/>
      <c r="H1235" s="51"/>
      <c r="I1235" s="51"/>
      <c r="J1235" s="51"/>
      <c r="L1235" s="57"/>
      <c r="M1235" s="58"/>
      <c r="N1235" s="58"/>
      <c r="O1235" s="58"/>
      <c r="Q1235" s="54"/>
      <c r="R1235" s="54"/>
      <c r="S1235" s="54"/>
      <c r="T1235" s="54"/>
      <c r="U1235" s="18"/>
      <c r="V1235" s="18"/>
      <c r="W1235" s="18"/>
      <c r="X1235" s="18"/>
      <c r="Y1235" s="18"/>
      <c r="Z1235" s="18"/>
      <c r="AA1235" s="18"/>
    </row>
    <row r="1236" spans="2:27" s="24" customFormat="1" x14ac:dyDescent="0.25">
      <c r="B1236" s="23"/>
      <c r="C1236" s="23"/>
      <c r="D1236" s="23"/>
      <c r="G1236" s="51"/>
      <c r="H1236" s="51"/>
      <c r="I1236" s="51"/>
      <c r="J1236" s="51"/>
      <c r="L1236" s="57"/>
      <c r="M1236" s="58"/>
      <c r="N1236" s="58"/>
      <c r="O1236" s="58"/>
      <c r="Q1236" s="54"/>
      <c r="R1236" s="54"/>
      <c r="S1236" s="54"/>
      <c r="T1236" s="54"/>
      <c r="U1236" s="18"/>
      <c r="V1236" s="18"/>
      <c r="W1236" s="18"/>
      <c r="X1236" s="18"/>
      <c r="Y1236" s="18"/>
      <c r="Z1236" s="18"/>
      <c r="AA1236" s="18"/>
    </row>
    <row r="1237" spans="2:27" s="24" customFormat="1" x14ac:dyDescent="0.25">
      <c r="B1237" s="23"/>
      <c r="C1237" s="23"/>
      <c r="D1237" s="23"/>
      <c r="G1237" s="51"/>
      <c r="H1237" s="51"/>
      <c r="I1237" s="51"/>
      <c r="J1237" s="51"/>
      <c r="L1237" s="57"/>
      <c r="M1237" s="58"/>
      <c r="N1237" s="58"/>
      <c r="O1237" s="58"/>
      <c r="Q1237" s="54"/>
      <c r="R1237" s="54"/>
      <c r="S1237" s="54"/>
      <c r="T1237" s="54"/>
      <c r="U1237" s="18"/>
      <c r="V1237" s="18"/>
      <c r="W1237" s="18"/>
      <c r="X1237" s="18"/>
      <c r="Y1237" s="18"/>
      <c r="Z1237" s="18"/>
      <c r="AA1237" s="18"/>
    </row>
    <row r="1238" spans="2:27" s="24" customFormat="1" x14ac:dyDescent="0.25">
      <c r="B1238" s="23"/>
      <c r="C1238" s="23"/>
      <c r="D1238" s="23"/>
      <c r="G1238" s="51"/>
      <c r="H1238" s="51"/>
      <c r="I1238" s="51"/>
      <c r="J1238" s="51"/>
      <c r="L1238" s="57"/>
      <c r="M1238" s="58"/>
      <c r="N1238" s="58"/>
      <c r="O1238" s="58"/>
      <c r="Q1238" s="54"/>
      <c r="R1238" s="54"/>
      <c r="S1238" s="54"/>
      <c r="T1238" s="54"/>
      <c r="U1238" s="18"/>
      <c r="V1238" s="18"/>
      <c r="W1238" s="18"/>
      <c r="X1238" s="18"/>
      <c r="Y1238" s="18"/>
      <c r="Z1238" s="18"/>
      <c r="AA1238" s="18"/>
    </row>
    <row r="1239" spans="2:27" s="24" customFormat="1" x14ac:dyDescent="0.25">
      <c r="B1239" s="23"/>
      <c r="C1239" s="23"/>
      <c r="D1239" s="23"/>
      <c r="G1239" s="51"/>
      <c r="H1239" s="51"/>
      <c r="I1239" s="51"/>
      <c r="J1239" s="51"/>
      <c r="L1239" s="57"/>
      <c r="M1239" s="58"/>
      <c r="N1239" s="58"/>
      <c r="O1239" s="58"/>
      <c r="Q1239" s="54"/>
      <c r="R1239" s="54"/>
      <c r="S1239" s="54"/>
      <c r="T1239" s="54"/>
      <c r="U1239" s="18"/>
      <c r="V1239" s="18"/>
      <c r="W1239" s="18"/>
      <c r="X1239" s="18"/>
      <c r="Y1239" s="18"/>
      <c r="Z1239" s="18"/>
      <c r="AA1239" s="18"/>
    </row>
    <row r="1240" spans="2:27" s="24" customFormat="1" x14ac:dyDescent="0.25">
      <c r="B1240" s="23"/>
      <c r="C1240" s="23"/>
      <c r="D1240" s="23"/>
      <c r="G1240" s="51"/>
      <c r="H1240" s="51"/>
      <c r="I1240" s="51"/>
      <c r="J1240" s="51"/>
      <c r="L1240" s="57"/>
      <c r="M1240" s="58"/>
      <c r="N1240" s="58"/>
      <c r="O1240" s="58"/>
      <c r="Q1240" s="54"/>
      <c r="R1240" s="54"/>
      <c r="S1240" s="54"/>
      <c r="T1240" s="54"/>
      <c r="U1240" s="18"/>
      <c r="V1240" s="18"/>
      <c r="W1240" s="18"/>
      <c r="X1240" s="18"/>
      <c r="Y1240" s="18"/>
      <c r="Z1240" s="18"/>
      <c r="AA1240" s="18"/>
    </row>
    <row r="1241" spans="2:27" s="24" customFormat="1" x14ac:dyDescent="0.25">
      <c r="B1241" s="23"/>
      <c r="C1241" s="23"/>
      <c r="D1241" s="23"/>
      <c r="G1241" s="51"/>
      <c r="H1241" s="51"/>
      <c r="I1241" s="51"/>
      <c r="J1241" s="51"/>
      <c r="L1241" s="57"/>
      <c r="M1241" s="58"/>
      <c r="N1241" s="58"/>
      <c r="O1241" s="58"/>
      <c r="Q1241" s="54"/>
      <c r="R1241" s="54"/>
      <c r="S1241" s="54"/>
      <c r="T1241" s="54"/>
      <c r="U1241" s="18"/>
      <c r="V1241" s="18"/>
      <c r="W1241" s="18"/>
      <c r="X1241" s="18"/>
      <c r="Y1241" s="18"/>
      <c r="Z1241" s="18"/>
      <c r="AA1241" s="18"/>
    </row>
    <row r="1242" spans="2:27" s="24" customFormat="1" x14ac:dyDescent="0.25">
      <c r="B1242" s="23"/>
      <c r="C1242" s="23"/>
      <c r="D1242" s="23"/>
      <c r="G1242" s="51"/>
      <c r="H1242" s="51"/>
      <c r="I1242" s="51"/>
      <c r="J1242" s="51"/>
      <c r="L1242" s="57"/>
      <c r="M1242" s="58"/>
      <c r="N1242" s="58"/>
      <c r="O1242" s="58"/>
      <c r="Q1242" s="54"/>
      <c r="R1242" s="54"/>
      <c r="S1242" s="54"/>
      <c r="T1242" s="54"/>
      <c r="U1242" s="18"/>
      <c r="V1242" s="18"/>
      <c r="W1242" s="18"/>
      <c r="X1242" s="18"/>
      <c r="Y1242" s="18"/>
      <c r="Z1242" s="18"/>
      <c r="AA1242" s="18"/>
    </row>
    <row r="1243" spans="2:27" s="24" customFormat="1" x14ac:dyDescent="0.25">
      <c r="B1243" s="23"/>
      <c r="C1243" s="23"/>
      <c r="D1243" s="23"/>
      <c r="G1243" s="51"/>
      <c r="H1243" s="51"/>
      <c r="I1243" s="51"/>
      <c r="J1243" s="51"/>
      <c r="L1243" s="57"/>
      <c r="M1243" s="58"/>
      <c r="N1243" s="58"/>
      <c r="O1243" s="58"/>
      <c r="Q1243" s="54"/>
      <c r="R1243" s="54"/>
      <c r="S1243" s="54"/>
      <c r="T1243" s="54"/>
      <c r="U1243" s="18"/>
      <c r="V1243" s="18"/>
      <c r="W1243" s="18"/>
      <c r="X1243" s="18"/>
      <c r="Y1243" s="18"/>
      <c r="Z1243" s="18"/>
      <c r="AA1243" s="18"/>
    </row>
    <row r="1244" spans="2:27" s="24" customFormat="1" x14ac:dyDescent="0.25">
      <c r="B1244" s="23"/>
      <c r="C1244" s="23"/>
      <c r="D1244" s="23"/>
      <c r="G1244" s="51"/>
      <c r="H1244" s="51"/>
      <c r="I1244" s="51"/>
      <c r="J1244" s="51"/>
      <c r="L1244" s="57"/>
      <c r="M1244" s="58"/>
      <c r="N1244" s="58"/>
      <c r="O1244" s="58"/>
      <c r="Q1244" s="54"/>
      <c r="R1244" s="54"/>
      <c r="S1244" s="54"/>
      <c r="T1244" s="54"/>
      <c r="U1244" s="18"/>
      <c r="V1244" s="18"/>
      <c r="W1244" s="18"/>
      <c r="X1244" s="18"/>
      <c r="Y1244" s="18"/>
      <c r="Z1244" s="18"/>
      <c r="AA1244" s="18"/>
    </row>
    <row r="1245" spans="2:27" s="24" customFormat="1" x14ac:dyDescent="0.25">
      <c r="B1245" s="23"/>
      <c r="C1245" s="23"/>
      <c r="D1245" s="23"/>
      <c r="G1245" s="51"/>
      <c r="H1245" s="51"/>
      <c r="I1245" s="51"/>
      <c r="J1245" s="51"/>
      <c r="L1245" s="57"/>
      <c r="M1245" s="58"/>
      <c r="N1245" s="58"/>
      <c r="O1245" s="58"/>
      <c r="Q1245" s="54"/>
      <c r="R1245" s="54"/>
      <c r="S1245" s="54"/>
      <c r="T1245" s="54"/>
      <c r="U1245" s="18"/>
      <c r="V1245" s="18"/>
      <c r="W1245" s="18"/>
      <c r="X1245" s="18"/>
      <c r="Y1245" s="18"/>
      <c r="Z1245" s="18"/>
      <c r="AA1245" s="18"/>
    </row>
    <row r="1246" spans="2:27" s="24" customFormat="1" x14ac:dyDescent="0.25">
      <c r="B1246" s="23"/>
      <c r="C1246" s="23"/>
      <c r="D1246" s="23"/>
      <c r="G1246" s="51"/>
      <c r="H1246" s="51"/>
      <c r="I1246" s="51"/>
      <c r="J1246" s="51"/>
      <c r="L1246" s="57"/>
      <c r="M1246" s="58"/>
      <c r="N1246" s="58"/>
      <c r="O1246" s="58"/>
      <c r="Q1246" s="54"/>
      <c r="R1246" s="54"/>
      <c r="S1246" s="54"/>
      <c r="T1246" s="54"/>
      <c r="U1246" s="18"/>
      <c r="V1246" s="18"/>
      <c r="W1246" s="18"/>
      <c r="X1246" s="18"/>
      <c r="Y1246" s="18"/>
      <c r="Z1246" s="18"/>
      <c r="AA1246" s="18"/>
    </row>
    <row r="1247" spans="2:27" s="24" customFormat="1" x14ac:dyDescent="0.25">
      <c r="B1247" s="23"/>
      <c r="C1247" s="23"/>
      <c r="D1247" s="23"/>
      <c r="G1247" s="51"/>
      <c r="H1247" s="51"/>
      <c r="I1247" s="51"/>
      <c r="J1247" s="51"/>
      <c r="L1247" s="57"/>
      <c r="M1247" s="58"/>
      <c r="N1247" s="58"/>
      <c r="O1247" s="58"/>
      <c r="Q1247" s="54"/>
      <c r="R1247" s="54"/>
      <c r="S1247" s="54"/>
      <c r="T1247" s="54"/>
      <c r="U1247" s="18"/>
      <c r="V1247" s="18"/>
      <c r="W1247" s="18"/>
      <c r="X1247" s="18"/>
      <c r="Y1247" s="18"/>
      <c r="Z1247" s="18"/>
      <c r="AA1247" s="18"/>
    </row>
    <row r="1248" spans="2:27" s="24" customFormat="1" x14ac:dyDescent="0.25">
      <c r="B1248" s="23"/>
      <c r="C1248" s="23"/>
      <c r="D1248" s="23"/>
      <c r="G1248" s="51"/>
      <c r="H1248" s="51"/>
      <c r="I1248" s="51"/>
      <c r="J1248" s="51"/>
      <c r="L1248" s="57"/>
      <c r="M1248" s="58"/>
      <c r="N1248" s="58"/>
      <c r="O1248" s="58"/>
      <c r="Q1248" s="54"/>
      <c r="R1248" s="54"/>
      <c r="S1248" s="54"/>
      <c r="T1248" s="54"/>
      <c r="U1248" s="18"/>
      <c r="V1248" s="18"/>
      <c r="W1248" s="18"/>
      <c r="X1248" s="18"/>
      <c r="Y1248" s="18"/>
      <c r="Z1248" s="18"/>
      <c r="AA1248" s="18"/>
    </row>
    <row r="1249" spans="2:27" s="24" customFormat="1" x14ac:dyDescent="0.25">
      <c r="B1249" s="23"/>
      <c r="C1249" s="23"/>
      <c r="D1249" s="23"/>
      <c r="G1249" s="51"/>
      <c r="H1249" s="51"/>
      <c r="I1249" s="51"/>
      <c r="J1249" s="51"/>
      <c r="L1249" s="57"/>
      <c r="M1249" s="58"/>
      <c r="N1249" s="58"/>
      <c r="O1249" s="58"/>
      <c r="Q1249" s="54"/>
      <c r="R1249" s="54"/>
      <c r="S1249" s="54"/>
      <c r="T1249" s="54"/>
      <c r="U1249" s="18"/>
      <c r="V1249" s="18"/>
      <c r="W1249" s="18"/>
      <c r="X1249" s="18"/>
      <c r="Y1249" s="18"/>
      <c r="Z1249" s="18"/>
      <c r="AA1249" s="18"/>
    </row>
    <row r="1250" spans="2:27" s="24" customFormat="1" x14ac:dyDescent="0.25">
      <c r="B1250" s="23"/>
      <c r="C1250" s="23"/>
      <c r="D1250" s="23"/>
      <c r="G1250" s="51"/>
      <c r="H1250" s="51"/>
      <c r="I1250" s="51"/>
      <c r="J1250" s="51"/>
      <c r="L1250" s="57"/>
      <c r="M1250" s="58"/>
      <c r="N1250" s="58"/>
      <c r="O1250" s="58"/>
      <c r="Q1250" s="54"/>
      <c r="R1250" s="54"/>
      <c r="S1250" s="54"/>
      <c r="T1250" s="54"/>
      <c r="U1250" s="18"/>
      <c r="V1250" s="18"/>
      <c r="W1250" s="18"/>
      <c r="X1250" s="18"/>
      <c r="Y1250" s="18"/>
      <c r="Z1250" s="18"/>
      <c r="AA1250" s="18"/>
    </row>
    <row r="1251" spans="2:27" s="24" customFormat="1" x14ac:dyDescent="0.25">
      <c r="B1251" s="23"/>
      <c r="C1251" s="23"/>
      <c r="D1251" s="23"/>
      <c r="G1251" s="51"/>
      <c r="H1251" s="51"/>
      <c r="I1251" s="51"/>
      <c r="J1251" s="51"/>
      <c r="L1251" s="57"/>
      <c r="M1251" s="58"/>
      <c r="N1251" s="58"/>
      <c r="O1251" s="58"/>
      <c r="Q1251" s="54"/>
      <c r="R1251" s="54"/>
      <c r="S1251" s="54"/>
      <c r="T1251" s="54"/>
      <c r="U1251" s="18"/>
      <c r="V1251" s="18"/>
      <c r="W1251" s="18"/>
      <c r="X1251" s="18"/>
      <c r="Y1251" s="18"/>
      <c r="Z1251" s="18"/>
      <c r="AA1251" s="18"/>
    </row>
    <row r="1252" spans="2:27" s="24" customFormat="1" x14ac:dyDescent="0.25">
      <c r="B1252" s="23"/>
      <c r="C1252" s="23"/>
      <c r="D1252" s="23"/>
      <c r="G1252" s="51"/>
      <c r="H1252" s="51"/>
      <c r="I1252" s="51"/>
      <c r="J1252" s="51"/>
      <c r="L1252" s="57"/>
      <c r="M1252" s="58"/>
      <c r="N1252" s="58"/>
      <c r="O1252" s="58"/>
      <c r="Q1252" s="54"/>
      <c r="R1252" s="54"/>
      <c r="S1252" s="54"/>
      <c r="T1252" s="54"/>
      <c r="U1252" s="18"/>
      <c r="V1252" s="18"/>
      <c r="W1252" s="18"/>
      <c r="X1252" s="18"/>
      <c r="Y1252" s="18"/>
      <c r="Z1252" s="18"/>
      <c r="AA1252" s="18"/>
    </row>
    <row r="1253" spans="2:27" s="24" customFormat="1" x14ac:dyDescent="0.25">
      <c r="B1253" s="23"/>
      <c r="C1253" s="23"/>
      <c r="D1253" s="23"/>
      <c r="G1253" s="51"/>
      <c r="H1253" s="51"/>
      <c r="I1253" s="51"/>
      <c r="J1253" s="51"/>
      <c r="L1253" s="57"/>
      <c r="M1253" s="58"/>
      <c r="N1253" s="58"/>
      <c r="O1253" s="58"/>
      <c r="Q1253" s="54"/>
      <c r="R1253" s="54"/>
      <c r="S1253" s="54"/>
      <c r="T1253" s="54"/>
      <c r="U1253" s="18"/>
      <c r="V1253" s="18"/>
      <c r="W1253" s="18"/>
      <c r="X1253" s="18"/>
      <c r="Y1253" s="18"/>
      <c r="Z1253" s="18"/>
      <c r="AA1253" s="18"/>
    </row>
    <row r="1254" spans="2:27" s="24" customFormat="1" x14ac:dyDescent="0.25">
      <c r="B1254" s="23"/>
      <c r="C1254" s="23"/>
      <c r="D1254" s="23"/>
      <c r="G1254" s="51"/>
      <c r="H1254" s="51"/>
      <c r="I1254" s="51"/>
      <c r="J1254" s="51"/>
      <c r="L1254" s="57"/>
      <c r="M1254" s="58"/>
      <c r="N1254" s="58"/>
      <c r="O1254" s="58"/>
      <c r="Q1254" s="54"/>
      <c r="R1254" s="54"/>
      <c r="S1254" s="54"/>
      <c r="T1254" s="54"/>
      <c r="U1254" s="18"/>
      <c r="V1254" s="18"/>
      <c r="W1254" s="18"/>
      <c r="X1254" s="18"/>
      <c r="Y1254" s="18"/>
      <c r="Z1254" s="18"/>
      <c r="AA1254" s="18"/>
    </row>
    <row r="1255" spans="2:27" s="24" customFormat="1" x14ac:dyDescent="0.25">
      <c r="B1255" s="23"/>
      <c r="C1255" s="23"/>
      <c r="D1255" s="23"/>
      <c r="G1255" s="51"/>
      <c r="H1255" s="51"/>
      <c r="I1255" s="51"/>
      <c r="J1255" s="51"/>
      <c r="L1255" s="57"/>
      <c r="M1255" s="58"/>
      <c r="N1255" s="58"/>
      <c r="O1255" s="58"/>
      <c r="Q1255" s="54"/>
      <c r="R1255" s="54"/>
      <c r="S1255" s="54"/>
      <c r="T1255" s="54"/>
      <c r="U1255" s="18"/>
      <c r="V1255" s="18"/>
      <c r="W1255" s="18"/>
      <c r="X1255" s="18"/>
      <c r="Y1255" s="18"/>
      <c r="Z1255" s="18"/>
      <c r="AA1255" s="18"/>
    </row>
    <row r="1256" spans="2:27" s="24" customFormat="1" x14ac:dyDescent="0.25">
      <c r="B1256" s="23"/>
      <c r="C1256" s="23"/>
      <c r="D1256" s="23"/>
      <c r="G1256" s="51"/>
      <c r="H1256" s="51"/>
      <c r="I1256" s="51"/>
      <c r="J1256" s="51"/>
      <c r="L1256" s="57"/>
      <c r="M1256" s="58"/>
      <c r="N1256" s="58"/>
      <c r="O1256" s="58"/>
      <c r="Q1256" s="54"/>
      <c r="R1256" s="54"/>
      <c r="S1256" s="54"/>
      <c r="T1256" s="54"/>
      <c r="U1256" s="18"/>
      <c r="V1256" s="18"/>
      <c r="W1256" s="18"/>
      <c r="X1256" s="18"/>
      <c r="Y1256" s="18"/>
      <c r="Z1256" s="18"/>
      <c r="AA1256" s="18"/>
    </row>
    <row r="1257" spans="2:27" s="24" customFormat="1" x14ac:dyDescent="0.25">
      <c r="B1257" s="23"/>
      <c r="C1257" s="23"/>
      <c r="D1257" s="23"/>
      <c r="G1257" s="51"/>
      <c r="H1257" s="51"/>
      <c r="I1257" s="51"/>
      <c r="J1257" s="51"/>
      <c r="L1257" s="57"/>
      <c r="M1257" s="58"/>
      <c r="N1257" s="58"/>
      <c r="O1257" s="58"/>
      <c r="Q1257" s="54"/>
      <c r="R1257" s="54"/>
      <c r="S1257" s="54"/>
      <c r="T1257" s="54"/>
      <c r="U1257" s="18"/>
      <c r="V1257" s="18"/>
      <c r="W1257" s="18"/>
      <c r="X1257" s="18"/>
      <c r="Y1257" s="18"/>
      <c r="Z1257" s="18"/>
      <c r="AA1257" s="18"/>
    </row>
    <row r="1258" spans="2:27" s="24" customFormat="1" x14ac:dyDescent="0.25">
      <c r="B1258" s="23"/>
      <c r="C1258" s="23"/>
      <c r="D1258" s="23"/>
      <c r="G1258" s="51"/>
      <c r="H1258" s="51"/>
      <c r="I1258" s="51"/>
      <c r="J1258" s="51"/>
      <c r="L1258" s="57"/>
      <c r="M1258" s="58"/>
      <c r="N1258" s="58"/>
      <c r="O1258" s="58"/>
      <c r="Q1258" s="54"/>
      <c r="R1258" s="54"/>
      <c r="S1258" s="54"/>
      <c r="T1258" s="54"/>
      <c r="U1258" s="18"/>
      <c r="V1258" s="18"/>
      <c r="W1258" s="18"/>
      <c r="X1258" s="18"/>
      <c r="Y1258" s="18"/>
      <c r="Z1258" s="18"/>
      <c r="AA1258" s="18"/>
    </row>
    <row r="1259" spans="2:27" s="24" customFormat="1" x14ac:dyDescent="0.25">
      <c r="B1259" s="23"/>
      <c r="C1259" s="23"/>
      <c r="D1259" s="23"/>
      <c r="G1259" s="51"/>
      <c r="H1259" s="51"/>
      <c r="I1259" s="51"/>
      <c r="J1259" s="51"/>
      <c r="L1259" s="57"/>
      <c r="M1259" s="58"/>
      <c r="N1259" s="58"/>
      <c r="O1259" s="58"/>
      <c r="Q1259" s="54"/>
      <c r="R1259" s="54"/>
      <c r="S1259" s="54"/>
      <c r="T1259" s="54"/>
      <c r="U1259" s="18"/>
      <c r="V1259" s="18"/>
      <c r="W1259" s="18"/>
      <c r="X1259" s="18"/>
      <c r="Y1259" s="18"/>
      <c r="Z1259" s="18"/>
      <c r="AA1259" s="18"/>
    </row>
    <row r="1260" spans="2:27" s="24" customFormat="1" x14ac:dyDescent="0.25">
      <c r="B1260" s="23"/>
      <c r="C1260" s="23"/>
      <c r="D1260" s="23"/>
      <c r="G1260" s="51"/>
      <c r="H1260" s="51"/>
      <c r="I1260" s="51"/>
      <c r="J1260" s="51"/>
      <c r="L1260" s="57"/>
      <c r="M1260" s="58"/>
      <c r="N1260" s="58"/>
      <c r="O1260" s="58"/>
      <c r="Q1260" s="54"/>
      <c r="R1260" s="54"/>
      <c r="S1260" s="54"/>
      <c r="T1260" s="54"/>
      <c r="U1260" s="18"/>
      <c r="V1260" s="18"/>
      <c r="W1260" s="18"/>
      <c r="X1260" s="18"/>
      <c r="Y1260" s="18"/>
      <c r="Z1260" s="18"/>
      <c r="AA1260" s="18"/>
    </row>
    <row r="1261" spans="2:27" s="24" customFormat="1" x14ac:dyDescent="0.25">
      <c r="B1261" s="23"/>
      <c r="C1261" s="23"/>
      <c r="D1261" s="23"/>
      <c r="G1261" s="51"/>
      <c r="H1261" s="51"/>
      <c r="I1261" s="51"/>
      <c r="J1261" s="51"/>
      <c r="L1261" s="57"/>
      <c r="M1261" s="58"/>
      <c r="N1261" s="58"/>
      <c r="O1261" s="58"/>
      <c r="Q1261" s="54"/>
      <c r="R1261" s="54"/>
      <c r="S1261" s="54"/>
      <c r="T1261" s="54"/>
      <c r="U1261" s="18"/>
      <c r="V1261" s="18"/>
      <c r="W1261" s="18"/>
      <c r="X1261" s="18"/>
      <c r="Y1261" s="18"/>
      <c r="Z1261" s="18"/>
      <c r="AA1261" s="18"/>
    </row>
    <row r="1262" spans="2:27" s="24" customFormat="1" x14ac:dyDescent="0.25">
      <c r="B1262" s="23"/>
      <c r="C1262" s="23"/>
      <c r="D1262" s="23"/>
      <c r="G1262" s="51"/>
      <c r="H1262" s="51"/>
      <c r="I1262" s="51"/>
      <c r="J1262" s="51"/>
      <c r="L1262" s="57"/>
      <c r="M1262" s="58"/>
      <c r="N1262" s="58"/>
      <c r="O1262" s="58"/>
      <c r="Q1262" s="54"/>
      <c r="R1262" s="54"/>
      <c r="S1262" s="54"/>
      <c r="T1262" s="54"/>
      <c r="U1262" s="18"/>
      <c r="V1262" s="18"/>
      <c r="W1262" s="18"/>
      <c r="X1262" s="18"/>
      <c r="Y1262" s="18"/>
      <c r="Z1262" s="18"/>
      <c r="AA1262" s="18"/>
    </row>
    <row r="1263" spans="2:27" s="24" customFormat="1" x14ac:dyDescent="0.25">
      <c r="B1263" s="23"/>
      <c r="C1263" s="23"/>
      <c r="D1263" s="23"/>
      <c r="G1263" s="51"/>
      <c r="H1263" s="51"/>
      <c r="I1263" s="51"/>
      <c r="J1263" s="51"/>
      <c r="L1263" s="57"/>
      <c r="M1263" s="58"/>
      <c r="N1263" s="58"/>
      <c r="O1263" s="58"/>
      <c r="Q1263" s="54"/>
      <c r="R1263" s="54"/>
      <c r="S1263" s="54"/>
      <c r="T1263" s="54"/>
      <c r="U1263" s="18"/>
      <c r="V1263" s="18"/>
      <c r="W1263" s="18"/>
      <c r="X1263" s="18"/>
      <c r="Y1263" s="18"/>
      <c r="Z1263" s="18"/>
      <c r="AA1263" s="18"/>
    </row>
    <row r="1264" spans="2:27" s="24" customFormat="1" x14ac:dyDescent="0.25">
      <c r="B1264" s="23"/>
      <c r="C1264" s="23"/>
      <c r="D1264" s="23"/>
      <c r="G1264" s="51"/>
      <c r="H1264" s="51"/>
      <c r="I1264" s="51"/>
      <c r="J1264" s="51"/>
      <c r="L1264" s="57"/>
      <c r="M1264" s="58"/>
      <c r="N1264" s="58"/>
      <c r="O1264" s="58"/>
      <c r="Q1264" s="54"/>
      <c r="R1264" s="54"/>
      <c r="S1264" s="54"/>
      <c r="T1264" s="54"/>
      <c r="U1264" s="18"/>
      <c r="V1264" s="18"/>
      <c r="W1264" s="18"/>
      <c r="X1264" s="18"/>
      <c r="Y1264" s="18"/>
      <c r="Z1264" s="18"/>
      <c r="AA1264" s="18"/>
    </row>
    <row r="1265" spans="2:27" s="24" customFormat="1" x14ac:dyDescent="0.25">
      <c r="B1265" s="23"/>
      <c r="C1265" s="23"/>
      <c r="D1265" s="23"/>
      <c r="G1265" s="51"/>
      <c r="H1265" s="51"/>
      <c r="I1265" s="51"/>
      <c r="J1265" s="51"/>
      <c r="L1265" s="57"/>
      <c r="M1265" s="58"/>
      <c r="N1265" s="58"/>
      <c r="O1265" s="58"/>
      <c r="Q1265" s="54"/>
      <c r="R1265" s="54"/>
      <c r="S1265" s="54"/>
      <c r="T1265" s="54"/>
      <c r="U1265" s="18"/>
      <c r="V1265" s="18"/>
      <c r="W1265" s="18"/>
      <c r="X1265" s="18"/>
      <c r="Y1265" s="18"/>
      <c r="Z1265" s="18"/>
      <c r="AA1265" s="18"/>
    </row>
    <row r="1266" spans="2:27" s="24" customFormat="1" x14ac:dyDescent="0.25">
      <c r="B1266" s="23"/>
      <c r="C1266" s="23"/>
      <c r="D1266" s="23"/>
      <c r="G1266" s="51"/>
      <c r="H1266" s="51"/>
      <c r="I1266" s="51"/>
      <c r="J1266" s="51"/>
      <c r="L1266" s="57"/>
      <c r="M1266" s="58"/>
      <c r="N1266" s="58"/>
      <c r="O1266" s="58"/>
      <c r="Q1266" s="54"/>
      <c r="R1266" s="54"/>
      <c r="S1266" s="54"/>
      <c r="T1266" s="54"/>
      <c r="U1266" s="18"/>
      <c r="V1266" s="18"/>
      <c r="W1266" s="18"/>
      <c r="X1266" s="18"/>
      <c r="Y1266" s="18"/>
      <c r="Z1266" s="18"/>
      <c r="AA1266" s="18"/>
    </row>
    <row r="1267" spans="2:27" s="24" customFormat="1" x14ac:dyDescent="0.25">
      <c r="B1267" s="23"/>
      <c r="C1267" s="23"/>
      <c r="D1267" s="23"/>
      <c r="G1267" s="51"/>
      <c r="H1267" s="51"/>
      <c r="I1267" s="51"/>
      <c r="J1267" s="51"/>
      <c r="L1267" s="57"/>
      <c r="M1267" s="58"/>
      <c r="N1267" s="58"/>
      <c r="O1267" s="58"/>
      <c r="Q1267" s="54"/>
      <c r="R1267" s="54"/>
      <c r="S1267" s="54"/>
      <c r="T1267" s="54"/>
      <c r="U1267" s="18"/>
      <c r="V1267" s="18"/>
      <c r="W1267" s="18"/>
      <c r="X1267" s="18"/>
      <c r="Y1267" s="18"/>
      <c r="Z1267" s="18"/>
      <c r="AA1267" s="18"/>
    </row>
    <row r="1268" spans="2:27" s="24" customFormat="1" x14ac:dyDescent="0.25">
      <c r="B1268" s="23"/>
      <c r="C1268" s="23"/>
      <c r="D1268" s="23"/>
      <c r="G1268" s="51"/>
      <c r="H1268" s="51"/>
      <c r="I1268" s="51"/>
      <c r="J1268" s="51"/>
      <c r="L1268" s="57"/>
      <c r="M1268" s="58"/>
      <c r="N1268" s="58"/>
      <c r="O1268" s="58"/>
      <c r="Q1268" s="54"/>
      <c r="R1268" s="54"/>
      <c r="S1268" s="54"/>
      <c r="T1268" s="54"/>
      <c r="U1268" s="18"/>
      <c r="V1268" s="18"/>
      <c r="W1268" s="18"/>
      <c r="X1268" s="18"/>
      <c r="Y1268" s="18"/>
      <c r="Z1268" s="18"/>
      <c r="AA1268" s="18"/>
    </row>
    <row r="1269" spans="2:27" s="24" customFormat="1" x14ac:dyDescent="0.25">
      <c r="B1269" s="23"/>
      <c r="C1269" s="23"/>
      <c r="D1269" s="23"/>
      <c r="G1269" s="51"/>
      <c r="H1269" s="51"/>
      <c r="I1269" s="51"/>
      <c r="J1269" s="51"/>
      <c r="L1269" s="57"/>
      <c r="M1269" s="58"/>
      <c r="N1269" s="58"/>
      <c r="O1269" s="58"/>
      <c r="Q1269" s="54"/>
      <c r="R1269" s="54"/>
      <c r="S1269" s="54"/>
      <c r="T1269" s="54"/>
      <c r="U1269" s="18"/>
      <c r="V1269" s="18"/>
      <c r="W1269" s="18"/>
      <c r="X1269" s="18"/>
      <c r="Y1269" s="18"/>
      <c r="Z1269" s="18"/>
      <c r="AA1269" s="18"/>
    </row>
    <row r="1270" spans="2:27" s="24" customFormat="1" x14ac:dyDescent="0.25">
      <c r="B1270" s="23"/>
      <c r="C1270" s="23"/>
      <c r="D1270" s="23"/>
      <c r="G1270" s="51"/>
      <c r="H1270" s="51"/>
      <c r="I1270" s="51"/>
      <c r="J1270" s="51"/>
      <c r="L1270" s="57"/>
      <c r="M1270" s="58"/>
      <c r="N1270" s="58"/>
      <c r="O1270" s="58"/>
      <c r="Q1270" s="54"/>
      <c r="R1270" s="54"/>
      <c r="S1270" s="54"/>
      <c r="T1270" s="54"/>
      <c r="U1270" s="18"/>
      <c r="V1270" s="18"/>
      <c r="W1270" s="18"/>
      <c r="X1270" s="18"/>
      <c r="Y1270" s="18"/>
      <c r="Z1270" s="18"/>
      <c r="AA1270" s="18"/>
    </row>
    <row r="1271" spans="2:27" s="24" customFormat="1" x14ac:dyDescent="0.25">
      <c r="B1271" s="23"/>
      <c r="C1271" s="23"/>
      <c r="D1271" s="23"/>
      <c r="G1271" s="51"/>
      <c r="H1271" s="51"/>
      <c r="I1271" s="51"/>
      <c r="J1271" s="51"/>
      <c r="L1271" s="57"/>
      <c r="M1271" s="58"/>
      <c r="N1271" s="58"/>
      <c r="O1271" s="58"/>
      <c r="Q1271" s="54"/>
      <c r="R1271" s="54"/>
      <c r="S1271" s="54"/>
      <c r="T1271" s="54"/>
      <c r="U1271" s="18"/>
      <c r="V1271" s="18"/>
      <c r="W1271" s="18"/>
      <c r="X1271" s="18"/>
      <c r="Y1271" s="18"/>
      <c r="Z1271" s="18"/>
      <c r="AA1271" s="18"/>
    </row>
    <row r="1272" spans="2:27" s="24" customFormat="1" x14ac:dyDescent="0.25">
      <c r="B1272" s="23"/>
      <c r="C1272" s="23"/>
      <c r="D1272" s="23"/>
      <c r="G1272" s="51"/>
      <c r="H1272" s="51"/>
      <c r="I1272" s="51"/>
      <c r="J1272" s="51"/>
      <c r="L1272" s="57"/>
      <c r="M1272" s="58"/>
      <c r="N1272" s="58"/>
      <c r="O1272" s="58"/>
      <c r="Q1272" s="54"/>
      <c r="R1272" s="54"/>
      <c r="S1272" s="54"/>
      <c r="T1272" s="54"/>
      <c r="U1272" s="18"/>
      <c r="V1272" s="18"/>
      <c r="W1272" s="18"/>
      <c r="X1272" s="18"/>
      <c r="Y1272" s="18"/>
      <c r="Z1272" s="18"/>
      <c r="AA1272" s="18"/>
    </row>
    <row r="1273" spans="2:27" s="24" customFormat="1" x14ac:dyDescent="0.25">
      <c r="B1273" s="23"/>
      <c r="C1273" s="23"/>
      <c r="D1273" s="23"/>
      <c r="G1273" s="51"/>
      <c r="H1273" s="51"/>
      <c r="I1273" s="51"/>
      <c r="J1273" s="51"/>
      <c r="L1273" s="57"/>
      <c r="M1273" s="58"/>
      <c r="N1273" s="58"/>
      <c r="O1273" s="58"/>
      <c r="Q1273" s="54"/>
      <c r="R1273" s="54"/>
      <c r="S1273" s="54"/>
      <c r="T1273" s="54"/>
      <c r="U1273" s="18"/>
      <c r="V1273" s="18"/>
      <c r="W1273" s="18"/>
      <c r="X1273" s="18"/>
      <c r="Y1273" s="18"/>
      <c r="Z1273" s="18"/>
      <c r="AA1273" s="18"/>
    </row>
    <row r="1274" spans="2:27" s="24" customFormat="1" x14ac:dyDescent="0.25">
      <c r="B1274" s="23"/>
      <c r="C1274" s="23"/>
      <c r="D1274" s="23"/>
      <c r="G1274" s="51"/>
      <c r="H1274" s="51"/>
      <c r="I1274" s="51"/>
      <c r="J1274" s="51"/>
      <c r="L1274" s="57"/>
      <c r="M1274" s="58"/>
      <c r="N1274" s="58"/>
      <c r="O1274" s="58"/>
      <c r="Q1274" s="54"/>
      <c r="R1274" s="54"/>
      <c r="S1274" s="54"/>
      <c r="T1274" s="54"/>
      <c r="U1274" s="18"/>
      <c r="V1274" s="18"/>
      <c r="W1274" s="18"/>
      <c r="X1274" s="18"/>
      <c r="Y1274" s="18"/>
      <c r="Z1274" s="18"/>
      <c r="AA1274" s="18"/>
    </row>
    <row r="1275" spans="2:27" s="24" customFormat="1" x14ac:dyDescent="0.25">
      <c r="B1275" s="23"/>
      <c r="C1275" s="23"/>
      <c r="D1275" s="23"/>
      <c r="G1275" s="51"/>
      <c r="H1275" s="51"/>
      <c r="I1275" s="51"/>
      <c r="J1275" s="51"/>
      <c r="L1275" s="57"/>
      <c r="M1275" s="58"/>
      <c r="N1275" s="58"/>
      <c r="O1275" s="58"/>
      <c r="Q1275" s="54"/>
      <c r="R1275" s="54"/>
      <c r="S1275" s="54"/>
      <c r="T1275" s="54"/>
      <c r="U1275" s="18"/>
      <c r="V1275" s="18"/>
      <c r="W1275" s="18"/>
      <c r="X1275" s="18"/>
      <c r="Y1275" s="18"/>
      <c r="Z1275" s="18"/>
      <c r="AA1275" s="18"/>
    </row>
    <row r="1276" spans="2:27" s="24" customFormat="1" x14ac:dyDescent="0.25">
      <c r="B1276" s="23"/>
      <c r="C1276" s="23"/>
      <c r="D1276" s="23"/>
      <c r="G1276" s="51"/>
      <c r="H1276" s="51"/>
      <c r="I1276" s="51"/>
      <c r="J1276" s="51"/>
      <c r="L1276" s="57"/>
      <c r="M1276" s="58"/>
      <c r="N1276" s="58"/>
      <c r="O1276" s="58"/>
      <c r="Q1276" s="54"/>
      <c r="R1276" s="54"/>
      <c r="S1276" s="54"/>
      <c r="T1276" s="54"/>
      <c r="U1276" s="18"/>
      <c r="V1276" s="18"/>
      <c r="W1276" s="18"/>
      <c r="X1276" s="18"/>
      <c r="Y1276" s="18"/>
      <c r="Z1276" s="18"/>
      <c r="AA1276" s="18"/>
    </row>
    <row r="1277" spans="2:27" s="24" customFormat="1" x14ac:dyDescent="0.25">
      <c r="B1277" s="23"/>
      <c r="C1277" s="23"/>
      <c r="D1277" s="23"/>
      <c r="G1277" s="51"/>
      <c r="H1277" s="51"/>
      <c r="I1277" s="51"/>
      <c r="J1277" s="51"/>
      <c r="L1277" s="57"/>
      <c r="M1277" s="58"/>
      <c r="N1277" s="58"/>
      <c r="O1277" s="58"/>
      <c r="Q1277" s="54"/>
      <c r="R1277" s="54"/>
      <c r="S1277" s="54"/>
      <c r="T1277" s="54"/>
      <c r="U1277" s="18"/>
      <c r="V1277" s="18"/>
      <c r="W1277" s="18"/>
      <c r="X1277" s="18"/>
      <c r="Y1277" s="18"/>
      <c r="Z1277" s="18"/>
      <c r="AA1277" s="18"/>
    </row>
    <row r="1278" spans="2:27" s="24" customFormat="1" x14ac:dyDescent="0.25">
      <c r="B1278" s="23"/>
      <c r="C1278" s="23"/>
      <c r="D1278" s="23"/>
      <c r="G1278" s="51"/>
      <c r="H1278" s="51"/>
      <c r="I1278" s="51"/>
      <c r="J1278" s="51"/>
      <c r="L1278" s="57"/>
      <c r="M1278" s="58"/>
      <c r="N1278" s="58"/>
      <c r="O1278" s="58"/>
      <c r="Q1278" s="54"/>
      <c r="R1278" s="54"/>
      <c r="S1278" s="54"/>
      <c r="T1278" s="54"/>
      <c r="U1278" s="18"/>
      <c r="V1278" s="18"/>
      <c r="W1278" s="18"/>
      <c r="X1278" s="18"/>
      <c r="Y1278" s="18"/>
      <c r="Z1278" s="18"/>
      <c r="AA1278" s="18"/>
    </row>
    <row r="1279" spans="2:27" s="24" customFormat="1" x14ac:dyDescent="0.25">
      <c r="B1279" s="23"/>
      <c r="C1279" s="23"/>
      <c r="D1279" s="23"/>
      <c r="G1279" s="51"/>
      <c r="H1279" s="51"/>
      <c r="I1279" s="51"/>
      <c r="J1279" s="51"/>
      <c r="L1279" s="57"/>
      <c r="M1279" s="58"/>
      <c r="N1279" s="58"/>
      <c r="O1279" s="58"/>
      <c r="Q1279" s="54"/>
      <c r="R1279" s="54"/>
      <c r="S1279" s="54"/>
      <c r="T1279" s="54"/>
      <c r="U1279" s="18"/>
      <c r="V1279" s="18"/>
      <c r="W1279" s="18"/>
      <c r="X1279" s="18"/>
      <c r="Y1279" s="18"/>
      <c r="Z1279" s="18"/>
      <c r="AA1279" s="18"/>
    </row>
    <row r="1280" spans="2:27" s="24" customFormat="1" x14ac:dyDescent="0.25">
      <c r="B1280" s="23"/>
      <c r="C1280" s="23"/>
      <c r="D1280" s="23"/>
      <c r="G1280" s="51"/>
      <c r="H1280" s="51"/>
      <c r="I1280" s="51"/>
      <c r="J1280" s="51"/>
      <c r="L1280" s="57"/>
      <c r="M1280" s="58"/>
      <c r="N1280" s="58"/>
      <c r="O1280" s="58"/>
      <c r="Q1280" s="54"/>
      <c r="R1280" s="54"/>
      <c r="S1280" s="54"/>
      <c r="T1280" s="54"/>
      <c r="U1280" s="18"/>
      <c r="V1280" s="18"/>
      <c r="W1280" s="18"/>
      <c r="X1280" s="18"/>
      <c r="Y1280" s="18"/>
      <c r="Z1280" s="18"/>
      <c r="AA1280" s="18"/>
    </row>
    <row r="1281" spans="2:27" s="24" customFormat="1" x14ac:dyDescent="0.25">
      <c r="B1281" s="23"/>
      <c r="C1281" s="23"/>
      <c r="D1281" s="23"/>
      <c r="G1281" s="51"/>
      <c r="H1281" s="51"/>
      <c r="I1281" s="51"/>
      <c r="J1281" s="51"/>
      <c r="L1281" s="57"/>
      <c r="M1281" s="58"/>
      <c r="N1281" s="58"/>
      <c r="O1281" s="58"/>
      <c r="Q1281" s="54"/>
      <c r="R1281" s="54"/>
      <c r="S1281" s="54"/>
      <c r="T1281" s="54"/>
      <c r="U1281" s="18"/>
      <c r="V1281" s="18"/>
      <c r="W1281" s="18"/>
      <c r="X1281" s="18"/>
      <c r="Y1281" s="18"/>
      <c r="Z1281" s="18"/>
      <c r="AA1281" s="18"/>
    </row>
    <row r="1282" spans="2:27" s="24" customFormat="1" x14ac:dyDescent="0.25">
      <c r="B1282" s="23"/>
      <c r="C1282" s="23"/>
      <c r="D1282" s="23"/>
      <c r="G1282" s="51"/>
      <c r="H1282" s="51"/>
      <c r="I1282" s="51"/>
      <c r="J1282" s="51"/>
      <c r="L1282" s="57"/>
      <c r="M1282" s="58"/>
      <c r="N1282" s="58"/>
      <c r="O1282" s="58"/>
      <c r="Q1282" s="54"/>
      <c r="R1282" s="54"/>
      <c r="S1282" s="54"/>
      <c r="T1282" s="54"/>
      <c r="U1282" s="18"/>
      <c r="V1282" s="18"/>
      <c r="W1282" s="18"/>
      <c r="X1282" s="18"/>
      <c r="Y1282" s="18"/>
      <c r="Z1282" s="18"/>
      <c r="AA1282" s="18"/>
    </row>
    <row r="1283" spans="2:27" s="24" customFormat="1" x14ac:dyDescent="0.25">
      <c r="B1283" s="23"/>
      <c r="C1283" s="23"/>
      <c r="D1283" s="23"/>
      <c r="G1283" s="51"/>
      <c r="H1283" s="51"/>
      <c r="I1283" s="51"/>
      <c r="J1283" s="51"/>
      <c r="L1283" s="57"/>
      <c r="M1283" s="58"/>
      <c r="N1283" s="58"/>
      <c r="O1283" s="58"/>
      <c r="Q1283" s="54"/>
      <c r="R1283" s="54"/>
      <c r="S1283" s="54"/>
      <c r="T1283" s="54"/>
      <c r="U1283" s="18"/>
      <c r="V1283" s="18"/>
      <c r="W1283" s="18"/>
      <c r="X1283" s="18"/>
      <c r="Y1283" s="18"/>
      <c r="Z1283" s="18"/>
      <c r="AA1283" s="18"/>
    </row>
    <row r="1284" spans="2:27" s="24" customFormat="1" x14ac:dyDescent="0.25">
      <c r="B1284" s="23"/>
      <c r="C1284" s="23"/>
      <c r="D1284" s="23"/>
      <c r="G1284" s="51"/>
      <c r="H1284" s="51"/>
      <c r="I1284" s="51"/>
      <c r="J1284" s="51"/>
      <c r="L1284" s="57"/>
      <c r="M1284" s="58"/>
      <c r="N1284" s="58"/>
      <c r="O1284" s="58"/>
      <c r="Q1284" s="54"/>
      <c r="R1284" s="54"/>
      <c r="S1284" s="54"/>
      <c r="T1284" s="54"/>
      <c r="U1284" s="18"/>
      <c r="V1284" s="18"/>
      <c r="W1284" s="18"/>
      <c r="X1284" s="18"/>
      <c r="Y1284" s="18"/>
      <c r="Z1284" s="18"/>
      <c r="AA1284" s="18"/>
    </row>
    <row r="1285" spans="2:27" s="24" customFormat="1" x14ac:dyDescent="0.25">
      <c r="B1285" s="23"/>
      <c r="C1285" s="23"/>
      <c r="D1285" s="23"/>
      <c r="G1285" s="51"/>
      <c r="H1285" s="51"/>
      <c r="I1285" s="51"/>
      <c r="J1285" s="51"/>
      <c r="L1285" s="57"/>
      <c r="M1285" s="58"/>
      <c r="N1285" s="58"/>
      <c r="O1285" s="58"/>
      <c r="Q1285" s="54"/>
      <c r="R1285" s="54"/>
      <c r="S1285" s="54"/>
      <c r="T1285" s="54"/>
      <c r="U1285" s="18"/>
      <c r="V1285" s="18"/>
      <c r="W1285" s="18"/>
      <c r="X1285" s="18"/>
      <c r="Y1285" s="18"/>
      <c r="Z1285" s="18"/>
      <c r="AA1285" s="18"/>
    </row>
    <row r="1286" spans="2:27" s="24" customFormat="1" x14ac:dyDescent="0.25">
      <c r="B1286" s="23"/>
      <c r="C1286" s="23"/>
      <c r="D1286" s="23"/>
      <c r="G1286" s="51"/>
      <c r="H1286" s="51"/>
      <c r="I1286" s="51"/>
      <c r="J1286" s="51"/>
      <c r="L1286" s="57"/>
      <c r="M1286" s="58"/>
      <c r="N1286" s="58"/>
      <c r="O1286" s="58"/>
      <c r="Q1286" s="54"/>
      <c r="R1286" s="54"/>
      <c r="S1286" s="54"/>
      <c r="T1286" s="54"/>
      <c r="U1286" s="18"/>
      <c r="V1286" s="18"/>
      <c r="W1286" s="18"/>
      <c r="X1286" s="18"/>
      <c r="Y1286" s="18"/>
      <c r="Z1286" s="18"/>
      <c r="AA1286" s="18"/>
    </row>
    <row r="1287" spans="2:27" s="24" customFormat="1" x14ac:dyDescent="0.25">
      <c r="B1287" s="23"/>
      <c r="C1287" s="23"/>
      <c r="D1287" s="23"/>
      <c r="G1287" s="51"/>
      <c r="H1287" s="51"/>
      <c r="I1287" s="51"/>
      <c r="J1287" s="51"/>
      <c r="L1287" s="57"/>
      <c r="M1287" s="58"/>
      <c r="N1287" s="58"/>
      <c r="O1287" s="58"/>
      <c r="Q1287" s="54"/>
      <c r="R1287" s="54"/>
      <c r="S1287" s="54"/>
      <c r="T1287" s="54"/>
      <c r="U1287" s="18"/>
      <c r="V1287" s="18"/>
      <c r="W1287" s="18"/>
      <c r="X1287" s="18"/>
      <c r="Y1287" s="18"/>
      <c r="Z1287" s="18"/>
      <c r="AA1287" s="18"/>
    </row>
    <row r="1288" spans="2:27" s="24" customFormat="1" x14ac:dyDescent="0.25">
      <c r="B1288" s="23"/>
      <c r="C1288" s="23"/>
      <c r="D1288" s="23"/>
      <c r="G1288" s="51"/>
      <c r="H1288" s="51"/>
      <c r="I1288" s="51"/>
      <c r="J1288" s="51"/>
      <c r="L1288" s="57"/>
      <c r="M1288" s="58"/>
      <c r="N1288" s="58"/>
      <c r="O1288" s="58"/>
      <c r="Q1288" s="54"/>
      <c r="R1288" s="54"/>
      <c r="S1288" s="54"/>
      <c r="T1288" s="54"/>
      <c r="U1288" s="18"/>
      <c r="V1288" s="18"/>
      <c r="W1288" s="18"/>
      <c r="X1288" s="18"/>
      <c r="Y1288" s="18"/>
      <c r="Z1288" s="18"/>
      <c r="AA1288" s="18"/>
    </row>
    <row r="1289" spans="2:27" s="24" customFormat="1" x14ac:dyDescent="0.25">
      <c r="B1289" s="23"/>
      <c r="C1289" s="23"/>
      <c r="D1289" s="23"/>
      <c r="G1289" s="51"/>
      <c r="H1289" s="51"/>
      <c r="I1289" s="51"/>
      <c r="J1289" s="51"/>
      <c r="L1289" s="57"/>
      <c r="M1289" s="58"/>
      <c r="N1289" s="58"/>
      <c r="O1289" s="58"/>
      <c r="Q1289" s="54"/>
      <c r="R1289" s="54"/>
      <c r="S1289" s="54"/>
      <c r="T1289" s="54"/>
      <c r="U1289" s="18"/>
      <c r="V1289" s="18"/>
      <c r="W1289" s="18"/>
      <c r="X1289" s="18"/>
      <c r="Y1289" s="18"/>
      <c r="Z1289" s="18"/>
      <c r="AA1289" s="18"/>
    </row>
    <row r="1290" spans="2:27" s="24" customFormat="1" x14ac:dyDescent="0.25">
      <c r="B1290" s="23"/>
      <c r="C1290" s="23"/>
      <c r="D1290" s="23"/>
      <c r="G1290" s="51"/>
      <c r="H1290" s="51"/>
      <c r="I1290" s="51"/>
      <c r="J1290" s="51"/>
      <c r="L1290" s="57"/>
      <c r="M1290" s="58"/>
      <c r="N1290" s="58"/>
      <c r="O1290" s="58"/>
      <c r="Q1290" s="54"/>
      <c r="R1290" s="54"/>
      <c r="S1290" s="54"/>
      <c r="T1290" s="54"/>
      <c r="U1290" s="18"/>
      <c r="V1290" s="18"/>
      <c r="W1290" s="18"/>
      <c r="X1290" s="18"/>
      <c r="Y1290" s="18"/>
      <c r="Z1290" s="18"/>
      <c r="AA1290" s="18"/>
    </row>
    <row r="1291" spans="2:27" s="24" customFormat="1" x14ac:dyDescent="0.25">
      <c r="B1291" s="23"/>
      <c r="C1291" s="23"/>
      <c r="D1291" s="23"/>
      <c r="G1291" s="51"/>
      <c r="H1291" s="51"/>
      <c r="I1291" s="51"/>
      <c r="J1291" s="51"/>
      <c r="L1291" s="57"/>
      <c r="M1291" s="58"/>
      <c r="N1291" s="58"/>
      <c r="O1291" s="58"/>
      <c r="Q1291" s="54"/>
      <c r="R1291" s="54"/>
      <c r="S1291" s="54"/>
      <c r="T1291" s="54"/>
      <c r="U1291" s="18"/>
      <c r="V1291" s="18"/>
      <c r="W1291" s="18"/>
      <c r="X1291" s="18"/>
      <c r="Y1291" s="18"/>
      <c r="Z1291" s="18"/>
      <c r="AA1291" s="18"/>
    </row>
    <row r="1292" spans="2:27" s="24" customFormat="1" x14ac:dyDescent="0.25">
      <c r="B1292" s="23"/>
      <c r="C1292" s="23"/>
      <c r="D1292" s="23"/>
      <c r="G1292" s="51"/>
      <c r="H1292" s="51"/>
      <c r="I1292" s="51"/>
      <c r="J1292" s="51"/>
      <c r="L1292" s="57"/>
      <c r="M1292" s="58"/>
      <c r="N1292" s="58"/>
      <c r="O1292" s="58"/>
      <c r="Q1292" s="54"/>
      <c r="R1292" s="54"/>
      <c r="S1292" s="54"/>
      <c r="T1292" s="54"/>
      <c r="U1292" s="18"/>
      <c r="V1292" s="18"/>
      <c r="W1292" s="18"/>
      <c r="X1292" s="18"/>
      <c r="Y1292" s="18"/>
      <c r="Z1292" s="18"/>
      <c r="AA1292" s="18"/>
    </row>
    <row r="1293" spans="2:27" s="24" customFormat="1" x14ac:dyDescent="0.25">
      <c r="B1293" s="23"/>
      <c r="C1293" s="23"/>
      <c r="D1293" s="23"/>
      <c r="G1293" s="51"/>
      <c r="H1293" s="51"/>
      <c r="I1293" s="51"/>
      <c r="J1293" s="51"/>
      <c r="L1293" s="57"/>
      <c r="M1293" s="58"/>
      <c r="N1293" s="58"/>
      <c r="O1293" s="58"/>
      <c r="Q1293" s="54"/>
      <c r="R1293" s="54"/>
      <c r="S1293" s="54"/>
      <c r="T1293" s="54"/>
      <c r="U1293" s="18"/>
      <c r="V1293" s="18"/>
      <c r="W1293" s="18"/>
      <c r="X1293" s="18"/>
      <c r="Y1293" s="18"/>
      <c r="Z1293" s="18"/>
      <c r="AA1293" s="18"/>
    </row>
    <row r="1294" spans="2:27" s="24" customFormat="1" x14ac:dyDescent="0.25">
      <c r="B1294" s="23"/>
      <c r="C1294" s="23"/>
      <c r="D1294" s="23"/>
      <c r="G1294" s="51"/>
      <c r="H1294" s="51"/>
      <c r="I1294" s="51"/>
      <c r="J1294" s="51"/>
      <c r="L1294" s="57"/>
      <c r="M1294" s="58"/>
      <c r="N1294" s="58"/>
      <c r="O1294" s="58"/>
      <c r="Q1294" s="54"/>
      <c r="R1294" s="54"/>
      <c r="S1294" s="54"/>
      <c r="T1294" s="54"/>
      <c r="U1294" s="18"/>
      <c r="V1294" s="18"/>
      <c r="W1294" s="18"/>
      <c r="X1294" s="18"/>
      <c r="Y1294" s="18"/>
      <c r="Z1294" s="18"/>
      <c r="AA1294" s="18"/>
    </row>
    <row r="1295" spans="2:27" s="24" customFormat="1" x14ac:dyDescent="0.25">
      <c r="B1295" s="23"/>
      <c r="C1295" s="23"/>
      <c r="D1295" s="23"/>
      <c r="G1295" s="51"/>
      <c r="H1295" s="51"/>
      <c r="I1295" s="51"/>
      <c r="J1295" s="51"/>
      <c r="L1295" s="57"/>
      <c r="M1295" s="58"/>
      <c r="N1295" s="58"/>
      <c r="O1295" s="58"/>
      <c r="Q1295" s="54"/>
      <c r="R1295" s="54"/>
      <c r="S1295" s="54"/>
      <c r="T1295" s="54"/>
      <c r="U1295" s="18"/>
      <c r="V1295" s="18"/>
      <c r="W1295" s="18"/>
      <c r="X1295" s="18"/>
      <c r="Y1295" s="18"/>
      <c r="Z1295" s="18"/>
      <c r="AA1295" s="18"/>
    </row>
    <row r="1296" spans="2:27" s="24" customFormat="1" x14ac:dyDescent="0.25">
      <c r="B1296" s="23"/>
      <c r="C1296" s="23"/>
      <c r="D1296" s="23"/>
      <c r="G1296" s="51"/>
      <c r="H1296" s="51"/>
      <c r="I1296" s="51"/>
      <c r="J1296" s="51"/>
      <c r="L1296" s="57"/>
      <c r="M1296" s="58"/>
      <c r="N1296" s="58"/>
      <c r="O1296" s="58"/>
      <c r="Q1296" s="54"/>
      <c r="R1296" s="54"/>
      <c r="S1296" s="54"/>
      <c r="T1296" s="54"/>
      <c r="U1296" s="18"/>
      <c r="V1296" s="18"/>
      <c r="W1296" s="18"/>
      <c r="X1296" s="18"/>
      <c r="Y1296" s="18"/>
      <c r="Z1296" s="18"/>
      <c r="AA1296" s="18"/>
    </row>
    <row r="1297" spans="2:27" s="24" customFormat="1" x14ac:dyDescent="0.25">
      <c r="B1297" s="23"/>
      <c r="C1297" s="23"/>
      <c r="D1297" s="23"/>
      <c r="G1297" s="51"/>
      <c r="H1297" s="51"/>
      <c r="I1297" s="51"/>
      <c r="J1297" s="51"/>
      <c r="L1297" s="57"/>
      <c r="M1297" s="58"/>
      <c r="N1297" s="58"/>
      <c r="O1297" s="58"/>
      <c r="Q1297" s="54"/>
      <c r="R1297" s="54"/>
      <c r="S1297" s="54"/>
      <c r="T1297" s="54"/>
      <c r="U1297" s="18"/>
      <c r="V1297" s="18"/>
      <c r="W1297" s="18"/>
      <c r="X1297" s="18"/>
      <c r="Y1297" s="18"/>
      <c r="Z1297" s="18"/>
      <c r="AA1297" s="18"/>
    </row>
    <row r="1298" spans="2:27" s="24" customFormat="1" x14ac:dyDescent="0.25">
      <c r="B1298" s="23"/>
      <c r="C1298" s="23"/>
      <c r="D1298" s="23"/>
      <c r="G1298" s="51"/>
      <c r="H1298" s="51"/>
      <c r="I1298" s="51"/>
      <c r="J1298" s="51"/>
      <c r="L1298" s="57"/>
      <c r="M1298" s="58"/>
      <c r="N1298" s="58"/>
      <c r="O1298" s="58"/>
      <c r="Q1298" s="54"/>
      <c r="R1298" s="54"/>
      <c r="S1298" s="54"/>
      <c r="T1298" s="54"/>
      <c r="U1298" s="18"/>
      <c r="V1298" s="18"/>
      <c r="W1298" s="18"/>
      <c r="X1298" s="18"/>
      <c r="Y1298" s="18"/>
      <c r="Z1298" s="18"/>
      <c r="AA1298" s="18"/>
    </row>
    <row r="1299" spans="2:27" s="24" customFormat="1" x14ac:dyDescent="0.25">
      <c r="B1299" s="23"/>
      <c r="C1299" s="23"/>
      <c r="D1299" s="23"/>
      <c r="G1299" s="51"/>
      <c r="H1299" s="51"/>
      <c r="I1299" s="51"/>
      <c r="J1299" s="51"/>
      <c r="L1299" s="57"/>
      <c r="M1299" s="58"/>
      <c r="N1299" s="58"/>
      <c r="O1299" s="58"/>
      <c r="Q1299" s="54"/>
      <c r="R1299" s="54"/>
      <c r="S1299" s="54"/>
      <c r="T1299" s="54"/>
      <c r="U1299" s="18"/>
      <c r="V1299" s="18"/>
      <c r="W1299" s="18"/>
      <c r="X1299" s="18"/>
      <c r="Y1299" s="18"/>
      <c r="Z1299" s="18"/>
      <c r="AA1299" s="18"/>
    </row>
    <row r="1300" spans="2:27" s="24" customFormat="1" x14ac:dyDescent="0.25">
      <c r="B1300" s="23"/>
      <c r="C1300" s="23"/>
      <c r="D1300" s="23"/>
      <c r="G1300" s="51"/>
      <c r="H1300" s="51"/>
      <c r="I1300" s="51"/>
      <c r="J1300" s="51"/>
      <c r="L1300" s="57"/>
      <c r="M1300" s="58"/>
      <c r="N1300" s="58"/>
      <c r="O1300" s="58"/>
      <c r="Q1300" s="54"/>
      <c r="R1300" s="54"/>
      <c r="S1300" s="54"/>
      <c r="T1300" s="54"/>
      <c r="U1300" s="18"/>
      <c r="V1300" s="18"/>
      <c r="W1300" s="18"/>
      <c r="X1300" s="18"/>
      <c r="Y1300" s="18"/>
      <c r="Z1300" s="18"/>
      <c r="AA1300" s="18"/>
    </row>
    <row r="1301" spans="2:27" s="24" customFormat="1" x14ac:dyDescent="0.25">
      <c r="B1301" s="23"/>
      <c r="C1301" s="23"/>
      <c r="D1301" s="23"/>
      <c r="G1301" s="51"/>
      <c r="H1301" s="51"/>
      <c r="I1301" s="51"/>
      <c r="J1301" s="51"/>
      <c r="L1301" s="57"/>
      <c r="M1301" s="58"/>
      <c r="N1301" s="58"/>
      <c r="O1301" s="58"/>
      <c r="Q1301" s="54"/>
      <c r="R1301" s="54"/>
      <c r="S1301" s="54"/>
      <c r="T1301" s="54"/>
      <c r="U1301" s="18"/>
      <c r="V1301" s="18"/>
      <c r="W1301" s="18"/>
      <c r="X1301" s="18"/>
      <c r="Y1301" s="18"/>
      <c r="Z1301" s="18"/>
      <c r="AA1301" s="18"/>
    </row>
    <row r="1302" spans="2:27" s="24" customFormat="1" x14ac:dyDescent="0.25">
      <c r="B1302" s="23"/>
      <c r="C1302" s="23"/>
      <c r="D1302" s="23"/>
      <c r="G1302" s="51"/>
      <c r="H1302" s="51"/>
      <c r="I1302" s="51"/>
      <c r="J1302" s="51"/>
      <c r="L1302" s="57"/>
      <c r="M1302" s="58"/>
      <c r="N1302" s="58"/>
      <c r="O1302" s="58"/>
      <c r="Q1302" s="54"/>
      <c r="R1302" s="54"/>
      <c r="S1302" s="54"/>
      <c r="T1302" s="54"/>
      <c r="U1302" s="18"/>
      <c r="V1302" s="18"/>
      <c r="W1302" s="18"/>
      <c r="X1302" s="18"/>
      <c r="Y1302" s="18"/>
      <c r="Z1302" s="18"/>
      <c r="AA1302" s="18"/>
    </row>
    <row r="1303" spans="2:27" s="24" customFormat="1" x14ac:dyDescent="0.25">
      <c r="B1303" s="23"/>
      <c r="C1303" s="23"/>
      <c r="D1303" s="23"/>
      <c r="G1303" s="51"/>
      <c r="H1303" s="51"/>
      <c r="I1303" s="51"/>
      <c r="J1303" s="51"/>
      <c r="L1303" s="57"/>
      <c r="M1303" s="58"/>
      <c r="N1303" s="58"/>
      <c r="O1303" s="58"/>
      <c r="Q1303" s="54"/>
      <c r="R1303" s="54"/>
      <c r="S1303" s="54"/>
      <c r="T1303" s="54"/>
      <c r="U1303" s="18"/>
      <c r="V1303" s="18"/>
      <c r="W1303" s="18"/>
      <c r="X1303" s="18"/>
      <c r="Y1303" s="18"/>
      <c r="Z1303" s="18"/>
      <c r="AA1303" s="18"/>
    </row>
    <row r="1304" spans="2:27" s="24" customFormat="1" x14ac:dyDescent="0.25">
      <c r="B1304" s="23"/>
      <c r="C1304" s="23"/>
      <c r="D1304" s="23"/>
      <c r="G1304" s="51"/>
      <c r="H1304" s="51"/>
      <c r="I1304" s="51"/>
      <c r="J1304" s="51"/>
      <c r="L1304" s="57"/>
      <c r="M1304" s="58"/>
      <c r="N1304" s="58"/>
      <c r="O1304" s="58"/>
      <c r="Q1304" s="54"/>
      <c r="R1304" s="54"/>
      <c r="S1304" s="54"/>
      <c r="T1304" s="54"/>
      <c r="U1304" s="18"/>
      <c r="V1304" s="18"/>
      <c r="W1304" s="18"/>
      <c r="X1304" s="18"/>
      <c r="Y1304" s="18"/>
      <c r="Z1304" s="18"/>
      <c r="AA1304" s="18"/>
    </row>
    <row r="1305" spans="2:27" s="24" customFormat="1" x14ac:dyDescent="0.25">
      <c r="B1305" s="23"/>
      <c r="C1305" s="23"/>
      <c r="D1305" s="23"/>
      <c r="G1305" s="51"/>
      <c r="H1305" s="51"/>
      <c r="I1305" s="51"/>
      <c r="J1305" s="51"/>
      <c r="L1305" s="57"/>
      <c r="M1305" s="58"/>
      <c r="N1305" s="58"/>
      <c r="O1305" s="58"/>
      <c r="Q1305" s="54"/>
      <c r="R1305" s="54"/>
      <c r="S1305" s="54"/>
      <c r="T1305" s="54"/>
      <c r="U1305" s="18"/>
      <c r="V1305" s="18"/>
      <c r="W1305" s="18"/>
      <c r="X1305" s="18"/>
      <c r="Y1305" s="18"/>
      <c r="Z1305" s="18"/>
      <c r="AA1305" s="18"/>
    </row>
    <row r="1306" spans="2:27" s="24" customFormat="1" x14ac:dyDescent="0.25">
      <c r="B1306" s="23"/>
      <c r="C1306" s="23"/>
      <c r="D1306" s="23"/>
      <c r="G1306" s="51"/>
      <c r="H1306" s="51"/>
      <c r="I1306" s="51"/>
      <c r="J1306" s="51"/>
      <c r="L1306" s="57"/>
      <c r="M1306" s="58"/>
      <c r="N1306" s="58"/>
      <c r="O1306" s="58"/>
      <c r="Q1306" s="54"/>
      <c r="R1306" s="54"/>
      <c r="S1306" s="54"/>
      <c r="T1306" s="54"/>
      <c r="U1306" s="18"/>
      <c r="V1306" s="18"/>
      <c r="W1306" s="18"/>
      <c r="X1306" s="18"/>
      <c r="Y1306" s="18"/>
      <c r="Z1306" s="18"/>
      <c r="AA1306" s="18"/>
    </row>
    <row r="1307" spans="2:27" s="24" customFormat="1" x14ac:dyDescent="0.25">
      <c r="B1307" s="23"/>
      <c r="C1307" s="23"/>
      <c r="D1307" s="23"/>
      <c r="G1307" s="51"/>
      <c r="H1307" s="51"/>
      <c r="I1307" s="51"/>
      <c r="J1307" s="51"/>
      <c r="L1307" s="57"/>
      <c r="M1307" s="58"/>
      <c r="N1307" s="58"/>
      <c r="O1307" s="58"/>
      <c r="Q1307" s="54"/>
      <c r="R1307" s="54"/>
      <c r="S1307" s="54"/>
      <c r="T1307" s="54"/>
      <c r="U1307" s="18"/>
      <c r="V1307" s="18"/>
      <c r="W1307" s="18"/>
      <c r="X1307" s="18"/>
      <c r="Y1307" s="18"/>
      <c r="Z1307" s="18"/>
      <c r="AA1307" s="18"/>
    </row>
    <row r="1308" spans="2:27" s="24" customFormat="1" x14ac:dyDescent="0.25">
      <c r="B1308" s="23"/>
      <c r="C1308" s="23"/>
      <c r="D1308" s="23"/>
      <c r="G1308" s="51"/>
      <c r="H1308" s="51"/>
      <c r="I1308" s="51"/>
      <c r="J1308" s="51"/>
      <c r="L1308" s="57"/>
      <c r="M1308" s="58"/>
      <c r="N1308" s="58"/>
      <c r="O1308" s="58"/>
      <c r="Q1308" s="54"/>
      <c r="R1308" s="54"/>
      <c r="S1308" s="54"/>
      <c r="T1308" s="54"/>
      <c r="U1308" s="18"/>
      <c r="V1308" s="18"/>
      <c r="W1308" s="18"/>
      <c r="X1308" s="18"/>
      <c r="Y1308" s="18"/>
      <c r="Z1308" s="18"/>
      <c r="AA1308" s="18"/>
    </row>
    <row r="1309" spans="2:27" s="24" customFormat="1" x14ac:dyDescent="0.25">
      <c r="B1309" s="23"/>
      <c r="C1309" s="23"/>
      <c r="D1309" s="23"/>
      <c r="G1309" s="51"/>
      <c r="H1309" s="51"/>
      <c r="I1309" s="51"/>
      <c r="J1309" s="51"/>
      <c r="L1309" s="57"/>
      <c r="M1309" s="58"/>
      <c r="N1309" s="58"/>
      <c r="O1309" s="58"/>
      <c r="Q1309" s="54"/>
      <c r="R1309" s="54"/>
      <c r="S1309" s="54"/>
      <c r="T1309" s="54"/>
      <c r="U1309" s="18"/>
      <c r="V1309" s="18"/>
      <c r="W1309" s="18"/>
      <c r="X1309" s="18"/>
      <c r="Y1309" s="18"/>
      <c r="Z1309" s="18"/>
      <c r="AA1309" s="18"/>
    </row>
    <row r="1310" spans="2:27" s="24" customFormat="1" x14ac:dyDescent="0.25">
      <c r="B1310" s="23"/>
      <c r="C1310" s="23"/>
      <c r="D1310" s="23"/>
      <c r="G1310" s="51"/>
      <c r="H1310" s="51"/>
      <c r="I1310" s="51"/>
      <c r="J1310" s="51"/>
      <c r="L1310" s="57"/>
      <c r="M1310" s="58"/>
      <c r="N1310" s="58"/>
      <c r="O1310" s="58"/>
      <c r="Q1310" s="54"/>
      <c r="R1310" s="54"/>
      <c r="S1310" s="54"/>
      <c r="T1310" s="54"/>
      <c r="U1310" s="18"/>
      <c r="V1310" s="18"/>
      <c r="W1310" s="18"/>
      <c r="X1310" s="18"/>
      <c r="Y1310" s="18"/>
      <c r="Z1310" s="18"/>
      <c r="AA1310" s="18"/>
    </row>
    <row r="1311" spans="2:27" s="24" customFormat="1" x14ac:dyDescent="0.25">
      <c r="B1311" s="23"/>
      <c r="C1311" s="23"/>
      <c r="D1311" s="23"/>
      <c r="G1311" s="51"/>
      <c r="H1311" s="51"/>
      <c r="I1311" s="51"/>
      <c r="J1311" s="51"/>
      <c r="L1311" s="57"/>
      <c r="M1311" s="58"/>
      <c r="N1311" s="58"/>
      <c r="O1311" s="58"/>
      <c r="Q1311" s="54"/>
      <c r="R1311" s="54"/>
      <c r="S1311" s="54"/>
      <c r="T1311" s="54"/>
      <c r="U1311" s="18"/>
      <c r="V1311" s="18"/>
      <c r="W1311" s="18"/>
      <c r="X1311" s="18"/>
      <c r="Y1311" s="18"/>
      <c r="Z1311" s="18"/>
      <c r="AA1311" s="18"/>
    </row>
    <row r="1312" spans="2:27" s="24" customFormat="1" x14ac:dyDescent="0.25">
      <c r="B1312" s="23"/>
      <c r="C1312" s="23"/>
      <c r="D1312" s="23"/>
      <c r="G1312" s="51"/>
      <c r="H1312" s="51"/>
      <c r="I1312" s="51"/>
      <c r="J1312" s="51"/>
      <c r="L1312" s="57"/>
      <c r="M1312" s="58"/>
      <c r="N1312" s="58"/>
      <c r="O1312" s="58"/>
      <c r="Q1312" s="54"/>
      <c r="R1312" s="54"/>
      <c r="S1312" s="54"/>
      <c r="T1312" s="54"/>
      <c r="U1312" s="18"/>
      <c r="V1312" s="18"/>
      <c r="W1312" s="18"/>
      <c r="X1312" s="18"/>
      <c r="Y1312" s="18"/>
      <c r="Z1312" s="18"/>
      <c r="AA1312" s="18"/>
    </row>
    <row r="1313" spans="2:27" s="24" customFormat="1" x14ac:dyDescent="0.25">
      <c r="B1313" s="23"/>
      <c r="C1313" s="23"/>
      <c r="D1313" s="23"/>
      <c r="G1313" s="51"/>
      <c r="H1313" s="51"/>
      <c r="I1313" s="51"/>
      <c r="J1313" s="51"/>
      <c r="L1313" s="57"/>
      <c r="M1313" s="58"/>
      <c r="N1313" s="58"/>
      <c r="O1313" s="58"/>
      <c r="Q1313" s="54"/>
      <c r="R1313" s="54"/>
      <c r="S1313" s="54"/>
      <c r="T1313" s="54"/>
      <c r="U1313" s="18"/>
      <c r="V1313" s="18"/>
      <c r="W1313" s="18"/>
      <c r="X1313" s="18"/>
      <c r="Y1313" s="18"/>
      <c r="Z1313" s="18"/>
      <c r="AA1313" s="18"/>
    </row>
    <row r="1314" spans="2:27" s="24" customFormat="1" x14ac:dyDescent="0.25">
      <c r="B1314" s="23"/>
      <c r="C1314" s="23"/>
      <c r="D1314" s="23"/>
      <c r="G1314" s="51"/>
      <c r="H1314" s="51"/>
      <c r="I1314" s="51"/>
      <c r="J1314" s="51"/>
      <c r="L1314" s="57"/>
      <c r="M1314" s="58"/>
      <c r="N1314" s="58"/>
      <c r="O1314" s="58"/>
      <c r="Q1314" s="54"/>
      <c r="R1314" s="54"/>
      <c r="S1314" s="54"/>
      <c r="T1314" s="54"/>
      <c r="U1314" s="18"/>
      <c r="V1314" s="18"/>
      <c r="W1314" s="18"/>
      <c r="X1314" s="18"/>
      <c r="Y1314" s="18"/>
      <c r="Z1314" s="18"/>
      <c r="AA1314" s="18"/>
    </row>
  </sheetData>
  <conditionalFormatting sqref="H1:T1048576">
    <cfRule type="cellIs" dxfId="0" priority="2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890A217D91C04B99D570E54F0C6F1E" ma:contentTypeVersion="19" ma:contentTypeDescription="Create a new document." ma:contentTypeScope="" ma:versionID="d6efe7a32e720766f039db956af9bdd2">
  <xsd:schema xmlns:xsd="http://www.w3.org/2001/XMLSchema" xmlns:xs="http://www.w3.org/2001/XMLSchema" xmlns:p="http://schemas.microsoft.com/office/2006/metadata/properties" xmlns:ns2="1e6c8ea6-7bba-4134-a4d4-65070d127d3e" xmlns:ns3="ba2c0041-fee8-48a2-b713-a8827e2ef91f" targetNamespace="http://schemas.microsoft.com/office/2006/metadata/properties" ma:root="true" ma:fieldsID="28a9ee35cf1b736f72517c88ab827aa2" ns2:_="" ns3:_="">
    <xsd:import namespace="1e6c8ea6-7bba-4134-a4d4-65070d127d3e"/>
    <xsd:import namespace="ba2c0041-fee8-48a2-b713-a8827e2ef9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TechAssigned" minOccurs="0"/>
                <xsd:element ref="ns2:Status" minOccurs="0"/>
                <xsd:element ref="ns2:ReviewDa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c8ea6-7bba-4134-a4d4-65070d127d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b38a4a9-7397-48a1-b74f-79de11e99f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chAssigned" ma:index="23" nillable="true" ma:displayName="Tech Assigned" ma:format="Dropdown" ma:list="UserInfo" ma:SharePointGroup="0" ma:internalName="TechAssigne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4" nillable="true" ma:displayName="Status" ma:format="Dropdown" ma:internalName="Status">
      <xsd:simpleType>
        <xsd:restriction base="dms:Choice">
          <xsd:enumeration value="Under review"/>
          <xsd:enumeration value="Approved"/>
          <xsd:enumeration value="Expired"/>
          <xsd:enumeration value="Archived"/>
        </xsd:restriction>
      </xsd:simpleType>
    </xsd:element>
    <xsd:element name="ReviewDate" ma:index="25" nillable="true" ma:displayName="Review Date" ma:format="DateTime" ma:internalName="ReviewDate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c0041-fee8-48a2-b713-a8827e2ef91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43e0b63-85d6-4574-9aa7-cc1047dcf94a}" ma:internalName="TaxCatchAll" ma:showField="CatchAllData" ma:web="ba2c0041-fee8-48a2-b713-a8827e2ef9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Date xmlns="1e6c8ea6-7bba-4134-a4d4-65070d127d3e" xsi:nil="true"/>
    <lcf76f155ced4ddcb4097134ff3c332f xmlns="1e6c8ea6-7bba-4134-a4d4-65070d127d3e">
      <Terms xmlns="http://schemas.microsoft.com/office/infopath/2007/PartnerControls"/>
    </lcf76f155ced4ddcb4097134ff3c332f>
    <Status xmlns="1e6c8ea6-7bba-4134-a4d4-65070d127d3e" xsi:nil="true"/>
    <TechAssigned xmlns="1e6c8ea6-7bba-4134-a4d4-65070d127d3e">
      <UserInfo>
        <DisplayName/>
        <AccountId xsi:nil="true"/>
        <AccountType/>
      </UserInfo>
    </TechAssigned>
    <TaxCatchAll xmlns="ba2c0041-fee8-48a2-b713-a8827e2ef9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2014EF-C862-46E1-B322-B4BD73454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6c8ea6-7bba-4134-a4d4-65070d127d3e"/>
    <ds:schemaRef ds:uri="ba2c0041-fee8-48a2-b713-a8827e2ef9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9B66D8-A215-47B2-985A-85D1890074A1}">
  <ds:schemaRefs>
    <ds:schemaRef ds:uri="http://schemas.microsoft.com/office/2006/metadata/properties"/>
    <ds:schemaRef ds:uri="http://schemas.microsoft.com/office/infopath/2007/PartnerControls"/>
    <ds:schemaRef ds:uri="1e6c8ea6-7bba-4134-a4d4-65070d127d3e"/>
    <ds:schemaRef ds:uri="ba2c0041-fee8-48a2-b713-a8827e2ef91f"/>
  </ds:schemaRefs>
</ds:datastoreItem>
</file>

<file path=customXml/itemProps3.xml><?xml version="1.0" encoding="utf-8"?>
<ds:datastoreItem xmlns:ds="http://schemas.openxmlformats.org/officeDocument/2006/customXml" ds:itemID="{BACD5AB6-FD70-4CA9-976B-2B502A588D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SCAN</vt:lpstr>
      <vt:lpstr>LaunchPad Markbook</vt:lpstr>
      <vt:lpstr>Group List A</vt:lpstr>
      <vt:lpstr>Group List B</vt:lpstr>
      <vt:lpstr>Summary</vt:lpstr>
    </vt:vector>
  </TitlesOfParts>
  <Company>Queensland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Hudson</dc:creator>
  <cp:lastModifiedBy>Lincoln Hudson</cp:lastModifiedBy>
  <dcterms:created xsi:type="dcterms:W3CDTF">2019-03-18T22:01:26Z</dcterms:created>
  <dcterms:modified xsi:type="dcterms:W3CDTF">2026-03-22T22:25:00Z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0x0101009C890A217D91C04B99D570E54F0C6F1E</vt:lpwstr>
  </property>
  <property fmtid="{D5CDD505-2E9C-101B-9397-08002B2CF9AE}" pid="3" name="MediaServiceImageTags">
    <vt:lpwstr/>
  </property>
</Properties>
</file>